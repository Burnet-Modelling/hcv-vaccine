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opulation Definitions" sheetId="1" r:id="rId1"/>
    <sheet name="Disease Burden" sheetId="2" r:id="rId2"/>
    <sheet name="Demographics" sheetId="3" r:id="rId3"/>
    <sheet name="Infectiousness" sheetId="4" r:id="rId4"/>
    <sheet name="Disease Progression" sheetId="5" r:id="rId5"/>
    <sheet name="Diagnosis" sheetId="6" r:id="rId6"/>
    <sheet name="Loss to follow-up" sheetId="7" r:id="rId7"/>
    <sheet name="Re-engagement" sheetId="8" r:id="rId8"/>
    <sheet name="Treatment" sheetId="9" r:id="rId9"/>
    <sheet name="Liver Transplant" sheetId="10" r:id="rId10"/>
    <sheet name="Overall Indicators" sheetId="11" r:id="rId11"/>
    <sheet name="Initialization" sheetId="12" r:id="rId12"/>
    <sheet name="Care Cascade" sheetId="13" r:id="rId13"/>
    <sheet name="Other intermediate pars" sheetId="14" r:id="rId14"/>
    <sheet name="Vaccine parameters" sheetId="15" r:id="rId15"/>
    <sheet name="Interactions" sheetId="16" r:id="rId16"/>
    <sheet name="Transfers" sheetId="17" r:id="rId17"/>
  </sheets>
  <calcPr calcId="124519" fullCalcOnLoad="1"/>
</workbook>
</file>

<file path=xl/comments1.xml><?xml version="1.0" encoding="utf-8"?>
<comments xmlns="http://schemas.openxmlformats.org/spreadsheetml/2006/main">
  <authors>
    <author/>
  </authors>
  <commentList>
    <comment ref="A193" authorId="0">
      <text>
        <r>
          <rPr>
            <sz val="8"/>
            <color indexed="81"/>
            <rFont val="Tahoma"/>
            <family val="2"/>
          </rPr>
          <t>Proportion of undiagnosed that can't be reached by existing services (can be linked to care via programs)</t>
        </r>
      </text>
    </comment>
  </commentList>
</comments>
</file>

<file path=xl/sharedStrings.xml><?xml version="1.0" encoding="utf-8"?>
<sst xmlns="http://schemas.openxmlformats.org/spreadsheetml/2006/main" count="8528" uniqueCount="1179">
  <si>
    <t>Abbreviation</t>
  </si>
  <si>
    <t>Full Name</t>
  </si>
  <si>
    <t>Population type</t>
  </si>
  <si>
    <t>PWID_males</t>
  </si>
  <si>
    <t>People Who Inject Drugs (males)</t>
  </si>
  <si>
    <t>human</t>
  </si>
  <si>
    <t>PWID_females</t>
  </si>
  <si>
    <t>People Who Inject Drugs (females)</t>
  </si>
  <si>
    <t>0-9_males</t>
  </si>
  <si>
    <t>General Population 0-9 males</t>
  </si>
  <si>
    <t>0-9_females</t>
  </si>
  <si>
    <t>General Population 0-9 females</t>
  </si>
  <si>
    <t>10-17_males</t>
  </si>
  <si>
    <t>General Population 10-17 males</t>
  </si>
  <si>
    <t>10-17_females</t>
  </si>
  <si>
    <t>General Population 10-17 females</t>
  </si>
  <si>
    <t>18-64_males</t>
  </si>
  <si>
    <t>General Population 18-64 males</t>
  </si>
  <si>
    <t>18-64_females</t>
  </si>
  <si>
    <t>General Population 18-64 females</t>
  </si>
  <si>
    <t>65+_males</t>
  </si>
  <si>
    <t>General Population 65+ males</t>
  </si>
  <si>
    <t>65+_females</t>
  </si>
  <si>
    <t>General Population 65+ females</t>
  </si>
  <si>
    <t>Prisoners_males</t>
  </si>
  <si>
    <t>Prisoners (males)</t>
  </si>
  <si>
    <t>Prisoners_females</t>
  </si>
  <si>
    <t>Prisoners (females)</t>
  </si>
  <si>
    <t>Prisoners_PWID_males</t>
  </si>
  <si>
    <t>Prisoners_PWID_females</t>
  </si>
  <si>
    <t>Population living with chronic HCV</t>
  </si>
  <si>
    <t>Provenance</t>
  </si>
  <si>
    <t>Units</t>
  </si>
  <si>
    <t>Uncertainty</t>
  </si>
  <si>
    <t>Number</t>
  </si>
  <si>
    <t>HCV Prevalence</t>
  </si>
  <si>
    <t>Fraction</t>
  </si>
  <si>
    <t>Proportion who have F0-F2</t>
  </si>
  <si>
    <t>Constant</t>
  </si>
  <si>
    <t>OR</t>
  </si>
  <si>
    <t>Proportion who have F3</t>
  </si>
  <si>
    <t>Proportion who have F4</t>
  </si>
  <si>
    <t>Proportion who have DC</t>
  </si>
  <si>
    <t>Proportion who have HCC</t>
  </si>
  <si>
    <t>Undiagnosed proportion</t>
  </si>
  <si>
    <t>Proportion that failed treatments</t>
  </si>
  <si>
    <t>Proportion LTFU after Ab diagnosis</t>
  </si>
  <si>
    <t>Proportion LTFU after RNA diagnosis</t>
  </si>
  <si>
    <t>Proportion LTFU after failed treatment 1</t>
  </si>
  <si>
    <t>Proportion of undiagnosed that are lost to care</t>
  </si>
  <si>
    <t>Proportion</t>
  </si>
  <si>
    <t>Population size</t>
  </si>
  <si>
    <t>Number of live births</t>
  </si>
  <si>
    <t>Number (per year)</t>
  </si>
  <si>
    <t>Net migration rate</t>
  </si>
  <si>
    <t>Rate (per year)</t>
  </si>
  <si>
    <t>All cause death rate</t>
  </si>
  <si>
    <t>Force of Infection constant</t>
  </si>
  <si>
    <t>N.A.</t>
  </si>
  <si>
    <t>Infectivity among the general population</t>
  </si>
  <si>
    <t>Proportion of HCV infections spontaneously clearing</t>
  </si>
  <si>
    <t>Average duration for spontaneous viral clearance</t>
  </si>
  <si>
    <t>Framework-supplied default</t>
  </si>
  <si>
    <t>Duration (years)</t>
  </si>
  <si>
    <t>F0 to F1 progression rate (intermediate step)</t>
  </si>
  <si>
    <t>F1 to F2 progression rate (intermediate step)</t>
  </si>
  <si>
    <t>F2 to F3 progression rate (intermediate step)</t>
  </si>
  <si>
    <t>F3 to F4 progression rate (intermediate step)</t>
  </si>
  <si>
    <t>F4 to DC progression rate (intermediate step)</t>
  </si>
  <si>
    <t>F4 to HCC progression rate (intermediate step)</t>
  </si>
  <si>
    <t>Susceptible DC relapse rate (intermediate step)</t>
  </si>
  <si>
    <t>Susceptible HCC relapse rate (intermediate step)</t>
  </si>
  <si>
    <t>DC to HCC progression rate (intermediate step)</t>
  </si>
  <si>
    <t>F4 death rate (intermediate step)</t>
  </si>
  <si>
    <t>DC death rate (intermediate step)</t>
  </si>
  <si>
    <t>HCC death rate (intermediate step)</t>
  </si>
  <si>
    <t>Liver Transplant in Year 1 death rate (intermediate step)</t>
  </si>
  <si>
    <t>Liver Transplant 2+ Years Ago death rate (intermediate step)</t>
  </si>
  <si>
    <t>Reduction in mortality post DC cure</t>
  </si>
  <si>
    <t>Reduction in mortality post HCC cure</t>
  </si>
  <si>
    <t>Antibody testing rate in F0-F2, undiagnosed, in care (intermediate step)</t>
  </si>
  <si>
    <t>Antibody testing rate in F3+, undiagnosed, in care (intermediate step)</t>
  </si>
  <si>
    <t>RNA testing rate in F0-F2, Ab diagnosed, in care (intermediate step)</t>
  </si>
  <si>
    <t>RNA testing rate in F3+, Ab diagnosed, in care (intermediate step)</t>
  </si>
  <si>
    <t>Loss to follow-up rate on antibody test in F0-F2</t>
  </si>
  <si>
    <t>Loss to follow-up rate on antibody test in F3+</t>
  </si>
  <si>
    <t>Loss to follow-up rate on PCR test in F0-F2</t>
  </si>
  <si>
    <t>Loss to follow-up rate on PCR test in F3+</t>
  </si>
  <si>
    <t>Loss to follow-up rate after treatment initiation in F0-F2</t>
  </si>
  <si>
    <t>Loss to follow-up rate after treatment initiation in F3+</t>
  </si>
  <si>
    <t>Antibody re-engagement in care, F0-F2, lost to follow-up after Ab test</t>
  </si>
  <si>
    <t>Antibody re-engagement in care, F3+, lost to follow-up after Ab test</t>
  </si>
  <si>
    <t>RNA re-engagement in care, F0-F2, lost to follow up after RNA test</t>
  </si>
  <si>
    <t>RNA re-engagement in care, F3+, lost to follow up after RNA test</t>
  </si>
  <si>
    <t>Re-engagement in care after treatment initiation, F0-F2</t>
  </si>
  <si>
    <t>Re-engagement in care after treatment initiation, F3+</t>
  </si>
  <si>
    <t>RNA re-engagement in care, F0-F2, lost to follow up after Ab test</t>
  </si>
  <si>
    <t>RNA re-engagement in care, F3+, lost to follow up after Ab test</t>
  </si>
  <si>
    <t>Proportion of treatments allocated to each population pre-DAA</t>
  </si>
  <si>
    <t>Proportion of treatments allocated to each population post-DAA</t>
  </si>
  <si>
    <t>Proportion of treatments allocated to each population pre-DAA (PWID and Prisoners)</t>
  </si>
  <si>
    <t>Proportion of treatments allocated to each population post-DAA (PWID and Prisoners)</t>
  </si>
  <si>
    <t>Average treatment duration</t>
  </si>
  <si>
    <t>Probability of achieving SVR</t>
  </si>
  <si>
    <t>Proportion of treatments that are retreatments due to failure</t>
  </si>
  <si>
    <t>DC to liver transplant rate</t>
  </si>
  <si>
    <t>HCC to liver transplant rate</t>
  </si>
  <si>
    <t>DC liver transplant 1 to 2+ years ago rate</t>
  </si>
  <si>
    <t>HCC liver transplant 1 to 2+ years ago rate</t>
  </si>
  <si>
    <t>Percent diagnosed Ab or RNA (ever)</t>
  </si>
  <si>
    <t>Total</t>
  </si>
  <si>
    <t>Number of treatments</t>
  </si>
  <si>
    <t>Chronic HCV infections</t>
  </si>
  <si>
    <t>Total number of people living with HCV</t>
  </si>
  <si>
    <t>Positive antibody tests</t>
  </si>
  <si>
    <t>Total number of diagnoses</t>
  </si>
  <si>
    <t>Chronic HCV infections in F0-F2</t>
  </si>
  <si>
    <t>Chronic HCV infections in F3</t>
  </si>
  <si>
    <t>Number of prevalent cases of compensated cirrhosis due to HCV (including cured)</t>
  </si>
  <si>
    <t>Number of prevalent cases of decompensated compensated cirrhosis due to HCV (including cured)</t>
  </si>
  <si>
    <t>Chronic HCV infections in HCC</t>
  </si>
  <si>
    <t>HCV incidence</t>
  </si>
  <si>
    <t>DC incidence</t>
  </si>
  <si>
    <t>HCC incidence</t>
  </si>
  <si>
    <t>Liver transplants due to HCV</t>
  </si>
  <si>
    <t>HCV-related deaths</t>
  </si>
  <si>
    <t>All-cause deaths (18+)</t>
  </si>
  <si>
    <t>Population living with acute HCV</t>
  </si>
  <si>
    <t>Susceptible, antibody positive (aware, unaware, treated)</t>
  </si>
  <si>
    <t>Susceptible (all)</t>
  </si>
  <si>
    <t>Liver Fibrosis F0 (Chronic) (vaccinated)</t>
  </si>
  <si>
    <t>Liver Fibrosis F1 (Chronic) (vaccinated)</t>
  </si>
  <si>
    <t>Liver Fibrosis F2 (Chronic) (vaccinated)</t>
  </si>
  <si>
    <t>Liver Fibrosis F0-2 (Chronic) (vaccinated)</t>
  </si>
  <si>
    <t>Liver Fibrosis F3 (Chronic) (vaccinated)</t>
  </si>
  <si>
    <t>Liver Fibrosis F4 (Chronic) (vaccinated)</t>
  </si>
  <si>
    <t>Liver Fibrosis F3-4 (Chronic) (vaccinated)</t>
  </si>
  <si>
    <t>Liver Fibrosis All Stages (Chronic) (vaccinated)</t>
  </si>
  <si>
    <t>Decompensated Cirrhosis (Chronic) (vaccinated)</t>
  </si>
  <si>
    <t>Hepatocellular Carcinoma (Chronic) (vaccinated)</t>
  </si>
  <si>
    <t>Decompensated Cirrhosis and Hepatocellular Carcinoma (Chronic) (vaccinated)</t>
  </si>
  <si>
    <t>Population living with acute HCV (vaccinated)</t>
  </si>
  <si>
    <t>Population living with chronic HCV (vaccinated)</t>
  </si>
  <si>
    <t>Susceptible, antibody positive (aware, unaware, treated) (vaccinated)</t>
  </si>
  <si>
    <t>Susceptible (all) (vaccinated)</t>
  </si>
  <si>
    <t>Total population living with HCV</t>
  </si>
  <si>
    <t>Failed treatment 1 F0</t>
  </si>
  <si>
    <t>Failed treatment 1 F1</t>
  </si>
  <si>
    <t>Failed treatment 1 F2</t>
  </si>
  <si>
    <t>Failed treatment 1 F3</t>
  </si>
  <si>
    <t>Failed treatment 1 F4</t>
  </si>
  <si>
    <t>Failed treatment 1 DC</t>
  </si>
  <si>
    <t>Failed treatment 1 HCC</t>
  </si>
  <si>
    <t>Failed treatment 2 F0</t>
  </si>
  <si>
    <t>Failed treatment 2 F1</t>
  </si>
  <si>
    <t>Failed treatment 2 F2</t>
  </si>
  <si>
    <t>Failed treatment 2 F3</t>
  </si>
  <si>
    <t>Failed treatment 2 F4</t>
  </si>
  <si>
    <t>Failed treatment 2 DC</t>
  </si>
  <si>
    <t>Failed treatment 2 HCC</t>
  </si>
  <si>
    <t>Number undiagnosed F0</t>
  </si>
  <si>
    <t>Number undiagnosed F1</t>
  </si>
  <si>
    <t>Number undiagnosed F2</t>
  </si>
  <si>
    <t>Number undiagnosed F3</t>
  </si>
  <si>
    <t>Number undiagnosed F4</t>
  </si>
  <si>
    <t>Number undiagnosed DC</t>
  </si>
  <si>
    <t>Number undiagnosed HCC</t>
  </si>
  <si>
    <t>Number undiagnosed acute</t>
  </si>
  <si>
    <t>LTFU failed tx 1 F0</t>
  </si>
  <si>
    <t>LTFU failed tx 1 F1</t>
  </si>
  <si>
    <t>LTFU failed tx 1 F2</t>
  </si>
  <si>
    <t>LTFU failed tx 1 F3</t>
  </si>
  <si>
    <t>LTFU failed tx 1 F4</t>
  </si>
  <si>
    <t>LTFU failed tx 1 DC</t>
  </si>
  <si>
    <t>LTFU failed tx 1 HCC</t>
  </si>
  <si>
    <t>LTFU antibody test F0</t>
  </si>
  <si>
    <t>LTFU antibody test F1</t>
  </si>
  <si>
    <t>LTFU antibody test F2</t>
  </si>
  <si>
    <t>LTFU antibody test F3</t>
  </si>
  <si>
    <t>LTFU antibody test F4</t>
  </si>
  <si>
    <t>LTFU antibody test DC</t>
  </si>
  <si>
    <t>LTFU antibody test HCC</t>
  </si>
  <si>
    <t>LTFU PCR test F0</t>
  </si>
  <si>
    <t>LTFU PCR test F1</t>
  </si>
  <si>
    <t>LTFU PCR test F2</t>
  </si>
  <si>
    <t>LTFU PCR test F3</t>
  </si>
  <si>
    <t>LTFU PCR test F4</t>
  </si>
  <si>
    <t>LTFU PCR test DC</t>
  </si>
  <si>
    <t>LTFU PCR test HCC</t>
  </si>
  <si>
    <t>On treatment 1 F0</t>
  </si>
  <si>
    <t>On treatment 1 F1</t>
  </si>
  <si>
    <t>On treatment 1 F2</t>
  </si>
  <si>
    <t>On treatment 1 F3</t>
  </si>
  <si>
    <t>On treatment 1 F4</t>
  </si>
  <si>
    <t>On treatment 1 DC</t>
  </si>
  <si>
    <t>On treatment 1 HCC</t>
  </si>
  <si>
    <t>On treatment 2 F0</t>
  </si>
  <si>
    <t>On treatment 2 F1</t>
  </si>
  <si>
    <t>On treatment 2 F2</t>
  </si>
  <si>
    <t>On treatment 2 F3</t>
  </si>
  <si>
    <t>On treatment 2 F4</t>
  </si>
  <si>
    <t>On treatment 2 DC</t>
  </si>
  <si>
    <t>On treatment 2 HCC</t>
  </si>
  <si>
    <t>Undiagnosed, lost to care f0</t>
  </si>
  <si>
    <t>Undiagnosed, lost to care f1</t>
  </si>
  <si>
    <t>Undiagnosed, lost to care f2</t>
  </si>
  <si>
    <t>Undiagnosed, lost to care f3</t>
  </si>
  <si>
    <t>Undiagnosed, lost to care f4</t>
  </si>
  <si>
    <t>Undiagnosed, lost to care dc</t>
  </si>
  <si>
    <t>Undiagnosed, lost to care hcc</t>
  </si>
  <si>
    <t>Multiplier for progression rates (intermediate step for calibration)</t>
  </si>
  <si>
    <t>Multiplier for death rates (intermediate step for calibration)</t>
  </si>
  <si>
    <t>Testing rate multiplier non-PWID (intermediate calculation/calibration step)</t>
  </si>
  <si>
    <t>Separate test multiplier for PWID and Prisoners (no need to calibrate it)</t>
  </si>
  <si>
    <t>Number of treatments per population group (intermediate calculation step)</t>
  </si>
  <si>
    <t>Prevalence (intermediate calibration step)</t>
  </si>
  <si>
    <t>Vaccine: vaccination uptake</t>
  </si>
  <si>
    <t>Probability (per year)</t>
  </si>
  <si>
    <t>Vaccine: duration for waning effectiveness</t>
  </si>
  <si>
    <t>Vaccine: proportion of initial HCV infections spontaneously clearing</t>
  </si>
  <si>
    <t>Vaccine: proportion of HCV infections spontaneously clearing</t>
  </si>
  <si>
    <t>Vaccine: duration for spontaneous viral clearance</t>
  </si>
  <si>
    <t>Vaccine: FOI multiplier for PWID</t>
  </si>
  <si>
    <t>Vaccine: FOI multiplier for gPop</t>
  </si>
  <si>
    <t>idu</t>
  </si>
  <si>
    <t>Injecting Drug Use Transmission</t>
  </si>
  <si>
    <t>From population type</t>
  </si>
  <si>
    <t>To population type</t>
  </si>
  <si>
    <t>Y</t>
  </si>
  <si>
    <t>N</t>
  </si>
  <si>
    <t>From population</t>
  </si>
  <si>
    <t>To population</t>
  </si>
  <si>
    <t>Interactions!$B$5</t>
  </si>
  <si>
    <t>Interactions!$C$5</t>
  </si>
  <si>
    <t>Interactions!$D$5</t>
  </si>
  <si>
    <t>Interactions!$E$5</t>
  </si>
  <si>
    <t>Interactions!$F$5</t>
  </si>
  <si>
    <t>Interactions!$G$5</t>
  </si>
  <si>
    <t>Interactions!$H$5</t>
  </si>
  <si>
    <t>Interactions!$I$5</t>
  </si>
  <si>
    <t>Interactions!$J$5</t>
  </si>
  <si>
    <t>Interactions!$K$5</t>
  </si>
  <si>
    <t>Interactions!$L$5</t>
  </si>
  <si>
    <t>Interactions!$M$5</t>
  </si>
  <si>
    <t>Interactions!$N$5</t>
  </si>
  <si>
    <t>Interactions!$O$5</t>
  </si>
  <si>
    <t>Interactions!$B$6</t>
  </si>
  <si>
    <t>Interactions!$C$6</t>
  </si>
  <si>
    <t>Interactions!$D$6</t>
  </si>
  <si>
    <t>Interactions!$E$6</t>
  </si>
  <si>
    <t>Interactions!$F$6</t>
  </si>
  <si>
    <t>Interactions!$G$6</t>
  </si>
  <si>
    <t>Interactions!$H$6</t>
  </si>
  <si>
    <t>Interactions!$I$6</t>
  </si>
  <si>
    <t>Interactions!$J$6</t>
  </si>
  <si>
    <t>Interactions!$K$6</t>
  </si>
  <si>
    <t>Interactions!$L$6</t>
  </si>
  <si>
    <t>Interactions!$M$6</t>
  </si>
  <si>
    <t>Interactions!$N$6</t>
  </si>
  <si>
    <t>Interactions!$O$6</t>
  </si>
  <si>
    <t>Interactions!$B$7</t>
  </si>
  <si>
    <t>Interactions!$C$7</t>
  </si>
  <si>
    <t>Interactions!$D$7</t>
  </si>
  <si>
    <t>Interactions!$E$7</t>
  </si>
  <si>
    <t>Interactions!$F$7</t>
  </si>
  <si>
    <t>Interactions!$G$7</t>
  </si>
  <si>
    <t>Interactions!$H$7</t>
  </si>
  <si>
    <t>Interactions!$I$7</t>
  </si>
  <si>
    <t>Interactions!$J$7</t>
  </si>
  <si>
    <t>Interactions!$K$7</t>
  </si>
  <si>
    <t>Interactions!$L$7</t>
  </si>
  <si>
    <t>Interactions!$M$7</t>
  </si>
  <si>
    <t>Interactions!$N$7</t>
  </si>
  <si>
    <t>Interactions!$O$7</t>
  </si>
  <si>
    <t>Interactions!$B$8</t>
  </si>
  <si>
    <t>Interactions!$C$8</t>
  </si>
  <si>
    <t>Interactions!$D$8</t>
  </si>
  <si>
    <t>Interactions!$E$8</t>
  </si>
  <si>
    <t>Interactions!$F$8</t>
  </si>
  <si>
    <t>Interactions!$G$8</t>
  </si>
  <si>
    <t>Interactions!$H$8</t>
  </si>
  <si>
    <t>Interactions!$I$8</t>
  </si>
  <si>
    <t>Interactions!$J$8</t>
  </si>
  <si>
    <t>Interactions!$K$8</t>
  </si>
  <si>
    <t>Interactions!$L$8</t>
  </si>
  <si>
    <t>Interactions!$M$8</t>
  </si>
  <si>
    <t>Interactions!$N$8</t>
  </si>
  <si>
    <t>Interactions!$O$8</t>
  </si>
  <si>
    <t>Interactions!$B$9</t>
  </si>
  <si>
    <t>Interactions!$C$9</t>
  </si>
  <si>
    <t>Interactions!$D$9</t>
  </si>
  <si>
    <t>Interactions!$E$9</t>
  </si>
  <si>
    <t>Interactions!$F$9</t>
  </si>
  <si>
    <t>Interactions!$G$9</t>
  </si>
  <si>
    <t>Interactions!$H$9</t>
  </si>
  <si>
    <t>Interactions!$I$9</t>
  </si>
  <si>
    <t>Interactions!$J$9</t>
  </si>
  <si>
    <t>Interactions!$K$9</t>
  </si>
  <si>
    <t>Interactions!$L$9</t>
  </si>
  <si>
    <t>Interactions!$M$9</t>
  </si>
  <si>
    <t>Interactions!$N$9</t>
  </si>
  <si>
    <t>Interactions!$O$9</t>
  </si>
  <si>
    <t>Interactions!$B$10</t>
  </si>
  <si>
    <t>Interactions!$C$10</t>
  </si>
  <si>
    <t>Interactions!$D$10</t>
  </si>
  <si>
    <t>Interactions!$E$10</t>
  </si>
  <si>
    <t>Interactions!$F$10</t>
  </si>
  <si>
    <t>Interactions!$G$10</t>
  </si>
  <si>
    <t>Interactions!$H$10</t>
  </si>
  <si>
    <t>Interactions!$I$10</t>
  </si>
  <si>
    <t>Interactions!$J$10</t>
  </si>
  <si>
    <t>Interactions!$K$10</t>
  </si>
  <si>
    <t>Interactions!$L$10</t>
  </si>
  <si>
    <t>Interactions!$M$10</t>
  </si>
  <si>
    <t>Interactions!$N$10</t>
  </si>
  <si>
    <t>Interactions!$O$10</t>
  </si>
  <si>
    <t>Interactions!$B$11</t>
  </si>
  <si>
    <t>Interactions!$C$11</t>
  </si>
  <si>
    <t>Interactions!$D$11</t>
  </si>
  <si>
    <t>Interactions!$E$11</t>
  </si>
  <si>
    <t>Interactions!$F$11</t>
  </si>
  <si>
    <t>Interactions!$G$11</t>
  </si>
  <si>
    <t>Interactions!$H$11</t>
  </si>
  <si>
    <t>Interactions!$I$11</t>
  </si>
  <si>
    <t>Interactions!$J$11</t>
  </si>
  <si>
    <t>Interactions!$K$11</t>
  </si>
  <si>
    <t>Interactions!$L$11</t>
  </si>
  <si>
    <t>Interactions!$M$11</t>
  </si>
  <si>
    <t>Interactions!$N$11</t>
  </si>
  <si>
    <t>Interactions!$O$11</t>
  </si>
  <si>
    <t>Interactions!$B$12</t>
  </si>
  <si>
    <t>Interactions!$C$12</t>
  </si>
  <si>
    <t>Interactions!$D$12</t>
  </si>
  <si>
    <t>Interactions!$E$12</t>
  </si>
  <si>
    <t>Interactions!$F$12</t>
  </si>
  <si>
    <t>Interactions!$G$12</t>
  </si>
  <si>
    <t>Interactions!$H$12</t>
  </si>
  <si>
    <t>Interactions!$I$12</t>
  </si>
  <si>
    <t>Interactions!$J$12</t>
  </si>
  <si>
    <t>Interactions!$K$12</t>
  </si>
  <si>
    <t>Interactions!$L$12</t>
  </si>
  <si>
    <t>Interactions!$M$12</t>
  </si>
  <si>
    <t>Interactions!$N$12</t>
  </si>
  <si>
    <t>Interactions!$O$12</t>
  </si>
  <si>
    <t>Interactions!$B$13</t>
  </si>
  <si>
    <t>Interactions!$C$13</t>
  </si>
  <si>
    <t>Interactions!$D$13</t>
  </si>
  <si>
    <t>Interactions!$E$13</t>
  </si>
  <si>
    <t>Interactions!$F$13</t>
  </si>
  <si>
    <t>Interactions!$G$13</t>
  </si>
  <si>
    <t>Interactions!$H$13</t>
  </si>
  <si>
    <t>Interactions!$I$13</t>
  </si>
  <si>
    <t>Interactions!$J$13</t>
  </si>
  <si>
    <t>Interactions!$K$13</t>
  </si>
  <si>
    <t>Interactions!$L$13</t>
  </si>
  <si>
    <t>Interactions!$M$13</t>
  </si>
  <si>
    <t>Interactions!$N$13</t>
  </si>
  <si>
    <t>Interactions!$O$13</t>
  </si>
  <si>
    <t>Interactions!$B$14</t>
  </si>
  <si>
    <t>Interactions!$C$14</t>
  </si>
  <si>
    <t>Interactions!$D$14</t>
  </si>
  <si>
    <t>Interactions!$E$14</t>
  </si>
  <si>
    <t>Interactions!$F$14</t>
  </si>
  <si>
    <t>Interactions!$G$14</t>
  </si>
  <si>
    <t>Interactions!$H$14</t>
  </si>
  <si>
    <t>Interactions!$I$14</t>
  </si>
  <si>
    <t>Interactions!$J$14</t>
  </si>
  <si>
    <t>Interactions!$K$14</t>
  </si>
  <si>
    <t>Interactions!$L$14</t>
  </si>
  <si>
    <t>Interactions!$M$14</t>
  </si>
  <si>
    <t>Interactions!$N$14</t>
  </si>
  <si>
    <t>Interactions!$O$14</t>
  </si>
  <si>
    <t>Interactions!$B$15</t>
  </si>
  <si>
    <t>Interactions!$C$15</t>
  </si>
  <si>
    <t>Interactions!$D$15</t>
  </si>
  <si>
    <t>Interactions!$E$15</t>
  </si>
  <si>
    <t>Interactions!$F$15</t>
  </si>
  <si>
    <t>Interactions!$G$15</t>
  </si>
  <si>
    <t>Interactions!$H$15</t>
  </si>
  <si>
    <t>Interactions!$I$15</t>
  </si>
  <si>
    <t>Interactions!$J$15</t>
  </si>
  <si>
    <t>Interactions!$K$15</t>
  </si>
  <si>
    <t>Interactions!$L$15</t>
  </si>
  <si>
    <t>Interactions!$M$15</t>
  </si>
  <si>
    <t>Interactions!$N$15</t>
  </si>
  <si>
    <t>Interactions!$O$15</t>
  </si>
  <si>
    <t>Interactions!$B$16</t>
  </si>
  <si>
    <t>Interactions!$C$16</t>
  </si>
  <si>
    <t>Interactions!$D$16</t>
  </si>
  <si>
    <t>Interactions!$E$16</t>
  </si>
  <si>
    <t>Interactions!$F$16</t>
  </si>
  <si>
    <t>Interactions!$G$16</t>
  </si>
  <si>
    <t>Interactions!$H$16</t>
  </si>
  <si>
    <t>Interactions!$I$16</t>
  </si>
  <si>
    <t>Interactions!$J$16</t>
  </si>
  <si>
    <t>Interactions!$K$16</t>
  </si>
  <si>
    <t>Interactions!$L$16</t>
  </si>
  <si>
    <t>Interactions!$M$16</t>
  </si>
  <si>
    <t>Interactions!$N$16</t>
  </si>
  <si>
    <t>Interactions!$O$16</t>
  </si>
  <si>
    <t>Interactions!$B$17</t>
  </si>
  <si>
    <t>Interactions!$C$17</t>
  </si>
  <si>
    <t>Interactions!$D$17</t>
  </si>
  <si>
    <t>Interactions!$E$17</t>
  </si>
  <si>
    <t>Interactions!$F$17</t>
  </si>
  <si>
    <t>Interactions!$G$17</t>
  </si>
  <si>
    <t>Interactions!$H$17</t>
  </si>
  <si>
    <t>Interactions!$I$17</t>
  </si>
  <si>
    <t>Interactions!$J$17</t>
  </si>
  <si>
    <t>Interactions!$K$17</t>
  </si>
  <si>
    <t>Interactions!$L$17</t>
  </si>
  <si>
    <t>Interactions!$M$17</t>
  </si>
  <si>
    <t>Interactions!$N$17</t>
  </si>
  <si>
    <t>Interactions!$O$17</t>
  </si>
  <si>
    <t>Interactions!$B$18</t>
  </si>
  <si>
    <t>Interactions!$C$18</t>
  </si>
  <si>
    <t>Interactions!$D$18</t>
  </si>
  <si>
    <t>Interactions!$E$18</t>
  </si>
  <si>
    <t>Interactions!$F$18</t>
  </si>
  <si>
    <t>Interactions!$G$18</t>
  </si>
  <si>
    <t>Interactions!$H$18</t>
  </si>
  <si>
    <t>Interactions!$I$18</t>
  </si>
  <si>
    <t>Interactions!$J$18</t>
  </si>
  <si>
    <t>Interactions!$K$18</t>
  </si>
  <si>
    <t>Interactions!$L$18</t>
  </si>
  <si>
    <t>Interactions!$M$18</t>
  </si>
  <si>
    <t>Interactions!$N$18</t>
  </si>
  <si>
    <t>Interactions!$O$18</t>
  </si>
  <si>
    <t>other</t>
  </si>
  <si>
    <t>Other sources of transmission</t>
  </si>
  <si>
    <t>Interactions!$B$222</t>
  </si>
  <si>
    <t>Interactions!$C$222</t>
  </si>
  <si>
    <t>Interactions!$D$222</t>
  </si>
  <si>
    <t>Interactions!$E$222</t>
  </si>
  <si>
    <t>Interactions!$F$222</t>
  </si>
  <si>
    <t>Interactions!$G$222</t>
  </si>
  <si>
    <t>Interactions!$H$222</t>
  </si>
  <si>
    <t>Interactions!$I$222</t>
  </si>
  <si>
    <t>Interactions!$J$222</t>
  </si>
  <si>
    <t>Interactions!$K$222</t>
  </si>
  <si>
    <t>Interactions!$L$222</t>
  </si>
  <si>
    <t>Interactions!$M$222</t>
  </si>
  <si>
    <t>Interactions!$N$222</t>
  </si>
  <si>
    <t>Interactions!$O$222</t>
  </si>
  <si>
    <t>Interactions!$B$223</t>
  </si>
  <si>
    <t>Interactions!$C$223</t>
  </si>
  <si>
    <t>Interactions!$D$223</t>
  </si>
  <si>
    <t>Interactions!$E$223</t>
  </si>
  <si>
    <t>Interactions!$F$223</t>
  </si>
  <si>
    <t>Interactions!$G$223</t>
  </si>
  <si>
    <t>Interactions!$H$223</t>
  </si>
  <si>
    <t>Interactions!$I$223</t>
  </si>
  <si>
    <t>Interactions!$J$223</t>
  </si>
  <si>
    <t>Interactions!$K$223</t>
  </si>
  <si>
    <t>Interactions!$L$223</t>
  </si>
  <si>
    <t>Interactions!$M$223</t>
  </si>
  <si>
    <t>Interactions!$N$223</t>
  </si>
  <si>
    <t>Interactions!$O$223</t>
  </si>
  <si>
    <t>Interactions!$B$224</t>
  </si>
  <si>
    <t>Interactions!$C$224</t>
  </si>
  <si>
    <t>Interactions!$D$224</t>
  </si>
  <si>
    <t>Interactions!$E$224</t>
  </si>
  <si>
    <t>Interactions!$F$224</t>
  </si>
  <si>
    <t>Interactions!$G$224</t>
  </si>
  <si>
    <t>Interactions!$H$224</t>
  </si>
  <si>
    <t>Interactions!$I$224</t>
  </si>
  <si>
    <t>Interactions!$J$224</t>
  </si>
  <si>
    <t>Interactions!$K$224</t>
  </si>
  <si>
    <t>Interactions!$L$224</t>
  </si>
  <si>
    <t>Interactions!$M$224</t>
  </si>
  <si>
    <t>Interactions!$N$224</t>
  </si>
  <si>
    <t>Interactions!$O$224</t>
  </si>
  <si>
    <t>Interactions!$B$225</t>
  </si>
  <si>
    <t>Interactions!$C$225</t>
  </si>
  <si>
    <t>Interactions!$D$225</t>
  </si>
  <si>
    <t>Interactions!$E$225</t>
  </si>
  <si>
    <t>Interactions!$F$225</t>
  </si>
  <si>
    <t>Interactions!$G$225</t>
  </si>
  <si>
    <t>Interactions!$H$225</t>
  </si>
  <si>
    <t>Interactions!$I$225</t>
  </si>
  <si>
    <t>Interactions!$J$225</t>
  </si>
  <si>
    <t>Interactions!$K$225</t>
  </si>
  <si>
    <t>Interactions!$L$225</t>
  </si>
  <si>
    <t>Interactions!$M$225</t>
  </si>
  <si>
    <t>Interactions!$N$225</t>
  </si>
  <si>
    <t>Interactions!$O$225</t>
  </si>
  <si>
    <t>Interactions!$B$226</t>
  </si>
  <si>
    <t>Interactions!$C$226</t>
  </si>
  <si>
    <t>Interactions!$D$226</t>
  </si>
  <si>
    <t>Interactions!$E$226</t>
  </si>
  <si>
    <t>Interactions!$F$226</t>
  </si>
  <si>
    <t>Interactions!$G$226</t>
  </si>
  <si>
    <t>Interactions!$H$226</t>
  </si>
  <si>
    <t>Interactions!$I$226</t>
  </si>
  <si>
    <t>Interactions!$J$226</t>
  </si>
  <si>
    <t>Interactions!$K$226</t>
  </si>
  <si>
    <t>Interactions!$L$226</t>
  </si>
  <si>
    <t>Interactions!$M$226</t>
  </si>
  <si>
    <t>Interactions!$N$226</t>
  </si>
  <si>
    <t>Interactions!$O$226</t>
  </si>
  <si>
    <t>Interactions!$B$227</t>
  </si>
  <si>
    <t>Interactions!$C$227</t>
  </si>
  <si>
    <t>Interactions!$D$227</t>
  </si>
  <si>
    <t>Interactions!$E$227</t>
  </si>
  <si>
    <t>Interactions!$F$227</t>
  </si>
  <si>
    <t>Interactions!$G$227</t>
  </si>
  <si>
    <t>Interactions!$H$227</t>
  </si>
  <si>
    <t>Interactions!$I$227</t>
  </si>
  <si>
    <t>Interactions!$J$227</t>
  </si>
  <si>
    <t>Interactions!$K$227</t>
  </si>
  <si>
    <t>Interactions!$L$227</t>
  </si>
  <si>
    <t>Interactions!$M$227</t>
  </si>
  <si>
    <t>Interactions!$N$227</t>
  </si>
  <si>
    <t>Interactions!$O$227</t>
  </si>
  <si>
    <t>Interactions!$B$228</t>
  </si>
  <si>
    <t>Interactions!$C$228</t>
  </si>
  <si>
    <t>Interactions!$D$228</t>
  </si>
  <si>
    <t>Interactions!$E$228</t>
  </si>
  <si>
    <t>Interactions!$F$228</t>
  </si>
  <si>
    <t>Interactions!$G$228</t>
  </si>
  <si>
    <t>Interactions!$H$228</t>
  </si>
  <si>
    <t>Interactions!$I$228</t>
  </si>
  <si>
    <t>Interactions!$J$228</t>
  </si>
  <si>
    <t>Interactions!$K$228</t>
  </si>
  <si>
    <t>Interactions!$L$228</t>
  </si>
  <si>
    <t>Interactions!$M$228</t>
  </si>
  <si>
    <t>Interactions!$N$228</t>
  </si>
  <si>
    <t>Interactions!$O$228</t>
  </si>
  <si>
    <t>Interactions!$B$229</t>
  </si>
  <si>
    <t>Interactions!$C$229</t>
  </si>
  <si>
    <t>Interactions!$D$229</t>
  </si>
  <si>
    <t>Interactions!$E$229</t>
  </si>
  <si>
    <t>Interactions!$F$229</t>
  </si>
  <si>
    <t>Interactions!$G$229</t>
  </si>
  <si>
    <t>Interactions!$H$229</t>
  </si>
  <si>
    <t>Interactions!$I$229</t>
  </si>
  <si>
    <t>Interactions!$J$229</t>
  </si>
  <si>
    <t>Interactions!$K$229</t>
  </si>
  <si>
    <t>Interactions!$L$229</t>
  </si>
  <si>
    <t>Interactions!$M$229</t>
  </si>
  <si>
    <t>Interactions!$N$229</t>
  </si>
  <si>
    <t>Interactions!$O$229</t>
  </si>
  <si>
    <t>Interactions!$B$230</t>
  </si>
  <si>
    <t>Interactions!$C$230</t>
  </si>
  <si>
    <t>Interactions!$D$230</t>
  </si>
  <si>
    <t>Interactions!$E$230</t>
  </si>
  <si>
    <t>Interactions!$F$230</t>
  </si>
  <si>
    <t>Interactions!$G$230</t>
  </si>
  <si>
    <t>Interactions!$H$230</t>
  </si>
  <si>
    <t>Interactions!$I$230</t>
  </si>
  <si>
    <t>Interactions!$J$230</t>
  </si>
  <si>
    <t>Interactions!$K$230</t>
  </si>
  <si>
    <t>Interactions!$L$230</t>
  </si>
  <si>
    <t>Interactions!$M$230</t>
  </si>
  <si>
    <t>Interactions!$N$230</t>
  </si>
  <si>
    <t>Interactions!$O$230</t>
  </si>
  <si>
    <t>Interactions!$B$231</t>
  </si>
  <si>
    <t>Interactions!$C$231</t>
  </si>
  <si>
    <t>Interactions!$D$231</t>
  </si>
  <si>
    <t>Interactions!$E$231</t>
  </si>
  <si>
    <t>Interactions!$F$231</t>
  </si>
  <si>
    <t>Interactions!$G$231</t>
  </si>
  <si>
    <t>Interactions!$H$231</t>
  </si>
  <si>
    <t>Interactions!$I$231</t>
  </si>
  <si>
    <t>Interactions!$J$231</t>
  </si>
  <si>
    <t>Interactions!$K$231</t>
  </si>
  <si>
    <t>Interactions!$L$231</t>
  </si>
  <si>
    <t>Interactions!$M$231</t>
  </si>
  <si>
    <t>Interactions!$N$231</t>
  </si>
  <si>
    <t>Interactions!$O$231</t>
  </si>
  <si>
    <t>Interactions!$B$232</t>
  </si>
  <si>
    <t>Interactions!$C$232</t>
  </si>
  <si>
    <t>Interactions!$D$232</t>
  </si>
  <si>
    <t>Interactions!$E$232</t>
  </si>
  <si>
    <t>Interactions!$F$232</t>
  </si>
  <si>
    <t>Interactions!$G$232</t>
  </si>
  <si>
    <t>Interactions!$H$232</t>
  </si>
  <si>
    <t>Interactions!$I$232</t>
  </si>
  <si>
    <t>Interactions!$J$232</t>
  </si>
  <si>
    <t>Interactions!$K$232</t>
  </si>
  <si>
    <t>Interactions!$L$232</t>
  </si>
  <si>
    <t>Interactions!$M$232</t>
  </si>
  <si>
    <t>Interactions!$N$232</t>
  </si>
  <si>
    <t>Interactions!$O$232</t>
  </si>
  <si>
    <t>Interactions!$B$233</t>
  </si>
  <si>
    <t>Interactions!$C$233</t>
  </si>
  <si>
    <t>Interactions!$D$233</t>
  </si>
  <si>
    <t>Interactions!$E$233</t>
  </si>
  <si>
    <t>Interactions!$F$233</t>
  </si>
  <si>
    <t>Interactions!$G$233</t>
  </si>
  <si>
    <t>Interactions!$H$233</t>
  </si>
  <si>
    <t>Interactions!$I$233</t>
  </si>
  <si>
    <t>Interactions!$J$233</t>
  </si>
  <si>
    <t>Interactions!$K$233</t>
  </si>
  <si>
    <t>Interactions!$L$233</t>
  </si>
  <si>
    <t>Interactions!$M$233</t>
  </si>
  <si>
    <t>Interactions!$N$233</t>
  </si>
  <si>
    <t>Interactions!$O$233</t>
  </si>
  <si>
    <t>Interactions!$B$234</t>
  </si>
  <si>
    <t>Interactions!$C$234</t>
  </si>
  <si>
    <t>Interactions!$D$234</t>
  </si>
  <si>
    <t>Interactions!$E$234</t>
  </si>
  <si>
    <t>Interactions!$F$234</t>
  </si>
  <si>
    <t>Interactions!$G$234</t>
  </si>
  <si>
    <t>Interactions!$H$234</t>
  </si>
  <si>
    <t>Interactions!$I$234</t>
  </si>
  <si>
    <t>Interactions!$J$234</t>
  </si>
  <si>
    <t>Interactions!$K$234</t>
  </si>
  <si>
    <t>Interactions!$L$234</t>
  </si>
  <si>
    <t>Interactions!$M$234</t>
  </si>
  <si>
    <t>Interactions!$N$234</t>
  </si>
  <si>
    <t>Interactions!$O$234</t>
  </si>
  <si>
    <t>Interactions!$B$235</t>
  </si>
  <si>
    <t>Interactions!$C$235</t>
  </si>
  <si>
    <t>Interactions!$D$235</t>
  </si>
  <si>
    <t>Interactions!$E$235</t>
  </si>
  <si>
    <t>Interactions!$F$235</t>
  </si>
  <si>
    <t>Interactions!$G$235</t>
  </si>
  <si>
    <t>Interactions!$H$235</t>
  </si>
  <si>
    <t>Interactions!$I$235</t>
  </si>
  <si>
    <t>Interactions!$J$235</t>
  </si>
  <si>
    <t>Interactions!$K$235</t>
  </si>
  <si>
    <t>Interactions!$L$235</t>
  </si>
  <si>
    <t>Interactions!$M$235</t>
  </si>
  <si>
    <t>Interactions!$N$235</t>
  </si>
  <si>
    <t>Interactions!$O$235</t>
  </si>
  <si>
    <t>age</t>
  </si>
  <si>
    <t>Aging</t>
  </si>
  <si>
    <t>Transfers!$C$5</t>
  </si>
  <si>
    <t>Transfers!$D$5</t>
  </si>
  <si>
    <t>Transfers!$E$5</t>
  </si>
  <si>
    <t>Transfers!$F$5</t>
  </si>
  <si>
    <t>Transfers!$G$5</t>
  </si>
  <si>
    <t>Transfers!$H$5</t>
  </si>
  <si>
    <t>Transfers!$I$5</t>
  </si>
  <si>
    <t>Transfers!$J$5</t>
  </si>
  <si>
    <t>Transfers!$K$5</t>
  </si>
  <si>
    <t>Transfers!$L$5</t>
  </si>
  <si>
    <t>Transfers!$M$5</t>
  </si>
  <si>
    <t>Transfers!$N$5</t>
  </si>
  <si>
    <t>Transfers!$O$5</t>
  </si>
  <si>
    <t>Transfers!$B$6</t>
  </si>
  <si>
    <t>Transfers!$D$6</t>
  </si>
  <si>
    <t>Transfers!$E$6</t>
  </si>
  <si>
    <t>Transfers!$F$6</t>
  </si>
  <si>
    <t>Transfers!$G$6</t>
  </si>
  <si>
    <t>Transfers!$H$6</t>
  </si>
  <si>
    <t>Transfers!$I$6</t>
  </si>
  <si>
    <t>Transfers!$J$6</t>
  </si>
  <si>
    <t>Transfers!$K$6</t>
  </si>
  <si>
    <t>Transfers!$L$6</t>
  </si>
  <si>
    <t>Transfers!$M$6</t>
  </si>
  <si>
    <t>Transfers!$N$6</t>
  </si>
  <si>
    <t>Transfers!$O$6</t>
  </si>
  <si>
    <t>Transfers!$B$7</t>
  </si>
  <si>
    <t>Transfers!$C$7</t>
  </si>
  <si>
    <t>Transfers!$E$7</t>
  </si>
  <si>
    <t>Transfers!$F$7</t>
  </si>
  <si>
    <t>Number (years)</t>
  </si>
  <si>
    <t>Transfers!$G$7</t>
  </si>
  <si>
    <t>Transfers!$H$7</t>
  </si>
  <si>
    <t>Transfers!$I$7</t>
  </si>
  <si>
    <t>Transfers!$J$7</t>
  </si>
  <si>
    <t>Transfers!$K$7</t>
  </si>
  <si>
    <t>Transfers!$L$7</t>
  </si>
  <si>
    <t>Transfers!$M$7</t>
  </si>
  <si>
    <t>Transfers!$N$7</t>
  </si>
  <si>
    <t>Transfers!$O$7</t>
  </si>
  <si>
    <t>Transfers!$B$8</t>
  </si>
  <si>
    <t>Transfers!$C$8</t>
  </si>
  <si>
    <t>Transfers!$D$8</t>
  </si>
  <si>
    <t>Transfers!$F$8</t>
  </si>
  <si>
    <t>Transfers!$G$8</t>
  </si>
  <si>
    <t>Transfers!$H$8</t>
  </si>
  <si>
    <t>Transfers!$I$8</t>
  </si>
  <si>
    <t>Transfers!$J$8</t>
  </si>
  <si>
    <t>Transfers!$K$8</t>
  </si>
  <si>
    <t>Transfers!$L$8</t>
  </si>
  <si>
    <t>Transfers!$M$8</t>
  </si>
  <si>
    <t>Transfers!$N$8</t>
  </si>
  <si>
    <t>Transfers!$O$8</t>
  </si>
  <si>
    <t>Transfers!$B$9</t>
  </si>
  <si>
    <t>Transfers!$C$9</t>
  </si>
  <si>
    <t>Transfers!$D$9</t>
  </si>
  <si>
    <t>Transfers!$E$9</t>
  </si>
  <si>
    <t>Transfers!$G$9</t>
  </si>
  <si>
    <t>Transfers!$H$9</t>
  </si>
  <si>
    <t>Transfers!$I$9</t>
  </si>
  <si>
    <t>Transfers!$J$9</t>
  </si>
  <si>
    <t>Transfers!$K$9</t>
  </si>
  <si>
    <t>Transfers!$L$9</t>
  </si>
  <si>
    <t>Transfers!$M$9</t>
  </si>
  <si>
    <t>Transfers!$N$9</t>
  </si>
  <si>
    <t>Transfers!$O$9</t>
  </si>
  <si>
    <t>Transfers!$B$10</t>
  </si>
  <si>
    <t>Transfers!$C$10</t>
  </si>
  <si>
    <t>Transfers!$D$10</t>
  </si>
  <si>
    <t>Transfers!$E$10</t>
  </si>
  <si>
    <t>Transfers!$F$10</t>
  </si>
  <si>
    <t>Transfers!$H$10</t>
  </si>
  <si>
    <t>Transfers!$I$10</t>
  </si>
  <si>
    <t>Transfers!$J$10</t>
  </si>
  <si>
    <t>Transfers!$K$10</t>
  </si>
  <si>
    <t>Transfers!$L$10</t>
  </si>
  <si>
    <t>Transfers!$M$10</t>
  </si>
  <si>
    <t>Transfers!$N$10</t>
  </si>
  <si>
    <t>Transfers!$O$10</t>
  </si>
  <si>
    <t>Transfers!$B$11</t>
  </si>
  <si>
    <t>Transfers!$C$11</t>
  </si>
  <si>
    <t>Transfers!$D$11</t>
  </si>
  <si>
    <t>Transfers!$E$11</t>
  </si>
  <si>
    <t>Transfers!$F$11</t>
  </si>
  <si>
    <t>Transfers!$G$11</t>
  </si>
  <si>
    <t>Transfers!$I$11</t>
  </si>
  <si>
    <t>Transfers!$J$11</t>
  </si>
  <si>
    <t>Transfers!$K$11</t>
  </si>
  <si>
    <t>Transfers!$L$11</t>
  </si>
  <si>
    <t>Transfers!$M$11</t>
  </si>
  <si>
    <t>Transfers!$N$11</t>
  </si>
  <si>
    <t>Transfers!$O$11</t>
  </si>
  <si>
    <t>Transfers!$B$12</t>
  </si>
  <si>
    <t>Transfers!$C$12</t>
  </si>
  <si>
    <t>Transfers!$D$12</t>
  </si>
  <si>
    <t>Transfers!$E$12</t>
  </si>
  <si>
    <t>Transfers!$F$12</t>
  </si>
  <si>
    <t>Transfers!$G$12</t>
  </si>
  <si>
    <t>Transfers!$H$12</t>
  </si>
  <si>
    <t>Transfers!$J$12</t>
  </si>
  <si>
    <t>Transfers!$K$12</t>
  </si>
  <si>
    <t>Transfers!$L$12</t>
  </si>
  <si>
    <t>Transfers!$M$12</t>
  </si>
  <si>
    <t>Transfers!$N$12</t>
  </si>
  <si>
    <t>Transfers!$O$12</t>
  </si>
  <si>
    <t>Transfers!$B$13</t>
  </si>
  <si>
    <t>Transfers!$C$13</t>
  </si>
  <si>
    <t>Transfers!$D$13</t>
  </si>
  <si>
    <t>Transfers!$E$13</t>
  </si>
  <si>
    <t>Transfers!$F$13</t>
  </si>
  <si>
    <t>Transfers!$G$13</t>
  </si>
  <si>
    <t>Transfers!$H$13</t>
  </si>
  <si>
    <t>Transfers!$I$13</t>
  </si>
  <si>
    <t>Transfers!$K$13</t>
  </si>
  <si>
    <t>Transfers!$L$13</t>
  </si>
  <si>
    <t>Transfers!$M$13</t>
  </si>
  <si>
    <t>Transfers!$N$13</t>
  </si>
  <si>
    <t>Transfers!$O$13</t>
  </si>
  <si>
    <t>Transfers!$B$14</t>
  </si>
  <si>
    <t>Transfers!$C$14</t>
  </si>
  <si>
    <t>Transfers!$D$14</t>
  </si>
  <si>
    <t>Transfers!$E$14</t>
  </si>
  <si>
    <t>Transfers!$F$14</t>
  </si>
  <si>
    <t>Transfers!$G$14</t>
  </si>
  <si>
    <t>Transfers!$H$14</t>
  </si>
  <si>
    <t>Transfers!$I$14</t>
  </si>
  <si>
    <t>Transfers!$J$14</t>
  </si>
  <si>
    <t>Transfers!$L$14</t>
  </si>
  <si>
    <t>Transfers!$M$14</t>
  </si>
  <si>
    <t>Transfers!$N$14</t>
  </si>
  <si>
    <t>Transfers!$O$14</t>
  </si>
  <si>
    <t>Transfers!$B$15</t>
  </si>
  <si>
    <t>Transfers!$C$15</t>
  </si>
  <si>
    <t>Transfers!$D$15</t>
  </si>
  <si>
    <t>Transfers!$E$15</t>
  </si>
  <si>
    <t>Transfers!$F$15</t>
  </si>
  <si>
    <t>Transfers!$G$15</t>
  </si>
  <si>
    <t>Transfers!$H$15</t>
  </si>
  <si>
    <t>Transfers!$I$15</t>
  </si>
  <si>
    <t>Transfers!$J$15</t>
  </si>
  <si>
    <t>Transfers!$K$15</t>
  </si>
  <si>
    <t>Transfers!$M$15</t>
  </si>
  <si>
    <t>Transfers!$N$15</t>
  </si>
  <si>
    <t>Transfers!$O$15</t>
  </si>
  <si>
    <t>Transfers!$B$16</t>
  </si>
  <si>
    <t>Transfers!$C$16</t>
  </si>
  <si>
    <t>Transfers!$D$16</t>
  </si>
  <si>
    <t>Transfers!$E$16</t>
  </si>
  <si>
    <t>Transfers!$F$16</t>
  </si>
  <si>
    <t>Transfers!$G$16</t>
  </si>
  <si>
    <t>Transfers!$H$16</t>
  </si>
  <si>
    <t>Transfers!$I$16</t>
  </si>
  <si>
    <t>Transfers!$J$16</t>
  </si>
  <si>
    <t>Transfers!$K$16</t>
  </si>
  <si>
    <t>Transfers!$L$16</t>
  </si>
  <si>
    <t>Transfers!$N$16</t>
  </si>
  <si>
    <t>Transfers!$O$16</t>
  </si>
  <si>
    <t>Transfers!$B$17</t>
  </si>
  <si>
    <t>Transfers!$C$17</t>
  </si>
  <si>
    <t>Transfers!$D$17</t>
  </si>
  <si>
    <t>Transfers!$E$17</t>
  </si>
  <si>
    <t>Transfers!$F$17</t>
  </si>
  <si>
    <t>Transfers!$G$17</t>
  </si>
  <si>
    <t>Transfers!$H$17</t>
  </si>
  <si>
    <t>Transfers!$I$17</t>
  </si>
  <si>
    <t>Transfers!$J$17</t>
  </si>
  <si>
    <t>Transfers!$K$17</t>
  </si>
  <si>
    <t>Transfers!$L$17</t>
  </si>
  <si>
    <t>Transfers!$M$17</t>
  </si>
  <si>
    <t>Transfers!$O$17</t>
  </si>
  <si>
    <t>Transfers!$B$18</t>
  </si>
  <si>
    <t>Transfers!$C$18</t>
  </si>
  <si>
    <t>Transfers!$D$18</t>
  </si>
  <si>
    <t>Transfers!$E$18</t>
  </si>
  <si>
    <t>Transfers!$F$18</t>
  </si>
  <si>
    <t>Transfers!$G$18</t>
  </si>
  <si>
    <t>Transfers!$H$18</t>
  </si>
  <si>
    <t>Transfers!$I$18</t>
  </si>
  <si>
    <t>Transfers!$J$18</t>
  </si>
  <si>
    <t>Transfers!$K$18</t>
  </si>
  <si>
    <t>Transfers!$L$18</t>
  </si>
  <si>
    <t>Transfers!$M$18</t>
  </si>
  <si>
    <t>Transfers!$N$18</t>
  </si>
  <si>
    <t>idu_status</t>
  </si>
  <si>
    <t>Injecting Drug Use Relapse or Cessation</t>
  </si>
  <si>
    <t>Transfers!$C$222</t>
  </si>
  <si>
    <t>Transfers!$D$222</t>
  </si>
  <si>
    <t>Transfers!$E$222</t>
  </si>
  <si>
    <t>Transfers!$F$222</t>
  </si>
  <si>
    <t>Transfers!$G$222</t>
  </si>
  <si>
    <t>Transfers!$H$222</t>
  </si>
  <si>
    <t>Transfers!$I$222</t>
  </si>
  <si>
    <t>Transfers!$J$222</t>
  </si>
  <si>
    <t>Transfers!$K$222</t>
  </si>
  <si>
    <t>Transfers!$L$222</t>
  </si>
  <si>
    <t>Transfers!$M$222</t>
  </si>
  <si>
    <t>Transfers!$N$222</t>
  </si>
  <si>
    <t>Transfers!$O$222</t>
  </si>
  <si>
    <t>Transfers!$B$223</t>
  </si>
  <si>
    <t>Transfers!$D$223</t>
  </si>
  <si>
    <t>Transfers!$E$223</t>
  </si>
  <si>
    <t>Transfers!$F$223</t>
  </si>
  <si>
    <t>Transfers!$G$223</t>
  </si>
  <si>
    <t>Transfers!$H$223</t>
  </si>
  <si>
    <t>Transfers!$I$223</t>
  </si>
  <si>
    <t>Transfers!$J$223</t>
  </si>
  <si>
    <t>Transfers!$K$223</t>
  </si>
  <si>
    <t>Transfers!$L$223</t>
  </si>
  <si>
    <t>Transfers!$M$223</t>
  </si>
  <si>
    <t>Transfers!$N$223</t>
  </si>
  <si>
    <t>Transfers!$O$223</t>
  </si>
  <si>
    <t>Transfers!$B$224</t>
  </si>
  <si>
    <t>Transfers!$C$224</t>
  </si>
  <si>
    <t>Transfers!$E$224</t>
  </si>
  <si>
    <t>Transfers!$F$224</t>
  </si>
  <si>
    <t>Transfers!$G$224</t>
  </si>
  <si>
    <t>Transfers!$H$224</t>
  </si>
  <si>
    <t>Transfers!$I$224</t>
  </si>
  <si>
    <t>Transfers!$J$224</t>
  </si>
  <si>
    <t>Transfers!$K$224</t>
  </si>
  <si>
    <t>Transfers!$L$224</t>
  </si>
  <si>
    <t>Transfers!$M$224</t>
  </si>
  <si>
    <t>Transfers!$N$224</t>
  </si>
  <si>
    <t>Transfers!$O$224</t>
  </si>
  <si>
    <t>Transfers!$B$225</t>
  </si>
  <si>
    <t>Transfers!$C$225</t>
  </si>
  <si>
    <t>Transfers!$D$225</t>
  </si>
  <si>
    <t>Transfers!$F$225</t>
  </si>
  <si>
    <t>Transfers!$G$225</t>
  </si>
  <si>
    <t>Transfers!$H$225</t>
  </si>
  <si>
    <t>Transfers!$I$225</t>
  </si>
  <si>
    <t>Transfers!$J$225</t>
  </si>
  <si>
    <t>Transfers!$K$225</t>
  </si>
  <si>
    <t>Transfers!$L$225</t>
  </si>
  <si>
    <t>Transfers!$M$225</t>
  </si>
  <si>
    <t>Transfers!$N$225</t>
  </si>
  <si>
    <t>Transfers!$O$225</t>
  </si>
  <si>
    <t>Transfers!$B$226</t>
  </si>
  <si>
    <t>Transfers!$C$226</t>
  </si>
  <si>
    <t>Transfers!$D$226</t>
  </si>
  <si>
    <t>Transfers!$E$226</t>
  </si>
  <si>
    <t>Transfers!$G$226</t>
  </si>
  <si>
    <t>Transfers!$H$226</t>
  </si>
  <si>
    <t>Transfers!$I$226</t>
  </si>
  <si>
    <t>Transfers!$J$226</t>
  </si>
  <si>
    <t>Transfers!$K$226</t>
  </si>
  <si>
    <t>Transfers!$L$226</t>
  </si>
  <si>
    <t>Transfers!$M$226</t>
  </si>
  <si>
    <t>Transfers!$N$226</t>
  </si>
  <si>
    <t>Transfers!$O$226</t>
  </si>
  <si>
    <t>Transfers!$B$227</t>
  </si>
  <si>
    <t>Transfers!$C$227</t>
  </si>
  <si>
    <t>Transfers!$D$227</t>
  </si>
  <si>
    <t>Transfers!$E$227</t>
  </si>
  <si>
    <t>Transfers!$F$227</t>
  </si>
  <si>
    <t>Transfers!$H$227</t>
  </si>
  <si>
    <t>Transfers!$I$227</t>
  </si>
  <si>
    <t>Transfers!$J$227</t>
  </si>
  <si>
    <t>Transfers!$K$227</t>
  </si>
  <si>
    <t>Transfers!$L$227</t>
  </si>
  <si>
    <t>Transfers!$M$227</t>
  </si>
  <si>
    <t>Transfers!$N$227</t>
  </si>
  <si>
    <t>Transfers!$O$227</t>
  </si>
  <si>
    <t>Transfers!$B$228</t>
  </si>
  <si>
    <t>Transfers!$C$228</t>
  </si>
  <si>
    <t>Transfers!$D$228</t>
  </si>
  <si>
    <t>Transfers!$E$228</t>
  </si>
  <si>
    <t>Transfers!$F$228</t>
  </si>
  <si>
    <t>Transfers!$G$228</t>
  </si>
  <si>
    <t>Transfers!$I$228</t>
  </si>
  <si>
    <t>Transfers!$J$228</t>
  </si>
  <si>
    <t>Transfers!$K$228</t>
  </si>
  <si>
    <t>Transfers!$L$228</t>
  </si>
  <si>
    <t>Transfers!$M$228</t>
  </si>
  <si>
    <t>Transfers!$N$228</t>
  </si>
  <si>
    <t>Transfers!$O$228</t>
  </si>
  <si>
    <t>Transfers!$B$229</t>
  </si>
  <si>
    <t>Transfers!$C$229</t>
  </si>
  <si>
    <t>Transfers!$D$229</t>
  </si>
  <si>
    <t>Transfers!$E$229</t>
  </si>
  <si>
    <t>Transfers!$F$229</t>
  </si>
  <si>
    <t>Transfers!$G$229</t>
  </si>
  <si>
    <t>Transfers!$H$229</t>
  </si>
  <si>
    <t>Transfers!$J$229</t>
  </si>
  <si>
    <t>Transfers!$K$229</t>
  </si>
  <si>
    <t>Transfers!$L$229</t>
  </si>
  <si>
    <t>Transfers!$M$229</t>
  </si>
  <si>
    <t>Transfers!$N$229</t>
  </si>
  <si>
    <t>Transfers!$O$229</t>
  </si>
  <si>
    <t>Transfers!$B$230</t>
  </si>
  <si>
    <t>Transfers!$C$230</t>
  </si>
  <si>
    <t>Transfers!$D$230</t>
  </si>
  <si>
    <t>Transfers!$E$230</t>
  </si>
  <si>
    <t>Transfers!$F$230</t>
  </si>
  <si>
    <t>Transfers!$G$230</t>
  </si>
  <si>
    <t>Transfers!$H$230</t>
  </si>
  <si>
    <t>Transfers!$I$230</t>
  </si>
  <si>
    <t>Transfers!$K$230</t>
  </si>
  <si>
    <t>Transfers!$L$230</t>
  </si>
  <si>
    <t>Transfers!$M$230</t>
  </si>
  <si>
    <t>Transfers!$N$230</t>
  </si>
  <si>
    <t>Transfers!$O$230</t>
  </si>
  <si>
    <t>Transfers!$B$231</t>
  </si>
  <si>
    <t>Transfers!$C$231</t>
  </si>
  <si>
    <t>Transfers!$D$231</t>
  </si>
  <si>
    <t>Transfers!$E$231</t>
  </si>
  <si>
    <t>Transfers!$F$231</t>
  </si>
  <si>
    <t>Transfers!$G$231</t>
  </si>
  <si>
    <t>Transfers!$H$231</t>
  </si>
  <si>
    <t>Transfers!$I$231</t>
  </si>
  <si>
    <t>Transfers!$J$231</t>
  </si>
  <si>
    <t>Transfers!$L$231</t>
  </si>
  <si>
    <t>Transfers!$M$231</t>
  </si>
  <si>
    <t>Transfers!$N$231</t>
  </si>
  <si>
    <t>Transfers!$O$231</t>
  </si>
  <si>
    <t>Transfers!$B$232</t>
  </si>
  <si>
    <t>Transfers!$C$232</t>
  </si>
  <si>
    <t>Transfers!$D$232</t>
  </si>
  <si>
    <t>Transfers!$E$232</t>
  </si>
  <si>
    <t>Transfers!$F$232</t>
  </si>
  <si>
    <t>Transfers!$G$232</t>
  </si>
  <si>
    <t>Transfers!$H$232</t>
  </si>
  <si>
    <t>Transfers!$I$232</t>
  </si>
  <si>
    <t>Transfers!$J$232</t>
  </si>
  <si>
    <t>Transfers!$K$232</t>
  </si>
  <si>
    <t>Transfers!$M$232</t>
  </si>
  <si>
    <t>Transfers!$N$232</t>
  </si>
  <si>
    <t>Transfers!$O$232</t>
  </si>
  <si>
    <t>Transfers!$B$233</t>
  </si>
  <si>
    <t>Transfers!$C$233</t>
  </si>
  <si>
    <t>Transfers!$D$233</t>
  </si>
  <si>
    <t>Transfers!$E$233</t>
  </si>
  <si>
    <t>Transfers!$F$233</t>
  </si>
  <si>
    <t>Transfers!$G$233</t>
  </si>
  <si>
    <t>Transfers!$H$233</t>
  </si>
  <si>
    <t>Transfers!$I$233</t>
  </si>
  <si>
    <t>Transfers!$J$233</t>
  </si>
  <si>
    <t>Transfers!$K$233</t>
  </si>
  <si>
    <t>Transfers!$L$233</t>
  </si>
  <si>
    <t>Transfers!$N$233</t>
  </si>
  <si>
    <t>Transfers!$O$233</t>
  </si>
  <si>
    <t>Transfers!$B$234</t>
  </si>
  <si>
    <t>Transfers!$C$234</t>
  </si>
  <si>
    <t>Transfers!$D$234</t>
  </si>
  <si>
    <t>Transfers!$E$234</t>
  </si>
  <si>
    <t>Transfers!$F$234</t>
  </si>
  <si>
    <t>Transfers!$G$234</t>
  </si>
  <si>
    <t>Transfers!$H$234</t>
  </si>
  <si>
    <t>Transfers!$I$234</t>
  </si>
  <si>
    <t>Transfers!$J$234</t>
  </si>
  <si>
    <t>Transfers!$K$234</t>
  </si>
  <si>
    <t>Transfers!$L$234</t>
  </si>
  <si>
    <t>Transfers!$M$234</t>
  </si>
  <si>
    <t>Transfers!$O$234</t>
  </si>
  <si>
    <t>Transfers!$B$235</t>
  </si>
  <si>
    <t>Transfers!$C$235</t>
  </si>
  <si>
    <t>Transfers!$D$235</t>
  </si>
  <si>
    <t>Transfers!$E$235</t>
  </si>
  <si>
    <t>Transfers!$F$235</t>
  </si>
  <si>
    <t>Transfers!$G$235</t>
  </si>
  <si>
    <t>Transfers!$H$235</t>
  </si>
  <si>
    <t>Transfers!$I$235</t>
  </si>
  <si>
    <t>Transfers!$J$235</t>
  </si>
  <si>
    <t>Transfers!$K$235</t>
  </si>
  <si>
    <t>Transfers!$L$235</t>
  </si>
  <si>
    <t>Transfers!$M$235</t>
  </si>
  <si>
    <t>Transfers!$N$235</t>
  </si>
  <si>
    <t>inc</t>
  </si>
  <si>
    <t>Incarceration</t>
  </si>
  <si>
    <t>Transfers!$C$439</t>
  </si>
  <si>
    <t>Transfers!$D$439</t>
  </si>
  <si>
    <t>Transfers!$E$439</t>
  </si>
  <si>
    <t>Transfers!$F$439</t>
  </si>
  <si>
    <t>Transfers!$G$439</t>
  </si>
  <si>
    <t>Transfers!$H$439</t>
  </si>
  <si>
    <t>Transfers!$I$439</t>
  </si>
  <si>
    <t>Transfers!$J$439</t>
  </si>
  <si>
    <t>Transfers!$K$439</t>
  </si>
  <si>
    <t>Transfers!$L$439</t>
  </si>
  <si>
    <t>Transfers!$M$439</t>
  </si>
  <si>
    <t>Transfers!$N$439</t>
  </si>
  <si>
    <t>Transfers!$O$439</t>
  </si>
  <si>
    <t>Transfers!$B$440</t>
  </si>
  <si>
    <t>Transfers!$D$440</t>
  </si>
  <si>
    <t>Transfers!$E$440</t>
  </si>
  <si>
    <t>Transfers!$F$440</t>
  </si>
  <si>
    <t>Transfers!$G$440</t>
  </si>
  <si>
    <t>Transfers!$H$440</t>
  </si>
  <si>
    <t>Transfers!$I$440</t>
  </si>
  <si>
    <t>Transfers!$J$440</t>
  </si>
  <si>
    <t>Transfers!$K$440</t>
  </si>
  <si>
    <t>Transfers!$L$440</t>
  </si>
  <si>
    <t>Transfers!$M$440</t>
  </si>
  <si>
    <t>Transfers!$N$440</t>
  </si>
  <si>
    <t>Transfers!$O$440</t>
  </si>
  <si>
    <t>Transfers!$B$441</t>
  </si>
  <si>
    <t>Transfers!$C$441</t>
  </si>
  <si>
    <t>Transfers!$E$441</t>
  </si>
  <si>
    <t>Transfers!$F$441</t>
  </si>
  <si>
    <t>Transfers!$G$441</t>
  </si>
  <si>
    <t>Transfers!$H$441</t>
  </si>
  <si>
    <t>Transfers!$I$441</t>
  </si>
  <si>
    <t>Transfers!$J$441</t>
  </si>
  <si>
    <t>Transfers!$K$441</t>
  </si>
  <si>
    <t>Transfers!$L$441</t>
  </si>
  <si>
    <t>Transfers!$M$441</t>
  </si>
  <si>
    <t>Transfers!$N$441</t>
  </si>
  <si>
    <t>Transfers!$O$441</t>
  </si>
  <si>
    <t>Transfers!$B$442</t>
  </si>
  <si>
    <t>Transfers!$C$442</t>
  </si>
  <si>
    <t>Transfers!$D$442</t>
  </si>
  <si>
    <t>Transfers!$F$442</t>
  </si>
  <si>
    <t>Transfers!$G$442</t>
  </si>
  <si>
    <t>Transfers!$H$442</t>
  </si>
  <si>
    <t>Transfers!$I$442</t>
  </si>
  <si>
    <t>Transfers!$J$442</t>
  </si>
  <si>
    <t>Transfers!$K$442</t>
  </si>
  <si>
    <t>Transfers!$L$442</t>
  </si>
  <si>
    <t>Transfers!$M$442</t>
  </si>
  <si>
    <t>Transfers!$N$442</t>
  </si>
  <si>
    <t>Transfers!$O$442</t>
  </si>
  <si>
    <t>Transfers!$B$443</t>
  </si>
  <si>
    <t>Transfers!$C$443</t>
  </si>
  <si>
    <t>Transfers!$D$443</t>
  </si>
  <si>
    <t>Transfers!$E$443</t>
  </si>
  <si>
    <t>Transfers!$G$443</t>
  </si>
  <si>
    <t>Transfers!$H$443</t>
  </si>
  <si>
    <t>Transfers!$I$443</t>
  </si>
  <si>
    <t>Transfers!$J$443</t>
  </si>
  <si>
    <t>Transfers!$K$443</t>
  </si>
  <si>
    <t>Transfers!$L$443</t>
  </si>
  <si>
    <t>Transfers!$M$443</t>
  </si>
  <si>
    <t>Transfers!$N$443</t>
  </si>
  <si>
    <t>Transfers!$O$443</t>
  </si>
  <si>
    <t>Transfers!$B$444</t>
  </si>
  <si>
    <t>Transfers!$C$444</t>
  </si>
  <si>
    <t>Transfers!$D$444</t>
  </si>
  <si>
    <t>Transfers!$E$444</t>
  </si>
  <si>
    <t>Transfers!$F$444</t>
  </si>
  <si>
    <t>Transfers!$H$444</t>
  </si>
  <si>
    <t>Transfers!$I$444</t>
  </si>
  <si>
    <t>Transfers!$J$444</t>
  </si>
  <si>
    <t>Transfers!$K$444</t>
  </si>
  <si>
    <t>Transfers!$L$444</t>
  </si>
  <si>
    <t>Transfers!$M$444</t>
  </si>
  <si>
    <t>Transfers!$N$444</t>
  </si>
  <si>
    <t>Transfers!$O$444</t>
  </si>
  <si>
    <t>Transfers!$B$445</t>
  </si>
  <si>
    <t>Transfers!$C$445</t>
  </si>
  <si>
    <t>Transfers!$D$445</t>
  </si>
  <si>
    <t>Transfers!$E$445</t>
  </si>
  <si>
    <t>Transfers!$F$445</t>
  </si>
  <si>
    <t>Transfers!$G$445</t>
  </si>
  <si>
    <t>Transfers!$I$445</t>
  </si>
  <si>
    <t>Transfers!$J$445</t>
  </si>
  <si>
    <t>Transfers!$K$445</t>
  </si>
  <si>
    <t>Transfers!$L$445</t>
  </si>
  <si>
    <t>Transfers!$M$445</t>
  </si>
  <si>
    <t>Transfers!$N$445</t>
  </si>
  <si>
    <t>Transfers!$O$445</t>
  </si>
  <si>
    <t>Transfers!$B$446</t>
  </si>
  <si>
    <t>Transfers!$C$446</t>
  </si>
  <si>
    <t>Transfers!$D$446</t>
  </si>
  <si>
    <t>Transfers!$E$446</t>
  </si>
  <si>
    <t>Transfers!$F$446</t>
  </si>
  <si>
    <t>Transfers!$G$446</t>
  </si>
  <si>
    <t>Transfers!$H$446</t>
  </si>
  <si>
    <t>Transfers!$J$446</t>
  </si>
  <si>
    <t>Transfers!$K$446</t>
  </si>
  <si>
    <t>Transfers!$L$446</t>
  </si>
  <si>
    <t>Transfers!$M$446</t>
  </si>
  <si>
    <t>Transfers!$N$446</t>
  </si>
  <si>
    <t>Transfers!$O$446</t>
  </si>
  <si>
    <t>Transfers!$B$447</t>
  </si>
  <si>
    <t>Transfers!$C$447</t>
  </si>
  <si>
    <t>Transfers!$D$447</t>
  </si>
  <si>
    <t>Transfers!$E$447</t>
  </si>
  <si>
    <t>Transfers!$F$447</t>
  </si>
  <si>
    <t>Transfers!$G$447</t>
  </si>
  <si>
    <t>Transfers!$H$447</t>
  </si>
  <si>
    <t>Transfers!$I$447</t>
  </si>
  <si>
    <t>Transfers!$K$447</t>
  </si>
  <si>
    <t>Transfers!$L$447</t>
  </si>
  <si>
    <t>Transfers!$M$447</t>
  </si>
  <si>
    <t>Transfers!$N$447</t>
  </si>
  <si>
    <t>Transfers!$O$447</t>
  </si>
  <si>
    <t>Transfers!$B$448</t>
  </si>
  <si>
    <t>Transfers!$C$448</t>
  </si>
  <si>
    <t>Transfers!$D$448</t>
  </si>
  <si>
    <t>Transfers!$E$448</t>
  </si>
  <si>
    <t>Transfers!$F$448</t>
  </si>
  <si>
    <t>Transfers!$G$448</t>
  </si>
  <si>
    <t>Transfers!$H$448</t>
  </si>
  <si>
    <t>Transfers!$I$448</t>
  </si>
  <si>
    <t>Transfers!$J$448</t>
  </si>
  <si>
    <t>Transfers!$L$448</t>
  </si>
  <si>
    <t>Transfers!$M$448</t>
  </si>
  <si>
    <t>Transfers!$N$448</t>
  </si>
  <si>
    <t>Transfers!$O$448</t>
  </si>
  <si>
    <t>Transfers!$B$449</t>
  </si>
  <si>
    <t>Transfers!$C$449</t>
  </si>
  <si>
    <t>Transfers!$D$449</t>
  </si>
  <si>
    <t>Transfers!$E$449</t>
  </si>
  <si>
    <t>Transfers!$F$449</t>
  </si>
  <si>
    <t>Transfers!$G$449</t>
  </si>
  <si>
    <t>Transfers!$H$449</t>
  </si>
  <si>
    <t>Transfers!$I$449</t>
  </si>
  <si>
    <t>Transfers!$J$449</t>
  </si>
  <si>
    <t>Transfers!$K$449</t>
  </si>
  <si>
    <t>Transfers!$M$449</t>
  </si>
  <si>
    <t>Transfers!$N$449</t>
  </si>
  <si>
    <t>Transfers!$O$449</t>
  </si>
  <si>
    <t>Transfers!$B$450</t>
  </si>
  <si>
    <t>Transfers!$C$450</t>
  </si>
  <si>
    <t>Transfers!$D$450</t>
  </si>
  <si>
    <t>Transfers!$E$450</t>
  </si>
  <si>
    <t>Transfers!$F$450</t>
  </si>
  <si>
    <t>Transfers!$G$450</t>
  </si>
  <si>
    <t>Transfers!$H$450</t>
  </si>
  <si>
    <t>Transfers!$I$450</t>
  </si>
  <si>
    <t>Transfers!$J$450</t>
  </si>
  <si>
    <t>Transfers!$K$450</t>
  </si>
  <si>
    <t>Transfers!$L$450</t>
  </si>
  <si>
    <t>Transfers!$N$450</t>
  </si>
  <si>
    <t>Transfers!$O$450</t>
  </si>
  <si>
    <t>Transfers!$B$451</t>
  </si>
  <si>
    <t>Transfers!$C$451</t>
  </si>
  <si>
    <t>Transfers!$D$451</t>
  </si>
  <si>
    <t>Transfers!$E$451</t>
  </si>
  <si>
    <t>Transfers!$F$451</t>
  </si>
  <si>
    <t>Transfers!$G$451</t>
  </si>
  <si>
    <t>Transfers!$H$451</t>
  </si>
  <si>
    <t>Transfers!$I$451</t>
  </si>
  <si>
    <t>Transfers!$J$451</t>
  </si>
  <si>
    <t>Transfers!$K$451</t>
  </si>
  <si>
    <t>Transfers!$L$451</t>
  </si>
  <si>
    <t>Transfers!$M$451</t>
  </si>
  <si>
    <t>Transfers!$O$451</t>
  </si>
  <si>
    <t>Transfers!$B$452</t>
  </si>
  <si>
    <t>Transfers!$C$452</t>
  </si>
  <si>
    <t>Transfers!$D$452</t>
  </si>
  <si>
    <t>Transfers!$E$452</t>
  </si>
  <si>
    <t>Transfers!$F$452</t>
  </si>
  <si>
    <t>Transfers!$G$452</t>
  </si>
  <si>
    <t>Transfers!$H$452</t>
  </si>
  <si>
    <t>Transfers!$I$452</t>
  </si>
  <si>
    <t>Transfers!$J$452</t>
  </si>
  <si>
    <t>Transfers!$K$452</t>
  </si>
  <si>
    <t>Transfers!$L$452</t>
  </si>
  <si>
    <t>Transfers!$M$452</t>
  </si>
  <si>
    <t>Transfers!$N$452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</si>
</sst>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color indexed="81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rgb="FF98E0FA"/>
        <bgColor indexed="64"/>
      </patternFill>
    </fill>
    <fill>
      <patternFill patternType="solid">
        <fgColor rgb="FFEEEEEE"/>
        <bgColor indexed="64"/>
      </patternFill>
    </fill>
  </fills>
  <borders count="3"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/>
    </xf>
    <xf numFmtId="0" fontId="0" fillId="2" borderId="1" xfId="0" applyFill="1" applyBorder="1" applyProtection="1">
      <protection locked="0"/>
    </xf>
    <xf numFmtId="0" fontId="0" fillId="3" borderId="2" xfId="0" applyFill="1" applyBorder="1"/>
    <xf numFmtId="0" fontId="0" fillId="0" borderId="0" xfId="0" applyAlignment="1">
      <alignment horizontal="center"/>
    </xf>
    <xf numFmtId="0" fontId="0" fillId="2" borderId="1" xfId="0" applyFill="1" applyBorder="1" applyAlignment="1" applyProtection="1">
      <alignment horizontal="center"/>
      <protection locked="0"/>
    </xf>
  </cellXfs>
  <cellStyles count="1">
    <cellStyle name="Normal" xfId="0" builtinId="0"/>
  </cellStyles>
  <dxfs count="5"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ustomXml" Target="../customXml/item3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vmlDrawing" Target="../drawings/vmlDrawing1.vml"/><Relationship Id="rId2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rgb="FFFFC000"/>
  </sheetPr>
  <dimension ref="A1:C15"/>
  <sheetViews>
    <sheetView tabSelected="1" workbookViewId="0"/>
  </sheetViews>
  <sheetFormatPr defaultRowHeight="15"/>
  <cols>
    <col min="1" max="1" width="25.85546875" customWidth="1"/>
    <col min="2" max="2" width="38" customWidth="1"/>
    <col min="3" max="3" width="18.28515625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s="2" t="s">
        <v>3</v>
      </c>
      <c r="B2" s="2" t="s">
        <v>4</v>
      </c>
      <c r="C2" s="3" t="s">
        <v>5</v>
      </c>
    </row>
    <row r="3" spans="1:3">
      <c r="A3" s="2" t="s">
        <v>6</v>
      </c>
      <c r="B3" s="2" t="s">
        <v>7</v>
      </c>
      <c r="C3" s="3" t="s">
        <v>5</v>
      </c>
    </row>
    <row r="4" spans="1:3">
      <c r="A4" s="2" t="s">
        <v>8</v>
      </c>
      <c r="B4" s="2" t="s">
        <v>9</v>
      </c>
      <c r="C4" s="3" t="s">
        <v>5</v>
      </c>
    </row>
    <row r="5" spans="1:3">
      <c r="A5" s="2" t="s">
        <v>10</v>
      </c>
      <c r="B5" s="2" t="s">
        <v>11</v>
      </c>
      <c r="C5" s="3" t="s">
        <v>5</v>
      </c>
    </row>
    <row r="6" spans="1:3">
      <c r="A6" s="2" t="s">
        <v>12</v>
      </c>
      <c r="B6" s="2" t="s">
        <v>13</v>
      </c>
      <c r="C6" s="3" t="s">
        <v>5</v>
      </c>
    </row>
    <row r="7" spans="1:3">
      <c r="A7" s="2" t="s">
        <v>14</v>
      </c>
      <c r="B7" s="2" t="s">
        <v>15</v>
      </c>
      <c r="C7" s="3" t="s">
        <v>5</v>
      </c>
    </row>
    <row r="8" spans="1:3">
      <c r="A8" s="2" t="s">
        <v>16</v>
      </c>
      <c r="B8" s="2" t="s">
        <v>17</v>
      </c>
      <c r="C8" s="3" t="s">
        <v>5</v>
      </c>
    </row>
    <row r="9" spans="1:3">
      <c r="A9" s="2" t="s">
        <v>18</v>
      </c>
      <c r="B9" s="2" t="s">
        <v>19</v>
      </c>
      <c r="C9" s="3" t="s">
        <v>5</v>
      </c>
    </row>
    <row r="10" spans="1:3">
      <c r="A10" s="2" t="s">
        <v>20</v>
      </c>
      <c r="B10" s="2" t="s">
        <v>21</v>
      </c>
      <c r="C10" s="3" t="s">
        <v>5</v>
      </c>
    </row>
    <row r="11" spans="1:3">
      <c r="A11" s="2" t="s">
        <v>22</v>
      </c>
      <c r="B11" s="2" t="s">
        <v>23</v>
      </c>
      <c r="C11" s="3" t="s">
        <v>5</v>
      </c>
    </row>
    <row r="12" spans="1:3">
      <c r="A12" s="2" t="s">
        <v>24</v>
      </c>
      <c r="B12" s="2" t="s">
        <v>25</v>
      </c>
      <c r="C12" s="3" t="s">
        <v>5</v>
      </c>
    </row>
    <row r="13" spans="1:3">
      <c r="A13" s="2" t="s">
        <v>26</v>
      </c>
      <c r="B13" s="2" t="s">
        <v>27</v>
      </c>
      <c r="C13" s="3" t="s">
        <v>5</v>
      </c>
    </row>
    <row r="14" spans="1:3">
      <c r="A14" s="2" t="s">
        <v>28</v>
      </c>
      <c r="B14" s="2" t="s">
        <v>25</v>
      </c>
      <c r="C14" s="3" t="s">
        <v>5</v>
      </c>
    </row>
    <row r="15" spans="1:3">
      <c r="A15" s="2" t="s">
        <v>29</v>
      </c>
      <c r="B15" s="2" t="s">
        <v>27</v>
      </c>
      <c r="C15" s="3" t="s">
        <v>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808080"/>
  </sheetPr>
  <dimension ref="A1:BE207"/>
  <sheetViews>
    <sheetView workbookViewId="0"/>
  </sheetViews>
  <sheetFormatPr defaultRowHeight="15"/>
  <cols>
    <col min="1" max="1" width="53.42578125" customWidth="1"/>
    <col min="2" max="3" width="12.7109375" customWidth="1"/>
    <col min="4" max="4" width="13.85546875" customWidth="1"/>
    <col min="5" max="5" width="10.5703125" customWidth="1"/>
    <col min="6" max="57" width="9.42578125" customWidth="1"/>
  </cols>
  <sheetData>
    <row r="1" spans="1:55">
      <c r="A1" s="1" t="s">
        <v>30</v>
      </c>
      <c r="B1" s="1" t="s">
        <v>31</v>
      </c>
      <c r="C1" s="1" t="s">
        <v>32</v>
      </c>
      <c r="D1" s="1" t="s">
        <v>33</v>
      </c>
      <c r="E1" s="1">
        <v>2000</v>
      </c>
      <c r="F1" s="1">
        <v>2001</v>
      </c>
      <c r="G1" s="1">
        <v>2002</v>
      </c>
      <c r="H1" s="1">
        <v>2003</v>
      </c>
      <c r="I1" s="1">
        <v>2004</v>
      </c>
      <c r="J1" s="1">
        <v>2005</v>
      </c>
      <c r="K1" s="1">
        <v>2006</v>
      </c>
      <c r="L1" s="1">
        <v>2007</v>
      </c>
      <c r="M1" s="1">
        <v>2008</v>
      </c>
      <c r="N1" s="1">
        <v>2009</v>
      </c>
      <c r="O1" s="1">
        <v>2010</v>
      </c>
      <c r="P1" s="1">
        <v>2011</v>
      </c>
      <c r="Q1" s="1">
        <v>2012</v>
      </c>
      <c r="R1" s="1">
        <v>2013</v>
      </c>
      <c r="S1" s="1">
        <v>2014</v>
      </c>
      <c r="T1" s="1">
        <v>2015</v>
      </c>
      <c r="U1" s="1">
        <v>2016</v>
      </c>
      <c r="V1" s="1">
        <v>2017</v>
      </c>
      <c r="W1" s="1">
        <v>2018</v>
      </c>
      <c r="X1" s="1">
        <v>2019</v>
      </c>
      <c r="Y1" s="1">
        <v>2020</v>
      </c>
      <c r="Z1" s="1">
        <v>2021</v>
      </c>
      <c r="AA1" s="1">
        <v>2022</v>
      </c>
      <c r="AB1" s="1">
        <v>2023</v>
      </c>
      <c r="AC1" s="1">
        <v>2024</v>
      </c>
      <c r="AD1" s="1">
        <v>2025</v>
      </c>
      <c r="AE1" s="1">
        <v>2026</v>
      </c>
      <c r="AF1" s="1">
        <v>2027</v>
      </c>
      <c r="AG1" s="1">
        <v>2028</v>
      </c>
      <c r="AH1" s="1">
        <v>2029</v>
      </c>
      <c r="AI1" s="1">
        <v>2030</v>
      </c>
      <c r="AJ1" s="1">
        <v>2031</v>
      </c>
      <c r="AK1" s="1">
        <v>2032</v>
      </c>
      <c r="AL1" s="1">
        <v>2033</v>
      </c>
      <c r="AM1" s="1">
        <v>2034</v>
      </c>
      <c r="AN1" s="1">
        <v>2035</v>
      </c>
      <c r="AO1" s="1">
        <v>2036</v>
      </c>
      <c r="AP1" s="1">
        <v>2037</v>
      </c>
      <c r="AQ1" s="1">
        <v>2038</v>
      </c>
      <c r="AR1" s="1">
        <v>2039</v>
      </c>
      <c r="AS1" s="1">
        <v>2040</v>
      </c>
      <c r="AT1" s="1">
        <v>2041</v>
      </c>
      <c r="AU1" s="1">
        <v>2042</v>
      </c>
      <c r="AV1" s="1">
        <v>2043</v>
      </c>
      <c r="AW1" s="1">
        <v>2044</v>
      </c>
      <c r="AX1" s="1">
        <v>2045</v>
      </c>
      <c r="AY1" s="1">
        <v>2046</v>
      </c>
      <c r="AZ1" s="1">
        <v>2047</v>
      </c>
      <c r="BA1" s="1">
        <v>2048</v>
      </c>
      <c r="BB1" s="1">
        <v>2049</v>
      </c>
      <c r="BC1" s="1">
        <v>2050</v>
      </c>
    </row>
    <row r="2" spans="1:55">
      <c r="A2" s="1" t="str">
        <f>'Population Definitions'!$A$2</f>
        <v>PWID_males</v>
      </c>
      <c r="C2" t="s">
        <v>34</v>
      </c>
      <c r="D2" s="3"/>
      <c r="E2" s="3">
        <v>18484.024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</row>
    <row r="3" spans="1:55">
      <c r="A3" s="1" t="str">
        <f>'Population Definitions'!$A$3</f>
        <v>PWID_females</v>
      </c>
      <c r="C3" t="s">
        <v>34</v>
      </c>
      <c r="D3" s="3"/>
      <c r="E3" s="3">
        <v>5216.131230336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</row>
    <row r="4" spans="1:55">
      <c r="A4" s="1" t="str">
        <f>'Population Definitions'!$A$4</f>
        <v>0-9_males</v>
      </c>
      <c r="C4" t="s">
        <v>34</v>
      </c>
      <c r="D4" s="3"/>
      <c r="E4" s="3">
        <v>0</v>
      </c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</row>
    <row r="5" spans="1:55">
      <c r="A5" s="1" t="str">
        <f>'Population Definitions'!$A$5</f>
        <v>0-9_females</v>
      </c>
      <c r="C5" t="s">
        <v>34</v>
      </c>
      <c r="D5" s="3"/>
      <c r="E5" s="3">
        <v>0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</row>
    <row r="6" spans="1:55">
      <c r="A6" s="1" t="str">
        <f>'Population Definitions'!$A$6</f>
        <v>10-17_males</v>
      </c>
      <c r="C6" t="s">
        <v>34</v>
      </c>
      <c r="D6" s="3"/>
      <c r="E6" s="3">
        <v>0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</row>
    <row r="7" spans="1:55">
      <c r="A7" s="1" t="str">
        <f>'Population Definitions'!$A$7</f>
        <v>10-17_females</v>
      </c>
      <c r="C7" t="s">
        <v>34</v>
      </c>
      <c r="D7" s="3"/>
      <c r="E7" s="3">
        <v>0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</row>
    <row r="8" spans="1:55">
      <c r="A8" s="1" t="str">
        <f>'Population Definitions'!$A$8</f>
        <v>18-64_males</v>
      </c>
      <c r="C8" t="s">
        <v>34</v>
      </c>
      <c r="D8" s="3"/>
      <c r="E8" s="3">
        <v>35651.65828007224</v>
      </c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</row>
    <row r="9" spans="1:55">
      <c r="A9" s="1" t="str">
        <f>'Population Definitions'!$A$9</f>
        <v>18-64_females</v>
      </c>
      <c r="C9" t="s">
        <v>34</v>
      </c>
      <c r="D9" s="3"/>
      <c r="E9" s="3">
        <v>37715.53053153288</v>
      </c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</row>
    <row r="10" spans="1:55">
      <c r="A10" s="1" t="str">
        <f>'Population Definitions'!$A$10</f>
        <v>65+_males</v>
      </c>
      <c r="C10" t="s">
        <v>34</v>
      </c>
      <c r="D10" s="3"/>
      <c r="E10" s="3">
        <v>2042.686524718874</v>
      </c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</row>
    <row r="11" spans="1:55">
      <c r="A11" s="1" t="str">
        <f>'Population Definitions'!$A$11</f>
        <v>65+_females</v>
      </c>
      <c r="C11" t="s">
        <v>34</v>
      </c>
      <c r="D11" s="3"/>
      <c r="E11" s="3">
        <v>2514.049343990078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</row>
    <row r="12" spans="1:55">
      <c r="A12" s="1" t="str">
        <f>'Population Definitions'!$A$12</f>
        <v>Prisoners_males</v>
      </c>
      <c r="C12" t="s">
        <v>34</v>
      </c>
      <c r="D12" s="3"/>
      <c r="E12" s="3">
        <v>52.51713115138415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</row>
    <row r="13" spans="1:55">
      <c r="A13" s="1" t="str">
        <f>'Population Definitions'!$A$13</f>
        <v>Prisoners_females</v>
      </c>
      <c r="C13" t="s">
        <v>34</v>
      </c>
      <c r="D13" s="3"/>
      <c r="E13" s="3">
        <v>1.792208198547753</v>
      </c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</row>
    <row r="14" spans="1:55">
      <c r="A14" s="1" t="str">
        <f>'Population Definitions'!$A$14</f>
        <v>Prisoners_PWID_males</v>
      </c>
      <c r="C14" t="s">
        <v>34</v>
      </c>
      <c r="D14" s="3"/>
      <c r="E14" s="3">
        <v>5656.57359525</v>
      </c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</row>
    <row r="15" spans="1:55">
      <c r="A15" s="1" t="str">
        <f>'Population Definitions'!$A$15</f>
        <v>Prisoners_PWID_females</v>
      </c>
      <c r="C15" t="s">
        <v>34</v>
      </c>
      <c r="D15" s="3"/>
      <c r="E15" s="3">
        <v>193.0371547500002</v>
      </c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</row>
    <row r="17" spans="1:55">
      <c r="A17" s="1" t="s">
        <v>35</v>
      </c>
      <c r="B17" s="1" t="s">
        <v>31</v>
      </c>
      <c r="C17" s="1" t="s">
        <v>32</v>
      </c>
      <c r="D17" s="1" t="s">
        <v>33</v>
      </c>
      <c r="E17" s="1">
        <v>2000</v>
      </c>
      <c r="F17" s="1">
        <v>2001</v>
      </c>
      <c r="G17" s="1">
        <v>2002</v>
      </c>
      <c r="H17" s="1">
        <v>2003</v>
      </c>
      <c r="I17" s="1">
        <v>2004</v>
      </c>
      <c r="J17" s="1">
        <v>2005</v>
      </c>
      <c r="K17" s="1">
        <v>2006</v>
      </c>
      <c r="L17" s="1">
        <v>2007</v>
      </c>
      <c r="M17" s="1">
        <v>2008</v>
      </c>
      <c r="N17" s="1">
        <v>2009</v>
      </c>
      <c r="O17" s="1">
        <v>2010</v>
      </c>
      <c r="P17" s="1">
        <v>2011</v>
      </c>
      <c r="Q17" s="1">
        <v>2012</v>
      </c>
      <c r="R17" s="1">
        <v>2013</v>
      </c>
      <c r="S17" s="1">
        <v>2014</v>
      </c>
      <c r="T17" s="1">
        <v>2015</v>
      </c>
      <c r="U17" s="1">
        <v>2016</v>
      </c>
      <c r="V17" s="1">
        <v>2017</v>
      </c>
      <c r="W17" s="1">
        <v>2018</v>
      </c>
      <c r="X17" s="1">
        <v>2019</v>
      </c>
      <c r="Y17" s="1">
        <v>2020</v>
      </c>
      <c r="Z17" s="1">
        <v>2021</v>
      </c>
      <c r="AA17" s="1">
        <v>2022</v>
      </c>
      <c r="AB17" s="1">
        <v>2023</v>
      </c>
      <c r="AC17" s="1">
        <v>2024</v>
      </c>
      <c r="AD17" s="1">
        <v>2025</v>
      </c>
      <c r="AE17" s="1">
        <v>2026</v>
      </c>
      <c r="AF17" s="1">
        <v>2027</v>
      </c>
      <c r="AG17" s="1">
        <v>2028</v>
      </c>
      <c r="AH17" s="1">
        <v>2029</v>
      </c>
      <c r="AI17" s="1">
        <v>2030</v>
      </c>
      <c r="AJ17" s="1">
        <v>2031</v>
      </c>
      <c r="AK17" s="1">
        <v>2032</v>
      </c>
      <c r="AL17" s="1">
        <v>2033</v>
      </c>
      <c r="AM17" s="1">
        <v>2034</v>
      </c>
      <c r="AN17" s="1">
        <v>2035</v>
      </c>
      <c r="AO17" s="1">
        <v>2036</v>
      </c>
      <c r="AP17" s="1">
        <v>2037</v>
      </c>
      <c r="AQ17" s="1">
        <v>2038</v>
      </c>
      <c r="AR17" s="1">
        <v>2039</v>
      </c>
      <c r="AS17" s="1">
        <v>2040</v>
      </c>
      <c r="AT17" s="1">
        <v>2041</v>
      </c>
      <c r="AU17" s="1">
        <v>2042</v>
      </c>
      <c r="AV17" s="1">
        <v>2043</v>
      </c>
      <c r="AW17" s="1">
        <v>2044</v>
      </c>
      <c r="AX17" s="1">
        <v>2045</v>
      </c>
      <c r="AY17" s="1">
        <v>2046</v>
      </c>
      <c r="AZ17" s="1">
        <v>2047</v>
      </c>
      <c r="BA17" s="1">
        <v>2048</v>
      </c>
      <c r="BB17" s="1">
        <v>2049</v>
      </c>
      <c r="BC17" s="1">
        <v>2050</v>
      </c>
    </row>
    <row r="18" spans="1:55">
      <c r="A18" s="1" t="str">
        <f>'Population Definitions'!$A$2</f>
        <v>PWID_males</v>
      </c>
      <c r="C18" t="s">
        <v>36</v>
      </c>
      <c r="D18" s="3"/>
      <c r="E18" s="3">
        <v>0.208</v>
      </c>
      <c r="F18" s="3"/>
      <c r="G18" s="3"/>
      <c r="H18" s="3"/>
      <c r="I18" s="3"/>
      <c r="J18" s="3"/>
      <c r="K18" s="3"/>
      <c r="L18" s="3"/>
      <c r="M18" s="3"/>
      <c r="N18" s="3"/>
      <c r="O18" s="3">
        <v>0.208</v>
      </c>
      <c r="P18" s="3"/>
      <c r="Q18" s="3"/>
      <c r="R18" s="3"/>
      <c r="S18" s="3"/>
      <c r="T18" s="3">
        <v>0.208</v>
      </c>
      <c r="U18" s="3"/>
      <c r="V18" s="3">
        <v>0.171</v>
      </c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</row>
    <row r="19" spans="1:55">
      <c r="A19" s="1" t="str">
        <f>'Population Definitions'!$A$3</f>
        <v>PWID_females</v>
      </c>
      <c r="C19" t="s">
        <v>36</v>
      </c>
      <c r="D19" s="3"/>
      <c r="E19" s="3">
        <v>0.208</v>
      </c>
      <c r="F19" s="3"/>
      <c r="G19" s="3"/>
      <c r="H19" s="3"/>
      <c r="I19" s="3"/>
      <c r="J19" s="3"/>
      <c r="K19" s="3"/>
      <c r="L19" s="3"/>
      <c r="M19" s="3"/>
      <c r="N19" s="3"/>
      <c r="O19" s="3">
        <v>0.208</v>
      </c>
      <c r="P19" s="3"/>
      <c r="Q19" s="3"/>
      <c r="R19" s="3"/>
      <c r="S19" s="3"/>
      <c r="T19" s="3">
        <v>0.208</v>
      </c>
      <c r="U19" s="3"/>
      <c r="V19" s="3">
        <v>0.171</v>
      </c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</row>
    <row r="20" spans="1:55">
      <c r="A20" s="1" t="str">
        <f>'Population Definitions'!$A$4</f>
        <v>0-9_males</v>
      </c>
      <c r="C20" t="s">
        <v>36</v>
      </c>
      <c r="D20" s="3"/>
      <c r="E20" s="3">
        <v>0</v>
      </c>
      <c r="F20" s="3"/>
      <c r="G20" s="3"/>
      <c r="H20" s="3"/>
      <c r="I20" s="3"/>
      <c r="J20" s="3"/>
      <c r="K20" s="3"/>
      <c r="L20" s="3"/>
      <c r="M20" s="3"/>
      <c r="N20" s="3"/>
      <c r="O20" s="3">
        <v>0</v>
      </c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</row>
    <row r="21" spans="1:55">
      <c r="A21" s="1" t="str">
        <f>'Population Definitions'!$A$5</f>
        <v>0-9_females</v>
      </c>
      <c r="C21" t="s">
        <v>36</v>
      </c>
      <c r="D21" s="3"/>
      <c r="E21" s="3">
        <v>0</v>
      </c>
      <c r="F21" s="3"/>
      <c r="G21" s="3"/>
      <c r="H21" s="3"/>
      <c r="I21" s="3"/>
      <c r="J21" s="3"/>
      <c r="K21" s="3"/>
      <c r="L21" s="3"/>
      <c r="M21" s="3"/>
      <c r="N21" s="3"/>
      <c r="O21" s="3">
        <v>0</v>
      </c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</row>
    <row r="22" spans="1:55">
      <c r="A22" s="1" t="str">
        <f>'Population Definitions'!$A$6</f>
        <v>10-17_males</v>
      </c>
      <c r="C22" t="s">
        <v>36</v>
      </c>
      <c r="D22" s="3"/>
      <c r="E22" s="3">
        <v>0</v>
      </c>
      <c r="F22" s="3"/>
      <c r="G22" s="3"/>
      <c r="H22" s="3"/>
      <c r="I22" s="3"/>
      <c r="J22" s="3"/>
      <c r="K22" s="3"/>
      <c r="L22" s="3"/>
      <c r="M22" s="3"/>
      <c r="N22" s="3"/>
      <c r="O22" s="3">
        <v>0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</row>
    <row r="23" spans="1:55">
      <c r="A23" s="1" t="str">
        <f>'Population Definitions'!$A$7</f>
        <v>10-17_females</v>
      </c>
      <c r="C23" t="s">
        <v>36</v>
      </c>
      <c r="D23" s="3"/>
      <c r="E23" s="3">
        <v>0</v>
      </c>
      <c r="F23" s="3"/>
      <c r="G23" s="3"/>
      <c r="H23" s="3"/>
      <c r="I23" s="3"/>
      <c r="J23" s="3"/>
      <c r="K23" s="3"/>
      <c r="L23" s="3"/>
      <c r="M23" s="3"/>
      <c r="N23" s="3"/>
      <c r="O23" s="3">
        <v>0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</row>
    <row r="24" spans="1:55">
      <c r="A24" s="1" t="str">
        <f>'Population Definitions'!$A$8</f>
        <v>18-64_males</v>
      </c>
      <c r="C24" t="s">
        <v>36</v>
      </c>
      <c r="D24" s="3"/>
      <c r="E24" s="3">
        <v>0.004762828208101721</v>
      </c>
      <c r="F24" s="3"/>
      <c r="G24" s="3"/>
      <c r="H24" s="3"/>
      <c r="I24" s="3"/>
      <c r="J24" s="3"/>
      <c r="K24" s="3"/>
      <c r="L24" s="3"/>
      <c r="M24" s="3"/>
      <c r="N24" s="3"/>
      <c r="O24" s="3">
        <v>0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</row>
    <row r="25" spans="1:55">
      <c r="A25" s="1" t="str">
        <f>'Population Definitions'!$A$9</f>
        <v>18-64_females</v>
      </c>
      <c r="C25" t="s">
        <v>36</v>
      </c>
      <c r="D25" s="3"/>
      <c r="E25" s="3">
        <v>0.004762828208101721</v>
      </c>
      <c r="F25" s="3"/>
      <c r="G25" s="3"/>
      <c r="H25" s="3"/>
      <c r="I25" s="3"/>
      <c r="J25" s="3"/>
      <c r="K25" s="3"/>
      <c r="L25" s="3"/>
      <c r="M25" s="3"/>
      <c r="N25" s="3"/>
      <c r="O25" s="3">
        <v>0</v>
      </c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</row>
    <row r="26" spans="1:55">
      <c r="A26" s="1" t="str">
        <f>'Population Definitions'!$A$10</f>
        <v>65+_males</v>
      </c>
      <c r="C26" t="s">
        <v>36</v>
      </c>
      <c r="D26" s="3"/>
      <c r="E26" s="3">
        <v>0.004762828208101721</v>
      </c>
      <c r="F26" s="3"/>
      <c r="G26" s="3"/>
      <c r="H26" s="3"/>
      <c r="I26" s="3"/>
      <c r="J26" s="3"/>
      <c r="K26" s="3"/>
      <c r="L26" s="3"/>
      <c r="M26" s="3"/>
      <c r="N26" s="3"/>
      <c r="O26" s="3">
        <v>0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</row>
    <row r="27" spans="1:55">
      <c r="A27" s="1" t="str">
        <f>'Population Definitions'!$A$11</f>
        <v>65+_females</v>
      </c>
      <c r="C27" t="s">
        <v>36</v>
      </c>
      <c r="D27" s="3"/>
      <c r="E27" s="3">
        <v>0.004762828208101721</v>
      </c>
      <c r="F27" s="3"/>
      <c r="G27" s="3"/>
      <c r="H27" s="3"/>
      <c r="I27" s="3"/>
      <c r="J27" s="3"/>
      <c r="K27" s="3"/>
      <c r="L27" s="3"/>
      <c r="M27" s="3"/>
      <c r="N27" s="3"/>
      <c r="O27" s="3">
        <v>0</v>
      </c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</row>
    <row r="28" spans="1:55">
      <c r="A28" s="1" t="str">
        <f>'Population Definitions'!$A$12</f>
        <v>Prisoners_males</v>
      </c>
      <c r="C28" t="s">
        <v>36</v>
      </c>
      <c r="D28" s="3"/>
      <c r="E28" s="3">
        <v>0.004762828208101721</v>
      </c>
      <c r="F28" s="3"/>
      <c r="G28" s="3"/>
      <c r="H28" s="3"/>
      <c r="I28" s="3"/>
      <c r="J28" s="3"/>
      <c r="K28" s="3"/>
      <c r="L28" s="3"/>
      <c r="M28" s="3"/>
      <c r="N28" s="3"/>
      <c r="O28" s="3">
        <v>0</v>
      </c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</row>
    <row r="29" spans="1:55">
      <c r="A29" s="1" t="str">
        <f>'Population Definitions'!$A$13</f>
        <v>Prisoners_females</v>
      </c>
      <c r="C29" t="s">
        <v>36</v>
      </c>
      <c r="D29" s="3"/>
      <c r="E29" s="3">
        <v>0.004762828208101721</v>
      </c>
      <c r="F29" s="3"/>
      <c r="G29" s="3"/>
      <c r="H29" s="3"/>
      <c r="I29" s="3"/>
      <c r="J29" s="3"/>
      <c r="K29" s="3"/>
      <c r="L29" s="3"/>
      <c r="M29" s="3"/>
      <c r="N29" s="3"/>
      <c r="O29" s="3">
        <v>0</v>
      </c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</row>
    <row r="30" spans="1:55">
      <c r="A30" s="1" t="str">
        <f>'Population Definitions'!$A$14</f>
        <v>Prisoners_PWID_males</v>
      </c>
      <c r="C30" t="s">
        <v>36</v>
      </c>
      <c r="D30" s="3"/>
      <c r="E30" s="3">
        <v>0.171</v>
      </c>
      <c r="F30" s="3"/>
      <c r="G30" s="3"/>
      <c r="H30" s="3"/>
      <c r="I30" s="3"/>
      <c r="J30" s="3"/>
      <c r="K30" s="3"/>
      <c r="L30" s="3"/>
      <c r="M30" s="3"/>
      <c r="N30" s="3"/>
      <c r="O30" s="3">
        <v>0.171</v>
      </c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</row>
    <row r="31" spans="1:55">
      <c r="A31" s="1" t="str">
        <f>'Population Definitions'!$A$15</f>
        <v>Prisoners_PWID_females</v>
      </c>
      <c r="C31" t="s">
        <v>36</v>
      </c>
      <c r="D31" s="3"/>
      <c r="E31" s="3">
        <v>0.171</v>
      </c>
      <c r="F31" s="3"/>
      <c r="G31" s="3"/>
      <c r="H31" s="3"/>
      <c r="I31" s="3"/>
      <c r="J31" s="3"/>
      <c r="K31" s="3"/>
      <c r="L31" s="3"/>
      <c r="M31" s="3"/>
      <c r="N31" s="3"/>
      <c r="O31" s="3">
        <v>0.171</v>
      </c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</row>
    <row r="33" spans="1:57">
      <c r="A33" s="1" t="s">
        <v>37</v>
      </c>
      <c r="B33" s="1" t="s">
        <v>31</v>
      </c>
      <c r="C33" s="1" t="s">
        <v>32</v>
      </c>
      <c r="D33" s="1" t="s">
        <v>33</v>
      </c>
      <c r="E33" s="1" t="s">
        <v>38</v>
      </c>
      <c r="F33" s="1"/>
      <c r="G33" s="1">
        <v>2000</v>
      </c>
      <c r="H33" s="1">
        <v>2001</v>
      </c>
      <c r="I33" s="1">
        <v>2002</v>
      </c>
      <c r="J33" s="1">
        <v>2003</v>
      </c>
      <c r="K33" s="1">
        <v>2004</v>
      </c>
      <c r="L33" s="1">
        <v>2005</v>
      </c>
      <c r="M33" s="1">
        <v>2006</v>
      </c>
      <c r="N33" s="1">
        <v>2007</v>
      </c>
      <c r="O33" s="1">
        <v>2008</v>
      </c>
      <c r="P33" s="1">
        <v>2009</v>
      </c>
      <c r="Q33" s="1">
        <v>2010</v>
      </c>
      <c r="R33" s="1">
        <v>2011</v>
      </c>
      <c r="S33" s="1">
        <v>2012</v>
      </c>
      <c r="T33" s="1">
        <v>2013</v>
      </c>
      <c r="U33" s="1">
        <v>2014</v>
      </c>
      <c r="V33" s="1">
        <v>2015</v>
      </c>
      <c r="W33" s="1">
        <v>2016</v>
      </c>
      <c r="X33" s="1">
        <v>2017</v>
      </c>
      <c r="Y33" s="1">
        <v>2018</v>
      </c>
      <c r="Z33" s="1">
        <v>2019</v>
      </c>
      <c r="AA33" s="1">
        <v>2020</v>
      </c>
      <c r="AB33" s="1">
        <v>2021</v>
      </c>
      <c r="AC33" s="1">
        <v>2022</v>
      </c>
      <c r="AD33" s="1">
        <v>2023</v>
      </c>
      <c r="AE33" s="1">
        <v>2024</v>
      </c>
      <c r="AF33" s="1">
        <v>2025</v>
      </c>
      <c r="AG33" s="1">
        <v>2026</v>
      </c>
      <c r="AH33" s="1">
        <v>2027</v>
      </c>
      <c r="AI33" s="1">
        <v>2028</v>
      </c>
      <c r="AJ33" s="1">
        <v>2029</v>
      </c>
      <c r="AK33" s="1">
        <v>2030</v>
      </c>
      <c r="AL33" s="1">
        <v>2031</v>
      </c>
      <c r="AM33" s="1">
        <v>2032</v>
      </c>
      <c r="AN33" s="1">
        <v>2033</v>
      </c>
      <c r="AO33" s="1">
        <v>2034</v>
      </c>
      <c r="AP33" s="1">
        <v>2035</v>
      </c>
      <c r="AQ33" s="1">
        <v>2036</v>
      </c>
      <c r="AR33" s="1">
        <v>2037</v>
      </c>
      <c r="AS33" s="1">
        <v>2038</v>
      </c>
      <c r="AT33" s="1">
        <v>2039</v>
      </c>
      <c r="AU33" s="1">
        <v>2040</v>
      </c>
      <c r="AV33" s="1">
        <v>2041</v>
      </c>
      <c r="AW33" s="1">
        <v>2042</v>
      </c>
      <c r="AX33" s="1">
        <v>2043</v>
      </c>
      <c r="AY33" s="1">
        <v>2044</v>
      </c>
      <c r="AZ33" s="1">
        <v>2045</v>
      </c>
      <c r="BA33" s="1">
        <v>2046</v>
      </c>
      <c r="BB33" s="1">
        <v>2047</v>
      </c>
      <c r="BC33" s="1">
        <v>2048</v>
      </c>
      <c r="BD33" s="1">
        <v>2049</v>
      </c>
      <c r="BE33" s="1">
        <v>2050</v>
      </c>
    </row>
    <row r="34" spans="1:57">
      <c r="A34" s="1" t="str">
        <f>'Population Definitions'!$A$2</f>
        <v>PWID_males</v>
      </c>
      <c r="C34" t="s">
        <v>36</v>
      </c>
      <c r="D34" s="3"/>
      <c r="E34" s="3">
        <v>0.945</v>
      </c>
      <c r="F34" s="4" t="s">
        <v>39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</row>
    <row r="35" spans="1:57">
      <c r="A35" s="1" t="str">
        <f>'Population Definitions'!$A$3</f>
        <v>PWID_females</v>
      </c>
      <c r="C35" t="s">
        <v>36</v>
      </c>
      <c r="D35" s="3"/>
      <c r="E35" s="3">
        <v>0.945</v>
      </c>
      <c r="F35" s="4" t="s">
        <v>39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</row>
    <row r="36" spans="1:57">
      <c r="A36" s="1" t="str">
        <f>'Population Definitions'!$A$4</f>
        <v>0-9_males</v>
      </c>
      <c r="C36" t="s">
        <v>36</v>
      </c>
      <c r="D36" s="3"/>
      <c r="E36" s="3">
        <v>0.945</v>
      </c>
      <c r="F36" s="4" t="s">
        <v>39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</row>
    <row r="37" spans="1:57">
      <c r="A37" s="1" t="str">
        <f>'Population Definitions'!$A$5</f>
        <v>0-9_females</v>
      </c>
      <c r="C37" t="s">
        <v>36</v>
      </c>
      <c r="D37" s="3"/>
      <c r="E37" s="3">
        <v>0.945</v>
      </c>
      <c r="F37" s="4" t="s">
        <v>39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</row>
    <row r="38" spans="1:57">
      <c r="A38" s="1" t="str">
        <f>'Population Definitions'!$A$6</f>
        <v>10-17_males</v>
      </c>
      <c r="C38" t="s">
        <v>36</v>
      </c>
      <c r="D38" s="3"/>
      <c r="E38" s="3">
        <v>0.945</v>
      </c>
      <c r="F38" s="4" t="s">
        <v>39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</row>
    <row r="39" spans="1:57">
      <c r="A39" s="1" t="str">
        <f>'Population Definitions'!$A$7</f>
        <v>10-17_females</v>
      </c>
      <c r="C39" t="s">
        <v>36</v>
      </c>
      <c r="D39" s="3"/>
      <c r="E39" s="3">
        <v>0.945</v>
      </c>
      <c r="F39" s="4" t="s">
        <v>39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</row>
    <row r="40" spans="1:57">
      <c r="A40" s="1" t="str">
        <f>'Population Definitions'!$A$8</f>
        <v>18-64_males</v>
      </c>
      <c r="C40" t="s">
        <v>36</v>
      </c>
      <c r="D40" s="3"/>
      <c r="E40" s="3">
        <v>0.945</v>
      </c>
      <c r="F40" s="4" t="s">
        <v>39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</row>
    <row r="41" spans="1:57">
      <c r="A41" s="1" t="str">
        <f>'Population Definitions'!$A$9</f>
        <v>18-64_females</v>
      </c>
      <c r="C41" t="s">
        <v>36</v>
      </c>
      <c r="D41" s="3"/>
      <c r="E41" s="3">
        <v>0.945</v>
      </c>
      <c r="F41" s="4" t="s">
        <v>39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</row>
    <row r="42" spans="1:57">
      <c r="A42" s="1" t="str">
        <f>'Population Definitions'!$A$10</f>
        <v>65+_males</v>
      </c>
      <c r="C42" t="s">
        <v>36</v>
      </c>
      <c r="D42" s="3"/>
      <c r="E42" s="3">
        <v>0.945</v>
      </c>
      <c r="F42" s="4" t="s">
        <v>39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</row>
    <row r="43" spans="1:57">
      <c r="A43" s="1" t="str">
        <f>'Population Definitions'!$A$11</f>
        <v>65+_females</v>
      </c>
      <c r="C43" t="s">
        <v>36</v>
      </c>
      <c r="D43" s="3"/>
      <c r="E43" s="3">
        <v>0.945</v>
      </c>
      <c r="F43" s="4" t="s">
        <v>39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</row>
    <row r="44" spans="1:57">
      <c r="A44" s="1" t="str">
        <f>'Population Definitions'!$A$12</f>
        <v>Prisoners_males</v>
      </c>
      <c r="C44" t="s">
        <v>36</v>
      </c>
      <c r="D44" s="3"/>
      <c r="E44" s="3">
        <v>0.945</v>
      </c>
      <c r="F44" s="4" t="s">
        <v>39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</row>
    <row r="45" spans="1:57">
      <c r="A45" s="1" t="str">
        <f>'Population Definitions'!$A$13</f>
        <v>Prisoners_females</v>
      </c>
      <c r="C45" t="s">
        <v>36</v>
      </c>
      <c r="D45" s="3"/>
      <c r="E45" s="3">
        <v>0.945</v>
      </c>
      <c r="F45" s="4" t="s">
        <v>39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</row>
    <row r="46" spans="1:57">
      <c r="A46" s="1" t="str">
        <f>'Population Definitions'!$A$14</f>
        <v>Prisoners_PWID_males</v>
      </c>
      <c r="C46" t="s">
        <v>36</v>
      </c>
      <c r="D46" s="3"/>
      <c r="E46" s="3">
        <v>0.945</v>
      </c>
      <c r="F46" s="4" t="s">
        <v>39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</row>
    <row r="47" spans="1:57">
      <c r="A47" s="1" t="str">
        <f>'Population Definitions'!$A$15</f>
        <v>Prisoners_PWID_females</v>
      </c>
      <c r="C47" t="s">
        <v>36</v>
      </c>
      <c r="D47" s="3"/>
      <c r="E47" s="3">
        <v>0.945</v>
      </c>
      <c r="F47" s="4" t="s">
        <v>39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</row>
    <row r="49" spans="1:57">
      <c r="A49" s="1" t="s">
        <v>40</v>
      </c>
      <c r="B49" s="1" t="s">
        <v>31</v>
      </c>
      <c r="C49" s="1" t="s">
        <v>32</v>
      </c>
      <c r="D49" s="1" t="s">
        <v>33</v>
      </c>
      <c r="E49" s="1" t="s">
        <v>38</v>
      </c>
      <c r="F49" s="1"/>
      <c r="G49" s="1">
        <v>2000</v>
      </c>
      <c r="H49" s="1">
        <v>2001</v>
      </c>
      <c r="I49" s="1">
        <v>2002</v>
      </c>
      <c r="J49" s="1">
        <v>2003</v>
      </c>
      <c r="K49" s="1">
        <v>2004</v>
      </c>
      <c r="L49" s="1">
        <v>2005</v>
      </c>
      <c r="M49" s="1">
        <v>2006</v>
      </c>
      <c r="N49" s="1">
        <v>2007</v>
      </c>
      <c r="O49" s="1">
        <v>2008</v>
      </c>
      <c r="P49" s="1">
        <v>2009</v>
      </c>
      <c r="Q49" s="1">
        <v>2010</v>
      </c>
      <c r="R49" s="1">
        <v>2011</v>
      </c>
      <c r="S49" s="1">
        <v>2012</v>
      </c>
      <c r="T49" s="1">
        <v>2013</v>
      </c>
      <c r="U49" s="1">
        <v>2014</v>
      </c>
      <c r="V49" s="1">
        <v>2015</v>
      </c>
      <c r="W49" s="1">
        <v>2016</v>
      </c>
      <c r="X49" s="1">
        <v>2017</v>
      </c>
      <c r="Y49" s="1">
        <v>2018</v>
      </c>
      <c r="Z49" s="1">
        <v>2019</v>
      </c>
      <c r="AA49" s="1">
        <v>2020</v>
      </c>
      <c r="AB49" s="1">
        <v>2021</v>
      </c>
      <c r="AC49" s="1">
        <v>2022</v>
      </c>
      <c r="AD49" s="1">
        <v>2023</v>
      </c>
      <c r="AE49" s="1">
        <v>2024</v>
      </c>
      <c r="AF49" s="1">
        <v>2025</v>
      </c>
      <c r="AG49" s="1">
        <v>2026</v>
      </c>
      <c r="AH49" s="1">
        <v>2027</v>
      </c>
      <c r="AI49" s="1">
        <v>2028</v>
      </c>
      <c r="AJ49" s="1">
        <v>2029</v>
      </c>
      <c r="AK49" s="1">
        <v>2030</v>
      </c>
      <c r="AL49" s="1">
        <v>2031</v>
      </c>
      <c r="AM49" s="1">
        <v>2032</v>
      </c>
      <c r="AN49" s="1">
        <v>2033</v>
      </c>
      <c r="AO49" s="1">
        <v>2034</v>
      </c>
      <c r="AP49" s="1">
        <v>2035</v>
      </c>
      <c r="AQ49" s="1">
        <v>2036</v>
      </c>
      <c r="AR49" s="1">
        <v>2037</v>
      </c>
      <c r="AS49" s="1">
        <v>2038</v>
      </c>
      <c r="AT49" s="1">
        <v>2039</v>
      </c>
      <c r="AU49" s="1">
        <v>2040</v>
      </c>
      <c r="AV49" s="1">
        <v>2041</v>
      </c>
      <c r="AW49" s="1">
        <v>2042</v>
      </c>
      <c r="AX49" s="1">
        <v>2043</v>
      </c>
      <c r="AY49" s="1">
        <v>2044</v>
      </c>
      <c r="AZ49" s="1">
        <v>2045</v>
      </c>
      <c r="BA49" s="1">
        <v>2046</v>
      </c>
      <c r="BB49" s="1">
        <v>2047</v>
      </c>
      <c r="BC49" s="1">
        <v>2048</v>
      </c>
      <c r="BD49" s="1">
        <v>2049</v>
      </c>
      <c r="BE49" s="1">
        <v>2050</v>
      </c>
    </row>
    <row r="50" spans="1:57">
      <c r="A50" s="1" t="str">
        <f>'Population Definitions'!$A$2</f>
        <v>PWID_males</v>
      </c>
      <c r="C50" t="s">
        <v>36</v>
      </c>
      <c r="D50" s="3"/>
      <c r="E50" s="3">
        <v>0.03</v>
      </c>
      <c r="F50" s="4" t="s">
        <v>39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</row>
    <row r="51" spans="1:57">
      <c r="A51" s="1" t="str">
        <f>'Population Definitions'!$A$3</f>
        <v>PWID_females</v>
      </c>
      <c r="C51" t="s">
        <v>36</v>
      </c>
      <c r="D51" s="3"/>
      <c r="E51" s="3">
        <v>0.03</v>
      </c>
      <c r="F51" s="4" t="s">
        <v>39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</row>
    <row r="52" spans="1:57">
      <c r="A52" s="1" t="str">
        <f>'Population Definitions'!$A$4</f>
        <v>0-9_males</v>
      </c>
      <c r="C52" t="s">
        <v>36</v>
      </c>
      <c r="D52" s="3"/>
      <c r="E52" s="3">
        <v>0.03</v>
      </c>
      <c r="F52" s="4" t="s">
        <v>39</v>
      </c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</row>
    <row r="53" spans="1:57">
      <c r="A53" s="1" t="str">
        <f>'Population Definitions'!$A$5</f>
        <v>0-9_females</v>
      </c>
      <c r="C53" t="s">
        <v>36</v>
      </c>
      <c r="D53" s="3"/>
      <c r="E53" s="3">
        <v>0.03</v>
      </c>
      <c r="F53" s="4" t="s">
        <v>39</v>
      </c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</row>
    <row r="54" spans="1:57">
      <c r="A54" s="1" t="str">
        <f>'Population Definitions'!$A$6</f>
        <v>10-17_males</v>
      </c>
      <c r="C54" t="s">
        <v>36</v>
      </c>
      <c r="D54" s="3"/>
      <c r="E54" s="3">
        <v>0.03</v>
      </c>
      <c r="F54" s="4" t="s">
        <v>39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</row>
    <row r="55" spans="1:57">
      <c r="A55" s="1" t="str">
        <f>'Population Definitions'!$A$7</f>
        <v>10-17_females</v>
      </c>
      <c r="C55" t="s">
        <v>36</v>
      </c>
      <c r="D55" s="3"/>
      <c r="E55" s="3">
        <v>0.03</v>
      </c>
      <c r="F55" s="4" t="s">
        <v>39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</row>
    <row r="56" spans="1:57">
      <c r="A56" s="1" t="str">
        <f>'Population Definitions'!$A$8</f>
        <v>18-64_males</v>
      </c>
      <c r="C56" t="s">
        <v>36</v>
      </c>
      <c r="D56" s="3"/>
      <c r="E56" s="3">
        <v>0.03</v>
      </c>
      <c r="F56" s="4" t="s">
        <v>39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</row>
    <row r="57" spans="1:57">
      <c r="A57" s="1" t="str">
        <f>'Population Definitions'!$A$9</f>
        <v>18-64_females</v>
      </c>
      <c r="C57" t="s">
        <v>36</v>
      </c>
      <c r="D57" s="3"/>
      <c r="E57" s="3">
        <v>0.03</v>
      </c>
      <c r="F57" s="4" t="s">
        <v>39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</row>
    <row r="58" spans="1:57">
      <c r="A58" s="1" t="str">
        <f>'Population Definitions'!$A$10</f>
        <v>65+_males</v>
      </c>
      <c r="C58" t="s">
        <v>36</v>
      </c>
      <c r="D58" s="3"/>
      <c r="E58" s="3">
        <v>0.03</v>
      </c>
      <c r="F58" s="4" t="s">
        <v>39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</row>
    <row r="59" spans="1:57">
      <c r="A59" s="1" t="str">
        <f>'Population Definitions'!$A$11</f>
        <v>65+_females</v>
      </c>
      <c r="C59" t="s">
        <v>36</v>
      </c>
      <c r="D59" s="3"/>
      <c r="E59" s="3">
        <v>0.03</v>
      </c>
      <c r="F59" s="4" t="s">
        <v>39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</row>
    <row r="60" spans="1:57">
      <c r="A60" s="1" t="str">
        <f>'Population Definitions'!$A$12</f>
        <v>Prisoners_males</v>
      </c>
      <c r="C60" t="s">
        <v>36</v>
      </c>
      <c r="D60" s="3"/>
      <c r="E60" s="3">
        <v>0.03</v>
      </c>
      <c r="F60" s="4" t="s">
        <v>39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</row>
    <row r="61" spans="1:57">
      <c r="A61" s="1" t="str">
        <f>'Population Definitions'!$A$13</f>
        <v>Prisoners_females</v>
      </c>
      <c r="C61" t="s">
        <v>36</v>
      </c>
      <c r="D61" s="3"/>
      <c r="E61" s="3">
        <v>0.03</v>
      </c>
      <c r="F61" s="4" t="s">
        <v>39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</row>
    <row r="62" spans="1:57">
      <c r="A62" s="1" t="str">
        <f>'Population Definitions'!$A$14</f>
        <v>Prisoners_PWID_males</v>
      </c>
      <c r="C62" t="s">
        <v>36</v>
      </c>
      <c r="D62" s="3"/>
      <c r="E62" s="3">
        <v>0.03</v>
      </c>
      <c r="F62" s="4" t="s">
        <v>39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</row>
    <row r="63" spans="1:57">
      <c r="A63" s="1" t="str">
        <f>'Population Definitions'!$A$15</f>
        <v>Prisoners_PWID_females</v>
      </c>
      <c r="C63" t="s">
        <v>36</v>
      </c>
      <c r="D63" s="3"/>
      <c r="E63" s="3">
        <v>0.03</v>
      </c>
      <c r="F63" s="4" t="s">
        <v>39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</row>
    <row r="65" spans="1:57">
      <c r="A65" s="1" t="s">
        <v>41</v>
      </c>
      <c r="B65" s="1" t="s">
        <v>31</v>
      </c>
      <c r="C65" s="1" t="s">
        <v>32</v>
      </c>
      <c r="D65" s="1" t="s">
        <v>33</v>
      </c>
      <c r="E65" s="1" t="s">
        <v>38</v>
      </c>
      <c r="F65" s="1"/>
      <c r="G65" s="1">
        <v>2000</v>
      </c>
      <c r="H65" s="1">
        <v>2001</v>
      </c>
      <c r="I65" s="1">
        <v>2002</v>
      </c>
      <c r="J65" s="1">
        <v>2003</v>
      </c>
      <c r="K65" s="1">
        <v>2004</v>
      </c>
      <c r="L65" s="1">
        <v>2005</v>
      </c>
      <c r="M65" s="1">
        <v>2006</v>
      </c>
      <c r="N65" s="1">
        <v>2007</v>
      </c>
      <c r="O65" s="1">
        <v>2008</v>
      </c>
      <c r="P65" s="1">
        <v>2009</v>
      </c>
      <c r="Q65" s="1">
        <v>2010</v>
      </c>
      <c r="R65" s="1">
        <v>2011</v>
      </c>
      <c r="S65" s="1">
        <v>2012</v>
      </c>
      <c r="T65" s="1">
        <v>2013</v>
      </c>
      <c r="U65" s="1">
        <v>2014</v>
      </c>
      <c r="V65" s="1">
        <v>2015</v>
      </c>
      <c r="W65" s="1">
        <v>2016</v>
      </c>
      <c r="X65" s="1">
        <v>2017</v>
      </c>
      <c r="Y65" s="1">
        <v>2018</v>
      </c>
      <c r="Z65" s="1">
        <v>2019</v>
      </c>
      <c r="AA65" s="1">
        <v>2020</v>
      </c>
      <c r="AB65" s="1">
        <v>2021</v>
      </c>
      <c r="AC65" s="1">
        <v>2022</v>
      </c>
      <c r="AD65" s="1">
        <v>2023</v>
      </c>
      <c r="AE65" s="1">
        <v>2024</v>
      </c>
      <c r="AF65" s="1">
        <v>2025</v>
      </c>
      <c r="AG65" s="1">
        <v>2026</v>
      </c>
      <c r="AH65" s="1">
        <v>2027</v>
      </c>
      <c r="AI65" s="1">
        <v>2028</v>
      </c>
      <c r="AJ65" s="1">
        <v>2029</v>
      </c>
      <c r="AK65" s="1">
        <v>2030</v>
      </c>
      <c r="AL65" s="1">
        <v>2031</v>
      </c>
      <c r="AM65" s="1">
        <v>2032</v>
      </c>
      <c r="AN65" s="1">
        <v>2033</v>
      </c>
      <c r="AO65" s="1">
        <v>2034</v>
      </c>
      <c r="AP65" s="1">
        <v>2035</v>
      </c>
      <c r="AQ65" s="1">
        <v>2036</v>
      </c>
      <c r="AR65" s="1">
        <v>2037</v>
      </c>
      <c r="AS65" s="1">
        <v>2038</v>
      </c>
      <c r="AT65" s="1">
        <v>2039</v>
      </c>
      <c r="AU65" s="1">
        <v>2040</v>
      </c>
      <c r="AV65" s="1">
        <v>2041</v>
      </c>
      <c r="AW65" s="1">
        <v>2042</v>
      </c>
      <c r="AX65" s="1">
        <v>2043</v>
      </c>
      <c r="AY65" s="1">
        <v>2044</v>
      </c>
      <c r="AZ65" s="1">
        <v>2045</v>
      </c>
      <c r="BA65" s="1">
        <v>2046</v>
      </c>
      <c r="BB65" s="1">
        <v>2047</v>
      </c>
      <c r="BC65" s="1">
        <v>2048</v>
      </c>
      <c r="BD65" s="1">
        <v>2049</v>
      </c>
      <c r="BE65" s="1">
        <v>2050</v>
      </c>
    </row>
    <row r="66" spans="1:57">
      <c r="A66" s="1" t="str">
        <f>'Population Definitions'!$A$2</f>
        <v>PWID_males</v>
      </c>
      <c r="C66" t="s">
        <v>36</v>
      </c>
      <c r="D66" s="3"/>
      <c r="E66" s="3">
        <v>0.02</v>
      </c>
      <c r="F66" s="4" t="s">
        <v>39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</row>
    <row r="67" spans="1:57">
      <c r="A67" s="1" t="str">
        <f>'Population Definitions'!$A$3</f>
        <v>PWID_females</v>
      </c>
      <c r="C67" t="s">
        <v>36</v>
      </c>
      <c r="D67" s="3"/>
      <c r="E67" s="3">
        <v>0.02</v>
      </c>
      <c r="F67" s="4" t="s">
        <v>39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</row>
    <row r="68" spans="1:57">
      <c r="A68" s="1" t="str">
        <f>'Population Definitions'!$A$4</f>
        <v>0-9_males</v>
      </c>
      <c r="C68" t="s">
        <v>36</v>
      </c>
      <c r="D68" s="3"/>
      <c r="E68" s="3">
        <v>0.02</v>
      </c>
      <c r="F68" s="4" t="s">
        <v>39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</row>
    <row r="69" spans="1:57">
      <c r="A69" s="1" t="str">
        <f>'Population Definitions'!$A$5</f>
        <v>0-9_females</v>
      </c>
      <c r="C69" t="s">
        <v>36</v>
      </c>
      <c r="D69" s="3"/>
      <c r="E69" s="3">
        <v>0.02</v>
      </c>
      <c r="F69" s="4" t="s">
        <v>39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</row>
    <row r="70" spans="1:57">
      <c r="A70" s="1" t="str">
        <f>'Population Definitions'!$A$6</f>
        <v>10-17_males</v>
      </c>
      <c r="C70" t="s">
        <v>36</v>
      </c>
      <c r="D70" s="3"/>
      <c r="E70" s="3">
        <v>0.02</v>
      </c>
      <c r="F70" s="4" t="s">
        <v>39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</row>
    <row r="71" spans="1:57">
      <c r="A71" s="1" t="str">
        <f>'Population Definitions'!$A$7</f>
        <v>10-17_females</v>
      </c>
      <c r="C71" t="s">
        <v>36</v>
      </c>
      <c r="D71" s="3"/>
      <c r="E71" s="3">
        <v>0.02</v>
      </c>
      <c r="F71" s="4" t="s">
        <v>39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</row>
    <row r="72" spans="1:57">
      <c r="A72" s="1" t="str">
        <f>'Population Definitions'!$A$8</f>
        <v>18-64_males</v>
      </c>
      <c r="C72" t="s">
        <v>36</v>
      </c>
      <c r="D72" s="3"/>
      <c r="E72" s="3">
        <v>0.02</v>
      </c>
      <c r="F72" s="4" t="s">
        <v>39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</row>
    <row r="73" spans="1:57">
      <c r="A73" s="1" t="str">
        <f>'Population Definitions'!$A$9</f>
        <v>18-64_females</v>
      </c>
      <c r="C73" t="s">
        <v>36</v>
      </c>
      <c r="D73" s="3"/>
      <c r="E73" s="3">
        <v>0.02</v>
      </c>
      <c r="F73" s="4" t="s">
        <v>39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</row>
    <row r="74" spans="1:57">
      <c r="A74" s="1" t="str">
        <f>'Population Definitions'!$A$10</f>
        <v>65+_males</v>
      </c>
      <c r="C74" t="s">
        <v>36</v>
      </c>
      <c r="D74" s="3"/>
      <c r="E74" s="3">
        <v>0.02</v>
      </c>
      <c r="F74" s="4" t="s">
        <v>39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</row>
    <row r="75" spans="1:57">
      <c r="A75" s="1" t="str">
        <f>'Population Definitions'!$A$11</f>
        <v>65+_females</v>
      </c>
      <c r="C75" t="s">
        <v>36</v>
      </c>
      <c r="D75" s="3"/>
      <c r="E75" s="3">
        <v>0.02</v>
      </c>
      <c r="F75" s="4" t="s">
        <v>39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</row>
    <row r="76" spans="1:57">
      <c r="A76" s="1" t="str">
        <f>'Population Definitions'!$A$12</f>
        <v>Prisoners_males</v>
      </c>
      <c r="C76" t="s">
        <v>36</v>
      </c>
      <c r="D76" s="3"/>
      <c r="E76" s="3">
        <v>0.02</v>
      </c>
      <c r="F76" s="4" t="s">
        <v>39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</row>
    <row r="77" spans="1:57">
      <c r="A77" s="1" t="str">
        <f>'Population Definitions'!$A$13</f>
        <v>Prisoners_females</v>
      </c>
      <c r="C77" t="s">
        <v>36</v>
      </c>
      <c r="D77" s="3"/>
      <c r="E77" s="3">
        <v>0.02</v>
      </c>
      <c r="F77" s="4" t="s">
        <v>39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</row>
    <row r="78" spans="1:57">
      <c r="A78" s="1" t="str">
        <f>'Population Definitions'!$A$14</f>
        <v>Prisoners_PWID_males</v>
      </c>
      <c r="C78" t="s">
        <v>36</v>
      </c>
      <c r="D78" s="3"/>
      <c r="E78" s="3">
        <v>0.02</v>
      </c>
      <c r="F78" s="4" t="s">
        <v>39</v>
      </c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/>
      <c r="BC78" s="3"/>
      <c r="BD78" s="3"/>
      <c r="BE78" s="3"/>
    </row>
    <row r="79" spans="1:57">
      <c r="A79" s="1" t="str">
        <f>'Population Definitions'!$A$15</f>
        <v>Prisoners_PWID_females</v>
      </c>
      <c r="C79" t="s">
        <v>36</v>
      </c>
      <c r="D79" s="3"/>
      <c r="E79" s="3">
        <v>0.02</v>
      </c>
      <c r="F79" s="4" t="s">
        <v>39</v>
      </c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3"/>
      <c r="BC79" s="3"/>
      <c r="BD79" s="3"/>
      <c r="BE79" s="3"/>
    </row>
    <row r="81" spans="1:57">
      <c r="A81" s="1" t="s">
        <v>42</v>
      </c>
      <c r="B81" s="1" t="s">
        <v>31</v>
      </c>
      <c r="C81" s="1" t="s">
        <v>32</v>
      </c>
      <c r="D81" s="1" t="s">
        <v>33</v>
      </c>
      <c r="E81" s="1" t="s">
        <v>38</v>
      </c>
      <c r="F81" s="1"/>
      <c r="G81" s="1">
        <v>2000</v>
      </c>
      <c r="H81" s="1">
        <v>2001</v>
      </c>
      <c r="I81" s="1">
        <v>2002</v>
      </c>
      <c r="J81" s="1">
        <v>2003</v>
      </c>
      <c r="K81" s="1">
        <v>2004</v>
      </c>
      <c r="L81" s="1">
        <v>2005</v>
      </c>
      <c r="M81" s="1">
        <v>2006</v>
      </c>
      <c r="N81" s="1">
        <v>2007</v>
      </c>
      <c r="O81" s="1">
        <v>2008</v>
      </c>
      <c r="P81" s="1">
        <v>2009</v>
      </c>
      <c r="Q81" s="1">
        <v>2010</v>
      </c>
      <c r="R81" s="1">
        <v>2011</v>
      </c>
      <c r="S81" s="1">
        <v>2012</v>
      </c>
      <c r="T81" s="1">
        <v>2013</v>
      </c>
      <c r="U81" s="1">
        <v>2014</v>
      </c>
      <c r="V81" s="1">
        <v>2015</v>
      </c>
      <c r="W81" s="1">
        <v>2016</v>
      </c>
      <c r="X81" s="1">
        <v>2017</v>
      </c>
      <c r="Y81" s="1">
        <v>2018</v>
      </c>
      <c r="Z81" s="1">
        <v>2019</v>
      </c>
      <c r="AA81" s="1">
        <v>2020</v>
      </c>
      <c r="AB81" s="1">
        <v>2021</v>
      </c>
      <c r="AC81" s="1">
        <v>2022</v>
      </c>
      <c r="AD81" s="1">
        <v>2023</v>
      </c>
      <c r="AE81" s="1">
        <v>2024</v>
      </c>
      <c r="AF81" s="1">
        <v>2025</v>
      </c>
      <c r="AG81" s="1">
        <v>2026</v>
      </c>
      <c r="AH81" s="1">
        <v>2027</v>
      </c>
      <c r="AI81" s="1">
        <v>2028</v>
      </c>
      <c r="AJ81" s="1">
        <v>2029</v>
      </c>
      <c r="AK81" s="1">
        <v>2030</v>
      </c>
      <c r="AL81" s="1">
        <v>2031</v>
      </c>
      <c r="AM81" s="1">
        <v>2032</v>
      </c>
      <c r="AN81" s="1">
        <v>2033</v>
      </c>
      <c r="AO81" s="1">
        <v>2034</v>
      </c>
      <c r="AP81" s="1">
        <v>2035</v>
      </c>
      <c r="AQ81" s="1">
        <v>2036</v>
      </c>
      <c r="AR81" s="1">
        <v>2037</v>
      </c>
      <c r="AS81" s="1">
        <v>2038</v>
      </c>
      <c r="AT81" s="1">
        <v>2039</v>
      </c>
      <c r="AU81" s="1">
        <v>2040</v>
      </c>
      <c r="AV81" s="1">
        <v>2041</v>
      </c>
      <c r="AW81" s="1">
        <v>2042</v>
      </c>
      <c r="AX81" s="1">
        <v>2043</v>
      </c>
      <c r="AY81" s="1">
        <v>2044</v>
      </c>
      <c r="AZ81" s="1">
        <v>2045</v>
      </c>
      <c r="BA81" s="1">
        <v>2046</v>
      </c>
      <c r="BB81" s="1">
        <v>2047</v>
      </c>
      <c r="BC81" s="1">
        <v>2048</v>
      </c>
      <c r="BD81" s="1">
        <v>2049</v>
      </c>
      <c r="BE81" s="1">
        <v>2050</v>
      </c>
    </row>
    <row r="82" spans="1:57">
      <c r="A82" s="1" t="str">
        <f>'Population Definitions'!$A$2</f>
        <v>PWID_males</v>
      </c>
      <c r="C82" t="s">
        <v>36</v>
      </c>
      <c r="D82" s="3"/>
      <c r="E82" s="3">
        <v>0.0045</v>
      </c>
      <c r="F82" s="4" t="s">
        <v>39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</row>
    <row r="83" spans="1:57">
      <c r="A83" s="1" t="str">
        <f>'Population Definitions'!$A$3</f>
        <v>PWID_females</v>
      </c>
      <c r="C83" t="s">
        <v>36</v>
      </c>
      <c r="D83" s="3"/>
      <c r="E83" s="3">
        <v>0.0045</v>
      </c>
      <c r="F83" s="4" t="s">
        <v>39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</row>
    <row r="84" spans="1:57">
      <c r="A84" s="1" t="str">
        <f>'Population Definitions'!$A$4</f>
        <v>0-9_males</v>
      </c>
      <c r="C84" t="s">
        <v>36</v>
      </c>
      <c r="D84" s="3"/>
      <c r="E84" s="3">
        <v>0.0045</v>
      </c>
      <c r="F84" s="4" t="s">
        <v>39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</row>
    <row r="85" spans="1:57">
      <c r="A85" s="1" t="str">
        <f>'Population Definitions'!$A$5</f>
        <v>0-9_females</v>
      </c>
      <c r="C85" t="s">
        <v>36</v>
      </c>
      <c r="D85" s="3"/>
      <c r="E85" s="3">
        <v>0.0045</v>
      </c>
      <c r="F85" s="4" t="s">
        <v>39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</row>
    <row r="86" spans="1:57">
      <c r="A86" s="1" t="str">
        <f>'Population Definitions'!$A$6</f>
        <v>10-17_males</v>
      </c>
      <c r="C86" t="s">
        <v>36</v>
      </c>
      <c r="D86" s="3"/>
      <c r="E86" s="3">
        <v>0.0045</v>
      </c>
      <c r="F86" s="4" t="s">
        <v>39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</row>
    <row r="87" spans="1:57">
      <c r="A87" s="1" t="str">
        <f>'Population Definitions'!$A$7</f>
        <v>10-17_females</v>
      </c>
      <c r="C87" t="s">
        <v>36</v>
      </c>
      <c r="D87" s="3"/>
      <c r="E87" s="3">
        <v>0.0045</v>
      </c>
      <c r="F87" s="4" t="s">
        <v>39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</row>
    <row r="88" spans="1:57">
      <c r="A88" s="1" t="str">
        <f>'Population Definitions'!$A$8</f>
        <v>18-64_males</v>
      </c>
      <c r="C88" t="s">
        <v>36</v>
      </c>
      <c r="D88" s="3"/>
      <c r="E88" s="3">
        <v>0.0045</v>
      </c>
      <c r="F88" s="4" t="s">
        <v>39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</row>
    <row r="89" spans="1:57">
      <c r="A89" s="1" t="str">
        <f>'Population Definitions'!$A$9</f>
        <v>18-64_females</v>
      </c>
      <c r="C89" t="s">
        <v>36</v>
      </c>
      <c r="D89" s="3"/>
      <c r="E89" s="3">
        <v>0.0045</v>
      </c>
      <c r="F89" s="4" t="s">
        <v>39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</row>
    <row r="90" spans="1:57">
      <c r="A90" s="1" t="str">
        <f>'Population Definitions'!$A$10</f>
        <v>65+_males</v>
      </c>
      <c r="C90" t="s">
        <v>36</v>
      </c>
      <c r="D90" s="3"/>
      <c r="E90" s="3">
        <v>0.0045</v>
      </c>
      <c r="F90" s="4" t="s">
        <v>39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</row>
    <row r="91" spans="1:57">
      <c r="A91" s="1" t="str">
        <f>'Population Definitions'!$A$11</f>
        <v>65+_females</v>
      </c>
      <c r="C91" t="s">
        <v>36</v>
      </c>
      <c r="D91" s="3"/>
      <c r="E91" s="3">
        <v>0.0045</v>
      </c>
      <c r="F91" s="4" t="s">
        <v>39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</row>
    <row r="92" spans="1:57">
      <c r="A92" s="1" t="str">
        <f>'Population Definitions'!$A$12</f>
        <v>Prisoners_males</v>
      </c>
      <c r="C92" t="s">
        <v>36</v>
      </c>
      <c r="D92" s="3"/>
      <c r="E92" s="3">
        <v>0.0045</v>
      </c>
      <c r="F92" s="4" t="s">
        <v>39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</row>
    <row r="93" spans="1:57">
      <c r="A93" s="1" t="str">
        <f>'Population Definitions'!$A$13</f>
        <v>Prisoners_females</v>
      </c>
      <c r="C93" t="s">
        <v>36</v>
      </c>
      <c r="D93" s="3"/>
      <c r="E93" s="3">
        <v>0.0045</v>
      </c>
      <c r="F93" s="4" t="s">
        <v>39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</row>
    <row r="94" spans="1:57">
      <c r="A94" s="1" t="str">
        <f>'Population Definitions'!$A$14</f>
        <v>Prisoners_PWID_males</v>
      </c>
      <c r="C94" t="s">
        <v>36</v>
      </c>
      <c r="D94" s="3"/>
      <c r="E94" s="3">
        <v>0.0045</v>
      </c>
      <c r="F94" s="4" t="s">
        <v>39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</row>
    <row r="95" spans="1:57">
      <c r="A95" s="1" t="str">
        <f>'Population Definitions'!$A$15</f>
        <v>Prisoners_PWID_females</v>
      </c>
      <c r="C95" t="s">
        <v>36</v>
      </c>
      <c r="D95" s="3"/>
      <c r="E95" s="3">
        <v>0.0045</v>
      </c>
      <c r="F95" s="4" t="s">
        <v>39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</row>
    <row r="97" spans="1:57">
      <c r="A97" s="1" t="s">
        <v>43</v>
      </c>
      <c r="B97" s="1" t="s">
        <v>31</v>
      </c>
      <c r="C97" s="1" t="s">
        <v>32</v>
      </c>
      <c r="D97" s="1" t="s">
        <v>33</v>
      </c>
      <c r="E97" s="1" t="s">
        <v>38</v>
      </c>
      <c r="F97" s="1"/>
      <c r="G97" s="1">
        <v>2000</v>
      </c>
      <c r="H97" s="1">
        <v>2001</v>
      </c>
      <c r="I97" s="1">
        <v>2002</v>
      </c>
      <c r="J97" s="1">
        <v>2003</v>
      </c>
      <c r="K97" s="1">
        <v>2004</v>
      </c>
      <c r="L97" s="1">
        <v>2005</v>
      </c>
      <c r="M97" s="1">
        <v>2006</v>
      </c>
      <c r="N97" s="1">
        <v>2007</v>
      </c>
      <c r="O97" s="1">
        <v>2008</v>
      </c>
      <c r="P97" s="1">
        <v>2009</v>
      </c>
      <c r="Q97" s="1">
        <v>2010</v>
      </c>
      <c r="R97" s="1">
        <v>2011</v>
      </c>
      <c r="S97" s="1">
        <v>2012</v>
      </c>
      <c r="T97" s="1">
        <v>2013</v>
      </c>
      <c r="U97" s="1">
        <v>2014</v>
      </c>
      <c r="V97" s="1">
        <v>2015</v>
      </c>
      <c r="W97" s="1">
        <v>2016</v>
      </c>
      <c r="X97" s="1">
        <v>2017</v>
      </c>
      <c r="Y97" s="1">
        <v>2018</v>
      </c>
      <c r="Z97" s="1">
        <v>2019</v>
      </c>
      <c r="AA97" s="1">
        <v>2020</v>
      </c>
      <c r="AB97" s="1">
        <v>2021</v>
      </c>
      <c r="AC97" s="1">
        <v>2022</v>
      </c>
      <c r="AD97" s="1">
        <v>2023</v>
      </c>
      <c r="AE97" s="1">
        <v>2024</v>
      </c>
      <c r="AF97" s="1">
        <v>2025</v>
      </c>
      <c r="AG97" s="1">
        <v>2026</v>
      </c>
      <c r="AH97" s="1">
        <v>2027</v>
      </c>
      <c r="AI97" s="1">
        <v>2028</v>
      </c>
      <c r="AJ97" s="1">
        <v>2029</v>
      </c>
      <c r="AK97" s="1">
        <v>2030</v>
      </c>
      <c r="AL97" s="1">
        <v>2031</v>
      </c>
      <c r="AM97" s="1">
        <v>2032</v>
      </c>
      <c r="AN97" s="1">
        <v>2033</v>
      </c>
      <c r="AO97" s="1">
        <v>2034</v>
      </c>
      <c r="AP97" s="1">
        <v>2035</v>
      </c>
      <c r="AQ97" s="1">
        <v>2036</v>
      </c>
      <c r="AR97" s="1">
        <v>2037</v>
      </c>
      <c r="AS97" s="1">
        <v>2038</v>
      </c>
      <c r="AT97" s="1">
        <v>2039</v>
      </c>
      <c r="AU97" s="1">
        <v>2040</v>
      </c>
      <c r="AV97" s="1">
        <v>2041</v>
      </c>
      <c r="AW97" s="1">
        <v>2042</v>
      </c>
      <c r="AX97" s="1">
        <v>2043</v>
      </c>
      <c r="AY97" s="1">
        <v>2044</v>
      </c>
      <c r="AZ97" s="1">
        <v>2045</v>
      </c>
      <c r="BA97" s="1">
        <v>2046</v>
      </c>
      <c r="BB97" s="1">
        <v>2047</v>
      </c>
      <c r="BC97" s="1">
        <v>2048</v>
      </c>
      <c r="BD97" s="1">
        <v>2049</v>
      </c>
      <c r="BE97" s="1">
        <v>2050</v>
      </c>
    </row>
    <row r="98" spans="1:57">
      <c r="A98" s="1" t="str">
        <f>'Population Definitions'!$A$2</f>
        <v>PWID_males</v>
      </c>
      <c r="C98" t="s">
        <v>36</v>
      </c>
      <c r="D98" s="3"/>
      <c r="E98" s="3">
        <v>0.000500000000000056</v>
      </c>
      <c r="F98" s="4" t="s">
        <v>39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</row>
    <row r="99" spans="1:57">
      <c r="A99" s="1" t="str">
        <f>'Population Definitions'!$A$3</f>
        <v>PWID_females</v>
      </c>
      <c r="C99" t="s">
        <v>36</v>
      </c>
      <c r="D99" s="3"/>
      <c r="E99" s="3">
        <v>0.000500000000000056</v>
      </c>
      <c r="F99" s="4" t="s">
        <v>39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</row>
    <row r="100" spans="1:57">
      <c r="A100" s="1" t="str">
        <f>'Population Definitions'!$A$4</f>
        <v>0-9_males</v>
      </c>
      <c r="C100" t="s">
        <v>36</v>
      </c>
      <c r="D100" s="3"/>
      <c r="E100" s="3">
        <v>0.000500000000000056</v>
      </c>
      <c r="F100" s="4" t="s">
        <v>39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</row>
    <row r="101" spans="1:57">
      <c r="A101" s="1" t="str">
        <f>'Population Definitions'!$A$5</f>
        <v>0-9_females</v>
      </c>
      <c r="C101" t="s">
        <v>36</v>
      </c>
      <c r="D101" s="3"/>
      <c r="E101" s="3">
        <v>0.000500000000000056</v>
      </c>
      <c r="F101" s="4" t="s">
        <v>39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</row>
    <row r="102" spans="1:57">
      <c r="A102" s="1" t="str">
        <f>'Population Definitions'!$A$6</f>
        <v>10-17_males</v>
      </c>
      <c r="C102" t="s">
        <v>36</v>
      </c>
      <c r="D102" s="3"/>
      <c r="E102" s="3">
        <v>0.000500000000000056</v>
      </c>
      <c r="F102" s="4" t="s">
        <v>39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</row>
    <row r="103" spans="1:57">
      <c r="A103" s="1" t="str">
        <f>'Population Definitions'!$A$7</f>
        <v>10-17_females</v>
      </c>
      <c r="C103" t="s">
        <v>36</v>
      </c>
      <c r="D103" s="3"/>
      <c r="E103" s="3">
        <v>0.000500000000000056</v>
      </c>
      <c r="F103" s="4" t="s">
        <v>39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</row>
    <row r="104" spans="1:57">
      <c r="A104" s="1" t="str">
        <f>'Population Definitions'!$A$8</f>
        <v>18-64_males</v>
      </c>
      <c r="C104" t="s">
        <v>36</v>
      </c>
      <c r="D104" s="3"/>
      <c r="E104" s="3">
        <v>0.000500000000000056</v>
      </c>
      <c r="F104" s="4" t="s">
        <v>39</v>
      </c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  <c r="AV104" s="3"/>
      <c r="AW104" s="3"/>
      <c r="AX104" s="3"/>
      <c r="AY104" s="3"/>
      <c r="AZ104" s="3"/>
      <c r="BA104" s="3"/>
      <c r="BB104" s="3"/>
      <c r="BC104" s="3"/>
      <c r="BD104" s="3"/>
      <c r="BE104" s="3"/>
    </row>
    <row r="105" spans="1:57">
      <c r="A105" s="1" t="str">
        <f>'Population Definitions'!$A$9</f>
        <v>18-64_females</v>
      </c>
      <c r="C105" t="s">
        <v>36</v>
      </c>
      <c r="D105" s="3"/>
      <c r="E105" s="3">
        <v>0.000500000000000056</v>
      </c>
      <c r="F105" s="4" t="s">
        <v>39</v>
      </c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/>
      <c r="AV105" s="3"/>
      <c r="AW105" s="3"/>
      <c r="AX105" s="3"/>
      <c r="AY105" s="3"/>
      <c r="AZ105" s="3"/>
      <c r="BA105" s="3"/>
      <c r="BB105" s="3"/>
      <c r="BC105" s="3"/>
      <c r="BD105" s="3"/>
      <c r="BE105" s="3"/>
    </row>
    <row r="106" spans="1:57">
      <c r="A106" s="1" t="str">
        <f>'Population Definitions'!$A$10</f>
        <v>65+_males</v>
      </c>
      <c r="C106" t="s">
        <v>36</v>
      </c>
      <c r="D106" s="3"/>
      <c r="E106" s="3">
        <v>0.000500000000000056</v>
      </c>
      <c r="F106" s="4" t="s">
        <v>39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</row>
    <row r="107" spans="1:57">
      <c r="A107" s="1" t="str">
        <f>'Population Definitions'!$A$11</f>
        <v>65+_females</v>
      </c>
      <c r="C107" t="s">
        <v>36</v>
      </c>
      <c r="D107" s="3"/>
      <c r="E107" s="3">
        <v>0.000500000000000056</v>
      </c>
      <c r="F107" s="4" t="s">
        <v>39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</row>
    <row r="108" spans="1:57">
      <c r="A108" s="1" t="str">
        <f>'Population Definitions'!$A$12</f>
        <v>Prisoners_males</v>
      </c>
      <c r="C108" t="s">
        <v>36</v>
      </c>
      <c r="D108" s="3"/>
      <c r="E108" s="3">
        <v>0.000500000000000056</v>
      </c>
      <c r="F108" s="4" t="s">
        <v>39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</row>
    <row r="109" spans="1:57">
      <c r="A109" s="1" t="str">
        <f>'Population Definitions'!$A$13</f>
        <v>Prisoners_females</v>
      </c>
      <c r="C109" t="s">
        <v>36</v>
      </c>
      <c r="D109" s="3"/>
      <c r="E109" s="3">
        <v>0.000500000000000056</v>
      </c>
      <c r="F109" s="4" t="s">
        <v>39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</row>
    <row r="110" spans="1:57">
      <c r="A110" s="1" t="str">
        <f>'Population Definitions'!$A$14</f>
        <v>Prisoners_PWID_males</v>
      </c>
      <c r="C110" t="s">
        <v>36</v>
      </c>
      <c r="D110" s="3"/>
      <c r="E110" s="3">
        <v>0.000500000000000056</v>
      </c>
      <c r="F110" s="4" t="s">
        <v>39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</row>
    <row r="111" spans="1:57">
      <c r="A111" s="1" t="str">
        <f>'Population Definitions'!$A$15</f>
        <v>Prisoners_PWID_females</v>
      </c>
      <c r="C111" t="s">
        <v>36</v>
      </c>
      <c r="D111" s="3"/>
      <c r="E111" s="3">
        <v>0.000500000000000056</v>
      </c>
      <c r="F111" s="4" t="s">
        <v>39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</row>
    <row r="113" spans="1:55">
      <c r="A113" s="1" t="s">
        <v>44</v>
      </c>
      <c r="B113" s="1" t="s">
        <v>31</v>
      </c>
      <c r="C113" s="1" t="s">
        <v>32</v>
      </c>
      <c r="D113" s="1" t="s">
        <v>33</v>
      </c>
      <c r="E113" s="1">
        <v>2000</v>
      </c>
      <c r="F113" s="1">
        <v>2001</v>
      </c>
      <c r="G113" s="1">
        <v>2002</v>
      </c>
      <c r="H113" s="1">
        <v>2003</v>
      </c>
      <c r="I113" s="1">
        <v>2004</v>
      </c>
      <c r="J113" s="1">
        <v>2005</v>
      </c>
      <c r="K113" s="1">
        <v>2006</v>
      </c>
      <c r="L113" s="1">
        <v>2007</v>
      </c>
      <c r="M113" s="1">
        <v>2008</v>
      </c>
      <c r="N113" s="1">
        <v>2009</v>
      </c>
      <c r="O113" s="1">
        <v>2010</v>
      </c>
      <c r="P113" s="1">
        <v>2011</v>
      </c>
      <c r="Q113" s="1">
        <v>2012</v>
      </c>
      <c r="R113" s="1">
        <v>2013</v>
      </c>
      <c r="S113" s="1">
        <v>2014</v>
      </c>
      <c r="T113" s="1">
        <v>2015</v>
      </c>
      <c r="U113" s="1">
        <v>2016</v>
      </c>
      <c r="V113" s="1">
        <v>2017</v>
      </c>
      <c r="W113" s="1">
        <v>2018</v>
      </c>
      <c r="X113" s="1">
        <v>2019</v>
      </c>
      <c r="Y113" s="1">
        <v>2020</v>
      </c>
      <c r="Z113" s="1">
        <v>2021</v>
      </c>
      <c r="AA113" s="1">
        <v>2022</v>
      </c>
      <c r="AB113" s="1">
        <v>2023</v>
      </c>
      <c r="AC113" s="1">
        <v>2024</v>
      </c>
      <c r="AD113" s="1">
        <v>2025</v>
      </c>
      <c r="AE113" s="1">
        <v>2026</v>
      </c>
      <c r="AF113" s="1">
        <v>2027</v>
      </c>
      <c r="AG113" s="1">
        <v>2028</v>
      </c>
      <c r="AH113" s="1">
        <v>2029</v>
      </c>
      <c r="AI113" s="1">
        <v>2030</v>
      </c>
      <c r="AJ113" s="1">
        <v>2031</v>
      </c>
      <c r="AK113" s="1">
        <v>2032</v>
      </c>
      <c r="AL113" s="1">
        <v>2033</v>
      </c>
      <c r="AM113" s="1">
        <v>2034</v>
      </c>
      <c r="AN113" s="1">
        <v>2035</v>
      </c>
      <c r="AO113" s="1">
        <v>2036</v>
      </c>
      <c r="AP113" s="1">
        <v>2037</v>
      </c>
      <c r="AQ113" s="1">
        <v>2038</v>
      </c>
      <c r="AR113" s="1">
        <v>2039</v>
      </c>
      <c r="AS113" s="1">
        <v>2040</v>
      </c>
      <c r="AT113" s="1">
        <v>2041</v>
      </c>
      <c r="AU113" s="1">
        <v>2042</v>
      </c>
      <c r="AV113" s="1">
        <v>2043</v>
      </c>
      <c r="AW113" s="1">
        <v>2044</v>
      </c>
      <c r="AX113" s="1">
        <v>2045</v>
      </c>
      <c r="AY113" s="1">
        <v>2046</v>
      </c>
      <c r="AZ113" s="1">
        <v>2047</v>
      </c>
      <c r="BA113" s="1">
        <v>2048</v>
      </c>
      <c r="BB113" s="1">
        <v>2049</v>
      </c>
      <c r="BC113" s="1">
        <v>2050</v>
      </c>
    </row>
    <row r="114" spans="1:55">
      <c r="A114" s="1" t="str">
        <f>'Population Definitions'!$A$2</f>
        <v>PWID_males</v>
      </c>
      <c r="C114" t="s">
        <v>36</v>
      </c>
      <c r="D114" s="3"/>
      <c r="E114" s="3">
        <v>0.9535006323934231</v>
      </c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</row>
    <row r="115" spans="1:55">
      <c r="A115" s="1" t="str">
        <f>'Population Definitions'!$A$3</f>
        <v>PWID_females</v>
      </c>
      <c r="C115" t="s">
        <v>36</v>
      </c>
      <c r="D115" s="3"/>
      <c r="E115" s="3">
        <v>0.9535006323934231</v>
      </c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</row>
    <row r="116" spans="1:55">
      <c r="A116" s="1" t="str">
        <f>'Population Definitions'!$A$4</f>
        <v>0-9_males</v>
      </c>
      <c r="C116" t="s">
        <v>36</v>
      </c>
      <c r="D116" s="3"/>
      <c r="E116" s="3">
        <v>0.9535006323934231</v>
      </c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</row>
    <row r="117" spans="1:55">
      <c r="A117" s="1" t="str">
        <f>'Population Definitions'!$A$5</f>
        <v>0-9_females</v>
      </c>
      <c r="C117" t="s">
        <v>36</v>
      </c>
      <c r="D117" s="3"/>
      <c r="E117" s="3">
        <v>0.9535006323934231</v>
      </c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</row>
    <row r="118" spans="1:55">
      <c r="A118" s="1" t="str">
        <f>'Population Definitions'!$A$6</f>
        <v>10-17_males</v>
      </c>
      <c r="C118" t="s">
        <v>36</v>
      </c>
      <c r="D118" s="3"/>
      <c r="E118" s="3">
        <v>0.9535006323934231</v>
      </c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</row>
    <row r="119" spans="1:55">
      <c r="A119" s="1" t="str">
        <f>'Population Definitions'!$A$7</f>
        <v>10-17_females</v>
      </c>
      <c r="C119" t="s">
        <v>36</v>
      </c>
      <c r="D119" s="3"/>
      <c r="E119" s="3">
        <v>0.9535006323934231</v>
      </c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</row>
    <row r="120" spans="1:55">
      <c r="A120" s="1" t="str">
        <f>'Population Definitions'!$A$8</f>
        <v>18-64_males</v>
      </c>
      <c r="C120" t="s">
        <v>36</v>
      </c>
      <c r="D120" s="3"/>
      <c r="E120" s="3">
        <v>0.9535006323934231</v>
      </c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</row>
    <row r="121" spans="1:55">
      <c r="A121" s="1" t="str">
        <f>'Population Definitions'!$A$9</f>
        <v>18-64_females</v>
      </c>
      <c r="C121" t="s">
        <v>36</v>
      </c>
      <c r="D121" s="3"/>
      <c r="E121" s="3">
        <v>0.9535006323934231</v>
      </c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</row>
    <row r="122" spans="1:55">
      <c r="A122" s="1" t="str">
        <f>'Population Definitions'!$A$10</f>
        <v>65+_males</v>
      </c>
      <c r="C122" t="s">
        <v>36</v>
      </c>
      <c r="D122" s="3"/>
      <c r="E122" s="3">
        <v>0.9535006323934231</v>
      </c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</row>
    <row r="123" spans="1:55">
      <c r="A123" s="1" t="str">
        <f>'Population Definitions'!$A$11</f>
        <v>65+_females</v>
      </c>
      <c r="C123" t="s">
        <v>36</v>
      </c>
      <c r="D123" s="3"/>
      <c r="E123" s="3">
        <v>0.9535006323934231</v>
      </c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</row>
    <row r="124" spans="1:55">
      <c r="A124" s="1" t="str">
        <f>'Population Definitions'!$A$12</f>
        <v>Prisoners_males</v>
      </c>
      <c r="C124" t="s">
        <v>36</v>
      </c>
      <c r="D124" s="3"/>
      <c r="E124" s="3">
        <v>0.9535006323934231</v>
      </c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</row>
    <row r="125" spans="1:55">
      <c r="A125" s="1" t="str">
        <f>'Population Definitions'!$A$13</f>
        <v>Prisoners_females</v>
      </c>
      <c r="C125" t="s">
        <v>36</v>
      </c>
      <c r="D125" s="3"/>
      <c r="E125" s="3">
        <v>0.9535006323934231</v>
      </c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</row>
    <row r="126" spans="1:55">
      <c r="A126" s="1" t="str">
        <f>'Population Definitions'!$A$14</f>
        <v>Prisoners_PWID_males</v>
      </c>
      <c r="C126" t="s">
        <v>36</v>
      </c>
      <c r="D126" s="3"/>
      <c r="E126" s="3">
        <v>0.9535006323934231</v>
      </c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</row>
    <row r="127" spans="1:55">
      <c r="A127" s="1" t="str">
        <f>'Population Definitions'!$A$15</f>
        <v>Prisoners_PWID_females</v>
      </c>
      <c r="C127" t="s">
        <v>36</v>
      </c>
      <c r="D127" s="3"/>
      <c r="E127" s="3">
        <v>0.9535006323934231</v>
      </c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</row>
    <row r="129" spans="1:57">
      <c r="A129" s="1" t="s">
        <v>45</v>
      </c>
      <c r="B129" s="1" t="s">
        <v>31</v>
      </c>
      <c r="C129" s="1" t="s">
        <v>32</v>
      </c>
      <c r="D129" s="1" t="s">
        <v>33</v>
      </c>
      <c r="E129" s="1" t="s">
        <v>38</v>
      </c>
      <c r="F129" s="1"/>
      <c r="G129" s="1">
        <v>2000</v>
      </c>
      <c r="H129" s="1">
        <v>2001</v>
      </c>
      <c r="I129" s="1">
        <v>2002</v>
      </c>
      <c r="J129" s="1">
        <v>2003</v>
      </c>
      <c r="K129" s="1">
        <v>2004</v>
      </c>
      <c r="L129" s="1">
        <v>2005</v>
      </c>
      <c r="M129" s="1">
        <v>2006</v>
      </c>
      <c r="N129" s="1">
        <v>2007</v>
      </c>
      <c r="O129" s="1">
        <v>2008</v>
      </c>
      <c r="P129" s="1">
        <v>2009</v>
      </c>
      <c r="Q129" s="1">
        <v>2010</v>
      </c>
      <c r="R129" s="1">
        <v>2011</v>
      </c>
      <c r="S129" s="1">
        <v>2012</v>
      </c>
      <c r="T129" s="1">
        <v>2013</v>
      </c>
      <c r="U129" s="1">
        <v>2014</v>
      </c>
      <c r="V129" s="1">
        <v>2015</v>
      </c>
      <c r="W129" s="1">
        <v>2016</v>
      </c>
      <c r="X129" s="1">
        <v>2017</v>
      </c>
      <c r="Y129" s="1">
        <v>2018</v>
      </c>
      <c r="Z129" s="1">
        <v>2019</v>
      </c>
      <c r="AA129" s="1">
        <v>2020</v>
      </c>
      <c r="AB129" s="1">
        <v>2021</v>
      </c>
      <c r="AC129" s="1">
        <v>2022</v>
      </c>
      <c r="AD129" s="1">
        <v>2023</v>
      </c>
      <c r="AE129" s="1">
        <v>2024</v>
      </c>
      <c r="AF129" s="1">
        <v>2025</v>
      </c>
      <c r="AG129" s="1">
        <v>2026</v>
      </c>
      <c r="AH129" s="1">
        <v>2027</v>
      </c>
      <c r="AI129" s="1">
        <v>2028</v>
      </c>
      <c r="AJ129" s="1">
        <v>2029</v>
      </c>
      <c r="AK129" s="1">
        <v>2030</v>
      </c>
      <c r="AL129" s="1">
        <v>2031</v>
      </c>
      <c r="AM129" s="1">
        <v>2032</v>
      </c>
      <c r="AN129" s="1">
        <v>2033</v>
      </c>
      <c r="AO129" s="1">
        <v>2034</v>
      </c>
      <c r="AP129" s="1">
        <v>2035</v>
      </c>
      <c r="AQ129" s="1">
        <v>2036</v>
      </c>
      <c r="AR129" s="1">
        <v>2037</v>
      </c>
      <c r="AS129" s="1">
        <v>2038</v>
      </c>
      <c r="AT129" s="1">
        <v>2039</v>
      </c>
      <c r="AU129" s="1">
        <v>2040</v>
      </c>
      <c r="AV129" s="1">
        <v>2041</v>
      </c>
      <c r="AW129" s="1">
        <v>2042</v>
      </c>
      <c r="AX129" s="1">
        <v>2043</v>
      </c>
      <c r="AY129" s="1">
        <v>2044</v>
      </c>
      <c r="AZ129" s="1">
        <v>2045</v>
      </c>
      <c r="BA129" s="1">
        <v>2046</v>
      </c>
      <c r="BB129" s="1">
        <v>2047</v>
      </c>
      <c r="BC129" s="1">
        <v>2048</v>
      </c>
      <c r="BD129" s="1">
        <v>2049</v>
      </c>
      <c r="BE129" s="1">
        <v>2050</v>
      </c>
    </row>
    <row r="130" spans="1:57">
      <c r="A130" s="1" t="str">
        <f>'Population Definitions'!$A$2</f>
        <v>PWID_males</v>
      </c>
      <c r="C130" t="s">
        <v>36</v>
      </c>
      <c r="D130" s="3"/>
      <c r="E130" s="3">
        <v>0</v>
      </c>
      <c r="F130" s="4" t="s">
        <v>39</v>
      </c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  <c r="AG130" s="3"/>
      <c r="AH130" s="3"/>
      <c r="AI130" s="3"/>
      <c r="AJ130" s="3"/>
      <c r="AK130" s="3"/>
      <c r="AL130" s="3"/>
      <c r="AM130" s="3"/>
      <c r="AN130" s="3"/>
      <c r="AO130" s="3"/>
      <c r="AP130" s="3"/>
      <c r="AQ130" s="3"/>
      <c r="AR130" s="3"/>
      <c r="AS130" s="3"/>
      <c r="AT130" s="3"/>
      <c r="AU130" s="3"/>
      <c r="AV130" s="3"/>
      <c r="AW130" s="3"/>
      <c r="AX130" s="3"/>
      <c r="AY130" s="3"/>
      <c r="AZ130" s="3"/>
      <c r="BA130" s="3"/>
      <c r="BB130" s="3"/>
      <c r="BC130" s="3"/>
      <c r="BD130" s="3"/>
      <c r="BE130" s="3"/>
    </row>
    <row r="131" spans="1:57">
      <c r="A131" s="1" t="str">
        <f>'Population Definitions'!$A$3</f>
        <v>PWID_females</v>
      </c>
      <c r="C131" t="s">
        <v>36</v>
      </c>
      <c r="D131" s="3"/>
      <c r="E131" s="3">
        <v>0</v>
      </c>
      <c r="F131" s="4" t="s">
        <v>39</v>
      </c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  <c r="AG131" s="3"/>
      <c r="AH131" s="3"/>
      <c r="AI131" s="3"/>
      <c r="AJ131" s="3"/>
      <c r="AK131" s="3"/>
      <c r="AL131" s="3"/>
      <c r="AM131" s="3"/>
      <c r="AN131" s="3"/>
      <c r="AO131" s="3"/>
      <c r="AP131" s="3"/>
      <c r="AQ131" s="3"/>
      <c r="AR131" s="3"/>
      <c r="AS131" s="3"/>
      <c r="AT131" s="3"/>
      <c r="AU131" s="3"/>
      <c r="AV131" s="3"/>
      <c r="AW131" s="3"/>
      <c r="AX131" s="3"/>
      <c r="AY131" s="3"/>
      <c r="AZ131" s="3"/>
      <c r="BA131" s="3"/>
      <c r="BB131" s="3"/>
      <c r="BC131" s="3"/>
      <c r="BD131" s="3"/>
      <c r="BE131" s="3"/>
    </row>
    <row r="132" spans="1:57">
      <c r="A132" s="1" t="str">
        <f>'Population Definitions'!$A$4</f>
        <v>0-9_males</v>
      </c>
      <c r="C132" t="s">
        <v>36</v>
      </c>
      <c r="D132" s="3"/>
      <c r="E132" s="3">
        <v>0</v>
      </c>
      <c r="F132" s="4" t="s">
        <v>39</v>
      </c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</row>
    <row r="133" spans="1:57">
      <c r="A133" s="1" t="str">
        <f>'Population Definitions'!$A$5</f>
        <v>0-9_females</v>
      </c>
      <c r="C133" t="s">
        <v>36</v>
      </c>
      <c r="D133" s="3"/>
      <c r="E133" s="3">
        <v>0</v>
      </c>
      <c r="F133" s="4" t="s">
        <v>39</v>
      </c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</row>
    <row r="134" spans="1:57">
      <c r="A134" s="1" t="str">
        <f>'Population Definitions'!$A$6</f>
        <v>10-17_males</v>
      </c>
      <c r="C134" t="s">
        <v>36</v>
      </c>
      <c r="D134" s="3"/>
      <c r="E134" s="3">
        <v>0</v>
      </c>
      <c r="F134" s="4" t="s">
        <v>39</v>
      </c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</row>
    <row r="135" spans="1:57">
      <c r="A135" s="1" t="str">
        <f>'Population Definitions'!$A$7</f>
        <v>10-17_females</v>
      </c>
      <c r="C135" t="s">
        <v>36</v>
      </c>
      <c r="D135" s="3"/>
      <c r="E135" s="3">
        <v>0</v>
      </c>
      <c r="F135" s="4" t="s">
        <v>39</v>
      </c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</row>
    <row r="136" spans="1:57">
      <c r="A136" s="1" t="str">
        <f>'Population Definitions'!$A$8</f>
        <v>18-64_males</v>
      </c>
      <c r="C136" t="s">
        <v>36</v>
      </c>
      <c r="D136" s="3"/>
      <c r="E136" s="3">
        <v>0</v>
      </c>
      <c r="F136" s="4" t="s">
        <v>39</v>
      </c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</row>
    <row r="137" spans="1:57">
      <c r="A137" s="1" t="str">
        <f>'Population Definitions'!$A$9</f>
        <v>18-64_females</v>
      </c>
      <c r="C137" t="s">
        <v>36</v>
      </c>
      <c r="D137" s="3"/>
      <c r="E137" s="3">
        <v>0</v>
      </c>
      <c r="F137" s="4" t="s">
        <v>39</v>
      </c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</row>
    <row r="138" spans="1:57">
      <c r="A138" s="1" t="str">
        <f>'Population Definitions'!$A$10</f>
        <v>65+_males</v>
      </c>
      <c r="C138" t="s">
        <v>36</v>
      </c>
      <c r="D138" s="3"/>
      <c r="E138" s="3">
        <v>0</v>
      </c>
      <c r="F138" s="4" t="s">
        <v>39</v>
      </c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</row>
    <row r="139" spans="1:57">
      <c r="A139" s="1" t="str">
        <f>'Population Definitions'!$A$11</f>
        <v>65+_females</v>
      </c>
      <c r="C139" t="s">
        <v>36</v>
      </c>
      <c r="D139" s="3"/>
      <c r="E139" s="3">
        <v>0</v>
      </c>
      <c r="F139" s="4" t="s">
        <v>39</v>
      </c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</row>
    <row r="140" spans="1:57">
      <c r="A140" s="1" t="str">
        <f>'Population Definitions'!$A$12</f>
        <v>Prisoners_males</v>
      </c>
      <c r="C140" t="s">
        <v>36</v>
      </c>
      <c r="D140" s="3"/>
      <c r="E140" s="3">
        <v>0</v>
      </c>
      <c r="F140" s="4" t="s">
        <v>39</v>
      </c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</row>
    <row r="141" spans="1:57">
      <c r="A141" s="1" t="str">
        <f>'Population Definitions'!$A$13</f>
        <v>Prisoners_females</v>
      </c>
      <c r="C141" t="s">
        <v>36</v>
      </c>
      <c r="D141" s="3"/>
      <c r="E141" s="3">
        <v>0</v>
      </c>
      <c r="F141" s="4" t="s">
        <v>39</v>
      </c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</row>
    <row r="142" spans="1:57">
      <c r="A142" s="1" t="str">
        <f>'Population Definitions'!$A$14</f>
        <v>Prisoners_PWID_males</v>
      </c>
      <c r="C142" t="s">
        <v>36</v>
      </c>
      <c r="D142" s="3"/>
      <c r="E142" s="3">
        <v>0</v>
      </c>
      <c r="F142" s="4" t="s">
        <v>39</v>
      </c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</row>
    <row r="143" spans="1:57">
      <c r="A143" s="1" t="str">
        <f>'Population Definitions'!$A$15</f>
        <v>Prisoners_PWID_females</v>
      </c>
      <c r="C143" t="s">
        <v>36</v>
      </c>
      <c r="D143" s="3"/>
      <c r="E143" s="3">
        <v>0</v>
      </c>
      <c r="F143" s="4" t="s">
        <v>39</v>
      </c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</row>
    <row r="145" spans="1:57">
      <c r="A145" s="1" t="s">
        <v>46</v>
      </c>
      <c r="B145" s="1" t="s">
        <v>31</v>
      </c>
      <c r="C145" s="1" t="s">
        <v>32</v>
      </c>
      <c r="D145" s="1" t="s">
        <v>33</v>
      </c>
      <c r="E145" s="1" t="s">
        <v>38</v>
      </c>
      <c r="F145" s="1"/>
      <c r="G145" s="1">
        <v>2000</v>
      </c>
      <c r="H145" s="1">
        <v>2001</v>
      </c>
      <c r="I145" s="1">
        <v>2002</v>
      </c>
      <c r="J145" s="1">
        <v>2003</v>
      </c>
      <c r="K145" s="1">
        <v>2004</v>
      </c>
      <c r="L145" s="1">
        <v>2005</v>
      </c>
      <c r="M145" s="1">
        <v>2006</v>
      </c>
      <c r="N145" s="1">
        <v>2007</v>
      </c>
      <c r="O145" s="1">
        <v>2008</v>
      </c>
      <c r="P145" s="1">
        <v>2009</v>
      </c>
      <c r="Q145" s="1">
        <v>2010</v>
      </c>
      <c r="R145" s="1">
        <v>2011</v>
      </c>
      <c r="S145" s="1">
        <v>2012</v>
      </c>
      <c r="T145" s="1">
        <v>2013</v>
      </c>
      <c r="U145" s="1">
        <v>2014</v>
      </c>
      <c r="V145" s="1">
        <v>2015</v>
      </c>
      <c r="W145" s="1">
        <v>2016</v>
      </c>
      <c r="X145" s="1">
        <v>2017</v>
      </c>
      <c r="Y145" s="1">
        <v>2018</v>
      </c>
      <c r="Z145" s="1">
        <v>2019</v>
      </c>
      <c r="AA145" s="1">
        <v>2020</v>
      </c>
      <c r="AB145" s="1">
        <v>2021</v>
      </c>
      <c r="AC145" s="1">
        <v>2022</v>
      </c>
      <c r="AD145" s="1">
        <v>2023</v>
      </c>
      <c r="AE145" s="1">
        <v>2024</v>
      </c>
      <c r="AF145" s="1">
        <v>2025</v>
      </c>
      <c r="AG145" s="1">
        <v>2026</v>
      </c>
      <c r="AH145" s="1">
        <v>2027</v>
      </c>
      <c r="AI145" s="1">
        <v>2028</v>
      </c>
      <c r="AJ145" s="1">
        <v>2029</v>
      </c>
      <c r="AK145" s="1">
        <v>2030</v>
      </c>
      <c r="AL145" s="1">
        <v>2031</v>
      </c>
      <c r="AM145" s="1">
        <v>2032</v>
      </c>
      <c r="AN145" s="1">
        <v>2033</v>
      </c>
      <c r="AO145" s="1">
        <v>2034</v>
      </c>
      <c r="AP145" s="1">
        <v>2035</v>
      </c>
      <c r="AQ145" s="1">
        <v>2036</v>
      </c>
      <c r="AR145" s="1">
        <v>2037</v>
      </c>
      <c r="AS145" s="1">
        <v>2038</v>
      </c>
      <c r="AT145" s="1">
        <v>2039</v>
      </c>
      <c r="AU145" s="1">
        <v>2040</v>
      </c>
      <c r="AV145" s="1">
        <v>2041</v>
      </c>
      <c r="AW145" s="1">
        <v>2042</v>
      </c>
      <c r="AX145" s="1">
        <v>2043</v>
      </c>
      <c r="AY145" s="1">
        <v>2044</v>
      </c>
      <c r="AZ145" s="1">
        <v>2045</v>
      </c>
      <c r="BA145" s="1">
        <v>2046</v>
      </c>
      <c r="BB145" s="1">
        <v>2047</v>
      </c>
      <c r="BC145" s="1">
        <v>2048</v>
      </c>
      <c r="BD145" s="1">
        <v>2049</v>
      </c>
      <c r="BE145" s="1">
        <v>2050</v>
      </c>
    </row>
    <row r="146" spans="1:57">
      <c r="A146" s="1" t="str">
        <f>'Population Definitions'!$A$2</f>
        <v>PWID_males</v>
      </c>
      <c r="C146" t="s">
        <v>36</v>
      </c>
      <c r="D146" s="3"/>
      <c r="E146" s="3">
        <v>0</v>
      </c>
      <c r="F146" s="4" t="s">
        <v>39</v>
      </c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</row>
    <row r="147" spans="1:57">
      <c r="A147" s="1" t="str">
        <f>'Population Definitions'!$A$3</f>
        <v>PWID_females</v>
      </c>
      <c r="C147" t="s">
        <v>36</v>
      </c>
      <c r="D147" s="3"/>
      <c r="E147" s="3">
        <v>0</v>
      </c>
      <c r="F147" s="4" t="s">
        <v>39</v>
      </c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</row>
    <row r="148" spans="1:57">
      <c r="A148" s="1" t="str">
        <f>'Population Definitions'!$A$4</f>
        <v>0-9_males</v>
      </c>
      <c r="C148" t="s">
        <v>36</v>
      </c>
      <c r="D148" s="3"/>
      <c r="E148" s="3">
        <v>0</v>
      </c>
      <c r="F148" s="4" t="s">
        <v>39</v>
      </c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</row>
    <row r="149" spans="1:57">
      <c r="A149" s="1" t="str">
        <f>'Population Definitions'!$A$5</f>
        <v>0-9_females</v>
      </c>
      <c r="C149" t="s">
        <v>36</v>
      </c>
      <c r="D149" s="3"/>
      <c r="E149" s="3">
        <v>0</v>
      </c>
      <c r="F149" s="4" t="s">
        <v>39</v>
      </c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</row>
    <row r="150" spans="1:57">
      <c r="A150" s="1" t="str">
        <f>'Population Definitions'!$A$6</f>
        <v>10-17_males</v>
      </c>
      <c r="C150" t="s">
        <v>36</v>
      </c>
      <c r="D150" s="3"/>
      <c r="E150" s="3">
        <v>0</v>
      </c>
      <c r="F150" s="4" t="s">
        <v>39</v>
      </c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</row>
    <row r="151" spans="1:57">
      <c r="A151" s="1" t="str">
        <f>'Population Definitions'!$A$7</f>
        <v>10-17_females</v>
      </c>
      <c r="C151" t="s">
        <v>36</v>
      </c>
      <c r="D151" s="3"/>
      <c r="E151" s="3">
        <v>0</v>
      </c>
      <c r="F151" s="4" t="s">
        <v>39</v>
      </c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</row>
    <row r="152" spans="1:57">
      <c r="A152" s="1" t="str">
        <f>'Population Definitions'!$A$8</f>
        <v>18-64_males</v>
      </c>
      <c r="C152" t="s">
        <v>36</v>
      </c>
      <c r="D152" s="3"/>
      <c r="E152" s="3">
        <v>0</v>
      </c>
      <c r="F152" s="4" t="s">
        <v>39</v>
      </c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</row>
    <row r="153" spans="1:57">
      <c r="A153" s="1" t="str">
        <f>'Population Definitions'!$A$9</f>
        <v>18-64_females</v>
      </c>
      <c r="C153" t="s">
        <v>36</v>
      </c>
      <c r="D153" s="3"/>
      <c r="E153" s="3">
        <v>0</v>
      </c>
      <c r="F153" s="4" t="s">
        <v>39</v>
      </c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</row>
    <row r="154" spans="1:57">
      <c r="A154" s="1" t="str">
        <f>'Population Definitions'!$A$10</f>
        <v>65+_males</v>
      </c>
      <c r="C154" t="s">
        <v>36</v>
      </c>
      <c r="D154" s="3"/>
      <c r="E154" s="3">
        <v>0</v>
      </c>
      <c r="F154" s="4" t="s">
        <v>39</v>
      </c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</row>
    <row r="155" spans="1:57">
      <c r="A155" s="1" t="str">
        <f>'Population Definitions'!$A$11</f>
        <v>65+_females</v>
      </c>
      <c r="C155" t="s">
        <v>36</v>
      </c>
      <c r="D155" s="3"/>
      <c r="E155" s="3">
        <v>0</v>
      </c>
      <c r="F155" s="4" t="s">
        <v>39</v>
      </c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</row>
    <row r="156" spans="1:57">
      <c r="A156" s="1" t="str">
        <f>'Population Definitions'!$A$12</f>
        <v>Prisoners_males</v>
      </c>
      <c r="C156" t="s">
        <v>36</v>
      </c>
      <c r="D156" s="3"/>
      <c r="E156" s="3">
        <v>0</v>
      </c>
      <c r="F156" s="4" t="s">
        <v>39</v>
      </c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  <c r="AG156" s="3"/>
      <c r="AH156" s="3"/>
      <c r="AI156" s="3"/>
      <c r="AJ156" s="3"/>
      <c r="AK156" s="3"/>
      <c r="AL156" s="3"/>
      <c r="AM156" s="3"/>
      <c r="AN156" s="3"/>
      <c r="AO156" s="3"/>
      <c r="AP156" s="3"/>
      <c r="AQ156" s="3"/>
      <c r="AR156" s="3"/>
      <c r="AS156" s="3"/>
      <c r="AT156" s="3"/>
      <c r="AU156" s="3"/>
      <c r="AV156" s="3"/>
      <c r="AW156" s="3"/>
      <c r="AX156" s="3"/>
      <c r="AY156" s="3"/>
      <c r="AZ156" s="3"/>
      <c r="BA156" s="3"/>
      <c r="BB156" s="3"/>
      <c r="BC156" s="3"/>
      <c r="BD156" s="3"/>
      <c r="BE156" s="3"/>
    </row>
    <row r="157" spans="1:57">
      <c r="A157" s="1" t="str">
        <f>'Population Definitions'!$A$13</f>
        <v>Prisoners_females</v>
      </c>
      <c r="C157" t="s">
        <v>36</v>
      </c>
      <c r="D157" s="3"/>
      <c r="E157" s="3">
        <v>0</v>
      </c>
      <c r="F157" s="4" t="s">
        <v>39</v>
      </c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  <c r="AG157" s="3"/>
      <c r="AH157" s="3"/>
      <c r="AI157" s="3"/>
      <c r="AJ157" s="3"/>
      <c r="AK157" s="3"/>
      <c r="AL157" s="3"/>
      <c r="AM157" s="3"/>
      <c r="AN157" s="3"/>
      <c r="AO157" s="3"/>
      <c r="AP157" s="3"/>
      <c r="AQ157" s="3"/>
      <c r="AR157" s="3"/>
      <c r="AS157" s="3"/>
      <c r="AT157" s="3"/>
      <c r="AU157" s="3"/>
      <c r="AV157" s="3"/>
      <c r="AW157" s="3"/>
      <c r="AX157" s="3"/>
      <c r="AY157" s="3"/>
      <c r="AZ157" s="3"/>
      <c r="BA157" s="3"/>
      <c r="BB157" s="3"/>
      <c r="BC157" s="3"/>
      <c r="BD157" s="3"/>
      <c r="BE157" s="3"/>
    </row>
    <row r="158" spans="1:57">
      <c r="A158" s="1" t="str">
        <f>'Population Definitions'!$A$14</f>
        <v>Prisoners_PWID_males</v>
      </c>
      <c r="C158" t="s">
        <v>36</v>
      </c>
      <c r="D158" s="3"/>
      <c r="E158" s="3">
        <v>0</v>
      </c>
      <c r="F158" s="4" t="s">
        <v>39</v>
      </c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</row>
    <row r="159" spans="1:57">
      <c r="A159" s="1" t="str">
        <f>'Population Definitions'!$A$15</f>
        <v>Prisoners_PWID_females</v>
      </c>
      <c r="C159" t="s">
        <v>36</v>
      </c>
      <c r="D159" s="3"/>
      <c r="E159" s="3">
        <v>0</v>
      </c>
      <c r="F159" s="4" t="s">
        <v>39</v>
      </c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</row>
    <row r="161" spans="1:57">
      <c r="A161" s="1" t="s">
        <v>47</v>
      </c>
      <c r="B161" s="1" t="s">
        <v>31</v>
      </c>
      <c r="C161" s="1" t="s">
        <v>32</v>
      </c>
      <c r="D161" s="1" t="s">
        <v>33</v>
      </c>
      <c r="E161" s="1" t="s">
        <v>38</v>
      </c>
      <c r="F161" s="1"/>
      <c r="G161" s="1">
        <v>2000</v>
      </c>
      <c r="H161" s="1">
        <v>2001</v>
      </c>
      <c r="I161" s="1">
        <v>2002</v>
      </c>
      <c r="J161" s="1">
        <v>2003</v>
      </c>
      <c r="K161" s="1">
        <v>2004</v>
      </c>
      <c r="L161" s="1">
        <v>2005</v>
      </c>
      <c r="M161" s="1">
        <v>2006</v>
      </c>
      <c r="N161" s="1">
        <v>2007</v>
      </c>
      <c r="O161" s="1">
        <v>2008</v>
      </c>
      <c r="P161" s="1">
        <v>2009</v>
      </c>
      <c r="Q161" s="1">
        <v>2010</v>
      </c>
      <c r="R161" s="1">
        <v>2011</v>
      </c>
      <c r="S161" s="1">
        <v>2012</v>
      </c>
      <c r="T161" s="1">
        <v>2013</v>
      </c>
      <c r="U161" s="1">
        <v>2014</v>
      </c>
      <c r="V161" s="1">
        <v>2015</v>
      </c>
      <c r="W161" s="1">
        <v>2016</v>
      </c>
      <c r="X161" s="1">
        <v>2017</v>
      </c>
      <c r="Y161" s="1">
        <v>2018</v>
      </c>
      <c r="Z161" s="1">
        <v>2019</v>
      </c>
      <c r="AA161" s="1">
        <v>2020</v>
      </c>
      <c r="AB161" s="1">
        <v>2021</v>
      </c>
      <c r="AC161" s="1">
        <v>2022</v>
      </c>
      <c r="AD161" s="1">
        <v>2023</v>
      </c>
      <c r="AE161" s="1">
        <v>2024</v>
      </c>
      <c r="AF161" s="1">
        <v>2025</v>
      </c>
      <c r="AG161" s="1">
        <v>2026</v>
      </c>
      <c r="AH161" s="1">
        <v>2027</v>
      </c>
      <c r="AI161" s="1">
        <v>2028</v>
      </c>
      <c r="AJ161" s="1">
        <v>2029</v>
      </c>
      <c r="AK161" s="1">
        <v>2030</v>
      </c>
      <c r="AL161" s="1">
        <v>2031</v>
      </c>
      <c r="AM161" s="1">
        <v>2032</v>
      </c>
      <c r="AN161" s="1">
        <v>2033</v>
      </c>
      <c r="AO161" s="1">
        <v>2034</v>
      </c>
      <c r="AP161" s="1">
        <v>2035</v>
      </c>
      <c r="AQ161" s="1">
        <v>2036</v>
      </c>
      <c r="AR161" s="1">
        <v>2037</v>
      </c>
      <c r="AS161" s="1">
        <v>2038</v>
      </c>
      <c r="AT161" s="1">
        <v>2039</v>
      </c>
      <c r="AU161" s="1">
        <v>2040</v>
      </c>
      <c r="AV161" s="1">
        <v>2041</v>
      </c>
      <c r="AW161" s="1">
        <v>2042</v>
      </c>
      <c r="AX161" s="1">
        <v>2043</v>
      </c>
      <c r="AY161" s="1">
        <v>2044</v>
      </c>
      <c r="AZ161" s="1">
        <v>2045</v>
      </c>
      <c r="BA161" s="1">
        <v>2046</v>
      </c>
      <c r="BB161" s="1">
        <v>2047</v>
      </c>
      <c r="BC161" s="1">
        <v>2048</v>
      </c>
      <c r="BD161" s="1">
        <v>2049</v>
      </c>
      <c r="BE161" s="1">
        <v>2050</v>
      </c>
    </row>
    <row r="162" spans="1:57">
      <c r="A162" s="1" t="str">
        <f>'Population Definitions'!$A$2</f>
        <v>PWID_males</v>
      </c>
      <c r="C162" t="s">
        <v>36</v>
      </c>
      <c r="D162" s="3"/>
      <c r="E162" s="3">
        <v>0</v>
      </c>
      <c r="F162" s="4" t="s">
        <v>39</v>
      </c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</row>
    <row r="163" spans="1:57">
      <c r="A163" s="1" t="str">
        <f>'Population Definitions'!$A$3</f>
        <v>PWID_females</v>
      </c>
      <c r="C163" t="s">
        <v>36</v>
      </c>
      <c r="D163" s="3"/>
      <c r="E163" s="3">
        <v>0</v>
      </c>
      <c r="F163" s="4" t="s">
        <v>39</v>
      </c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</row>
    <row r="164" spans="1:57">
      <c r="A164" s="1" t="str">
        <f>'Population Definitions'!$A$4</f>
        <v>0-9_males</v>
      </c>
      <c r="C164" t="s">
        <v>36</v>
      </c>
      <c r="D164" s="3"/>
      <c r="E164" s="3">
        <v>0</v>
      </c>
      <c r="F164" s="4" t="s">
        <v>39</v>
      </c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</row>
    <row r="165" spans="1:57">
      <c r="A165" s="1" t="str">
        <f>'Population Definitions'!$A$5</f>
        <v>0-9_females</v>
      </c>
      <c r="C165" t="s">
        <v>36</v>
      </c>
      <c r="D165" s="3"/>
      <c r="E165" s="3">
        <v>0</v>
      </c>
      <c r="F165" s="4" t="s">
        <v>39</v>
      </c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</row>
    <row r="166" spans="1:57">
      <c r="A166" s="1" t="str">
        <f>'Population Definitions'!$A$6</f>
        <v>10-17_males</v>
      </c>
      <c r="C166" t="s">
        <v>36</v>
      </c>
      <c r="D166" s="3"/>
      <c r="E166" s="3">
        <v>0</v>
      </c>
      <c r="F166" s="4" t="s">
        <v>39</v>
      </c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</row>
    <row r="167" spans="1:57">
      <c r="A167" s="1" t="str">
        <f>'Population Definitions'!$A$7</f>
        <v>10-17_females</v>
      </c>
      <c r="C167" t="s">
        <v>36</v>
      </c>
      <c r="D167" s="3"/>
      <c r="E167" s="3">
        <v>0</v>
      </c>
      <c r="F167" s="4" t="s">
        <v>39</v>
      </c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</row>
    <row r="168" spans="1:57">
      <c r="A168" s="1" t="str">
        <f>'Population Definitions'!$A$8</f>
        <v>18-64_males</v>
      </c>
      <c r="C168" t="s">
        <v>36</v>
      </c>
      <c r="D168" s="3"/>
      <c r="E168" s="3">
        <v>0</v>
      </c>
      <c r="F168" s="4" t="s">
        <v>39</v>
      </c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</row>
    <row r="169" spans="1:57">
      <c r="A169" s="1" t="str">
        <f>'Population Definitions'!$A$9</f>
        <v>18-64_females</v>
      </c>
      <c r="C169" t="s">
        <v>36</v>
      </c>
      <c r="D169" s="3"/>
      <c r="E169" s="3">
        <v>0</v>
      </c>
      <c r="F169" s="4" t="s">
        <v>39</v>
      </c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</row>
    <row r="170" spans="1:57">
      <c r="A170" s="1" t="str">
        <f>'Population Definitions'!$A$10</f>
        <v>65+_males</v>
      </c>
      <c r="C170" t="s">
        <v>36</v>
      </c>
      <c r="D170" s="3"/>
      <c r="E170" s="3">
        <v>0</v>
      </c>
      <c r="F170" s="4" t="s">
        <v>39</v>
      </c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</row>
    <row r="171" spans="1:57">
      <c r="A171" s="1" t="str">
        <f>'Population Definitions'!$A$11</f>
        <v>65+_females</v>
      </c>
      <c r="C171" t="s">
        <v>36</v>
      </c>
      <c r="D171" s="3"/>
      <c r="E171" s="3">
        <v>0</v>
      </c>
      <c r="F171" s="4" t="s">
        <v>39</v>
      </c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</row>
    <row r="172" spans="1:57">
      <c r="A172" s="1" t="str">
        <f>'Population Definitions'!$A$12</f>
        <v>Prisoners_males</v>
      </c>
      <c r="C172" t="s">
        <v>36</v>
      </c>
      <c r="D172" s="3"/>
      <c r="E172" s="3">
        <v>0</v>
      </c>
      <c r="F172" s="4" t="s">
        <v>39</v>
      </c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</row>
    <row r="173" spans="1:57">
      <c r="A173" s="1" t="str">
        <f>'Population Definitions'!$A$13</f>
        <v>Prisoners_females</v>
      </c>
      <c r="C173" t="s">
        <v>36</v>
      </c>
      <c r="D173" s="3"/>
      <c r="E173" s="3">
        <v>0</v>
      </c>
      <c r="F173" s="4" t="s">
        <v>39</v>
      </c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</row>
    <row r="174" spans="1:57">
      <c r="A174" s="1" t="str">
        <f>'Population Definitions'!$A$14</f>
        <v>Prisoners_PWID_males</v>
      </c>
      <c r="C174" t="s">
        <v>36</v>
      </c>
      <c r="D174" s="3"/>
      <c r="E174" s="3">
        <v>0</v>
      </c>
      <c r="F174" s="4" t="s">
        <v>39</v>
      </c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</row>
    <row r="175" spans="1:57">
      <c r="A175" s="1" t="str">
        <f>'Population Definitions'!$A$15</f>
        <v>Prisoners_PWID_females</v>
      </c>
      <c r="C175" t="s">
        <v>36</v>
      </c>
      <c r="D175" s="3"/>
      <c r="E175" s="3">
        <v>0</v>
      </c>
      <c r="F175" s="4" t="s">
        <v>39</v>
      </c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</row>
    <row r="177" spans="1:57">
      <c r="A177" s="1" t="s">
        <v>48</v>
      </c>
      <c r="B177" s="1" t="s">
        <v>31</v>
      </c>
      <c r="C177" s="1" t="s">
        <v>32</v>
      </c>
      <c r="D177" s="1" t="s">
        <v>33</v>
      </c>
      <c r="E177" s="1" t="s">
        <v>38</v>
      </c>
      <c r="F177" s="1"/>
      <c r="G177" s="1">
        <v>2000</v>
      </c>
      <c r="H177" s="1">
        <v>2001</v>
      </c>
      <c r="I177" s="1">
        <v>2002</v>
      </c>
      <c r="J177" s="1">
        <v>2003</v>
      </c>
      <c r="K177" s="1">
        <v>2004</v>
      </c>
      <c r="L177" s="1">
        <v>2005</v>
      </c>
      <c r="M177" s="1">
        <v>2006</v>
      </c>
      <c r="N177" s="1">
        <v>2007</v>
      </c>
      <c r="O177" s="1">
        <v>2008</v>
      </c>
      <c r="P177" s="1">
        <v>2009</v>
      </c>
      <c r="Q177" s="1">
        <v>2010</v>
      </c>
      <c r="R177" s="1">
        <v>2011</v>
      </c>
      <c r="S177" s="1">
        <v>2012</v>
      </c>
      <c r="T177" s="1">
        <v>2013</v>
      </c>
      <c r="U177" s="1">
        <v>2014</v>
      </c>
      <c r="V177" s="1">
        <v>2015</v>
      </c>
      <c r="W177" s="1">
        <v>2016</v>
      </c>
      <c r="X177" s="1">
        <v>2017</v>
      </c>
      <c r="Y177" s="1">
        <v>2018</v>
      </c>
      <c r="Z177" s="1">
        <v>2019</v>
      </c>
      <c r="AA177" s="1">
        <v>2020</v>
      </c>
      <c r="AB177" s="1">
        <v>2021</v>
      </c>
      <c r="AC177" s="1">
        <v>2022</v>
      </c>
      <c r="AD177" s="1">
        <v>2023</v>
      </c>
      <c r="AE177" s="1">
        <v>2024</v>
      </c>
      <c r="AF177" s="1">
        <v>2025</v>
      </c>
      <c r="AG177" s="1">
        <v>2026</v>
      </c>
      <c r="AH177" s="1">
        <v>2027</v>
      </c>
      <c r="AI177" s="1">
        <v>2028</v>
      </c>
      <c r="AJ177" s="1">
        <v>2029</v>
      </c>
      <c r="AK177" s="1">
        <v>2030</v>
      </c>
      <c r="AL177" s="1">
        <v>2031</v>
      </c>
      <c r="AM177" s="1">
        <v>2032</v>
      </c>
      <c r="AN177" s="1">
        <v>2033</v>
      </c>
      <c r="AO177" s="1">
        <v>2034</v>
      </c>
      <c r="AP177" s="1">
        <v>2035</v>
      </c>
      <c r="AQ177" s="1">
        <v>2036</v>
      </c>
      <c r="AR177" s="1">
        <v>2037</v>
      </c>
      <c r="AS177" s="1">
        <v>2038</v>
      </c>
      <c r="AT177" s="1">
        <v>2039</v>
      </c>
      <c r="AU177" s="1">
        <v>2040</v>
      </c>
      <c r="AV177" s="1">
        <v>2041</v>
      </c>
      <c r="AW177" s="1">
        <v>2042</v>
      </c>
      <c r="AX177" s="1">
        <v>2043</v>
      </c>
      <c r="AY177" s="1">
        <v>2044</v>
      </c>
      <c r="AZ177" s="1">
        <v>2045</v>
      </c>
      <c r="BA177" s="1">
        <v>2046</v>
      </c>
      <c r="BB177" s="1">
        <v>2047</v>
      </c>
      <c r="BC177" s="1">
        <v>2048</v>
      </c>
      <c r="BD177" s="1">
        <v>2049</v>
      </c>
      <c r="BE177" s="1">
        <v>2050</v>
      </c>
    </row>
    <row r="178" spans="1:57">
      <c r="A178" s="1" t="str">
        <f>'Population Definitions'!$A$2</f>
        <v>PWID_males</v>
      </c>
      <c r="C178" t="s">
        <v>36</v>
      </c>
      <c r="D178" s="3"/>
      <c r="E178" s="3">
        <v>0</v>
      </c>
      <c r="F178" s="4" t="s">
        <v>39</v>
      </c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</row>
    <row r="179" spans="1:57">
      <c r="A179" s="1" t="str">
        <f>'Population Definitions'!$A$3</f>
        <v>PWID_females</v>
      </c>
      <c r="C179" t="s">
        <v>36</v>
      </c>
      <c r="D179" s="3"/>
      <c r="E179" s="3">
        <v>0</v>
      </c>
      <c r="F179" s="4" t="s">
        <v>39</v>
      </c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</row>
    <row r="180" spans="1:57">
      <c r="A180" s="1" t="str">
        <f>'Population Definitions'!$A$4</f>
        <v>0-9_males</v>
      </c>
      <c r="C180" t="s">
        <v>36</v>
      </c>
      <c r="D180" s="3"/>
      <c r="E180" s="3">
        <v>0</v>
      </c>
      <c r="F180" s="4" t="s">
        <v>39</v>
      </c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</row>
    <row r="181" spans="1:57">
      <c r="A181" s="1" t="str">
        <f>'Population Definitions'!$A$5</f>
        <v>0-9_females</v>
      </c>
      <c r="C181" t="s">
        <v>36</v>
      </c>
      <c r="D181" s="3"/>
      <c r="E181" s="3">
        <v>0</v>
      </c>
      <c r="F181" s="4" t="s">
        <v>39</v>
      </c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</row>
    <row r="182" spans="1:57">
      <c r="A182" s="1" t="str">
        <f>'Population Definitions'!$A$6</f>
        <v>10-17_males</v>
      </c>
      <c r="C182" t="s">
        <v>36</v>
      </c>
      <c r="D182" s="3"/>
      <c r="E182" s="3">
        <v>0</v>
      </c>
      <c r="F182" s="4" t="s">
        <v>39</v>
      </c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  <c r="AG182" s="3"/>
      <c r="AH182" s="3"/>
      <c r="AI182" s="3"/>
      <c r="AJ182" s="3"/>
      <c r="AK182" s="3"/>
      <c r="AL182" s="3"/>
      <c r="AM182" s="3"/>
      <c r="AN182" s="3"/>
      <c r="AO182" s="3"/>
      <c r="AP182" s="3"/>
      <c r="AQ182" s="3"/>
      <c r="AR182" s="3"/>
      <c r="AS182" s="3"/>
      <c r="AT182" s="3"/>
      <c r="AU182" s="3"/>
      <c r="AV182" s="3"/>
      <c r="AW182" s="3"/>
      <c r="AX182" s="3"/>
      <c r="AY182" s="3"/>
      <c r="AZ182" s="3"/>
      <c r="BA182" s="3"/>
      <c r="BB182" s="3"/>
      <c r="BC182" s="3"/>
      <c r="BD182" s="3"/>
      <c r="BE182" s="3"/>
    </row>
    <row r="183" spans="1:57">
      <c r="A183" s="1" t="str">
        <f>'Population Definitions'!$A$7</f>
        <v>10-17_females</v>
      </c>
      <c r="C183" t="s">
        <v>36</v>
      </c>
      <c r="D183" s="3"/>
      <c r="E183" s="3">
        <v>0</v>
      </c>
      <c r="F183" s="4" t="s">
        <v>39</v>
      </c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  <c r="AG183" s="3"/>
      <c r="AH183" s="3"/>
      <c r="AI183" s="3"/>
      <c r="AJ183" s="3"/>
      <c r="AK183" s="3"/>
      <c r="AL183" s="3"/>
      <c r="AM183" s="3"/>
      <c r="AN183" s="3"/>
      <c r="AO183" s="3"/>
      <c r="AP183" s="3"/>
      <c r="AQ183" s="3"/>
      <c r="AR183" s="3"/>
      <c r="AS183" s="3"/>
      <c r="AT183" s="3"/>
      <c r="AU183" s="3"/>
      <c r="AV183" s="3"/>
      <c r="AW183" s="3"/>
      <c r="AX183" s="3"/>
      <c r="AY183" s="3"/>
      <c r="AZ183" s="3"/>
      <c r="BA183" s="3"/>
      <c r="BB183" s="3"/>
      <c r="BC183" s="3"/>
      <c r="BD183" s="3"/>
      <c r="BE183" s="3"/>
    </row>
    <row r="184" spans="1:57">
      <c r="A184" s="1" t="str">
        <f>'Population Definitions'!$A$8</f>
        <v>18-64_males</v>
      </c>
      <c r="C184" t="s">
        <v>36</v>
      </c>
      <c r="D184" s="3"/>
      <c r="E184" s="3">
        <v>0</v>
      </c>
      <c r="F184" s="4" t="s">
        <v>39</v>
      </c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</row>
    <row r="185" spans="1:57">
      <c r="A185" s="1" t="str">
        <f>'Population Definitions'!$A$9</f>
        <v>18-64_females</v>
      </c>
      <c r="C185" t="s">
        <v>36</v>
      </c>
      <c r="D185" s="3"/>
      <c r="E185" s="3">
        <v>0</v>
      </c>
      <c r="F185" s="4" t="s">
        <v>39</v>
      </c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</row>
    <row r="186" spans="1:57">
      <c r="A186" s="1" t="str">
        <f>'Population Definitions'!$A$10</f>
        <v>65+_males</v>
      </c>
      <c r="C186" t="s">
        <v>36</v>
      </c>
      <c r="D186" s="3"/>
      <c r="E186" s="3">
        <v>0</v>
      </c>
      <c r="F186" s="4" t="s">
        <v>39</v>
      </c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</row>
    <row r="187" spans="1:57">
      <c r="A187" s="1" t="str">
        <f>'Population Definitions'!$A$11</f>
        <v>65+_females</v>
      </c>
      <c r="C187" t="s">
        <v>36</v>
      </c>
      <c r="D187" s="3"/>
      <c r="E187" s="3">
        <v>0</v>
      </c>
      <c r="F187" s="4" t="s">
        <v>39</v>
      </c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</row>
    <row r="188" spans="1:57">
      <c r="A188" s="1" t="str">
        <f>'Population Definitions'!$A$12</f>
        <v>Prisoners_males</v>
      </c>
      <c r="C188" t="s">
        <v>36</v>
      </c>
      <c r="D188" s="3"/>
      <c r="E188" s="3">
        <v>0</v>
      </c>
      <c r="F188" s="4" t="s">
        <v>39</v>
      </c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</row>
    <row r="189" spans="1:57">
      <c r="A189" s="1" t="str">
        <f>'Population Definitions'!$A$13</f>
        <v>Prisoners_females</v>
      </c>
      <c r="C189" t="s">
        <v>36</v>
      </c>
      <c r="D189" s="3"/>
      <c r="E189" s="3">
        <v>0</v>
      </c>
      <c r="F189" s="4" t="s">
        <v>39</v>
      </c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</row>
    <row r="190" spans="1:57">
      <c r="A190" s="1" t="str">
        <f>'Population Definitions'!$A$14</f>
        <v>Prisoners_PWID_males</v>
      </c>
      <c r="C190" t="s">
        <v>36</v>
      </c>
      <c r="D190" s="3"/>
      <c r="E190" s="3">
        <v>0</v>
      </c>
      <c r="F190" s="4" t="s">
        <v>39</v>
      </c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</row>
    <row r="191" spans="1:57">
      <c r="A191" s="1" t="str">
        <f>'Population Definitions'!$A$15</f>
        <v>Prisoners_PWID_females</v>
      </c>
      <c r="C191" t="s">
        <v>36</v>
      </c>
      <c r="D191" s="3"/>
      <c r="E191" s="3">
        <v>0</v>
      </c>
      <c r="F191" s="4" t="s">
        <v>39</v>
      </c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</row>
    <row r="193" spans="1:57">
      <c r="A193" s="1" t="s">
        <v>49</v>
      </c>
      <c r="B193" s="1" t="s">
        <v>31</v>
      </c>
      <c r="C193" s="1" t="s">
        <v>32</v>
      </c>
      <c r="D193" s="1" t="s">
        <v>33</v>
      </c>
      <c r="E193" s="1" t="s">
        <v>38</v>
      </c>
      <c r="F193" s="1"/>
      <c r="G193" s="1">
        <v>2000</v>
      </c>
      <c r="H193" s="1">
        <v>2001</v>
      </c>
      <c r="I193" s="1">
        <v>2002</v>
      </c>
      <c r="J193" s="1">
        <v>2003</v>
      </c>
      <c r="K193" s="1">
        <v>2004</v>
      </c>
      <c r="L193" s="1">
        <v>2005</v>
      </c>
      <c r="M193" s="1">
        <v>2006</v>
      </c>
      <c r="N193" s="1">
        <v>2007</v>
      </c>
      <c r="O193" s="1">
        <v>2008</v>
      </c>
      <c r="P193" s="1">
        <v>2009</v>
      </c>
      <c r="Q193" s="1">
        <v>2010</v>
      </c>
      <c r="R193" s="1">
        <v>2011</v>
      </c>
      <c r="S193" s="1">
        <v>2012</v>
      </c>
      <c r="T193" s="1">
        <v>2013</v>
      </c>
      <c r="U193" s="1">
        <v>2014</v>
      </c>
      <c r="V193" s="1">
        <v>2015</v>
      </c>
      <c r="W193" s="1">
        <v>2016</v>
      </c>
      <c r="X193" s="1">
        <v>2017</v>
      </c>
      <c r="Y193" s="1">
        <v>2018</v>
      </c>
      <c r="Z193" s="1">
        <v>2019</v>
      </c>
      <c r="AA193" s="1">
        <v>2020</v>
      </c>
      <c r="AB193" s="1">
        <v>2021</v>
      </c>
      <c r="AC193" s="1">
        <v>2022</v>
      </c>
      <c r="AD193" s="1">
        <v>2023</v>
      </c>
      <c r="AE193" s="1">
        <v>2024</v>
      </c>
      <c r="AF193" s="1">
        <v>2025</v>
      </c>
      <c r="AG193" s="1">
        <v>2026</v>
      </c>
      <c r="AH193" s="1">
        <v>2027</v>
      </c>
      <c r="AI193" s="1">
        <v>2028</v>
      </c>
      <c r="AJ193" s="1">
        <v>2029</v>
      </c>
      <c r="AK193" s="1">
        <v>2030</v>
      </c>
      <c r="AL193" s="1">
        <v>2031</v>
      </c>
      <c r="AM193" s="1">
        <v>2032</v>
      </c>
      <c r="AN193" s="1">
        <v>2033</v>
      </c>
      <c r="AO193" s="1">
        <v>2034</v>
      </c>
      <c r="AP193" s="1">
        <v>2035</v>
      </c>
      <c r="AQ193" s="1">
        <v>2036</v>
      </c>
      <c r="AR193" s="1">
        <v>2037</v>
      </c>
      <c r="AS193" s="1">
        <v>2038</v>
      </c>
      <c r="AT193" s="1">
        <v>2039</v>
      </c>
      <c r="AU193" s="1">
        <v>2040</v>
      </c>
      <c r="AV193" s="1">
        <v>2041</v>
      </c>
      <c r="AW193" s="1">
        <v>2042</v>
      </c>
      <c r="AX193" s="1">
        <v>2043</v>
      </c>
      <c r="AY193" s="1">
        <v>2044</v>
      </c>
      <c r="AZ193" s="1">
        <v>2045</v>
      </c>
      <c r="BA193" s="1">
        <v>2046</v>
      </c>
      <c r="BB193" s="1">
        <v>2047</v>
      </c>
      <c r="BC193" s="1">
        <v>2048</v>
      </c>
      <c r="BD193" s="1">
        <v>2049</v>
      </c>
      <c r="BE193" s="1">
        <v>2050</v>
      </c>
    </row>
    <row r="194" spans="1:57">
      <c r="A194" s="1" t="str">
        <f>'Population Definitions'!$A$2</f>
        <v>PWID_males</v>
      </c>
      <c r="C194" t="s">
        <v>50</v>
      </c>
      <c r="D194" s="3"/>
      <c r="E194" s="3">
        <v>0</v>
      </c>
      <c r="F194" s="4" t="s">
        <v>39</v>
      </c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</row>
    <row r="195" spans="1:57">
      <c r="A195" s="1" t="str">
        <f>'Population Definitions'!$A$3</f>
        <v>PWID_females</v>
      </c>
      <c r="C195" t="s">
        <v>50</v>
      </c>
      <c r="D195" s="3"/>
      <c r="E195" s="3">
        <v>0</v>
      </c>
      <c r="F195" s="4" t="s">
        <v>39</v>
      </c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</row>
    <row r="196" spans="1:57">
      <c r="A196" s="1" t="str">
        <f>'Population Definitions'!$A$4</f>
        <v>0-9_males</v>
      </c>
      <c r="C196" t="s">
        <v>50</v>
      </c>
      <c r="D196" s="3"/>
      <c r="E196" s="3">
        <v>0</v>
      </c>
      <c r="F196" s="4" t="s">
        <v>39</v>
      </c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</row>
    <row r="197" spans="1:57">
      <c r="A197" s="1" t="str">
        <f>'Population Definitions'!$A$5</f>
        <v>0-9_females</v>
      </c>
      <c r="C197" t="s">
        <v>50</v>
      </c>
      <c r="D197" s="3"/>
      <c r="E197" s="3">
        <v>0</v>
      </c>
      <c r="F197" s="4" t="s">
        <v>39</v>
      </c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</row>
    <row r="198" spans="1:57">
      <c r="A198" s="1" t="str">
        <f>'Population Definitions'!$A$6</f>
        <v>10-17_males</v>
      </c>
      <c r="C198" t="s">
        <v>50</v>
      </c>
      <c r="D198" s="3"/>
      <c r="E198" s="3">
        <v>0</v>
      </c>
      <c r="F198" s="4" t="s">
        <v>39</v>
      </c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</row>
    <row r="199" spans="1:57">
      <c r="A199" s="1" t="str">
        <f>'Population Definitions'!$A$7</f>
        <v>10-17_females</v>
      </c>
      <c r="C199" t="s">
        <v>50</v>
      </c>
      <c r="D199" s="3"/>
      <c r="E199" s="3">
        <v>0</v>
      </c>
      <c r="F199" s="4" t="s">
        <v>39</v>
      </c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</row>
    <row r="200" spans="1:57">
      <c r="A200" s="1" t="str">
        <f>'Population Definitions'!$A$8</f>
        <v>18-64_males</v>
      </c>
      <c r="C200" t="s">
        <v>50</v>
      </c>
      <c r="D200" s="3"/>
      <c r="E200" s="3">
        <v>0</v>
      </c>
      <c r="F200" s="4" t="s">
        <v>39</v>
      </c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</row>
    <row r="201" spans="1:57">
      <c r="A201" s="1" t="str">
        <f>'Population Definitions'!$A$9</f>
        <v>18-64_females</v>
      </c>
      <c r="C201" t="s">
        <v>50</v>
      </c>
      <c r="D201" s="3"/>
      <c r="E201" s="3">
        <v>0</v>
      </c>
      <c r="F201" s="4" t="s">
        <v>39</v>
      </c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</row>
    <row r="202" spans="1:57">
      <c r="A202" s="1" t="str">
        <f>'Population Definitions'!$A$10</f>
        <v>65+_males</v>
      </c>
      <c r="C202" t="s">
        <v>50</v>
      </c>
      <c r="D202" s="3"/>
      <c r="E202" s="3">
        <v>0</v>
      </c>
      <c r="F202" s="4" t="s">
        <v>39</v>
      </c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</row>
    <row r="203" spans="1:57">
      <c r="A203" s="1" t="str">
        <f>'Population Definitions'!$A$11</f>
        <v>65+_females</v>
      </c>
      <c r="C203" t="s">
        <v>50</v>
      </c>
      <c r="D203" s="3"/>
      <c r="E203" s="3">
        <v>0</v>
      </c>
      <c r="F203" s="4" t="s">
        <v>39</v>
      </c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</row>
    <row r="204" spans="1:57">
      <c r="A204" s="1" t="str">
        <f>'Population Definitions'!$A$12</f>
        <v>Prisoners_males</v>
      </c>
      <c r="C204" t="s">
        <v>50</v>
      </c>
      <c r="D204" s="3"/>
      <c r="E204" s="3">
        <v>0</v>
      </c>
      <c r="F204" s="4" t="s">
        <v>39</v>
      </c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</row>
    <row r="205" spans="1:57">
      <c r="A205" s="1" t="str">
        <f>'Population Definitions'!$A$13</f>
        <v>Prisoners_females</v>
      </c>
      <c r="C205" t="s">
        <v>50</v>
      </c>
      <c r="D205" s="3"/>
      <c r="E205" s="3">
        <v>0</v>
      </c>
      <c r="F205" s="4" t="s">
        <v>39</v>
      </c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</row>
    <row r="206" spans="1:57">
      <c r="A206" s="1" t="str">
        <f>'Population Definitions'!$A$14</f>
        <v>Prisoners_PWID_males</v>
      </c>
      <c r="C206" t="s">
        <v>50</v>
      </c>
      <c r="D206" s="3"/>
      <c r="E206" s="3">
        <v>0</v>
      </c>
      <c r="F206" s="4" t="s">
        <v>39</v>
      </c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</row>
    <row r="207" spans="1:57">
      <c r="A207" s="1" t="str">
        <f>'Population Definitions'!$A$15</f>
        <v>Prisoners_PWID_females</v>
      </c>
      <c r="C207" t="s">
        <v>50</v>
      </c>
      <c r="D207" s="3"/>
      <c r="E207" s="3">
        <v>0</v>
      </c>
      <c r="F207" s="4" t="s">
        <v>39</v>
      </c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</row>
  </sheetData>
  <conditionalFormatting sqref="E100">
    <cfRule type="expression" dxfId="0" priority="117">
      <formula>COUNTIF(G100:BE100,"&lt;&gt;" &amp; "")&gt;0</formula>
    </cfRule>
    <cfRule type="expression" dxfId="1" priority="118">
      <formula>AND(COUNTIF(G100:BE100,"&lt;&gt;" &amp; "")&gt;0,NOT(ISBLANK(E100)))</formula>
    </cfRule>
  </conditionalFormatting>
  <conditionalFormatting sqref="E101">
    <cfRule type="expression" dxfId="0" priority="119">
      <formula>COUNTIF(G101:BE101,"&lt;&gt;" &amp; "")&gt;0</formula>
    </cfRule>
    <cfRule type="expression" dxfId="1" priority="120">
      <formula>AND(COUNTIF(G101:BE101,"&lt;&gt;" &amp; "")&gt;0,NOT(ISBLANK(E101)))</formula>
    </cfRule>
  </conditionalFormatting>
  <conditionalFormatting sqref="E102">
    <cfRule type="expression" dxfId="0" priority="121">
      <formula>COUNTIF(G102:BE102,"&lt;&gt;" &amp; "")&gt;0</formula>
    </cfRule>
    <cfRule type="expression" dxfId="1" priority="122">
      <formula>AND(COUNTIF(G102:BE102,"&lt;&gt;" &amp; "")&gt;0,NOT(ISBLANK(E102)))</formula>
    </cfRule>
  </conditionalFormatting>
  <conditionalFormatting sqref="E103">
    <cfRule type="expression" dxfId="0" priority="123">
      <formula>COUNTIF(G103:BE103,"&lt;&gt;" &amp; "")&gt;0</formula>
    </cfRule>
    <cfRule type="expression" dxfId="1" priority="124">
      <formula>AND(COUNTIF(G103:BE103,"&lt;&gt;" &amp; "")&gt;0,NOT(ISBLANK(E103)))</formula>
    </cfRule>
  </conditionalFormatting>
  <conditionalFormatting sqref="E104">
    <cfRule type="expression" dxfId="0" priority="125">
      <formula>COUNTIF(G104:BE104,"&lt;&gt;" &amp; "")&gt;0</formula>
    </cfRule>
    <cfRule type="expression" dxfId="1" priority="126">
      <formula>AND(COUNTIF(G104:BE104,"&lt;&gt;" &amp; "")&gt;0,NOT(ISBLANK(E104)))</formula>
    </cfRule>
  </conditionalFormatting>
  <conditionalFormatting sqref="E105">
    <cfRule type="expression" dxfId="0" priority="127">
      <formula>COUNTIF(G105:BE105,"&lt;&gt;" &amp; "")&gt;0</formula>
    </cfRule>
    <cfRule type="expression" dxfId="1" priority="128">
      <formula>AND(COUNTIF(G105:BE105,"&lt;&gt;" &amp; "")&gt;0,NOT(ISBLANK(E105)))</formula>
    </cfRule>
  </conditionalFormatting>
  <conditionalFormatting sqref="E106">
    <cfRule type="expression" dxfId="0" priority="129">
      <formula>COUNTIF(G106:BE106,"&lt;&gt;" &amp; "")&gt;0</formula>
    </cfRule>
    <cfRule type="expression" dxfId="1" priority="130">
      <formula>AND(COUNTIF(G106:BE106,"&lt;&gt;" &amp; "")&gt;0,NOT(ISBLANK(E106)))</formula>
    </cfRule>
  </conditionalFormatting>
  <conditionalFormatting sqref="E107">
    <cfRule type="expression" dxfId="0" priority="131">
      <formula>COUNTIF(G107:BE107,"&lt;&gt;" &amp; "")&gt;0</formula>
    </cfRule>
    <cfRule type="expression" dxfId="1" priority="132">
      <formula>AND(COUNTIF(G107:BE107,"&lt;&gt;" &amp; "")&gt;0,NOT(ISBLANK(E107)))</formula>
    </cfRule>
  </conditionalFormatting>
  <conditionalFormatting sqref="E108">
    <cfRule type="expression" dxfId="0" priority="133">
      <formula>COUNTIF(G108:BE108,"&lt;&gt;" &amp; "")&gt;0</formula>
    </cfRule>
    <cfRule type="expression" dxfId="1" priority="134">
      <formula>AND(COUNTIF(G108:BE108,"&lt;&gt;" &amp; "")&gt;0,NOT(ISBLANK(E108)))</formula>
    </cfRule>
  </conditionalFormatting>
  <conditionalFormatting sqref="E109">
    <cfRule type="expression" dxfId="0" priority="135">
      <formula>COUNTIF(G109:BE109,"&lt;&gt;" &amp; "")&gt;0</formula>
    </cfRule>
    <cfRule type="expression" dxfId="1" priority="136">
      <formula>AND(COUNTIF(G109:BE109,"&lt;&gt;" &amp; "")&gt;0,NOT(ISBLANK(E109)))</formula>
    </cfRule>
  </conditionalFormatting>
  <conditionalFormatting sqref="E110">
    <cfRule type="expression" dxfId="0" priority="137">
      <formula>COUNTIF(G110:BE110,"&lt;&gt;" &amp; "")&gt;0</formula>
    </cfRule>
    <cfRule type="expression" dxfId="1" priority="138">
      <formula>AND(COUNTIF(G110:BE110,"&lt;&gt;" &amp; "")&gt;0,NOT(ISBLANK(E110)))</formula>
    </cfRule>
  </conditionalFormatting>
  <conditionalFormatting sqref="E111">
    <cfRule type="expression" dxfId="0" priority="139">
      <formula>COUNTIF(G111:BE111,"&lt;&gt;" &amp; "")&gt;0</formula>
    </cfRule>
    <cfRule type="expression" dxfId="1" priority="140">
      <formula>AND(COUNTIF(G111:BE111,"&lt;&gt;" &amp; "")&gt;0,NOT(ISBLANK(E111)))</formula>
    </cfRule>
  </conditionalFormatting>
  <conditionalFormatting sqref="E130">
    <cfRule type="expression" dxfId="0" priority="141">
      <formula>COUNTIF(G130:BE130,"&lt;&gt;" &amp; "")&gt;0</formula>
    </cfRule>
    <cfRule type="expression" dxfId="1" priority="142">
      <formula>AND(COUNTIF(G130:BE130,"&lt;&gt;" &amp; "")&gt;0,NOT(ISBLANK(E130)))</formula>
    </cfRule>
  </conditionalFormatting>
  <conditionalFormatting sqref="E131">
    <cfRule type="expression" dxfId="0" priority="143">
      <formula>COUNTIF(G131:BE131,"&lt;&gt;" &amp; "")&gt;0</formula>
    </cfRule>
    <cfRule type="expression" dxfId="1" priority="144">
      <formula>AND(COUNTIF(G131:BE131,"&lt;&gt;" &amp; "")&gt;0,NOT(ISBLANK(E131)))</formula>
    </cfRule>
  </conditionalFormatting>
  <conditionalFormatting sqref="E132">
    <cfRule type="expression" dxfId="0" priority="145">
      <formula>COUNTIF(G132:BE132,"&lt;&gt;" &amp; "")&gt;0</formula>
    </cfRule>
    <cfRule type="expression" dxfId="1" priority="146">
      <formula>AND(COUNTIF(G132:BE132,"&lt;&gt;" &amp; "")&gt;0,NOT(ISBLANK(E132)))</formula>
    </cfRule>
  </conditionalFormatting>
  <conditionalFormatting sqref="E133">
    <cfRule type="expression" dxfId="0" priority="147">
      <formula>COUNTIF(G133:BE133,"&lt;&gt;" &amp; "")&gt;0</formula>
    </cfRule>
    <cfRule type="expression" dxfId="1" priority="148">
      <formula>AND(COUNTIF(G133:BE133,"&lt;&gt;" &amp; "")&gt;0,NOT(ISBLANK(E133)))</formula>
    </cfRule>
  </conditionalFormatting>
  <conditionalFormatting sqref="E134">
    <cfRule type="expression" dxfId="0" priority="149">
      <formula>COUNTIF(G134:BE134,"&lt;&gt;" &amp; "")&gt;0</formula>
    </cfRule>
    <cfRule type="expression" dxfId="1" priority="150">
      <formula>AND(COUNTIF(G134:BE134,"&lt;&gt;" &amp; "")&gt;0,NOT(ISBLANK(E134)))</formula>
    </cfRule>
  </conditionalFormatting>
  <conditionalFormatting sqref="E135">
    <cfRule type="expression" dxfId="0" priority="151">
      <formula>COUNTIF(G135:BE135,"&lt;&gt;" &amp; "")&gt;0</formula>
    </cfRule>
    <cfRule type="expression" dxfId="1" priority="152">
      <formula>AND(COUNTIF(G135:BE135,"&lt;&gt;" &amp; "")&gt;0,NOT(ISBLANK(E135)))</formula>
    </cfRule>
  </conditionalFormatting>
  <conditionalFormatting sqref="E136">
    <cfRule type="expression" dxfId="0" priority="153">
      <formula>COUNTIF(G136:BE136,"&lt;&gt;" &amp; "")&gt;0</formula>
    </cfRule>
    <cfRule type="expression" dxfId="1" priority="154">
      <formula>AND(COUNTIF(G136:BE136,"&lt;&gt;" &amp; "")&gt;0,NOT(ISBLANK(E136)))</formula>
    </cfRule>
  </conditionalFormatting>
  <conditionalFormatting sqref="E137">
    <cfRule type="expression" dxfId="0" priority="155">
      <formula>COUNTIF(G137:BE137,"&lt;&gt;" &amp; "")&gt;0</formula>
    </cfRule>
    <cfRule type="expression" dxfId="1" priority="156">
      <formula>AND(COUNTIF(G137:BE137,"&lt;&gt;" &amp; "")&gt;0,NOT(ISBLANK(E137)))</formula>
    </cfRule>
  </conditionalFormatting>
  <conditionalFormatting sqref="E138">
    <cfRule type="expression" dxfId="0" priority="157">
      <formula>COUNTIF(G138:BE138,"&lt;&gt;" &amp; "")&gt;0</formula>
    </cfRule>
    <cfRule type="expression" dxfId="1" priority="158">
      <formula>AND(COUNTIF(G138:BE138,"&lt;&gt;" &amp; "")&gt;0,NOT(ISBLANK(E138)))</formula>
    </cfRule>
  </conditionalFormatting>
  <conditionalFormatting sqref="E139">
    <cfRule type="expression" dxfId="0" priority="159">
      <formula>COUNTIF(G139:BE139,"&lt;&gt;" &amp; "")&gt;0</formula>
    </cfRule>
    <cfRule type="expression" dxfId="1" priority="160">
      <formula>AND(COUNTIF(G139:BE139,"&lt;&gt;" &amp; "")&gt;0,NOT(ISBLANK(E139)))</formula>
    </cfRule>
  </conditionalFormatting>
  <conditionalFormatting sqref="E140">
    <cfRule type="expression" dxfId="0" priority="161">
      <formula>COUNTIF(G140:BE140,"&lt;&gt;" &amp; "")&gt;0</formula>
    </cfRule>
    <cfRule type="expression" dxfId="1" priority="162">
      <formula>AND(COUNTIF(G140:BE140,"&lt;&gt;" &amp; "")&gt;0,NOT(ISBLANK(E140)))</formula>
    </cfRule>
  </conditionalFormatting>
  <conditionalFormatting sqref="E141">
    <cfRule type="expression" dxfId="0" priority="163">
      <formula>COUNTIF(G141:BE141,"&lt;&gt;" &amp; "")&gt;0</formula>
    </cfRule>
    <cfRule type="expression" dxfId="1" priority="164">
      <formula>AND(COUNTIF(G141:BE141,"&lt;&gt;" &amp; "")&gt;0,NOT(ISBLANK(E141)))</formula>
    </cfRule>
  </conditionalFormatting>
  <conditionalFormatting sqref="E142">
    <cfRule type="expression" dxfId="0" priority="165">
      <formula>COUNTIF(G142:BE142,"&lt;&gt;" &amp; "")&gt;0</formula>
    </cfRule>
    <cfRule type="expression" dxfId="1" priority="166">
      <formula>AND(COUNTIF(G142:BE142,"&lt;&gt;" &amp; "")&gt;0,NOT(ISBLANK(E142)))</formula>
    </cfRule>
  </conditionalFormatting>
  <conditionalFormatting sqref="E143">
    <cfRule type="expression" dxfId="0" priority="167">
      <formula>COUNTIF(G143:BE143,"&lt;&gt;" &amp; "")&gt;0</formula>
    </cfRule>
    <cfRule type="expression" dxfId="1" priority="168">
      <formula>AND(COUNTIF(G143:BE143,"&lt;&gt;" &amp; "")&gt;0,NOT(ISBLANK(E143)))</formula>
    </cfRule>
  </conditionalFormatting>
  <conditionalFormatting sqref="E146">
    <cfRule type="expression" dxfId="0" priority="169">
      <formula>COUNTIF(G146:BE146,"&lt;&gt;" &amp; "")&gt;0</formula>
    </cfRule>
    <cfRule type="expression" dxfId="1" priority="170">
      <formula>AND(COUNTIF(G146:BE146,"&lt;&gt;" &amp; "")&gt;0,NOT(ISBLANK(E146)))</formula>
    </cfRule>
  </conditionalFormatting>
  <conditionalFormatting sqref="E147">
    <cfRule type="expression" dxfId="0" priority="171">
      <formula>COUNTIF(G147:BE147,"&lt;&gt;" &amp; "")&gt;0</formula>
    </cfRule>
    <cfRule type="expression" dxfId="1" priority="172">
      <formula>AND(COUNTIF(G147:BE147,"&lt;&gt;" &amp; "")&gt;0,NOT(ISBLANK(E147)))</formula>
    </cfRule>
  </conditionalFormatting>
  <conditionalFormatting sqref="E148">
    <cfRule type="expression" dxfId="0" priority="173">
      <formula>COUNTIF(G148:BE148,"&lt;&gt;" &amp; "")&gt;0</formula>
    </cfRule>
    <cfRule type="expression" dxfId="1" priority="174">
      <formula>AND(COUNTIF(G148:BE148,"&lt;&gt;" &amp; "")&gt;0,NOT(ISBLANK(E148)))</formula>
    </cfRule>
  </conditionalFormatting>
  <conditionalFormatting sqref="E149">
    <cfRule type="expression" dxfId="0" priority="175">
      <formula>COUNTIF(G149:BE149,"&lt;&gt;" &amp; "")&gt;0</formula>
    </cfRule>
    <cfRule type="expression" dxfId="1" priority="176">
      <formula>AND(COUNTIF(G149:BE149,"&lt;&gt;" &amp; "")&gt;0,NOT(ISBLANK(E149)))</formula>
    </cfRule>
  </conditionalFormatting>
  <conditionalFormatting sqref="E150">
    <cfRule type="expression" dxfId="0" priority="177">
      <formula>COUNTIF(G150:BE150,"&lt;&gt;" &amp; "")&gt;0</formula>
    </cfRule>
    <cfRule type="expression" dxfId="1" priority="178">
      <formula>AND(COUNTIF(G150:BE150,"&lt;&gt;" &amp; "")&gt;0,NOT(ISBLANK(E150)))</formula>
    </cfRule>
  </conditionalFormatting>
  <conditionalFormatting sqref="E151">
    <cfRule type="expression" dxfId="0" priority="179">
      <formula>COUNTIF(G151:BE151,"&lt;&gt;" &amp; "")&gt;0</formula>
    </cfRule>
    <cfRule type="expression" dxfId="1" priority="180">
      <formula>AND(COUNTIF(G151:BE151,"&lt;&gt;" &amp; "")&gt;0,NOT(ISBLANK(E151)))</formula>
    </cfRule>
  </conditionalFormatting>
  <conditionalFormatting sqref="E152">
    <cfRule type="expression" dxfId="0" priority="181">
      <formula>COUNTIF(G152:BE152,"&lt;&gt;" &amp; "")&gt;0</formula>
    </cfRule>
    <cfRule type="expression" dxfId="1" priority="182">
      <formula>AND(COUNTIF(G152:BE152,"&lt;&gt;" &amp; "")&gt;0,NOT(ISBLANK(E152)))</formula>
    </cfRule>
  </conditionalFormatting>
  <conditionalFormatting sqref="E153">
    <cfRule type="expression" dxfId="0" priority="183">
      <formula>COUNTIF(G153:BE153,"&lt;&gt;" &amp; "")&gt;0</formula>
    </cfRule>
    <cfRule type="expression" dxfId="1" priority="184">
      <formula>AND(COUNTIF(G153:BE153,"&lt;&gt;" &amp; "")&gt;0,NOT(ISBLANK(E153)))</formula>
    </cfRule>
  </conditionalFormatting>
  <conditionalFormatting sqref="E154">
    <cfRule type="expression" dxfId="0" priority="185">
      <formula>COUNTIF(G154:BE154,"&lt;&gt;" &amp; "")&gt;0</formula>
    </cfRule>
    <cfRule type="expression" dxfId="1" priority="186">
      <formula>AND(COUNTIF(G154:BE154,"&lt;&gt;" &amp; "")&gt;0,NOT(ISBLANK(E154)))</formula>
    </cfRule>
  </conditionalFormatting>
  <conditionalFormatting sqref="E155">
    <cfRule type="expression" dxfId="0" priority="187">
      <formula>COUNTIF(G155:BE155,"&lt;&gt;" &amp; "")&gt;0</formula>
    </cfRule>
    <cfRule type="expression" dxfId="1" priority="188">
      <formula>AND(COUNTIF(G155:BE155,"&lt;&gt;" &amp; "")&gt;0,NOT(ISBLANK(E155)))</formula>
    </cfRule>
  </conditionalFormatting>
  <conditionalFormatting sqref="E156">
    <cfRule type="expression" dxfId="0" priority="189">
      <formula>COUNTIF(G156:BE156,"&lt;&gt;" &amp; "")&gt;0</formula>
    </cfRule>
    <cfRule type="expression" dxfId="1" priority="190">
      <formula>AND(COUNTIF(G156:BE156,"&lt;&gt;" &amp; "")&gt;0,NOT(ISBLANK(E156)))</formula>
    </cfRule>
  </conditionalFormatting>
  <conditionalFormatting sqref="E157">
    <cfRule type="expression" dxfId="0" priority="191">
      <formula>COUNTIF(G157:BE157,"&lt;&gt;" &amp; "")&gt;0</formula>
    </cfRule>
    <cfRule type="expression" dxfId="1" priority="192">
      <formula>AND(COUNTIF(G157:BE157,"&lt;&gt;" &amp; "")&gt;0,NOT(ISBLANK(E157)))</formula>
    </cfRule>
  </conditionalFormatting>
  <conditionalFormatting sqref="E158">
    <cfRule type="expression" dxfId="0" priority="193">
      <formula>COUNTIF(G158:BE158,"&lt;&gt;" &amp; "")&gt;0</formula>
    </cfRule>
    <cfRule type="expression" dxfId="1" priority="194">
      <formula>AND(COUNTIF(G158:BE158,"&lt;&gt;" &amp; "")&gt;0,NOT(ISBLANK(E158)))</formula>
    </cfRule>
  </conditionalFormatting>
  <conditionalFormatting sqref="E159">
    <cfRule type="expression" dxfId="0" priority="195">
      <formula>COUNTIF(G159:BE159,"&lt;&gt;" &amp; "")&gt;0</formula>
    </cfRule>
    <cfRule type="expression" dxfId="1" priority="196">
      <formula>AND(COUNTIF(G159:BE159,"&lt;&gt;" &amp; "")&gt;0,NOT(ISBLANK(E159)))</formula>
    </cfRule>
  </conditionalFormatting>
  <conditionalFormatting sqref="E162">
    <cfRule type="expression" dxfId="0" priority="197">
      <formula>COUNTIF(G162:BE162,"&lt;&gt;" &amp; "")&gt;0</formula>
    </cfRule>
    <cfRule type="expression" dxfId="1" priority="198">
      <formula>AND(COUNTIF(G162:BE162,"&lt;&gt;" &amp; "")&gt;0,NOT(ISBLANK(E162)))</formula>
    </cfRule>
  </conditionalFormatting>
  <conditionalFormatting sqref="E163">
    <cfRule type="expression" dxfId="0" priority="199">
      <formula>COUNTIF(G163:BE163,"&lt;&gt;" &amp; "")&gt;0</formula>
    </cfRule>
    <cfRule type="expression" dxfId="1" priority="200">
      <formula>AND(COUNTIF(G163:BE163,"&lt;&gt;" &amp; "")&gt;0,NOT(ISBLANK(E163)))</formula>
    </cfRule>
  </conditionalFormatting>
  <conditionalFormatting sqref="E164">
    <cfRule type="expression" dxfId="0" priority="201">
      <formula>COUNTIF(G164:BE164,"&lt;&gt;" &amp; "")&gt;0</formula>
    </cfRule>
    <cfRule type="expression" dxfId="1" priority="202">
      <formula>AND(COUNTIF(G164:BE164,"&lt;&gt;" &amp; "")&gt;0,NOT(ISBLANK(E164)))</formula>
    </cfRule>
  </conditionalFormatting>
  <conditionalFormatting sqref="E165">
    <cfRule type="expression" dxfId="0" priority="203">
      <formula>COUNTIF(G165:BE165,"&lt;&gt;" &amp; "")&gt;0</formula>
    </cfRule>
    <cfRule type="expression" dxfId="1" priority="204">
      <formula>AND(COUNTIF(G165:BE165,"&lt;&gt;" &amp; "")&gt;0,NOT(ISBLANK(E165)))</formula>
    </cfRule>
  </conditionalFormatting>
  <conditionalFormatting sqref="E166">
    <cfRule type="expression" dxfId="0" priority="205">
      <formula>COUNTIF(G166:BE166,"&lt;&gt;" &amp; "")&gt;0</formula>
    </cfRule>
    <cfRule type="expression" dxfId="1" priority="206">
      <formula>AND(COUNTIF(G166:BE166,"&lt;&gt;" &amp; "")&gt;0,NOT(ISBLANK(E166)))</formula>
    </cfRule>
  </conditionalFormatting>
  <conditionalFormatting sqref="E167">
    <cfRule type="expression" dxfId="0" priority="207">
      <formula>COUNTIF(G167:BE167,"&lt;&gt;" &amp; "")&gt;0</formula>
    </cfRule>
    <cfRule type="expression" dxfId="1" priority="208">
      <formula>AND(COUNTIF(G167:BE167,"&lt;&gt;" &amp; "")&gt;0,NOT(ISBLANK(E167)))</formula>
    </cfRule>
  </conditionalFormatting>
  <conditionalFormatting sqref="E168">
    <cfRule type="expression" dxfId="0" priority="209">
      <formula>COUNTIF(G168:BE168,"&lt;&gt;" &amp; "")&gt;0</formula>
    </cfRule>
    <cfRule type="expression" dxfId="1" priority="210">
      <formula>AND(COUNTIF(G168:BE168,"&lt;&gt;" &amp; "")&gt;0,NOT(ISBLANK(E168)))</formula>
    </cfRule>
  </conditionalFormatting>
  <conditionalFormatting sqref="E169">
    <cfRule type="expression" dxfId="0" priority="211">
      <formula>COUNTIF(G169:BE169,"&lt;&gt;" &amp; "")&gt;0</formula>
    </cfRule>
    <cfRule type="expression" dxfId="1" priority="212">
      <formula>AND(COUNTIF(G169:BE169,"&lt;&gt;" &amp; "")&gt;0,NOT(ISBLANK(E169)))</formula>
    </cfRule>
  </conditionalFormatting>
  <conditionalFormatting sqref="E170">
    <cfRule type="expression" dxfId="0" priority="213">
      <formula>COUNTIF(G170:BE170,"&lt;&gt;" &amp; "")&gt;0</formula>
    </cfRule>
    <cfRule type="expression" dxfId="1" priority="214">
      <formula>AND(COUNTIF(G170:BE170,"&lt;&gt;" &amp; "")&gt;0,NOT(ISBLANK(E170)))</formula>
    </cfRule>
  </conditionalFormatting>
  <conditionalFormatting sqref="E171">
    <cfRule type="expression" dxfId="0" priority="215">
      <formula>COUNTIF(G171:BE171,"&lt;&gt;" &amp; "")&gt;0</formula>
    </cfRule>
    <cfRule type="expression" dxfId="1" priority="216">
      <formula>AND(COUNTIF(G171:BE171,"&lt;&gt;" &amp; "")&gt;0,NOT(ISBLANK(E171)))</formula>
    </cfRule>
  </conditionalFormatting>
  <conditionalFormatting sqref="E172">
    <cfRule type="expression" dxfId="0" priority="217">
      <formula>COUNTIF(G172:BE172,"&lt;&gt;" &amp; "")&gt;0</formula>
    </cfRule>
    <cfRule type="expression" dxfId="1" priority="218">
      <formula>AND(COUNTIF(G172:BE172,"&lt;&gt;" &amp; "")&gt;0,NOT(ISBLANK(E172)))</formula>
    </cfRule>
  </conditionalFormatting>
  <conditionalFormatting sqref="E173">
    <cfRule type="expression" dxfId="0" priority="219">
      <formula>COUNTIF(G173:BE173,"&lt;&gt;" &amp; "")&gt;0</formula>
    </cfRule>
    <cfRule type="expression" dxfId="1" priority="220">
      <formula>AND(COUNTIF(G173:BE173,"&lt;&gt;" &amp; "")&gt;0,NOT(ISBLANK(E173)))</formula>
    </cfRule>
  </conditionalFormatting>
  <conditionalFormatting sqref="E174">
    <cfRule type="expression" dxfId="0" priority="221">
      <formula>COUNTIF(G174:BE174,"&lt;&gt;" &amp; "")&gt;0</formula>
    </cfRule>
    <cfRule type="expression" dxfId="1" priority="222">
      <formula>AND(COUNTIF(G174:BE174,"&lt;&gt;" &amp; "")&gt;0,NOT(ISBLANK(E174)))</formula>
    </cfRule>
  </conditionalFormatting>
  <conditionalFormatting sqref="E175">
    <cfRule type="expression" dxfId="0" priority="223">
      <formula>COUNTIF(G175:BE175,"&lt;&gt;" &amp; "")&gt;0</formula>
    </cfRule>
    <cfRule type="expression" dxfId="1" priority="224">
      <formula>AND(COUNTIF(G175:BE175,"&lt;&gt;" &amp; "")&gt;0,NOT(ISBLANK(E175)))</formula>
    </cfRule>
  </conditionalFormatting>
  <conditionalFormatting sqref="E178">
    <cfRule type="expression" dxfId="0" priority="225">
      <formula>COUNTIF(G178:BE178,"&lt;&gt;" &amp; "")&gt;0</formula>
    </cfRule>
    <cfRule type="expression" dxfId="1" priority="226">
      <formula>AND(COUNTIF(G178:BE178,"&lt;&gt;" &amp; "")&gt;0,NOT(ISBLANK(E178)))</formula>
    </cfRule>
  </conditionalFormatting>
  <conditionalFormatting sqref="E179">
    <cfRule type="expression" dxfId="0" priority="227">
      <formula>COUNTIF(G179:BE179,"&lt;&gt;" &amp; "")&gt;0</formula>
    </cfRule>
    <cfRule type="expression" dxfId="1" priority="228">
      <formula>AND(COUNTIF(G179:BE179,"&lt;&gt;" &amp; "")&gt;0,NOT(ISBLANK(E179)))</formula>
    </cfRule>
  </conditionalFormatting>
  <conditionalFormatting sqref="E180">
    <cfRule type="expression" dxfId="0" priority="229">
      <formula>COUNTIF(G180:BE180,"&lt;&gt;" &amp; "")&gt;0</formula>
    </cfRule>
    <cfRule type="expression" dxfId="1" priority="230">
      <formula>AND(COUNTIF(G180:BE180,"&lt;&gt;" &amp; "")&gt;0,NOT(ISBLANK(E180)))</formula>
    </cfRule>
  </conditionalFormatting>
  <conditionalFormatting sqref="E181">
    <cfRule type="expression" dxfId="0" priority="231">
      <formula>COUNTIF(G181:BE181,"&lt;&gt;" &amp; "")&gt;0</formula>
    </cfRule>
    <cfRule type="expression" dxfId="1" priority="232">
      <formula>AND(COUNTIF(G181:BE181,"&lt;&gt;" &amp; "")&gt;0,NOT(ISBLANK(E181)))</formula>
    </cfRule>
  </conditionalFormatting>
  <conditionalFormatting sqref="E182">
    <cfRule type="expression" dxfId="0" priority="233">
      <formula>COUNTIF(G182:BE182,"&lt;&gt;" &amp; "")&gt;0</formula>
    </cfRule>
    <cfRule type="expression" dxfId="1" priority="234">
      <formula>AND(COUNTIF(G182:BE182,"&lt;&gt;" &amp; "")&gt;0,NOT(ISBLANK(E182)))</formula>
    </cfRule>
  </conditionalFormatting>
  <conditionalFormatting sqref="E183">
    <cfRule type="expression" dxfId="0" priority="235">
      <formula>COUNTIF(G183:BE183,"&lt;&gt;" &amp; "")&gt;0</formula>
    </cfRule>
    <cfRule type="expression" dxfId="1" priority="236">
      <formula>AND(COUNTIF(G183:BE183,"&lt;&gt;" &amp; "")&gt;0,NOT(ISBLANK(E183)))</formula>
    </cfRule>
  </conditionalFormatting>
  <conditionalFormatting sqref="E184">
    <cfRule type="expression" dxfId="0" priority="237">
      <formula>COUNTIF(G184:BE184,"&lt;&gt;" &amp; "")&gt;0</formula>
    </cfRule>
    <cfRule type="expression" dxfId="1" priority="238">
      <formula>AND(COUNTIF(G184:BE184,"&lt;&gt;" &amp; "")&gt;0,NOT(ISBLANK(E184)))</formula>
    </cfRule>
  </conditionalFormatting>
  <conditionalFormatting sqref="E185">
    <cfRule type="expression" dxfId="0" priority="239">
      <formula>COUNTIF(G185:BE185,"&lt;&gt;" &amp; "")&gt;0</formula>
    </cfRule>
    <cfRule type="expression" dxfId="1" priority="240">
      <formula>AND(COUNTIF(G185:BE185,"&lt;&gt;" &amp; "")&gt;0,NOT(ISBLANK(E185)))</formula>
    </cfRule>
  </conditionalFormatting>
  <conditionalFormatting sqref="E186">
    <cfRule type="expression" dxfId="0" priority="241">
      <formula>COUNTIF(G186:BE186,"&lt;&gt;" &amp; "")&gt;0</formula>
    </cfRule>
    <cfRule type="expression" dxfId="1" priority="242">
      <formula>AND(COUNTIF(G186:BE186,"&lt;&gt;" &amp; "")&gt;0,NOT(ISBLANK(E186)))</formula>
    </cfRule>
  </conditionalFormatting>
  <conditionalFormatting sqref="E187">
    <cfRule type="expression" dxfId="0" priority="243">
      <formula>COUNTIF(G187:BE187,"&lt;&gt;" &amp; "")&gt;0</formula>
    </cfRule>
    <cfRule type="expression" dxfId="1" priority="244">
      <formula>AND(COUNTIF(G187:BE187,"&lt;&gt;" &amp; "")&gt;0,NOT(ISBLANK(E187)))</formula>
    </cfRule>
  </conditionalFormatting>
  <conditionalFormatting sqref="E188">
    <cfRule type="expression" dxfId="0" priority="245">
      <formula>COUNTIF(G188:BE188,"&lt;&gt;" &amp; "")&gt;0</formula>
    </cfRule>
    <cfRule type="expression" dxfId="1" priority="246">
      <formula>AND(COUNTIF(G188:BE188,"&lt;&gt;" &amp; "")&gt;0,NOT(ISBLANK(E188)))</formula>
    </cfRule>
  </conditionalFormatting>
  <conditionalFormatting sqref="E189">
    <cfRule type="expression" dxfId="0" priority="247">
      <formula>COUNTIF(G189:BE189,"&lt;&gt;" &amp; "")&gt;0</formula>
    </cfRule>
    <cfRule type="expression" dxfId="1" priority="248">
      <formula>AND(COUNTIF(G189:BE189,"&lt;&gt;" &amp; "")&gt;0,NOT(ISBLANK(E189)))</formula>
    </cfRule>
  </conditionalFormatting>
  <conditionalFormatting sqref="E190">
    <cfRule type="expression" dxfId="0" priority="249">
      <formula>COUNTIF(G190:BE190,"&lt;&gt;" &amp; "")&gt;0</formula>
    </cfRule>
    <cfRule type="expression" dxfId="1" priority="250">
      <formula>AND(COUNTIF(G190:BE190,"&lt;&gt;" &amp; "")&gt;0,NOT(ISBLANK(E190)))</formula>
    </cfRule>
  </conditionalFormatting>
  <conditionalFormatting sqref="E191">
    <cfRule type="expression" dxfId="0" priority="251">
      <formula>COUNTIF(G191:BE191,"&lt;&gt;" &amp; "")&gt;0</formula>
    </cfRule>
    <cfRule type="expression" dxfId="1" priority="252">
      <formula>AND(COUNTIF(G191:BE191,"&lt;&gt;" &amp; "")&gt;0,NOT(ISBLANK(E191)))</formula>
    </cfRule>
  </conditionalFormatting>
  <conditionalFormatting sqref="E194">
    <cfRule type="expression" dxfId="0" priority="253">
      <formula>COUNTIF(G194:BE194,"&lt;&gt;" &amp; "")&gt;0</formula>
    </cfRule>
    <cfRule type="expression" dxfId="1" priority="254">
      <formula>AND(COUNTIF(G194:BE194,"&lt;&gt;" &amp; "")&gt;0,NOT(ISBLANK(E194)))</formula>
    </cfRule>
  </conditionalFormatting>
  <conditionalFormatting sqref="E195">
    <cfRule type="expression" dxfId="0" priority="255">
      <formula>COUNTIF(G195:BE195,"&lt;&gt;" &amp; "")&gt;0</formula>
    </cfRule>
    <cfRule type="expression" dxfId="1" priority="256">
      <formula>AND(COUNTIF(G195:BE195,"&lt;&gt;" &amp; "")&gt;0,NOT(ISBLANK(E195)))</formula>
    </cfRule>
  </conditionalFormatting>
  <conditionalFormatting sqref="E196">
    <cfRule type="expression" dxfId="0" priority="257">
      <formula>COUNTIF(G196:BE196,"&lt;&gt;" &amp; "")&gt;0</formula>
    </cfRule>
    <cfRule type="expression" dxfId="1" priority="258">
      <formula>AND(COUNTIF(G196:BE196,"&lt;&gt;" &amp; "")&gt;0,NOT(ISBLANK(E196)))</formula>
    </cfRule>
  </conditionalFormatting>
  <conditionalFormatting sqref="E197">
    <cfRule type="expression" dxfId="0" priority="259">
      <formula>COUNTIF(G197:BE197,"&lt;&gt;" &amp; "")&gt;0</formula>
    </cfRule>
    <cfRule type="expression" dxfId="1" priority="260">
      <formula>AND(COUNTIF(G197:BE197,"&lt;&gt;" &amp; "")&gt;0,NOT(ISBLANK(E197)))</formula>
    </cfRule>
  </conditionalFormatting>
  <conditionalFormatting sqref="E198">
    <cfRule type="expression" dxfId="0" priority="261">
      <formula>COUNTIF(G198:BE198,"&lt;&gt;" &amp; "")&gt;0</formula>
    </cfRule>
    <cfRule type="expression" dxfId="1" priority="262">
      <formula>AND(COUNTIF(G198:BE198,"&lt;&gt;" &amp; "")&gt;0,NOT(ISBLANK(E198)))</formula>
    </cfRule>
  </conditionalFormatting>
  <conditionalFormatting sqref="E199">
    <cfRule type="expression" dxfId="0" priority="263">
      <formula>COUNTIF(G199:BE199,"&lt;&gt;" &amp; "")&gt;0</formula>
    </cfRule>
    <cfRule type="expression" dxfId="1" priority="264">
      <formula>AND(COUNTIF(G199:BE199,"&lt;&gt;" &amp; "")&gt;0,NOT(ISBLANK(E199)))</formula>
    </cfRule>
  </conditionalFormatting>
  <conditionalFormatting sqref="E200">
    <cfRule type="expression" dxfId="0" priority="265">
      <formula>COUNTIF(G200:BE200,"&lt;&gt;" &amp; "")&gt;0</formula>
    </cfRule>
    <cfRule type="expression" dxfId="1" priority="266">
      <formula>AND(COUNTIF(G200:BE200,"&lt;&gt;" &amp; "")&gt;0,NOT(ISBLANK(E200)))</formula>
    </cfRule>
  </conditionalFormatting>
  <conditionalFormatting sqref="E201">
    <cfRule type="expression" dxfId="0" priority="267">
      <formula>COUNTIF(G201:BE201,"&lt;&gt;" &amp; "")&gt;0</formula>
    </cfRule>
    <cfRule type="expression" dxfId="1" priority="268">
      <formula>AND(COUNTIF(G201:BE201,"&lt;&gt;" &amp; "")&gt;0,NOT(ISBLANK(E201)))</formula>
    </cfRule>
  </conditionalFormatting>
  <conditionalFormatting sqref="E202">
    <cfRule type="expression" dxfId="0" priority="269">
      <formula>COUNTIF(G202:BE202,"&lt;&gt;" &amp; "")&gt;0</formula>
    </cfRule>
    <cfRule type="expression" dxfId="1" priority="270">
      <formula>AND(COUNTIF(G202:BE202,"&lt;&gt;" &amp; "")&gt;0,NOT(ISBLANK(E202)))</formula>
    </cfRule>
  </conditionalFormatting>
  <conditionalFormatting sqref="E203">
    <cfRule type="expression" dxfId="0" priority="271">
      <formula>COUNTIF(G203:BE203,"&lt;&gt;" &amp; "")&gt;0</formula>
    </cfRule>
    <cfRule type="expression" dxfId="1" priority="272">
      <formula>AND(COUNTIF(G203:BE203,"&lt;&gt;" &amp; "")&gt;0,NOT(ISBLANK(E203)))</formula>
    </cfRule>
  </conditionalFormatting>
  <conditionalFormatting sqref="E204">
    <cfRule type="expression" dxfId="0" priority="273">
      <formula>COUNTIF(G204:BE204,"&lt;&gt;" &amp; "")&gt;0</formula>
    </cfRule>
    <cfRule type="expression" dxfId="1" priority="274">
      <formula>AND(COUNTIF(G204:BE204,"&lt;&gt;" &amp; "")&gt;0,NOT(ISBLANK(E204)))</formula>
    </cfRule>
  </conditionalFormatting>
  <conditionalFormatting sqref="E205">
    <cfRule type="expression" dxfId="0" priority="275">
      <formula>COUNTIF(G205:BE205,"&lt;&gt;" &amp; "")&gt;0</formula>
    </cfRule>
    <cfRule type="expression" dxfId="1" priority="276">
      <formula>AND(COUNTIF(G205:BE205,"&lt;&gt;" &amp; "")&gt;0,NOT(ISBLANK(E205)))</formula>
    </cfRule>
  </conditionalFormatting>
  <conditionalFormatting sqref="E206">
    <cfRule type="expression" dxfId="0" priority="277">
      <formula>COUNTIF(G206:BE206,"&lt;&gt;" &amp; "")&gt;0</formula>
    </cfRule>
    <cfRule type="expression" dxfId="1" priority="278">
      <formula>AND(COUNTIF(G206:BE206,"&lt;&gt;" &amp; "")&gt;0,NOT(ISBLANK(E206)))</formula>
    </cfRule>
  </conditionalFormatting>
  <conditionalFormatting sqref="E207">
    <cfRule type="expression" dxfId="0" priority="279">
      <formula>COUNTIF(G207:BE207,"&lt;&gt;" &amp; "")&gt;0</formula>
    </cfRule>
    <cfRule type="expression" dxfId="1" priority="280">
      <formula>AND(COUNTIF(G207:BE207,"&lt;&gt;" &amp; "")&gt;0,NOT(ISBLANK(E207)))</formula>
    </cfRule>
  </conditionalFormatting>
  <conditionalFormatting sqref="E34">
    <cfRule type="expression" dxfId="0" priority="1">
      <formula>COUNTIF(G34:BE34,"&lt;&gt;" &amp; "")&gt;0</formula>
    </cfRule>
    <cfRule type="expression" dxfId="1" priority="2">
      <formula>AND(COUNTIF(G34:BE34,"&lt;&gt;" &amp; "")&gt;0,NOT(ISBLANK(E34)))</formula>
    </cfRule>
  </conditionalFormatting>
  <conditionalFormatting sqref="E35">
    <cfRule type="expression" dxfId="0" priority="3">
      <formula>COUNTIF(G35:BE35,"&lt;&gt;" &amp; "")&gt;0</formula>
    </cfRule>
    <cfRule type="expression" dxfId="1" priority="4">
      <formula>AND(COUNTIF(G35:BE35,"&lt;&gt;" &amp; "")&gt;0,NOT(ISBLANK(E35)))</formula>
    </cfRule>
  </conditionalFormatting>
  <conditionalFormatting sqref="E36">
    <cfRule type="expression" dxfId="0" priority="5">
      <formula>COUNTIF(G36:BE36,"&lt;&gt;" &amp; "")&gt;0</formula>
    </cfRule>
    <cfRule type="expression" dxfId="1" priority="6">
      <formula>AND(COUNTIF(G36:BE36,"&lt;&gt;" &amp; "")&gt;0,NOT(ISBLANK(E36)))</formula>
    </cfRule>
  </conditionalFormatting>
  <conditionalFormatting sqref="E37">
    <cfRule type="expression" dxfId="0" priority="7">
      <formula>COUNTIF(G37:BE37,"&lt;&gt;" &amp; "")&gt;0</formula>
    </cfRule>
    <cfRule type="expression" dxfId="1" priority="8">
      <formula>AND(COUNTIF(G37:BE37,"&lt;&gt;" &amp; "")&gt;0,NOT(ISBLANK(E37)))</formula>
    </cfRule>
  </conditionalFormatting>
  <conditionalFormatting sqref="E38">
    <cfRule type="expression" dxfId="0" priority="9">
      <formula>COUNTIF(G38:BE38,"&lt;&gt;" &amp; "")&gt;0</formula>
    </cfRule>
    <cfRule type="expression" dxfId="1" priority="10">
      <formula>AND(COUNTIF(G38:BE38,"&lt;&gt;" &amp; "")&gt;0,NOT(ISBLANK(E38)))</formula>
    </cfRule>
  </conditionalFormatting>
  <conditionalFormatting sqref="E39">
    <cfRule type="expression" dxfId="0" priority="11">
      <formula>COUNTIF(G39:BE39,"&lt;&gt;" &amp; "")&gt;0</formula>
    </cfRule>
    <cfRule type="expression" dxfId="1" priority="12">
      <formula>AND(COUNTIF(G39:BE39,"&lt;&gt;" &amp; "")&gt;0,NOT(ISBLANK(E39)))</formula>
    </cfRule>
  </conditionalFormatting>
  <conditionalFormatting sqref="E40">
    <cfRule type="expression" dxfId="0" priority="13">
      <formula>COUNTIF(G40:BE40,"&lt;&gt;" &amp; "")&gt;0</formula>
    </cfRule>
    <cfRule type="expression" dxfId="1" priority="14">
      <formula>AND(COUNTIF(G40:BE40,"&lt;&gt;" &amp; "")&gt;0,NOT(ISBLANK(E40)))</formula>
    </cfRule>
  </conditionalFormatting>
  <conditionalFormatting sqref="E41">
    <cfRule type="expression" dxfId="0" priority="15">
      <formula>COUNTIF(G41:BE41,"&lt;&gt;" &amp; "")&gt;0</formula>
    </cfRule>
    <cfRule type="expression" dxfId="1" priority="16">
      <formula>AND(COUNTIF(G41:BE41,"&lt;&gt;" &amp; "")&gt;0,NOT(ISBLANK(E41)))</formula>
    </cfRule>
  </conditionalFormatting>
  <conditionalFormatting sqref="E42">
    <cfRule type="expression" dxfId="0" priority="17">
      <formula>COUNTIF(G42:BE42,"&lt;&gt;" &amp; "")&gt;0</formula>
    </cfRule>
    <cfRule type="expression" dxfId="1" priority="18">
      <formula>AND(COUNTIF(G42:BE42,"&lt;&gt;" &amp; "")&gt;0,NOT(ISBLANK(E42)))</formula>
    </cfRule>
  </conditionalFormatting>
  <conditionalFormatting sqref="E43">
    <cfRule type="expression" dxfId="0" priority="19">
      <formula>COUNTIF(G43:BE43,"&lt;&gt;" &amp; "")&gt;0</formula>
    </cfRule>
    <cfRule type="expression" dxfId="1" priority="20">
      <formula>AND(COUNTIF(G43:BE43,"&lt;&gt;" &amp; "")&gt;0,NOT(ISBLANK(E43)))</formula>
    </cfRule>
  </conditionalFormatting>
  <conditionalFormatting sqref="E44">
    <cfRule type="expression" dxfId="0" priority="21">
      <formula>COUNTIF(G44:BE44,"&lt;&gt;" &amp; "")&gt;0</formula>
    </cfRule>
    <cfRule type="expression" dxfId="1" priority="22">
      <formula>AND(COUNTIF(G44:BE44,"&lt;&gt;" &amp; "")&gt;0,NOT(ISBLANK(E44)))</formula>
    </cfRule>
  </conditionalFormatting>
  <conditionalFormatting sqref="E45">
    <cfRule type="expression" dxfId="0" priority="23">
      <formula>COUNTIF(G45:BE45,"&lt;&gt;" &amp; "")&gt;0</formula>
    </cfRule>
    <cfRule type="expression" dxfId="1" priority="24">
      <formula>AND(COUNTIF(G45:BE45,"&lt;&gt;" &amp; "")&gt;0,NOT(ISBLANK(E45)))</formula>
    </cfRule>
  </conditionalFormatting>
  <conditionalFormatting sqref="E46">
    <cfRule type="expression" dxfId="0" priority="25">
      <formula>COUNTIF(G46:BE46,"&lt;&gt;" &amp; "")&gt;0</formula>
    </cfRule>
    <cfRule type="expression" dxfId="1" priority="26">
      <formula>AND(COUNTIF(G46:BE46,"&lt;&gt;" &amp; "")&gt;0,NOT(ISBLANK(E46)))</formula>
    </cfRule>
  </conditionalFormatting>
  <conditionalFormatting sqref="E47">
    <cfRule type="expression" dxfId="0" priority="27">
      <formula>COUNTIF(G47:BE47,"&lt;&gt;" &amp; "")&gt;0</formula>
    </cfRule>
    <cfRule type="expression" dxfId="1" priority="28">
      <formula>AND(COUNTIF(G47:BE47,"&lt;&gt;" &amp; "")&gt;0,NOT(ISBLANK(E47)))</formula>
    </cfRule>
  </conditionalFormatting>
  <conditionalFormatting sqref="E50">
    <cfRule type="expression" dxfId="0" priority="29">
      <formula>COUNTIF(G50:BE50,"&lt;&gt;" &amp; "")&gt;0</formula>
    </cfRule>
    <cfRule type="expression" dxfId="1" priority="30">
      <formula>AND(COUNTIF(G50:BE50,"&lt;&gt;" &amp; "")&gt;0,NOT(ISBLANK(E50)))</formula>
    </cfRule>
  </conditionalFormatting>
  <conditionalFormatting sqref="E51">
    <cfRule type="expression" dxfId="0" priority="31">
      <formula>COUNTIF(G51:BE51,"&lt;&gt;" &amp; "")&gt;0</formula>
    </cfRule>
    <cfRule type="expression" dxfId="1" priority="32">
      <formula>AND(COUNTIF(G51:BE51,"&lt;&gt;" &amp; "")&gt;0,NOT(ISBLANK(E51)))</formula>
    </cfRule>
  </conditionalFormatting>
  <conditionalFormatting sqref="E52">
    <cfRule type="expression" dxfId="0" priority="33">
      <formula>COUNTIF(G52:BE52,"&lt;&gt;" &amp; "")&gt;0</formula>
    </cfRule>
    <cfRule type="expression" dxfId="1" priority="34">
      <formula>AND(COUNTIF(G52:BE52,"&lt;&gt;" &amp; "")&gt;0,NOT(ISBLANK(E52)))</formula>
    </cfRule>
  </conditionalFormatting>
  <conditionalFormatting sqref="E53">
    <cfRule type="expression" dxfId="0" priority="35">
      <formula>COUNTIF(G53:BE53,"&lt;&gt;" &amp; "")&gt;0</formula>
    </cfRule>
    <cfRule type="expression" dxfId="1" priority="36">
      <formula>AND(COUNTIF(G53:BE53,"&lt;&gt;" &amp; "")&gt;0,NOT(ISBLANK(E53)))</formula>
    </cfRule>
  </conditionalFormatting>
  <conditionalFormatting sqref="E54">
    <cfRule type="expression" dxfId="0" priority="37">
      <formula>COUNTIF(G54:BE54,"&lt;&gt;" &amp; "")&gt;0</formula>
    </cfRule>
    <cfRule type="expression" dxfId="1" priority="38">
      <formula>AND(COUNTIF(G54:BE54,"&lt;&gt;" &amp; "")&gt;0,NOT(ISBLANK(E54)))</formula>
    </cfRule>
  </conditionalFormatting>
  <conditionalFormatting sqref="E55">
    <cfRule type="expression" dxfId="0" priority="39">
      <formula>COUNTIF(G55:BE55,"&lt;&gt;" &amp; "")&gt;0</formula>
    </cfRule>
    <cfRule type="expression" dxfId="1" priority="40">
      <formula>AND(COUNTIF(G55:BE55,"&lt;&gt;" &amp; "")&gt;0,NOT(ISBLANK(E55)))</formula>
    </cfRule>
  </conditionalFormatting>
  <conditionalFormatting sqref="E56">
    <cfRule type="expression" dxfId="0" priority="41">
      <formula>COUNTIF(G56:BE56,"&lt;&gt;" &amp; "")&gt;0</formula>
    </cfRule>
    <cfRule type="expression" dxfId="1" priority="42">
      <formula>AND(COUNTIF(G56:BE56,"&lt;&gt;" &amp; "")&gt;0,NOT(ISBLANK(E56)))</formula>
    </cfRule>
  </conditionalFormatting>
  <conditionalFormatting sqref="E57">
    <cfRule type="expression" dxfId="0" priority="43">
      <formula>COUNTIF(G57:BE57,"&lt;&gt;" &amp; "")&gt;0</formula>
    </cfRule>
    <cfRule type="expression" dxfId="1" priority="44">
      <formula>AND(COUNTIF(G57:BE57,"&lt;&gt;" &amp; "")&gt;0,NOT(ISBLANK(E57)))</formula>
    </cfRule>
  </conditionalFormatting>
  <conditionalFormatting sqref="E58">
    <cfRule type="expression" dxfId="0" priority="45">
      <formula>COUNTIF(G58:BE58,"&lt;&gt;" &amp; "")&gt;0</formula>
    </cfRule>
    <cfRule type="expression" dxfId="1" priority="46">
      <formula>AND(COUNTIF(G58:BE58,"&lt;&gt;" &amp; "")&gt;0,NOT(ISBLANK(E58)))</formula>
    </cfRule>
  </conditionalFormatting>
  <conditionalFormatting sqref="E59">
    <cfRule type="expression" dxfId="0" priority="47">
      <formula>COUNTIF(G59:BE59,"&lt;&gt;" &amp; "")&gt;0</formula>
    </cfRule>
    <cfRule type="expression" dxfId="1" priority="48">
      <formula>AND(COUNTIF(G59:BE59,"&lt;&gt;" &amp; "")&gt;0,NOT(ISBLANK(E59)))</formula>
    </cfRule>
  </conditionalFormatting>
  <conditionalFormatting sqref="E60">
    <cfRule type="expression" dxfId="0" priority="49">
      <formula>COUNTIF(G60:BE60,"&lt;&gt;" &amp; "")&gt;0</formula>
    </cfRule>
    <cfRule type="expression" dxfId="1" priority="50">
      <formula>AND(COUNTIF(G60:BE60,"&lt;&gt;" &amp; "")&gt;0,NOT(ISBLANK(E60)))</formula>
    </cfRule>
  </conditionalFormatting>
  <conditionalFormatting sqref="E61">
    <cfRule type="expression" dxfId="0" priority="51">
      <formula>COUNTIF(G61:BE61,"&lt;&gt;" &amp; "")&gt;0</formula>
    </cfRule>
    <cfRule type="expression" dxfId="1" priority="52">
      <formula>AND(COUNTIF(G61:BE61,"&lt;&gt;" &amp; "")&gt;0,NOT(ISBLANK(E61)))</formula>
    </cfRule>
  </conditionalFormatting>
  <conditionalFormatting sqref="E62">
    <cfRule type="expression" dxfId="0" priority="53">
      <formula>COUNTIF(G62:BE62,"&lt;&gt;" &amp; "")&gt;0</formula>
    </cfRule>
    <cfRule type="expression" dxfId="1" priority="54">
      <formula>AND(COUNTIF(G62:BE62,"&lt;&gt;" &amp; "")&gt;0,NOT(ISBLANK(E62)))</formula>
    </cfRule>
  </conditionalFormatting>
  <conditionalFormatting sqref="E63">
    <cfRule type="expression" dxfId="0" priority="55">
      <formula>COUNTIF(G63:BE63,"&lt;&gt;" &amp; "")&gt;0</formula>
    </cfRule>
    <cfRule type="expression" dxfId="1" priority="56">
      <formula>AND(COUNTIF(G63:BE63,"&lt;&gt;" &amp; "")&gt;0,NOT(ISBLANK(E63)))</formula>
    </cfRule>
  </conditionalFormatting>
  <conditionalFormatting sqref="E66">
    <cfRule type="expression" dxfId="0" priority="57">
      <formula>COUNTIF(G66:BE66,"&lt;&gt;" &amp; "")&gt;0</formula>
    </cfRule>
    <cfRule type="expression" dxfId="1" priority="58">
      <formula>AND(COUNTIF(G66:BE66,"&lt;&gt;" &amp; "")&gt;0,NOT(ISBLANK(E66)))</formula>
    </cfRule>
  </conditionalFormatting>
  <conditionalFormatting sqref="E67">
    <cfRule type="expression" dxfId="0" priority="59">
      <formula>COUNTIF(G67:BE67,"&lt;&gt;" &amp; "")&gt;0</formula>
    </cfRule>
    <cfRule type="expression" dxfId="1" priority="60">
      <formula>AND(COUNTIF(G67:BE67,"&lt;&gt;" &amp; "")&gt;0,NOT(ISBLANK(E67)))</formula>
    </cfRule>
  </conditionalFormatting>
  <conditionalFormatting sqref="E68">
    <cfRule type="expression" dxfId="0" priority="61">
      <formula>COUNTIF(G68:BE68,"&lt;&gt;" &amp; "")&gt;0</formula>
    </cfRule>
    <cfRule type="expression" dxfId="1" priority="62">
      <formula>AND(COUNTIF(G68:BE68,"&lt;&gt;" &amp; "")&gt;0,NOT(ISBLANK(E68)))</formula>
    </cfRule>
  </conditionalFormatting>
  <conditionalFormatting sqref="E69">
    <cfRule type="expression" dxfId="0" priority="63">
      <formula>COUNTIF(G69:BE69,"&lt;&gt;" &amp; "")&gt;0</formula>
    </cfRule>
    <cfRule type="expression" dxfId="1" priority="64">
      <formula>AND(COUNTIF(G69:BE69,"&lt;&gt;" &amp; "")&gt;0,NOT(ISBLANK(E69)))</formula>
    </cfRule>
  </conditionalFormatting>
  <conditionalFormatting sqref="E70">
    <cfRule type="expression" dxfId="0" priority="65">
      <formula>COUNTIF(G70:BE70,"&lt;&gt;" &amp; "")&gt;0</formula>
    </cfRule>
    <cfRule type="expression" dxfId="1" priority="66">
      <formula>AND(COUNTIF(G70:BE70,"&lt;&gt;" &amp; "")&gt;0,NOT(ISBLANK(E70)))</formula>
    </cfRule>
  </conditionalFormatting>
  <conditionalFormatting sqref="E71">
    <cfRule type="expression" dxfId="0" priority="67">
      <formula>COUNTIF(G71:BE71,"&lt;&gt;" &amp; "")&gt;0</formula>
    </cfRule>
    <cfRule type="expression" dxfId="1" priority="68">
      <formula>AND(COUNTIF(G71:BE71,"&lt;&gt;" &amp; "")&gt;0,NOT(ISBLANK(E71)))</formula>
    </cfRule>
  </conditionalFormatting>
  <conditionalFormatting sqref="E72">
    <cfRule type="expression" dxfId="0" priority="69">
      <formula>COUNTIF(G72:BE72,"&lt;&gt;" &amp; "")&gt;0</formula>
    </cfRule>
    <cfRule type="expression" dxfId="1" priority="70">
      <formula>AND(COUNTIF(G72:BE72,"&lt;&gt;" &amp; "")&gt;0,NOT(ISBLANK(E72)))</formula>
    </cfRule>
  </conditionalFormatting>
  <conditionalFormatting sqref="E73">
    <cfRule type="expression" dxfId="0" priority="71">
      <formula>COUNTIF(G73:BE73,"&lt;&gt;" &amp; "")&gt;0</formula>
    </cfRule>
    <cfRule type="expression" dxfId="1" priority="72">
      <formula>AND(COUNTIF(G73:BE73,"&lt;&gt;" &amp; "")&gt;0,NOT(ISBLANK(E73)))</formula>
    </cfRule>
  </conditionalFormatting>
  <conditionalFormatting sqref="E74">
    <cfRule type="expression" dxfId="0" priority="73">
      <formula>COUNTIF(G74:BE74,"&lt;&gt;" &amp; "")&gt;0</formula>
    </cfRule>
    <cfRule type="expression" dxfId="1" priority="74">
      <formula>AND(COUNTIF(G74:BE74,"&lt;&gt;" &amp; "")&gt;0,NOT(ISBLANK(E74)))</formula>
    </cfRule>
  </conditionalFormatting>
  <conditionalFormatting sqref="E75">
    <cfRule type="expression" dxfId="0" priority="75">
      <formula>COUNTIF(G75:BE75,"&lt;&gt;" &amp; "")&gt;0</formula>
    </cfRule>
    <cfRule type="expression" dxfId="1" priority="76">
      <formula>AND(COUNTIF(G75:BE75,"&lt;&gt;" &amp; "")&gt;0,NOT(ISBLANK(E75)))</formula>
    </cfRule>
  </conditionalFormatting>
  <conditionalFormatting sqref="E76">
    <cfRule type="expression" dxfId="0" priority="77">
      <formula>COUNTIF(G76:BE76,"&lt;&gt;" &amp; "")&gt;0</formula>
    </cfRule>
    <cfRule type="expression" dxfId="1" priority="78">
      <formula>AND(COUNTIF(G76:BE76,"&lt;&gt;" &amp; "")&gt;0,NOT(ISBLANK(E76)))</formula>
    </cfRule>
  </conditionalFormatting>
  <conditionalFormatting sqref="E77">
    <cfRule type="expression" dxfId="0" priority="79">
      <formula>COUNTIF(G77:BE77,"&lt;&gt;" &amp; "")&gt;0</formula>
    </cfRule>
    <cfRule type="expression" dxfId="1" priority="80">
      <formula>AND(COUNTIF(G77:BE77,"&lt;&gt;" &amp; "")&gt;0,NOT(ISBLANK(E77)))</formula>
    </cfRule>
  </conditionalFormatting>
  <conditionalFormatting sqref="E78">
    <cfRule type="expression" dxfId="0" priority="81">
      <formula>COUNTIF(G78:BE78,"&lt;&gt;" &amp; "")&gt;0</formula>
    </cfRule>
    <cfRule type="expression" dxfId="1" priority="82">
      <formula>AND(COUNTIF(G78:BE78,"&lt;&gt;" &amp; "")&gt;0,NOT(ISBLANK(E78)))</formula>
    </cfRule>
  </conditionalFormatting>
  <conditionalFormatting sqref="E79">
    <cfRule type="expression" dxfId="0" priority="83">
      <formula>COUNTIF(G79:BE79,"&lt;&gt;" &amp; "")&gt;0</formula>
    </cfRule>
    <cfRule type="expression" dxfId="1" priority="84">
      <formula>AND(COUNTIF(G79:BE79,"&lt;&gt;" &amp; "")&gt;0,NOT(ISBLANK(E79)))</formula>
    </cfRule>
  </conditionalFormatting>
  <conditionalFormatting sqref="E82">
    <cfRule type="expression" dxfId="0" priority="85">
      <formula>COUNTIF(G82:BE82,"&lt;&gt;" &amp; "")&gt;0</formula>
    </cfRule>
    <cfRule type="expression" dxfId="1" priority="86">
      <formula>AND(COUNTIF(G82:BE82,"&lt;&gt;" &amp; "")&gt;0,NOT(ISBLANK(E82)))</formula>
    </cfRule>
  </conditionalFormatting>
  <conditionalFormatting sqref="E83">
    <cfRule type="expression" dxfId="0" priority="87">
      <formula>COUNTIF(G83:BE83,"&lt;&gt;" &amp; "")&gt;0</formula>
    </cfRule>
    <cfRule type="expression" dxfId="1" priority="88">
      <formula>AND(COUNTIF(G83:BE83,"&lt;&gt;" &amp; "")&gt;0,NOT(ISBLANK(E83)))</formula>
    </cfRule>
  </conditionalFormatting>
  <conditionalFormatting sqref="E84">
    <cfRule type="expression" dxfId="0" priority="89">
      <formula>COUNTIF(G84:BE84,"&lt;&gt;" &amp; "")&gt;0</formula>
    </cfRule>
    <cfRule type="expression" dxfId="1" priority="90">
      <formula>AND(COUNTIF(G84:BE84,"&lt;&gt;" &amp; "")&gt;0,NOT(ISBLANK(E84)))</formula>
    </cfRule>
  </conditionalFormatting>
  <conditionalFormatting sqref="E85">
    <cfRule type="expression" dxfId="0" priority="91">
      <formula>COUNTIF(G85:BE85,"&lt;&gt;" &amp; "")&gt;0</formula>
    </cfRule>
    <cfRule type="expression" dxfId="1" priority="92">
      <formula>AND(COUNTIF(G85:BE85,"&lt;&gt;" &amp; "")&gt;0,NOT(ISBLANK(E85)))</formula>
    </cfRule>
  </conditionalFormatting>
  <conditionalFormatting sqref="E86">
    <cfRule type="expression" dxfId="0" priority="93">
      <formula>COUNTIF(G86:BE86,"&lt;&gt;" &amp; "")&gt;0</formula>
    </cfRule>
    <cfRule type="expression" dxfId="1" priority="94">
      <formula>AND(COUNTIF(G86:BE86,"&lt;&gt;" &amp; "")&gt;0,NOT(ISBLANK(E86)))</formula>
    </cfRule>
  </conditionalFormatting>
  <conditionalFormatting sqref="E87">
    <cfRule type="expression" dxfId="0" priority="95">
      <formula>COUNTIF(G87:BE87,"&lt;&gt;" &amp; "")&gt;0</formula>
    </cfRule>
    <cfRule type="expression" dxfId="1" priority="96">
      <formula>AND(COUNTIF(G87:BE87,"&lt;&gt;" &amp; "")&gt;0,NOT(ISBLANK(E87)))</formula>
    </cfRule>
  </conditionalFormatting>
  <conditionalFormatting sqref="E88">
    <cfRule type="expression" dxfId="0" priority="97">
      <formula>COUNTIF(G88:BE88,"&lt;&gt;" &amp; "")&gt;0</formula>
    </cfRule>
    <cfRule type="expression" dxfId="1" priority="98">
      <formula>AND(COUNTIF(G88:BE88,"&lt;&gt;" &amp; "")&gt;0,NOT(ISBLANK(E88)))</formula>
    </cfRule>
  </conditionalFormatting>
  <conditionalFormatting sqref="E89">
    <cfRule type="expression" dxfId="0" priority="99">
      <formula>COUNTIF(G89:BE89,"&lt;&gt;" &amp; "")&gt;0</formula>
    </cfRule>
    <cfRule type="expression" dxfId="1" priority="100">
      <formula>AND(COUNTIF(G89:BE89,"&lt;&gt;" &amp; "")&gt;0,NOT(ISBLANK(E89)))</formula>
    </cfRule>
  </conditionalFormatting>
  <conditionalFormatting sqref="E90">
    <cfRule type="expression" dxfId="0" priority="101">
      <formula>COUNTIF(G90:BE90,"&lt;&gt;" &amp; "")&gt;0</formula>
    </cfRule>
    <cfRule type="expression" dxfId="1" priority="102">
      <formula>AND(COUNTIF(G90:BE90,"&lt;&gt;" &amp; "")&gt;0,NOT(ISBLANK(E90)))</formula>
    </cfRule>
  </conditionalFormatting>
  <conditionalFormatting sqref="E91">
    <cfRule type="expression" dxfId="0" priority="103">
      <formula>COUNTIF(G91:BE91,"&lt;&gt;" &amp; "")&gt;0</formula>
    </cfRule>
    <cfRule type="expression" dxfId="1" priority="104">
      <formula>AND(COUNTIF(G91:BE91,"&lt;&gt;" &amp; "")&gt;0,NOT(ISBLANK(E91)))</formula>
    </cfRule>
  </conditionalFormatting>
  <conditionalFormatting sqref="E92">
    <cfRule type="expression" dxfId="0" priority="105">
      <formula>COUNTIF(G92:BE92,"&lt;&gt;" &amp; "")&gt;0</formula>
    </cfRule>
    <cfRule type="expression" dxfId="1" priority="106">
      <formula>AND(COUNTIF(G92:BE92,"&lt;&gt;" &amp; "")&gt;0,NOT(ISBLANK(E92)))</formula>
    </cfRule>
  </conditionalFormatting>
  <conditionalFormatting sqref="E93">
    <cfRule type="expression" dxfId="0" priority="107">
      <formula>COUNTIF(G93:BE93,"&lt;&gt;" &amp; "")&gt;0</formula>
    </cfRule>
    <cfRule type="expression" dxfId="1" priority="108">
      <formula>AND(COUNTIF(G93:BE93,"&lt;&gt;" &amp; "")&gt;0,NOT(ISBLANK(E93)))</formula>
    </cfRule>
  </conditionalFormatting>
  <conditionalFormatting sqref="E94">
    <cfRule type="expression" dxfId="0" priority="109">
      <formula>COUNTIF(G94:BE94,"&lt;&gt;" &amp; "")&gt;0</formula>
    </cfRule>
    <cfRule type="expression" dxfId="1" priority="110">
      <formula>AND(COUNTIF(G94:BE94,"&lt;&gt;" &amp; "")&gt;0,NOT(ISBLANK(E94)))</formula>
    </cfRule>
  </conditionalFormatting>
  <conditionalFormatting sqref="E95">
    <cfRule type="expression" dxfId="0" priority="111">
      <formula>COUNTIF(G95:BE95,"&lt;&gt;" &amp; "")&gt;0</formula>
    </cfRule>
    <cfRule type="expression" dxfId="1" priority="112">
      <formula>AND(COUNTIF(G95:BE95,"&lt;&gt;" &amp; "")&gt;0,NOT(ISBLANK(E95)))</formula>
    </cfRule>
  </conditionalFormatting>
  <conditionalFormatting sqref="E98">
    <cfRule type="expression" dxfId="0" priority="113">
      <formula>COUNTIF(G98:BE98,"&lt;&gt;" &amp; "")&gt;0</formula>
    </cfRule>
    <cfRule type="expression" dxfId="1" priority="114">
      <formula>AND(COUNTIF(G98:BE98,"&lt;&gt;" &amp; "")&gt;0,NOT(ISBLANK(E98)))</formula>
    </cfRule>
  </conditionalFormatting>
  <conditionalFormatting sqref="E99">
    <cfRule type="expression" dxfId="0" priority="115">
      <formula>COUNTIF(G99:BE99,"&lt;&gt;" &amp; "")&gt;0</formula>
    </cfRule>
    <cfRule type="expression" dxfId="1" priority="116">
      <formula>AND(COUNTIF(G99:BE99,"&lt;&gt;" &amp; "")&gt;0,NOT(ISBLANK(E99)))</formula>
    </cfRule>
  </conditionalFormatting>
  <dataValidations count="182">
    <dataValidation type="list" allowBlank="1" showInputMessage="1" showErrorMessage="1" sqref="C2">
      <formula1>"Number"</formula1>
    </dataValidation>
    <dataValidation type="list" allowBlank="1" showInputMessage="1" showErrorMessage="1" sqref="C3">
      <formula1>"Number"</formula1>
    </dataValidation>
    <dataValidation type="list" allowBlank="1" showInputMessage="1" showErrorMessage="1" sqref="C4">
      <formula1>"Number"</formula1>
    </dataValidation>
    <dataValidation type="list" allowBlank="1" showInputMessage="1" showErrorMessage="1" sqref="C5">
      <formula1>"Number"</formula1>
    </dataValidation>
    <dataValidation type="list" allowBlank="1" showInputMessage="1" showErrorMessage="1" sqref="C6">
      <formula1>"Number"</formula1>
    </dataValidation>
    <dataValidation type="list" allowBlank="1" showInputMessage="1" showErrorMessage="1" sqref="C7">
      <formula1>"Number"</formula1>
    </dataValidation>
    <dataValidation type="list" allowBlank="1" showInputMessage="1" showErrorMessage="1" sqref="C8">
      <formula1>"Number"</formula1>
    </dataValidation>
    <dataValidation type="list" allowBlank="1" showInputMessage="1" showErrorMessage="1" sqref="C9">
      <formula1>"Number"</formula1>
    </dataValidation>
    <dataValidation type="list" allowBlank="1" showInputMessage="1" showErrorMessage="1" sqref="C10">
      <formula1>"Number"</formula1>
    </dataValidation>
    <dataValidation type="list" allowBlank="1" showInputMessage="1" showErrorMessage="1" sqref="C11">
      <formula1>"Number"</formula1>
    </dataValidation>
    <dataValidation type="list" allowBlank="1" showInputMessage="1" showErrorMessage="1" sqref="C12">
      <formula1>"Number"</formula1>
    </dataValidation>
    <dataValidation type="list" allowBlank="1" showInputMessage="1" showErrorMessage="1" sqref="C13">
      <formula1>"Number"</formula1>
    </dataValidation>
    <dataValidation type="list" allowBlank="1" showInputMessage="1" showErrorMessage="1" sqref="C14">
      <formula1>"Number"</formula1>
    </dataValidation>
    <dataValidation type="list" allowBlank="1" showInputMessage="1" showErrorMessage="1" sqref="C15">
      <formula1>"Number"</formula1>
    </dataValidation>
    <dataValidation type="list" allowBlank="1" showInputMessage="1" showErrorMessage="1" sqref="C18">
      <formula1>"Fraction"</formula1>
    </dataValidation>
    <dataValidation type="list" allowBlank="1" showInputMessage="1" showErrorMessage="1" sqref="C19">
      <formula1>"Fraction"</formula1>
    </dataValidation>
    <dataValidation type="list" allowBlank="1" showInputMessage="1" showErrorMessage="1" sqref="C20">
      <formula1>"Fraction"</formula1>
    </dataValidation>
    <dataValidation type="list" allowBlank="1" showInputMessage="1" showErrorMessage="1" sqref="C21">
      <formula1>"Fraction"</formula1>
    </dataValidation>
    <dataValidation type="list" allowBlank="1" showInputMessage="1" showErrorMessage="1" sqref="C22">
      <formula1>"Fraction"</formula1>
    </dataValidation>
    <dataValidation type="list" allowBlank="1" showInputMessage="1" showErrorMessage="1" sqref="C23">
      <formula1>"Fraction"</formula1>
    </dataValidation>
    <dataValidation type="list" allowBlank="1" showInputMessage="1" showErrorMessage="1" sqref="C24">
      <formula1>"Fraction"</formula1>
    </dataValidation>
    <dataValidation type="list" allowBlank="1" showInputMessage="1" showErrorMessage="1" sqref="C25">
      <formula1>"Fraction"</formula1>
    </dataValidation>
    <dataValidation type="list" allowBlank="1" showInputMessage="1" showErrorMessage="1" sqref="C26">
      <formula1>"Fraction"</formula1>
    </dataValidation>
    <dataValidation type="list" allowBlank="1" showInputMessage="1" showErrorMessage="1" sqref="C27">
      <formula1>"Fraction"</formula1>
    </dataValidation>
    <dataValidation type="list" allowBlank="1" showInputMessage="1" showErrorMessage="1" sqref="C28">
      <formula1>"Fraction"</formula1>
    </dataValidation>
    <dataValidation type="list" allowBlank="1" showInputMessage="1" showErrorMessage="1" sqref="C29">
      <formula1>"Fraction"</formula1>
    </dataValidation>
    <dataValidation type="list" allowBlank="1" showInputMessage="1" showErrorMessage="1" sqref="C30">
      <formula1>"Fraction"</formula1>
    </dataValidation>
    <dataValidation type="list" allowBlank="1" showInputMessage="1" showErrorMessage="1" sqref="C31">
      <formula1>"Fraction"</formula1>
    </dataValidation>
    <dataValidation type="list" allowBlank="1" showInputMessage="1" showErrorMessage="1" sqref="C34">
      <formula1>"Fraction"</formula1>
    </dataValidation>
    <dataValidation type="list" allowBlank="1" showInputMessage="1" showErrorMessage="1" sqref="C35">
      <formula1>"Fraction"</formula1>
    </dataValidation>
    <dataValidation type="list" allowBlank="1" showInputMessage="1" showErrorMessage="1" sqref="C36">
      <formula1>"Fraction"</formula1>
    </dataValidation>
    <dataValidation type="list" allowBlank="1" showInputMessage="1" showErrorMessage="1" sqref="C37">
      <formula1>"Fraction"</formula1>
    </dataValidation>
    <dataValidation type="list" allowBlank="1" showInputMessage="1" showErrorMessage="1" sqref="C38">
      <formula1>"Fraction"</formula1>
    </dataValidation>
    <dataValidation type="list" allowBlank="1" showInputMessage="1" showErrorMessage="1" sqref="C39">
      <formula1>"Fraction"</formula1>
    </dataValidation>
    <dataValidation type="list" allowBlank="1" showInputMessage="1" showErrorMessage="1" sqref="C40">
      <formula1>"Fraction"</formula1>
    </dataValidation>
    <dataValidation type="list" allowBlank="1" showInputMessage="1" showErrorMessage="1" sqref="C41">
      <formula1>"Fraction"</formula1>
    </dataValidation>
    <dataValidation type="list" allowBlank="1" showInputMessage="1" showErrorMessage="1" sqref="C42">
      <formula1>"Fraction"</formula1>
    </dataValidation>
    <dataValidation type="list" allowBlank="1" showInputMessage="1" showErrorMessage="1" sqref="C43">
      <formula1>"Fraction"</formula1>
    </dataValidation>
    <dataValidation type="list" allowBlank="1" showInputMessage="1" showErrorMessage="1" sqref="C44">
      <formula1>"Fraction"</formula1>
    </dataValidation>
    <dataValidation type="list" allowBlank="1" showInputMessage="1" showErrorMessage="1" sqref="C45">
      <formula1>"Fraction"</formula1>
    </dataValidation>
    <dataValidation type="list" allowBlank="1" showInputMessage="1" showErrorMessage="1" sqref="C46">
      <formula1>"Fraction"</formula1>
    </dataValidation>
    <dataValidation type="list" allowBlank="1" showInputMessage="1" showErrorMessage="1" sqref="C47">
      <formula1>"Fraction"</formula1>
    </dataValidation>
    <dataValidation type="list" allowBlank="1" showInputMessage="1" showErrorMessage="1" sqref="C50">
      <formula1>"Fraction"</formula1>
    </dataValidation>
    <dataValidation type="list" allowBlank="1" showInputMessage="1" showErrorMessage="1" sqref="C51">
      <formula1>"Fraction"</formula1>
    </dataValidation>
    <dataValidation type="list" allowBlank="1" showInputMessage="1" showErrorMessage="1" sqref="C52">
      <formula1>"Fraction"</formula1>
    </dataValidation>
    <dataValidation type="list" allowBlank="1" showInputMessage="1" showErrorMessage="1" sqref="C53">
      <formula1>"Fraction"</formula1>
    </dataValidation>
    <dataValidation type="list" allowBlank="1" showInputMessage="1" showErrorMessage="1" sqref="C54">
      <formula1>"Fraction"</formula1>
    </dataValidation>
    <dataValidation type="list" allowBlank="1" showInputMessage="1" showErrorMessage="1" sqref="C55">
      <formula1>"Fraction"</formula1>
    </dataValidation>
    <dataValidation type="list" allowBlank="1" showInputMessage="1" showErrorMessage="1" sqref="C56">
      <formula1>"Fraction"</formula1>
    </dataValidation>
    <dataValidation type="list" allowBlank="1" showInputMessage="1" showErrorMessage="1" sqref="C57">
      <formula1>"Fraction"</formula1>
    </dataValidation>
    <dataValidation type="list" allowBlank="1" showInputMessage="1" showErrorMessage="1" sqref="C58">
      <formula1>"Fraction"</formula1>
    </dataValidation>
    <dataValidation type="list" allowBlank="1" showInputMessage="1" showErrorMessage="1" sqref="C59">
      <formula1>"Fraction"</formula1>
    </dataValidation>
    <dataValidation type="list" allowBlank="1" showInputMessage="1" showErrorMessage="1" sqref="C60">
      <formula1>"Fraction"</formula1>
    </dataValidation>
    <dataValidation type="list" allowBlank="1" showInputMessage="1" showErrorMessage="1" sqref="C61">
      <formula1>"Fraction"</formula1>
    </dataValidation>
    <dataValidation type="list" allowBlank="1" showInputMessage="1" showErrorMessage="1" sqref="C62">
      <formula1>"Fraction"</formula1>
    </dataValidation>
    <dataValidation type="list" allowBlank="1" showInputMessage="1" showErrorMessage="1" sqref="C63">
      <formula1>"Fraction"</formula1>
    </dataValidation>
    <dataValidation type="list" allowBlank="1" showInputMessage="1" showErrorMessage="1" sqref="C66">
      <formula1>"Fraction"</formula1>
    </dataValidation>
    <dataValidation type="list" allowBlank="1" showInputMessage="1" showErrorMessage="1" sqref="C67">
      <formula1>"Fraction"</formula1>
    </dataValidation>
    <dataValidation type="list" allowBlank="1" showInputMessage="1" showErrorMessage="1" sqref="C68">
      <formula1>"Fraction"</formula1>
    </dataValidation>
    <dataValidation type="list" allowBlank="1" showInputMessage="1" showErrorMessage="1" sqref="C69">
      <formula1>"Fraction"</formula1>
    </dataValidation>
    <dataValidation type="list" allowBlank="1" showInputMessage="1" showErrorMessage="1" sqref="C70">
      <formula1>"Fraction"</formula1>
    </dataValidation>
    <dataValidation type="list" allowBlank="1" showInputMessage="1" showErrorMessage="1" sqref="C71">
      <formula1>"Fraction"</formula1>
    </dataValidation>
    <dataValidation type="list" allowBlank="1" showInputMessage="1" showErrorMessage="1" sqref="C72">
      <formula1>"Fraction"</formula1>
    </dataValidation>
    <dataValidation type="list" allowBlank="1" showInputMessage="1" showErrorMessage="1" sqref="C73">
      <formula1>"Fraction"</formula1>
    </dataValidation>
    <dataValidation type="list" allowBlank="1" showInputMessage="1" showErrorMessage="1" sqref="C74">
      <formula1>"Fraction"</formula1>
    </dataValidation>
    <dataValidation type="list" allowBlank="1" showInputMessage="1" showErrorMessage="1" sqref="C75">
      <formula1>"Fraction"</formula1>
    </dataValidation>
    <dataValidation type="list" allowBlank="1" showInputMessage="1" showErrorMessage="1" sqref="C76">
      <formula1>"Fraction"</formula1>
    </dataValidation>
    <dataValidation type="list" allowBlank="1" showInputMessage="1" showErrorMessage="1" sqref="C77">
      <formula1>"Fraction"</formula1>
    </dataValidation>
    <dataValidation type="list" allowBlank="1" showInputMessage="1" showErrorMessage="1" sqref="C78">
      <formula1>"Fraction"</formula1>
    </dataValidation>
    <dataValidation type="list" allowBlank="1" showInputMessage="1" showErrorMessage="1" sqref="C79">
      <formula1>"Fraction"</formula1>
    </dataValidation>
    <dataValidation type="list" allowBlank="1" showInputMessage="1" showErrorMessage="1" sqref="C82">
      <formula1>"Fraction"</formula1>
    </dataValidation>
    <dataValidation type="list" allowBlank="1" showInputMessage="1" showErrorMessage="1" sqref="C83">
      <formula1>"Fraction"</formula1>
    </dataValidation>
    <dataValidation type="list" allowBlank="1" showInputMessage="1" showErrorMessage="1" sqref="C84">
      <formula1>"Fraction"</formula1>
    </dataValidation>
    <dataValidation type="list" allowBlank="1" showInputMessage="1" showErrorMessage="1" sqref="C85">
      <formula1>"Fraction"</formula1>
    </dataValidation>
    <dataValidation type="list" allowBlank="1" showInputMessage="1" showErrorMessage="1" sqref="C86">
      <formula1>"Fraction"</formula1>
    </dataValidation>
    <dataValidation type="list" allowBlank="1" showInputMessage="1" showErrorMessage="1" sqref="C87">
      <formula1>"Fraction"</formula1>
    </dataValidation>
    <dataValidation type="list" allowBlank="1" showInputMessage="1" showErrorMessage="1" sqref="C88">
      <formula1>"Fraction"</formula1>
    </dataValidation>
    <dataValidation type="list" allowBlank="1" showInputMessage="1" showErrorMessage="1" sqref="C89">
      <formula1>"Fraction"</formula1>
    </dataValidation>
    <dataValidation type="list" allowBlank="1" showInputMessage="1" showErrorMessage="1" sqref="C90">
      <formula1>"Fraction"</formula1>
    </dataValidation>
    <dataValidation type="list" allowBlank="1" showInputMessage="1" showErrorMessage="1" sqref="C91">
      <formula1>"Fraction"</formula1>
    </dataValidation>
    <dataValidation type="list" allowBlank="1" showInputMessage="1" showErrorMessage="1" sqref="C92">
      <formula1>"Fraction"</formula1>
    </dataValidation>
    <dataValidation type="list" allowBlank="1" showInputMessage="1" showErrorMessage="1" sqref="C93">
      <formula1>"Fraction"</formula1>
    </dataValidation>
    <dataValidation type="list" allowBlank="1" showInputMessage="1" showErrorMessage="1" sqref="C94">
      <formula1>"Fraction"</formula1>
    </dataValidation>
    <dataValidation type="list" allowBlank="1" showInputMessage="1" showErrorMessage="1" sqref="C95">
      <formula1>"Fraction"</formula1>
    </dataValidation>
    <dataValidation type="list" allowBlank="1" showInputMessage="1" showErrorMessage="1" sqref="C98">
      <formula1>"Fraction"</formula1>
    </dataValidation>
    <dataValidation type="list" allowBlank="1" showInputMessage="1" showErrorMessage="1" sqref="C99">
      <formula1>"Fraction"</formula1>
    </dataValidation>
    <dataValidation type="list" allowBlank="1" showInputMessage="1" showErrorMessage="1" sqref="C100">
      <formula1>"Fraction"</formula1>
    </dataValidation>
    <dataValidation type="list" allowBlank="1" showInputMessage="1" showErrorMessage="1" sqref="C101">
      <formula1>"Fraction"</formula1>
    </dataValidation>
    <dataValidation type="list" allowBlank="1" showInputMessage="1" showErrorMessage="1" sqref="C102">
      <formula1>"Fraction"</formula1>
    </dataValidation>
    <dataValidation type="list" allowBlank="1" showInputMessage="1" showErrorMessage="1" sqref="C103">
      <formula1>"Fraction"</formula1>
    </dataValidation>
    <dataValidation type="list" allowBlank="1" showInputMessage="1" showErrorMessage="1" sqref="C104">
      <formula1>"Fraction"</formula1>
    </dataValidation>
    <dataValidation type="list" allowBlank="1" showInputMessage="1" showErrorMessage="1" sqref="C105">
      <formula1>"Fraction"</formula1>
    </dataValidation>
    <dataValidation type="list" allowBlank="1" showInputMessage="1" showErrorMessage="1" sqref="C106">
      <formula1>"Fraction"</formula1>
    </dataValidation>
    <dataValidation type="list" allowBlank="1" showInputMessage="1" showErrorMessage="1" sqref="C107">
      <formula1>"Fraction"</formula1>
    </dataValidation>
    <dataValidation type="list" allowBlank="1" showInputMessage="1" showErrorMessage="1" sqref="C108">
      <formula1>"Fraction"</formula1>
    </dataValidation>
    <dataValidation type="list" allowBlank="1" showInputMessage="1" showErrorMessage="1" sqref="C109">
      <formula1>"Fraction"</formula1>
    </dataValidation>
    <dataValidation type="list" allowBlank="1" showInputMessage="1" showErrorMessage="1" sqref="C110">
      <formula1>"Fraction"</formula1>
    </dataValidation>
    <dataValidation type="list" allowBlank="1" showInputMessage="1" showErrorMessage="1" sqref="C111">
      <formula1>"Fraction"</formula1>
    </dataValidation>
    <dataValidation type="list" allowBlank="1" showInputMessage="1" showErrorMessage="1" sqref="C114">
      <formula1>"Fraction"</formula1>
    </dataValidation>
    <dataValidation type="list" allowBlank="1" showInputMessage="1" showErrorMessage="1" sqref="C115">
      <formula1>"Fraction"</formula1>
    </dataValidation>
    <dataValidation type="list" allowBlank="1" showInputMessage="1" showErrorMessage="1" sqref="C116">
      <formula1>"Fraction"</formula1>
    </dataValidation>
    <dataValidation type="list" allowBlank="1" showInputMessage="1" showErrorMessage="1" sqref="C117">
      <formula1>"Fraction"</formula1>
    </dataValidation>
    <dataValidation type="list" allowBlank="1" showInputMessage="1" showErrorMessage="1" sqref="C118">
      <formula1>"Fraction"</formula1>
    </dataValidation>
    <dataValidation type="list" allowBlank="1" showInputMessage="1" showErrorMessage="1" sqref="C119">
      <formula1>"Fraction"</formula1>
    </dataValidation>
    <dataValidation type="list" allowBlank="1" showInputMessage="1" showErrorMessage="1" sqref="C120">
      <formula1>"Fraction"</formula1>
    </dataValidation>
    <dataValidation type="list" allowBlank="1" showInputMessage="1" showErrorMessage="1" sqref="C121">
      <formula1>"Fraction"</formula1>
    </dataValidation>
    <dataValidation type="list" allowBlank="1" showInputMessage="1" showErrorMessage="1" sqref="C122">
      <formula1>"Fraction"</formula1>
    </dataValidation>
    <dataValidation type="list" allowBlank="1" showInputMessage="1" showErrorMessage="1" sqref="C123">
      <formula1>"Fraction"</formula1>
    </dataValidation>
    <dataValidation type="list" allowBlank="1" showInputMessage="1" showErrorMessage="1" sqref="C124">
      <formula1>"Fraction"</formula1>
    </dataValidation>
    <dataValidation type="list" allowBlank="1" showInputMessage="1" showErrorMessage="1" sqref="C125">
      <formula1>"Fraction"</formula1>
    </dataValidation>
    <dataValidation type="list" allowBlank="1" showInputMessage="1" showErrorMessage="1" sqref="C126">
      <formula1>"Fraction"</formula1>
    </dataValidation>
    <dataValidation type="list" allowBlank="1" showInputMessage="1" showErrorMessage="1" sqref="C127">
      <formula1>"Fraction"</formula1>
    </dataValidation>
    <dataValidation type="list" allowBlank="1" showInputMessage="1" showErrorMessage="1" sqref="C130">
      <formula1>"Fraction"</formula1>
    </dataValidation>
    <dataValidation type="list" allowBlank="1" showInputMessage="1" showErrorMessage="1" sqref="C131">
      <formula1>"Fraction"</formula1>
    </dataValidation>
    <dataValidation type="list" allowBlank="1" showInputMessage="1" showErrorMessage="1" sqref="C132">
      <formula1>"Fraction"</formula1>
    </dataValidation>
    <dataValidation type="list" allowBlank="1" showInputMessage="1" showErrorMessage="1" sqref="C133">
      <formula1>"Fraction"</formula1>
    </dataValidation>
    <dataValidation type="list" allowBlank="1" showInputMessage="1" showErrorMessage="1" sqref="C134">
      <formula1>"Fraction"</formula1>
    </dataValidation>
    <dataValidation type="list" allowBlank="1" showInputMessage="1" showErrorMessage="1" sqref="C135">
      <formula1>"Fraction"</formula1>
    </dataValidation>
    <dataValidation type="list" allowBlank="1" showInputMessage="1" showErrorMessage="1" sqref="C136">
      <formula1>"Fraction"</formula1>
    </dataValidation>
    <dataValidation type="list" allowBlank="1" showInputMessage="1" showErrorMessage="1" sqref="C137">
      <formula1>"Fraction"</formula1>
    </dataValidation>
    <dataValidation type="list" allowBlank="1" showInputMessage="1" showErrorMessage="1" sqref="C138">
      <formula1>"Fraction"</formula1>
    </dataValidation>
    <dataValidation type="list" allowBlank="1" showInputMessage="1" showErrorMessage="1" sqref="C139">
      <formula1>"Fraction"</formula1>
    </dataValidation>
    <dataValidation type="list" allowBlank="1" showInputMessage="1" showErrorMessage="1" sqref="C140">
      <formula1>"Fraction"</formula1>
    </dataValidation>
    <dataValidation type="list" allowBlank="1" showInputMessage="1" showErrorMessage="1" sqref="C141">
      <formula1>"Fraction"</formula1>
    </dataValidation>
    <dataValidation type="list" allowBlank="1" showInputMessage="1" showErrorMessage="1" sqref="C142">
      <formula1>"Fraction"</formula1>
    </dataValidation>
    <dataValidation type="list" allowBlank="1" showInputMessage="1" showErrorMessage="1" sqref="C143">
      <formula1>"Fraction"</formula1>
    </dataValidation>
    <dataValidation type="list" allowBlank="1" showInputMessage="1" showErrorMessage="1" sqref="C146">
      <formula1>"Fraction"</formula1>
    </dataValidation>
    <dataValidation type="list" allowBlank="1" showInputMessage="1" showErrorMessage="1" sqref="C147">
      <formula1>"Fraction"</formula1>
    </dataValidation>
    <dataValidation type="list" allowBlank="1" showInputMessage="1" showErrorMessage="1" sqref="C148">
      <formula1>"Fraction"</formula1>
    </dataValidation>
    <dataValidation type="list" allowBlank="1" showInputMessage="1" showErrorMessage="1" sqref="C149">
      <formula1>"Fraction"</formula1>
    </dataValidation>
    <dataValidation type="list" allowBlank="1" showInputMessage="1" showErrorMessage="1" sqref="C150">
      <formula1>"Fraction"</formula1>
    </dataValidation>
    <dataValidation type="list" allowBlank="1" showInputMessage="1" showErrorMessage="1" sqref="C151">
      <formula1>"Fraction"</formula1>
    </dataValidation>
    <dataValidation type="list" allowBlank="1" showInputMessage="1" showErrorMessage="1" sqref="C152">
      <formula1>"Fraction"</formula1>
    </dataValidation>
    <dataValidation type="list" allowBlank="1" showInputMessage="1" showErrorMessage="1" sqref="C153">
      <formula1>"Fraction"</formula1>
    </dataValidation>
    <dataValidation type="list" allowBlank="1" showInputMessage="1" showErrorMessage="1" sqref="C154">
      <formula1>"Fraction"</formula1>
    </dataValidation>
    <dataValidation type="list" allowBlank="1" showInputMessage="1" showErrorMessage="1" sqref="C155">
      <formula1>"Fraction"</formula1>
    </dataValidation>
    <dataValidation type="list" allowBlank="1" showInputMessage="1" showErrorMessage="1" sqref="C156">
      <formula1>"Fraction"</formula1>
    </dataValidation>
    <dataValidation type="list" allowBlank="1" showInputMessage="1" showErrorMessage="1" sqref="C157">
      <formula1>"Fraction"</formula1>
    </dataValidation>
    <dataValidation type="list" allowBlank="1" showInputMessage="1" showErrorMessage="1" sqref="C158">
      <formula1>"Fraction"</formula1>
    </dataValidation>
    <dataValidation type="list" allowBlank="1" showInputMessage="1" showErrorMessage="1" sqref="C159">
      <formula1>"Fraction"</formula1>
    </dataValidation>
    <dataValidation type="list" allowBlank="1" showInputMessage="1" showErrorMessage="1" sqref="C162">
      <formula1>"Fraction"</formula1>
    </dataValidation>
    <dataValidation type="list" allowBlank="1" showInputMessage="1" showErrorMessage="1" sqref="C163">
      <formula1>"Fraction"</formula1>
    </dataValidation>
    <dataValidation type="list" allowBlank="1" showInputMessage="1" showErrorMessage="1" sqref="C164">
      <formula1>"Fraction"</formula1>
    </dataValidation>
    <dataValidation type="list" allowBlank="1" showInputMessage="1" showErrorMessage="1" sqref="C165">
      <formula1>"Fraction"</formula1>
    </dataValidation>
    <dataValidation type="list" allowBlank="1" showInputMessage="1" showErrorMessage="1" sqref="C166">
      <formula1>"Fraction"</formula1>
    </dataValidation>
    <dataValidation type="list" allowBlank="1" showInputMessage="1" showErrorMessage="1" sqref="C167">
      <formula1>"Fraction"</formula1>
    </dataValidation>
    <dataValidation type="list" allowBlank="1" showInputMessage="1" showErrorMessage="1" sqref="C168">
      <formula1>"Fraction"</formula1>
    </dataValidation>
    <dataValidation type="list" allowBlank="1" showInputMessage="1" showErrorMessage="1" sqref="C169">
      <formula1>"Fraction"</formula1>
    </dataValidation>
    <dataValidation type="list" allowBlank="1" showInputMessage="1" showErrorMessage="1" sqref="C170">
      <formula1>"Fraction"</formula1>
    </dataValidation>
    <dataValidation type="list" allowBlank="1" showInputMessage="1" showErrorMessage="1" sqref="C171">
      <formula1>"Fraction"</formula1>
    </dataValidation>
    <dataValidation type="list" allowBlank="1" showInputMessage="1" showErrorMessage="1" sqref="C172">
      <formula1>"Fraction"</formula1>
    </dataValidation>
    <dataValidation type="list" allowBlank="1" showInputMessage="1" showErrorMessage="1" sqref="C173">
      <formula1>"Fraction"</formula1>
    </dataValidation>
    <dataValidation type="list" allowBlank="1" showInputMessage="1" showErrorMessage="1" sqref="C174">
      <formula1>"Fraction"</formula1>
    </dataValidation>
    <dataValidation type="list" allowBlank="1" showInputMessage="1" showErrorMessage="1" sqref="C175">
      <formula1>"Fraction"</formula1>
    </dataValidation>
    <dataValidation type="list" allowBlank="1" showInputMessage="1" showErrorMessage="1" sqref="C178">
      <formula1>"Fraction"</formula1>
    </dataValidation>
    <dataValidation type="list" allowBlank="1" showInputMessage="1" showErrorMessage="1" sqref="C179">
      <formula1>"Fraction"</formula1>
    </dataValidation>
    <dataValidation type="list" allowBlank="1" showInputMessage="1" showErrorMessage="1" sqref="C180">
      <formula1>"Fraction"</formula1>
    </dataValidation>
    <dataValidation type="list" allowBlank="1" showInputMessage="1" showErrorMessage="1" sqref="C181">
      <formula1>"Fraction"</formula1>
    </dataValidation>
    <dataValidation type="list" allowBlank="1" showInputMessage="1" showErrorMessage="1" sqref="C182">
      <formula1>"Fraction"</formula1>
    </dataValidation>
    <dataValidation type="list" allowBlank="1" showInputMessage="1" showErrorMessage="1" sqref="C183">
      <formula1>"Fraction"</formula1>
    </dataValidation>
    <dataValidation type="list" allowBlank="1" showInputMessage="1" showErrorMessage="1" sqref="C184">
      <formula1>"Fraction"</formula1>
    </dataValidation>
    <dataValidation type="list" allowBlank="1" showInputMessage="1" showErrorMessage="1" sqref="C185">
      <formula1>"Fraction"</formula1>
    </dataValidation>
    <dataValidation type="list" allowBlank="1" showInputMessage="1" showErrorMessage="1" sqref="C186">
      <formula1>"Fraction"</formula1>
    </dataValidation>
    <dataValidation type="list" allowBlank="1" showInputMessage="1" showErrorMessage="1" sqref="C187">
      <formula1>"Fraction"</formula1>
    </dataValidation>
    <dataValidation type="list" allowBlank="1" showInputMessage="1" showErrorMessage="1" sqref="C188">
      <formula1>"Fraction"</formula1>
    </dataValidation>
    <dataValidation type="list" allowBlank="1" showInputMessage="1" showErrorMessage="1" sqref="C189">
      <formula1>"Fraction"</formula1>
    </dataValidation>
    <dataValidation type="list" allowBlank="1" showInputMessage="1" showErrorMessage="1" sqref="C190">
      <formula1>"Fraction"</formula1>
    </dataValidation>
    <dataValidation type="list" allowBlank="1" showInputMessage="1" showErrorMessage="1" sqref="C191">
      <formula1>"Fraction"</formula1>
    </dataValidation>
    <dataValidation type="list" allowBlank="1" showInputMessage="1" showErrorMessage="1" sqref="C194">
      <formula1>"Proportion"</formula1>
    </dataValidation>
    <dataValidation type="list" allowBlank="1" showInputMessage="1" showErrorMessage="1" sqref="C195">
      <formula1>"Proportion"</formula1>
    </dataValidation>
    <dataValidation type="list" allowBlank="1" showInputMessage="1" showErrorMessage="1" sqref="C196">
      <formula1>"Proportion"</formula1>
    </dataValidation>
    <dataValidation type="list" allowBlank="1" showInputMessage="1" showErrorMessage="1" sqref="C197">
      <formula1>"Proportion"</formula1>
    </dataValidation>
    <dataValidation type="list" allowBlank="1" showInputMessage="1" showErrorMessage="1" sqref="C198">
      <formula1>"Proportion"</formula1>
    </dataValidation>
    <dataValidation type="list" allowBlank="1" showInputMessage="1" showErrorMessage="1" sqref="C199">
      <formula1>"Proportion"</formula1>
    </dataValidation>
    <dataValidation type="list" allowBlank="1" showInputMessage="1" showErrorMessage="1" sqref="C200">
      <formula1>"Proportion"</formula1>
    </dataValidation>
    <dataValidation type="list" allowBlank="1" showInputMessage="1" showErrorMessage="1" sqref="C201">
      <formula1>"Proportion"</formula1>
    </dataValidation>
    <dataValidation type="list" allowBlank="1" showInputMessage="1" showErrorMessage="1" sqref="C202">
      <formula1>"Proportion"</formula1>
    </dataValidation>
    <dataValidation type="list" allowBlank="1" showInputMessage="1" showErrorMessage="1" sqref="C203">
      <formula1>"Proportion"</formula1>
    </dataValidation>
    <dataValidation type="list" allowBlank="1" showInputMessage="1" showErrorMessage="1" sqref="C204">
      <formula1>"Proportion"</formula1>
    </dataValidation>
    <dataValidation type="list" allowBlank="1" showInputMessage="1" showErrorMessage="1" sqref="C205">
      <formula1>"Proportion"</formula1>
    </dataValidation>
    <dataValidation type="list" allowBlank="1" showInputMessage="1" showErrorMessage="1" sqref="C206">
      <formula1>"Proportion"</formula1>
    </dataValidation>
    <dataValidation type="list" allowBlank="1" showInputMessage="1" showErrorMessage="1" sqref="C207">
      <formula1>"Proportion"</formula1>
    </dataValidation>
  </dataValidations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rgb="FF808080"/>
  </sheetPr>
  <dimension ref="A1:BE63"/>
  <sheetViews>
    <sheetView workbookViewId="0"/>
  </sheetViews>
  <sheetFormatPr defaultRowHeight="15"/>
  <cols>
    <col min="1" max="1" width="25.85546875" customWidth="1"/>
    <col min="2" max="2" width="12.7109375" customWidth="1"/>
    <col min="3" max="3" width="20.42578125" customWidth="1"/>
    <col min="4" max="4" width="13.85546875" customWidth="1"/>
    <col min="5" max="5" width="10.5703125" customWidth="1"/>
    <col min="6" max="57" width="9.42578125" customWidth="1"/>
  </cols>
  <sheetData>
    <row r="1" spans="1:55">
      <c r="A1" s="1" t="s">
        <v>51</v>
      </c>
      <c r="B1" s="1" t="s">
        <v>31</v>
      </c>
      <c r="C1" s="1" t="s">
        <v>32</v>
      </c>
      <c r="D1" s="1" t="s">
        <v>33</v>
      </c>
      <c r="E1" s="1">
        <v>2000</v>
      </c>
      <c r="F1" s="1">
        <v>2001</v>
      </c>
      <c r="G1" s="1">
        <v>2002</v>
      </c>
      <c r="H1" s="1">
        <v>2003</v>
      </c>
      <c r="I1" s="1">
        <v>2004</v>
      </c>
      <c r="J1" s="1">
        <v>2005</v>
      </c>
      <c r="K1" s="1">
        <v>2006</v>
      </c>
      <c r="L1" s="1">
        <v>2007</v>
      </c>
      <c r="M1" s="1">
        <v>2008</v>
      </c>
      <c r="N1" s="1">
        <v>2009</v>
      </c>
      <c r="O1" s="1">
        <v>2010</v>
      </c>
      <c r="P1" s="1">
        <v>2011</v>
      </c>
      <c r="Q1" s="1">
        <v>2012</v>
      </c>
      <c r="R1" s="1">
        <v>2013</v>
      </c>
      <c r="S1" s="1">
        <v>2014</v>
      </c>
      <c r="T1" s="1">
        <v>2015</v>
      </c>
      <c r="U1" s="1">
        <v>2016</v>
      </c>
      <c r="V1" s="1">
        <v>2017</v>
      </c>
      <c r="W1" s="1">
        <v>2018</v>
      </c>
      <c r="X1" s="1">
        <v>2019</v>
      </c>
      <c r="Y1" s="1">
        <v>2020</v>
      </c>
      <c r="Z1" s="1">
        <v>2021</v>
      </c>
      <c r="AA1" s="1">
        <v>2022</v>
      </c>
      <c r="AB1" s="1">
        <v>2023</v>
      </c>
      <c r="AC1" s="1">
        <v>2024</v>
      </c>
      <c r="AD1" s="1">
        <v>2025</v>
      </c>
      <c r="AE1" s="1">
        <v>2026</v>
      </c>
      <c r="AF1" s="1">
        <v>2027</v>
      </c>
      <c r="AG1" s="1">
        <v>2028</v>
      </c>
      <c r="AH1" s="1">
        <v>2029</v>
      </c>
      <c r="AI1" s="1">
        <v>2030</v>
      </c>
      <c r="AJ1" s="1">
        <v>2031</v>
      </c>
      <c r="AK1" s="1">
        <v>2032</v>
      </c>
      <c r="AL1" s="1">
        <v>2033</v>
      </c>
      <c r="AM1" s="1">
        <v>2034</v>
      </c>
      <c r="AN1" s="1">
        <v>2035</v>
      </c>
      <c r="AO1" s="1">
        <v>2036</v>
      </c>
      <c r="AP1" s="1">
        <v>2037</v>
      </c>
      <c r="AQ1" s="1">
        <v>2038</v>
      </c>
      <c r="AR1" s="1">
        <v>2039</v>
      </c>
      <c r="AS1" s="1">
        <v>2040</v>
      </c>
      <c r="AT1" s="1">
        <v>2041</v>
      </c>
      <c r="AU1" s="1">
        <v>2042</v>
      </c>
      <c r="AV1" s="1">
        <v>2043</v>
      </c>
      <c r="AW1" s="1">
        <v>2044</v>
      </c>
      <c r="AX1" s="1">
        <v>2045</v>
      </c>
      <c r="AY1" s="1">
        <v>2046</v>
      </c>
      <c r="AZ1" s="1">
        <v>2047</v>
      </c>
      <c r="BA1" s="1">
        <v>2048</v>
      </c>
      <c r="BB1" s="1">
        <v>2049</v>
      </c>
      <c r="BC1" s="1">
        <v>2050</v>
      </c>
    </row>
    <row r="2" spans="1:55">
      <c r="A2" s="1" t="str">
        <f>'Population Definitions'!$A$2</f>
        <v>PWID_males</v>
      </c>
      <c r="C2" t="s">
        <v>34</v>
      </c>
      <c r="D2" s="3"/>
      <c r="E2" s="3">
        <v>88865.5</v>
      </c>
      <c r="F2" s="3"/>
      <c r="G2" s="3"/>
      <c r="H2" s="3"/>
      <c r="I2" s="3"/>
      <c r="J2" s="3"/>
      <c r="K2" s="3"/>
      <c r="L2" s="3"/>
      <c r="M2" s="3"/>
      <c r="N2" s="3"/>
      <c r="O2" s="3">
        <v>88865.5</v>
      </c>
      <c r="P2" s="3"/>
      <c r="Q2" s="3">
        <v>88865.5</v>
      </c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</row>
    <row r="3" spans="1:55">
      <c r="A3" s="1" t="str">
        <f>'Population Definitions'!$A$3</f>
        <v>PWID_females</v>
      </c>
      <c r="C3" t="s">
        <v>34</v>
      </c>
      <c r="D3" s="3"/>
      <c r="E3" s="3">
        <v>25077.553992</v>
      </c>
      <c r="F3" s="3"/>
      <c r="G3" s="3"/>
      <c r="H3" s="3"/>
      <c r="I3" s="3"/>
      <c r="J3" s="3"/>
      <c r="K3" s="3"/>
      <c r="L3" s="3"/>
      <c r="M3" s="3"/>
      <c r="N3" s="3"/>
      <c r="O3" s="3">
        <v>25077.553992</v>
      </c>
      <c r="P3" s="3"/>
      <c r="Q3" s="3">
        <v>25077.553992</v>
      </c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</row>
    <row r="4" spans="1:55">
      <c r="A4" s="1" t="str">
        <f>'Population Definitions'!$A$4</f>
        <v>0-9_males</v>
      </c>
      <c r="C4" t="s">
        <v>34</v>
      </c>
      <c r="D4" s="3"/>
      <c r="E4" s="3">
        <v>5496435.5</v>
      </c>
      <c r="F4" s="3">
        <v>5654456</v>
      </c>
      <c r="G4" s="3">
        <v>5820044.5</v>
      </c>
      <c r="H4" s="3">
        <v>5997669.5</v>
      </c>
      <c r="I4" s="3">
        <v>6188139.999999999</v>
      </c>
      <c r="J4" s="3">
        <v>6384993.000000001</v>
      </c>
      <c r="K4" s="3">
        <v>6581813.999999999</v>
      </c>
      <c r="L4" s="3">
        <v>6776079</v>
      </c>
      <c r="M4" s="3">
        <v>6964779.499999999</v>
      </c>
      <c r="N4" s="3">
        <v>7146785</v>
      </c>
      <c r="O4" s="3">
        <v>7328745</v>
      </c>
      <c r="P4" s="3">
        <v>7510044</v>
      </c>
      <c r="Q4" s="3">
        <v>7693403</v>
      </c>
      <c r="R4" s="3">
        <v>7887884.5</v>
      </c>
      <c r="S4" s="3">
        <v>8089046</v>
      </c>
      <c r="T4" s="3">
        <v>8289534.5</v>
      </c>
      <c r="U4" s="3">
        <v>8497360.5</v>
      </c>
      <c r="V4" s="3">
        <v>8725621</v>
      </c>
      <c r="W4" s="3">
        <v>8969952</v>
      </c>
      <c r="X4" s="3">
        <v>9221171</v>
      </c>
      <c r="Y4" s="3">
        <v>9477342.499999998</v>
      </c>
      <c r="Z4" s="3">
        <v>9740394</v>
      </c>
      <c r="AA4" s="3">
        <v>10005196</v>
      </c>
      <c r="AB4" s="3">
        <v>10259843</v>
      </c>
      <c r="AC4" s="3">
        <v>10501854.5</v>
      </c>
      <c r="AD4" s="3">
        <v>10740174</v>
      </c>
      <c r="AE4" s="3">
        <v>10972616</v>
      </c>
      <c r="AF4" s="3">
        <v>11189495.5</v>
      </c>
      <c r="AG4" s="3">
        <v>11394108</v>
      </c>
      <c r="AH4" s="3">
        <v>11595192</v>
      </c>
      <c r="AI4" s="3">
        <v>11795790.5</v>
      </c>
      <c r="AJ4" s="3">
        <v>11995766.5</v>
      </c>
      <c r="AK4" s="3">
        <v>12192365.5</v>
      </c>
      <c r="AL4" s="3">
        <v>12384580.5</v>
      </c>
      <c r="AM4" s="3">
        <v>12578612.5</v>
      </c>
      <c r="AN4" s="3">
        <v>12776232</v>
      </c>
      <c r="AO4" s="3">
        <v>12974713</v>
      </c>
      <c r="AP4" s="3">
        <v>13171381.5</v>
      </c>
      <c r="AQ4" s="3">
        <v>13369346</v>
      </c>
      <c r="AR4" s="3">
        <v>13569805</v>
      </c>
      <c r="AS4" s="3">
        <v>13769714.5</v>
      </c>
      <c r="AT4" s="3">
        <v>13965997.5</v>
      </c>
      <c r="AU4" s="3">
        <v>14162939.5</v>
      </c>
      <c r="AV4" s="3">
        <v>14363197.5</v>
      </c>
      <c r="AW4" s="3">
        <v>14561610.5</v>
      </c>
      <c r="AX4" s="3">
        <v>14754628.5</v>
      </c>
      <c r="AY4" s="3">
        <v>14947092</v>
      </c>
      <c r="AZ4" s="3">
        <v>15145052.5</v>
      </c>
      <c r="BA4" s="3">
        <v>15339733</v>
      </c>
      <c r="BB4" s="3">
        <v>15523235.5</v>
      </c>
      <c r="BC4" s="3">
        <v>15701498</v>
      </c>
    </row>
    <row r="5" spans="1:55">
      <c r="A5" s="1" t="str">
        <f>'Population Definitions'!$A$5</f>
        <v>0-9_females</v>
      </c>
      <c r="C5" t="s">
        <v>34</v>
      </c>
      <c r="D5" s="3"/>
      <c r="E5" s="3">
        <v>5428218.500000001</v>
      </c>
      <c r="F5" s="3">
        <v>5585890.000000001</v>
      </c>
      <c r="G5" s="3">
        <v>5751513.499999999</v>
      </c>
      <c r="H5" s="3">
        <v>5929275.5</v>
      </c>
      <c r="I5" s="3">
        <v>6119773.999999999</v>
      </c>
      <c r="J5" s="3">
        <v>6316481</v>
      </c>
      <c r="K5" s="3">
        <v>6512553.999999999</v>
      </c>
      <c r="L5" s="3">
        <v>6704988.499999998</v>
      </c>
      <c r="M5" s="3">
        <v>6890862</v>
      </c>
      <c r="N5" s="3">
        <v>7069196.999999999</v>
      </c>
      <c r="O5" s="3">
        <v>7246216.999999999</v>
      </c>
      <c r="P5" s="3">
        <v>7421380.000000001</v>
      </c>
      <c r="Q5" s="3">
        <v>7597434.999999998</v>
      </c>
      <c r="R5" s="3">
        <v>7783385.999999999</v>
      </c>
      <c r="S5" s="3">
        <v>7975216.5</v>
      </c>
      <c r="T5" s="3">
        <v>8166025.5</v>
      </c>
      <c r="U5" s="3">
        <v>8363809.499999999</v>
      </c>
      <c r="V5" s="3">
        <v>8581411</v>
      </c>
      <c r="W5" s="3">
        <v>8814190.5</v>
      </c>
      <c r="X5" s="3">
        <v>9052903.5</v>
      </c>
      <c r="Y5" s="3">
        <v>9296462</v>
      </c>
      <c r="Z5" s="3">
        <v>9547543.5</v>
      </c>
      <c r="AA5" s="3">
        <v>9800557.5</v>
      </c>
      <c r="AB5" s="3">
        <v>10043351</v>
      </c>
      <c r="AC5" s="3">
        <v>10274006.5</v>
      </c>
      <c r="AD5" s="3">
        <v>10501792</v>
      </c>
      <c r="AE5" s="3">
        <v>10724832</v>
      </c>
      <c r="AF5" s="3">
        <v>10933631</v>
      </c>
      <c r="AG5" s="3">
        <v>11131159</v>
      </c>
      <c r="AH5" s="3">
        <v>11325725</v>
      </c>
      <c r="AI5" s="3">
        <v>11520421</v>
      </c>
      <c r="AJ5" s="3">
        <v>11715113</v>
      </c>
      <c r="AK5" s="3">
        <v>11906973.5</v>
      </c>
      <c r="AL5" s="3">
        <v>12094876.5</v>
      </c>
      <c r="AM5" s="3">
        <v>12284754</v>
      </c>
      <c r="AN5" s="3">
        <v>12478393</v>
      </c>
      <c r="AO5" s="3">
        <v>12673119.5</v>
      </c>
      <c r="AP5" s="3">
        <v>12866175.5</v>
      </c>
      <c r="AQ5" s="3">
        <v>13060407.5</v>
      </c>
      <c r="AR5" s="3">
        <v>13257086.5</v>
      </c>
      <c r="AS5" s="3">
        <v>13453225</v>
      </c>
      <c r="AT5" s="3">
        <v>13645440.5</v>
      </c>
      <c r="AU5" s="3">
        <v>13838186.5</v>
      </c>
      <c r="AV5" s="3">
        <v>14034344</v>
      </c>
      <c r="AW5" s="3">
        <v>14228781.5</v>
      </c>
      <c r="AX5" s="3">
        <v>14417939</v>
      </c>
      <c r="AY5" s="3">
        <v>14606427</v>
      </c>
      <c r="AZ5" s="3">
        <v>14800148.5</v>
      </c>
      <c r="BA5" s="3">
        <v>14990673.5</v>
      </c>
      <c r="BB5" s="3">
        <v>15170100.5</v>
      </c>
      <c r="BC5" s="3">
        <v>15344050</v>
      </c>
    </row>
    <row r="6" spans="1:55">
      <c r="A6" s="1" t="str">
        <f>'Population Definitions'!$A$6</f>
        <v>10-17_males</v>
      </c>
      <c r="C6" t="s">
        <v>34</v>
      </c>
      <c r="D6" s="3"/>
      <c r="E6" s="3">
        <v>3362471</v>
      </c>
      <c r="F6" s="3">
        <v>3435115.5</v>
      </c>
      <c r="G6" s="3">
        <v>3507199.5</v>
      </c>
      <c r="H6" s="3">
        <v>3582993.5</v>
      </c>
      <c r="I6" s="3">
        <v>3665830</v>
      </c>
      <c r="J6" s="3">
        <v>3760245.5</v>
      </c>
      <c r="K6" s="3">
        <v>3864528.5</v>
      </c>
      <c r="L6" s="3">
        <v>3975091</v>
      </c>
      <c r="M6" s="3">
        <v>4093054.5</v>
      </c>
      <c r="N6" s="3">
        <v>4215733</v>
      </c>
      <c r="O6" s="3">
        <v>4348047.000000001</v>
      </c>
      <c r="P6" s="3">
        <v>4494735.500000001</v>
      </c>
      <c r="Q6" s="3">
        <v>4646665.5</v>
      </c>
      <c r="R6" s="3">
        <v>4801682</v>
      </c>
      <c r="S6" s="3">
        <v>4961721.5</v>
      </c>
      <c r="T6" s="3">
        <v>5134144</v>
      </c>
      <c r="U6" s="3">
        <v>5311730.000000001</v>
      </c>
      <c r="V6" s="3">
        <v>5480378</v>
      </c>
      <c r="W6" s="3">
        <v>5638372</v>
      </c>
      <c r="X6" s="3">
        <v>5788664</v>
      </c>
      <c r="Y6" s="3">
        <v>5938850.5</v>
      </c>
      <c r="Z6" s="3">
        <v>6084186.000000001</v>
      </c>
      <c r="AA6" s="3">
        <v>6223099</v>
      </c>
      <c r="AB6" s="3">
        <v>6368015</v>
      </c>
      <c r="AC6" s="3">
        <v>6525897.999999999</v>
      </c>
      <c r="AD6" s="3">
        <v>6692886.5</v>
      </c>
      <c r="AE6" s="3">
        <v>6872388.999999998</v>
      </c>
      <c r="AF6" s="3">
        <v>7070927.500000001</v>
      </c>
      <c r="AG6" s="3">
        <v>7282703.5</v>
      </c>
      <c r="AH6" s="3">
        <v>7502680.5</v>
      </c>
      <c r="AI6" s="3">
        <v>7723206.499999999</v>
      </c>
      <c r="AJ6" s="3">
        <v>7933163</v>
      </c>
      <c r="AK6" s="3">
        <v>8132520.500000001</v>
      </c>
      <c r="AL6" s="3">
        <v>8331168.000000002</v>
      </c>
      <c r="AM6" s="3">
        <v>8525934.500000002</v>
      </c>
      <c r="AN6" s="3">
        <v>8705459</v>
      </c>
      <c r="AO6" s="3">
        <v>8873937.5</v>
      </c>
      <c r="AP6" s="3">
        <v>9038635</v>
      </c>
      <c r="AQ6" s="3">
        <v>9200670</v>
      </c>
      <c r="AR6" s="3">
        <v>9360476</v>
      </c>
      <c r="AS6" s="3">
        <v>9517563.5</v>
      </c>
      <c r="AT6" s="3">
        <v>9673107</v>
      </c>
      <c r="AU6" s="3">
        <v>9826711</v>
      </c>
      <c r="AV6" s="3">
        <v>9979369</v>
      </c>
      <c r="AW6" s="3">
        <v>10134925.5</v>
      </c>
      <c r="AX6" s="3">
        <v>10293787.5</v>
      </c>
      <c r="AY6" s="3">
        <v>10454552.5</v>
      </c>
      <c r="AZ6" s="3">
        <v>10613397</v>
      </c>
      <c r="BA6" s="3">
        <v>10772130</v>
      </c>
      <c r="BB6" s="3">
        <v>10931772.5</v>
      </c>
      <c r="BC6" s="3">
        <v>11092368</v>
      </c>
    </row>
    <row r="7" spans="1:55">
      <c r="A7" s="1" t="str">
        <f>'Population Definitions'!$A$7</f>
        <v>10-17_females</v>
      </c>
      <c r="C7" t="s">
        <v>34</v>
      </c>
      <c r="D7" s="3"/>
      <c r="E7" s="3">
        <v>3334351.5</v>
      </c>
      <c r="F7" s="3">
        <v>3404909.5</v>
      </c>
      <c r="G7" s="3">
        <v>3475800.5</v>
      </c>
      <c r="H7" s="3">
        <v>3550159</v>
      </c>
      <c r="I7" s="3">
        <v>3631556</v>
      </c>
      <c r="J7" s="3">
        <v>3724555</v>
      </c>
      <c r="K7" s="3">
        <v>3827689.5</v>
      </c>
      <c r="L7" s="3">
        <v>3937409.5</v>
      </c>
      <c r="M7" s="3">
        <v>4055389.5</v>
      </c>
      <c r="N7" s="3">
        <v>4179983.5</v>
      </c>
      <c r="O7" s="3">
        <v>4313113</v>
      </c>
      <c r="P7" s="3">
        <v>4458307.5</v>
      </c>
      <c r="Q7" s="3">
        <v>4608922.5</v>
      </c>
      <c r="R7" s="3">
        <v>4762767.5</v>
      </c>
      <c r="S7" s="3">
        <v>4922075.000000001</v>
      </c>
      <c r="T7" s="3">
        <v>5092128.000000001</v>
      </c>
      <c r="U7" s="3">
        <v>5265927</v>
      </c>
      <c r="V7" s="3">
        <v>5431463.000000001</v>
      </c>
      <c r="W7" s="3">
        <v>5587429.999999999</v>
      </c>
      <c r="X7" s="3">
        <v>5735910.5</v>
      </c>
      <c r="Y7" s="3">
        <v>5881996.500000001</v>
      </c>
      <c r="Z7" s="3">
        <v>6021321</v>
      </c>
      <c r="AA7" s="3">
        <v>6153303.5</v>
      </c>
      <c r="AB7" s="3">
        <v>6290565.500000001</v>
      </c>
      <c r="AC7" s="3">
        <v>6439921</v>
      </c>
      <c r="AD7" s="3">
        <v>6598003.500000001</v>
      </c>
      <c r="AE7" s="3">
        <v>6768316.5</v>
      </c>
      <c r="AF7" s="3">
        <v>6956955.5</v>
      </c>
      <c r="AG7" s="3">
        <v>7158597.000000001</v>
      </c>
      <c r="AH7" s="3">
        <v>7368487.000000001</v>
      </c>
      <c r="AI7" s="3">
        <v>7579237</v>
      </c>
      <c r="AJ7" s="3">
        <v>7779884.999999999</v>
      </c>
      <c r="AK7" s="3">
        <v>7970233</v>
      </c>
      <c r="AL7" s="3">
        <v>8160254.5</v>
      </c>
      <c r="AM7" s="3">
        <v>8347304.5</v>
      </c>
      <c r="AN7" s="3">
        <v>8520381.000000002</v>
      </c>
      <c r="AO7" s="3">
        <v>8683331.5</v>
      </c>
      <c r="AP7" s="3">
        <v>8843123</v>
      </c>
      <c r="AQ7" s="3">
        <v>9000719.500000002</v>
      </c>
      <c r="AR7" s="3">
        <v>9156479.5</v>
      </c>
      <c r="AS7" s="3">
        <v>9310216.499999998</v>
      </c>
      <c r="AT7" s="3">
        <v>9463023.5</v>
      </c>
      <c r="AU7" s="3">
        <v>9614116</v>
      </c>
      <c r="AV7" s="3">
        <v>9764202.5</v>
      </c>
      <c r="AW7" s="3">
        <v>9917108</v>
      </c>
      <c r="AX7" s="3">
        <v>10073422</v>
      </c>
      <c r="AY7" s="3">
        <v>10231756.5</v>
      </c>
      <c r="AZ7" s="3">
        <v>10388293</v>
      </c>
      <c r="BA7" s="3">
        <v>10544436</v>
      </c>
      <c r="BB7" s="3">
        <v>10701277</v>
      </c>
      <c r="BC7" s="3">
        <v>10859217.5</v>
      </c>
    </row>
    <row r="8" spans="1:55">
      <c r="A8" s="1" t="str">
        <f>'Population Definitions'!$A$8</f>
        <v>18-64_males</v>
      </c>
      <c r="C8" t="s">
        <v>34</v>
      </c>
      <c r="D8" s="3"/>
      <c r="E8" s="3">
        <v>7485396.642992003</v>
      </c>
      <c r="F8" s="3">
        <v>7706212.142992001</v>
      </c>
      <c r="G8" s="3">
        <v>7902768.642991999</v>
      </c>
      <c r="H8" s="3">
        <v>8104957.642992</v>
      </c>
      <c r="I8" s="3">
        <v>8311534.142991999</v>
      </c>
      <c r="J8" s="3">
        <v>8524475.707992001</v>
      </c>
      <c r="K8" s="3">
        <v>8747026.207992004</v>
      </c>
      <c r="L8" s="3">
        <v>8978258.707992002</v>
      </c>
      <c r="M8" s="3">
        <v>9199139.207992004</v>
      </c>
      <c r="N8" s="3">
        <v>9369762.707992001</v>
      </c>
      <c r="O8" s="3">
        <v>9565245.207992001</v>
      </c>
      <c r="P8" s="3">
        <v>9845210.481992001</v>
      </c>
      <c r="Q8" s="3">
        <v>10151483.981992</v>
      </c>
      <c r="R8" s="3">
        <v>10502986.981992</v>
      </c>
      <c r="S8" s="3">
        <v>10884849.481992</v>
      </c>
      <c r="T8" s="3">
        <v>11345736.715992</v>
      </c>
      <c r="U8" s="3">
        <v>11870689.215992</v>
      </c>
      <c r="V8" s="3">
        <v>12390502.715992</v>
      </c>
      <c r="W8" s="3">
        <v>12866615.215992</v>
      </c>
      <c r="X8" s="3">
        <v>13306637.215992</v>
      </c>
      <c r="Y8" s="3">
        <v>13776946.871992</v>
      </c>
      <c r="Z8" s="3">
        <v>14278893.371992</v>
      </c>
      <c r="AA8" s="3">
        <v>14797127.29399201</v>
      </c>
      <c r="AB8" s="3">
        <v>15329976.293992</v>
      </c>
      <c r="AC8" s="3">
        <v>16096651.7925644</v>
      </c>
      <c r="AD8" s="3">
        <v>16670365.29256441</v>
      </c>
      <c r="AE8" s="3">
        <v>17252568.7925644</v>
      </c>
      <c r="AF8" s="3">
        <v>17841130.2925644</v>
      </c>
      <c r="AG8" s="3">
        <v>18438272.2925644</v>
      </c>
      <c r="AH8" s="3">
        <v>19045457.7925644</v>
      </c>
      <c r="AI8" s="3">
        <v>19666397.2925644</v>
      </c>
      <c r="AJ8" s="3">
        <v>20310252.2925644</v>
      </c>
      <c r="AK8" s="3">
        <v>20977109.7925644</v>
      </c>
      <c r="AL8" s="3">
        <v>21654336.2925644</v>
      </c>
      <c r="AM8" s="3">
        <v>22348074.2925644</v>
      </c>
      <c r="AN8" s="3">
        <v>23064825.2925644</v>
      </c>
      <c r="AO8" s="3">
        <v>23799414.29256439</v>
      </c>
      <c r="AP8" s="3">
        <v>24547340.7925644</v>
      </c>
      <c r="AQ8" s="3">
        <v>25305385.2925644</v>
      </c>
      <c r="AR8" s="3">
        <v>26074468.79256441</v>
      </c>
      <c r="AS8" s="3">
        <v>26854018.2925644</v>
      </c>
      <c r="AT8" s="3">
        <v>27645631.2925644</v>
      </c>
      <c r="AU8" s="3">
        <v>28450955.79256441</v>
      </c>
      <c r="AV8" s="3">
        <v>29266388.29256439</v>
      </c>
      <c r="AW8" s="3">
        <v>30090717.7925644</v>
      </c>
      <c r="AX8" s="3">
        <v>30927159.7925644</v>
      </c>
      <c r="AY8" s="3">
        <v>31771582.7925644</v>
      </c>
      <c r="AZ8" s="3">
        <v>32622381.29256441</v>
      </c>
      <c r="BA8" s="3">
        <v>33481487.2925644</v>
      </c>
      <c r="BB8" s="3">
        <v>34346869.7925644</v>
      </c>
      <c r="BC8" s="3">
        <v>35217788.29256441</v>
      </c>
    </row>
    <row r="9" spans="1:55">
      <c r="A9" s="1" t="str">
        <f>'Population Definitions'!$A$9</f>
        <v>18-64_females</v>
      </c>
      <c r="C9" t="s">
        <v>34</v>
      </c>
      <c r="D9" s="3"/>
      <c r="E9" s="3">
        <v>7918725.783007998</v>
      </c>
      <c r="F9" s="3">
        <v>8157705.783008002</v>
      </c>
      <c r="G9" s="3">
        <v>8389100.783008002</v>
      </c>
      <c r="H9" s="3">
        <v>8627130.783008</v>
      </c>
      <c r="I9" s="3">
        <v>8871318.283007998</v>
      </c>
      <c r="J9" s="3">
        <v>9122809.218008</v>
      </c>
      <c r="K9" s="3">
        <v>9383622.718008002</v>
      </c>
      <c r="L9" s="3">
        <v>9653159.218008002</v>
      </c>
      <c r="M9" s="3">
        <v>9919916.718008</v>
      </c>
      <c r="N9" s="3">
        <v>10163331.718008</v>
      </c>
      <c r="O9" s="3">
        <v>10421421.718008</v>
      </c>
      <c r="P9" s="3">
        <v>10720471.944008</v>
      </c>
      <c r="Q9" s="3">
        <v>11040878.444008</v>
      </c>
      <c r="R9" s="3">
        <v>11392325.944008</v>
      </c>
      <c r="S9" s="3">
        <v>11769863.444008</v>
      </c>
      <c r="T9" s="3">
        <v>12193387.210008</v>
      </c>
      <c r="U9" s="3">
        <v>12657088.710008</v>
      </c>
      <c r="V9" s="3">
        <v>13125993.210008</v>
      </c>
      <c r="W9" s="3">
        <v>13580832.210008</v>
      </c>
      <c r="X9" s="3">
        <v>14026369.210008</v>
      </c>
      <c r="Y9" s="3">
        <v>14495798.554008</v>
      </c>
      <c r="Z9" s="3">
        <v>14991064.05400799</v>
      </c>
      <c r="AA9" s="3">
        <v>15503631.132008</v>
      </c>
      <c r="AB9" s="3">
        <v>16033678.132008</v>
      </c>
      <c r="AC9" s="3">
        <v>16606025.606045</v>
      </c>
      <c r="AD9" s="3">
        <v>17168663.106045</v>
      </c>
      <c r="AE9" s="3">
        <v>17741951.606045</v>
      </c>
      <c r="AF9" s="3">
        <v>18324464.106045</v>
      </c>
      <c r="AG9" s="3">
        <v>18918425.106045</v>
      </c>
      <c r="AH9" s="3">
        <v>19525282.10604499</v>
      </c>
      <c r="AI9" s="3">
        <v>20148377.606045</v>
      </c>
      <c r="AJ9" s="3">
        <v>20796337.606045</v>
      </c>
      <c r="AK9" s="3">
        <v>21468828.606045</v>
      </c>
      <c r="AL9" s="3">
        <v>22152527.10604501</v>
      </c>
      <c r="AM9" s="3">
        <v>22852582.60604499</v>
      </c>
      <c r="AN9" s="3">
        <v>23574669.60604501</v>
      </c>
      <c r="AO9" s="3">
        <v>24313420.60604499</v>
      </c>
      <c r="AP9" s="3">
        <v>25064100.606045</v>
      </c>
      <c r="AQ9" s="3">
        <v>25822992.10604501</v>
      </c>
      <c r="AR9" s="3">
        <v>26590020.106045</v>
      </c>
      <c r="AS9" s="3">
        <v>27364621.60604499</v>
      </c>
      <c r="AT9" s="3">
        <v>28148462.60604501</v>
      </c>
      <c r="AU9" s="3">
        <v>28943299.606045</v>
      </c>
      <c r="AV9" s="3">
        <v>29746183.606045</v>
      </c>
      <c r="AW9" s="3">
        <v>30556661.106045</v>
      </c>
      <c r="AX9" s="3">
        <v>31379139.60604501</v>
      </c>
      <c r="AY9" s="3">
        <v>32209740.10604501</v>
      </c>
      <c r="AZ9" s="3">
        <v>33047011.10604501</v>
      </c>
      <c r="BA9" s="3">
        <v>33893223.106045</v>
      </c>
      <c r="BB9" s="3">
        <v>34746474.60604501</v>
      </c>
      <c r="BC9" s="3">
        <v>35606248.606045</v>
      </c>
    </row>
    <row r="10" spans="1:55">
      <c r="A10" s="1" t="str">
        <f>'Population Definitions'!$A$10</f>
        <v>65+_males</v>
      </c>
      <c r="C10" t="s">
        <v>34</v>
      </c>
      <c r="D10" s="3"/>
      <c r="E10" s="3">
        <v>428881</v>
      </c>
      <c r="F10" s="3">
        <v>438506.0000000001</v>
      </c>
      <c r="G10" s="3">
        <v>448965.5000000001</v>
      </c>
      <c r="H10" s="3">
        <v>460353.9999999998</v>
      </c>
      <c r="I10" s="3">
        <v>472617</v>
      </c>
      <c r="J10" s="3">
        <v>485876.5000000001</v>
      </c>
      <c r="K10" s="3">
        <v>500430.0000000001</v>
      </c>
      <c r="L10" s="3">
        <v>516484.0000000002</v>
      </c>
      <c r="M10" s="3">
        <v>534152.9999999999</v>
      </c>
      <c r="N10" s="3">
        <v>553392.9999999999</v>
      </c>
      <c r="O10" s="3">
        <v>574138.4999999998</v>
      </c>
      <c r="P10" s="3">
        <v>596344.5000000001</v>
      </c>
      <c r="Q10" s="3">
        <v>619665.5</v>
      </c>
      <c r="R10" s="3">
        <v>642574.9999999999</v>
      </c>
      <c r="S10" s="3">
        <v>663772.5</v>
      </c>
      <c r="T10" s="3">
        <v>683667.4999999998</v>
      </c>
      <c r="U10" s="3">
        <v>702968.4999999998</v>
      </c>
      <c r="V10" s="3">
        <v>721861.0000000001</v>
      </c>
      <c r="W10" s="3">
        <v>740031.5</v>
      </c>
      <c r="X10" s="3">
        <v>757173.9999999997</v>
      </c>
      <c r="Y10" s="3">
        <v>772868.5000000001</v>
      </c>
      <c r="Z10" s="3">
        <v>786933.5000000001</v>
      </c>
      <c r="AA10" s="3">
        <v>801639.0000000005</v>
      </c>
      <c r="AB10" s="3">
        <v>817298</v>
      </c>
      <c r="AC10" s="3">
        <v>832241</v>
      </c>
      <c r="AD10" s="3">
        <v>847346.9999999999</v>
      </c>
      <c r="AE10" s="3">
        <v>863485.0000000001</v>
      </c>
      <c r="AF10" s="3">
        <v>881372.9999999999</v>
      </c>
      <c r="AG10" s="3">
        <v>902051.5000000003</v>
      </c>
      <c r="AH10" s="3">
        <v>926535.5000000001</v>
      </c>
      <c r="AI10" s="3">
        <v>955690.5000000003</v>
      </c>
      <c r="AJ10" s="3">
        <v>990447.5</v>
      </c>
      <c r="AK10" s="3">
        <v>1031277</v>
      </c>
      <c r="AL10" s="3">
        <v>1077823</v>
      </c>
      <c r="AM10" s="3">
        <v>1130219</v>
      </c>
      <c r="AN10" s="3">
        <v>1188254.5</v>
      </c>
      <c r="AO10" s="3">
        <v>1251592.5</v>
      </c>
      <c r="AP10" s="3">
        <v>1319593.5</v>
      </c>
      <c r="AQ10" s="3">
        <v>1391370.5</v>
      </c>
      <c r="AR10" s="3">
        <v>1466616.499999999</v>
      </c>
      <c r="AS10" s="3">
        <v>1544471.5</v>
      </c>
      <c r="AT10" s="3">
        <v>1623572</v>
      </c>
      <c r="AU10" s="3">
        <v>1704009.5</v>
      </c>
      <c r="AV10" s="3">
        <v>1786126.5</v>
      </c>
      <c r="AW10" s="3">
        <v>1869977.5</v>
      </c>
      <c r="AX10" s="3">
        <v>1956217.5</v>
      </c>
      <c r="AY10" s="3">
        <v>2044787.5</v>
      </c>
      <c r="AZ10" s="3">
        <v>2136208</v>
      </c>
      <c r="BA10" s="3">
        <v>2231259.499999999</v>
      </c>
      <c r="BB10" s="3">
        <v>2329278.5</v>
      </c>
      <c r="BC10" s="3">
        <v>2430002</v>
      </c>
    </row>
    <row r="11" spans="1:55">
      <c r="A11" s="1" t="str">
        <f>'Population Definitions'!$A$11</f>
        <v>65+_females</v>
      </c>
      <c r="C11" t="s">
        <v>34</v>
      </c>
      <c r="D11" s="3"/>
      <c r="E11" s="3">
        <v>527848.0000000001</v>
      </c>
      <c r="F11" s="3">
        <v>537693.4999999997</v>
      </c>
      <c r="G11" s="3">
        <v>548099.9999999998</v>
      </c>
      <c r="H11" s="3">
        <v>559204.4999999998</v>
      </c>
      <c r="I11" s="3">
        <v>571088.5</v>
      </c>
      <c r="J11" s="3">
        <v>584024.5</v>
      </c>
      <c r="K11" s="3">
        <v>598622.0000000001</v>
      </c>
      <c r="L11" s="3">
        <v>615427</v>
      </c>
      <c r="M11" s="3">
        <v>634817.9999999999</v>
      </c>
      <c r="N11" s="3">
        <v>657180.0000000001</v>
      </c>
      <c r="O11" s="3">
        <v>682944.5</v>
      </c>
      <c r="P11" s="3">
        <v>712320.4999999997</v>
      </c>
      <c r="Q11" s="3">
        <v>745254</v>
      </c>
      <c r="R11" s="3">
        <v>779968</v>
      </c>
      <c r="S11" s="3">
        <v>814414.5000000002</v>
      </c>
      <c r="T11" s="3">
        <v>849735</v>
      </c>
      <c r="U11" s="3">
        <v>887836</v>
      </c>
      <c r="V11" s="3">
        <v>929056.5000000002</v>
      </c>
      <c r="W11" s="3">
        <v>973117.5</v>
      </c>
      <c r="X11" s="3">
        <v>1019458</v>
      </c>
      <c r="Y11" s="3">
        <v>1067894.5</v>
      </c>
      <c r="Z11" s="3">
        <v>1115439</v>
      </c>
      <c r="AA11" s="3">
        <v>1162397</v>
      </c>
      <c r="AB11" s="3">
        <v>1210009</v>
      </c>
      <c r="AC11" s="3">
        <v>1255416.5</v>
      </c>
      <c r="AD11" s="3">
        <v>1298491.5</v>
      </c>
      <c r="AE11" s="3">
        <v>1339479.5</v>
      </c>
      <c r="AF11" s="3">
        <v>1378689</v>
      </c>
      <c r="AG11" s="3">
        <v>1417033</v>
      </c>
      <c r="AH11" s="3">
        <v>1455693</v>
      </c>
      <c r="AI11" s="3">
        <v>1495861.5</v>
      </c>
      <c r="AJ11" s="3">
        <v>1538831</v>
      </c>
      <c r="AK11" s="3">
        <v>1585682.5</v>
      </c>
      <c r="AL11" s="3">
        <v>1636785</v>
      </c>
      <c r="AM11" s="3">
        <v>1693055</v>
      </c>
      <c r="AN11" s="3">
        <v>1755072.5</v>
      </c>
      <c r="AO11" s="3">
        <v>1823141</v>
      </c>
      <c r="AP11" s="3">
        <v>1897284.5</v>
      </c>
      <c r="AQ11" s="3">
        <v>1977438</v>
      </c>
      <c r="AR11" s="3">
        <v>2064435.5</v>
      </c>
      <c r="AS11" s="3">
        <v>2157385.5</v>
      </c>
      <c r="AT11" s="3">
        <v>2255103.5</v>
      </c>
      <c r="AU11" s="3">
        <v>2357917</v>
      </c>
      <c r="AV11" s="3">
        <v>2465840.5</v>
      </c>
      <c r="AW11" s="3">
        <v>2578347.5</v>
      </c>
      <c r="AX11" s="3">
        <v>2695037</v>
      </c>
      <c r="AY11" s="3">
        <v>2815595</v>
      </c>
      <c r="AZ11" s="3">
        <v>2940394</v>
      </c>
      <c r="BA11" s="3">
        <v>3070217.5</v>
      </c>
      <c r="BB11" s="3">
        <v>3204255.5</v>
      </c>
      <c r="BC11" s="3">
        <v>3341788.000000001</v>
      </c>
    </row>
    <row r="12" spans="1:55">
      <c r="A12" s="1" t="str">
        <f>'Population Definitions'!$A$12</f>
        <v>Prisoners_males</v>
      </c>
      <c r="C12" t="s">
        <v>34</v>
      </c>
      <c r="D12" s="3"/>
      <c r="E12" s="3">
        <v>11026.45925</v>
      </c>
      <c r="F12" s="3"/>
      <c r="G12" s="3"/>
      <c r="H12" s="3"/>
      <c r="I12" s="3"/>
      <c r="J12" s="3">
        <v>11221.068</v>
      </c>
      <c r="K12" s="3"/>
      <c r="L12" s="3"/>
      <c r="M12" s="3"/>
      <c r="N12" s="3"/>
      <c r="O12" s="3"/>
      <c r="P12" s="3">
        <v>9262.249499999998</v>
      </c>
      <c r="Q12" s="3"/>
      <c r="R12" s="3"/>
      <c r="S12" s="3"/>
      <c r="T12" s="3">
        <v>8308.565999999999</v>
      </c>
      <c r="U12" s="3"/>
      <c r="V12" s="3"/>
      <c r="W12" s="3"/>
      <c r="X12" s="3"/>
      <c r="Y12" s="3">
        <v>7833.777000000002</v>
      </c>
      <c r="Z12" s="3"/>
      <c r="AA12" s="3">
        <v>7890.0465</v>
      </c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</row>
    <row r="13" spans="1:55">
      <c r="A13" s="1" t="str">
        <f>'Population Definitions'!$A$13</f>
        <v>Prisoners_females</v>
      </c>
      <c r="C13" t="s">
        <v>34</v>
      </c>
      <c r="D13" s="3"/>
      <c r="E13" s="3">
        <v>376.2907500000001</v>
      </c>
      <c r="F13" s="3"/>
      <c r="G13" s="3"/>
      <c r="H13" s="3"/>
      <c r="I13" s="3"/>
      <c r="J13" s="3">
        <v>382.9320000000002</v>
      </c>
      <c r="K13" s="3"/>
      <c r="L13" s="3"/>
      <c r="M13" s="3"/>
      <c r="N13" s="3"/>
      <c r="O13" s="3"/>
      <c r="P13" s="3">
        <v>326.0005000000003</v>
      </c>
      <c r="Q13" s="3"/>
      <c r="R13" s="3"/>
      <c r="S13" s="3"/>
      <c r="T13" s="3">
        <v>292.4340000000002</v>
      </c>
      <c r="U13" s="3"/>
      <c r="V13" s="3"/>
      <c r="W13" s="3"/>
      <c r="X13" s="3"/>
      <c r="Y13" s="3">
        <v>275.7230000000002</v>
      </c>
      <c r="Z13" s="3"/>
      <c r="AA13" s="3">
        <v>277.7035000000003</v>
      </c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</row>
    <row r="14" spans="1:55">
      <c r="A14" s="1" t="str">
        <f>'Population Definitions'!$A$14</f>
        <v>Prisoners_PWID_males</v>
      </c>
      <c r="C14" t="s">
        <v>34</v>
      </c>
      <c r="D14" s="3"/>
      <c r="E14" s="3">
        <v>33079.37775</v>
      </c>
      <c r="F14" s="3"/>
      <c r="G14" s="3"/>
      <c r="H14" s="3"/>
      <c r="I14" s="3"/>
      <c r="J14" s="3">
        <v>33663.204</v>
      </c>
      <c r="K14" s="3"/>
      <c r="L14" s="3"/>
      <c r="M14" s="3"/>
      <c r="N14" s="3"/>
      <c r="O14" s="3"/>
      <c r="P14" s="3">
        <v>27786.7485</v>
      </c>
      <c r="Q14" s="3"/>
      <c r="R14" s="3"/>
      <c r="S14" s="3"/>
      <c r="T14" s="3">
        <v>24925.698</v>
      </c>
      <c r="U14" s="3"/>
      <c r="V14" s="3"/>
      <c r="W14" s="3"/>
      <c r="X14" s="3"/>
      <c r="Y14" s="3">
        <v>23501.331</v>
      </c>
      <c r="Z14" s="3"/>
      <c r="AA14" s="3">
        <v>23670.1395</v>
      </c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</row>
    <row r="15" spans="1:55">
      <c r="A15" s="1" t="str">
        <f>'Population Definitions'!$A$15</f>
        <v>Prisoners_PWID_females</v>
      </c>
      <c r="C15" t="s">
        <v>34</v>
      </c>
      <c r="D15" s="3"/>
      <c r="E15" s="3">
        <v>1128.872250000001</v>
      </c>
      <c r="F15" s="3"/>
      <c r="G15" s="3"/>
      <c r="H15" s="3"/>
      <c r="I15" s="3"/>
      <c r="J15" s="3">
        <v>1148.796000000001</v>
      </c>
      <c r="K15" s="3"/>
      <c r="L15" s="3"/>
      <c r="M15" s="3"/>
      <c r="N15" s="3"/>
      <c r="O15" s="3"/>
      <c r="P15" s="3">
        <v>978.0015000000008</v>
      </c>
      <c r="Q15" s="3"/>
      <c r="R15" s="3"/>
      <c r="S15" s="3"/>
      <c r="T15" s="3">
        <v>877.3020000000008</v>
      </c>
      <c r="U15" s="3"/>
      <c r="V15" s="3"/>
      <c r="W15" s="3"/>
      <c r="X15" s="3"/>
      <c r="Y15" s="3">
        <v>827.1690000000008</v>
      </c>
      <c r="Z15" s="3"/>
      <c r="AA15" s="3">
        <v>833.1105000000007</v>
      </c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</row>
    <row r="17" spans="1:57">
      <c r="A17" s="1" t="s">
        <v>52</v>
      </c>
      <c r="B17" s="1" t="s">
        <v>31</v>
      </c>
      <c r="C17" s="1" t="s">
        <v>32</v>
      </c>
      <c r="D17" s="1" t="s">
        <v>33</v>
      </c>
      <c r="E17" s="1" t="s">
        <v>38</v>
      </c>
      <c r="F17" s="1"/>
      <c r="G17" s="1">
        <v>2000</v>
      </c>
      <c r="H17" s="1">
        <v>2001</v>
      </c>
      <c r="I17" s="1">
        <v>2002</v>
      </c>
      <c r="J17" s="1">
        <v>2003</v>
      </c>
      <c r="K17" s="1">
        <v>2004</v>
      </c>
      <c r="L17" s="1">
        <v>2005</v>
      </c>
      <c r="M17" s="1">
        <v>2006</v>
      </c>
      <c r="N17" s="1">
        <v>2007</v>
      </c>
      <c r="O17" s="1">
        <v>2008</v>
      </c>
      <c r="P17" s="1">
        <v>2009</v>
      </c>
      <c r="Q17" s="1">
        <v>2010</v>
      </c>
      <c r="R17" s="1">
        <v>2011</v>
      </c>
      <c r="S17" s="1">
        <v>2012</v>
      </c>
      <c r="T17" s="1">
        <v>2013</v>
      </c>
      <c r="U17" s="1">
        <v>2014</v>
      </c>
      <c r="V17" s="1">
        <v>2015</v>
      </c>
      <c r="W17" s="1">
        <v>2016</v>
      </c>
      <c r="X17" s="1">
        <v>2017</v>
      </c>
      <c r="Y17" s="1">
        <v>2018</v>
      </c>
      <c r="Z17" s="1">
        <v>2019</v>
      </c>
      <c r="AA17" s="1">
        <v>2020</v>
      </c>
      <c r="AB17" s="1">
        <v>2021</v>
      </c>
      <c r="AC17" s="1">
        <v>2022</v>
      </c>
      <c r="AD17" s="1">
        <v>2023</v>
      </c>
      <c r="AE17" s="1">
        <v>2024</v>
      </c>
      <c r="AF17" s="1">
        <v>2025</v>
      </c>
      <c r="AG17" s="1">
        <v>2026</v>
      </c>
      <c r="AH17" s="1">
        <v>2027</v>
      </c>
      <c r="AI17" s="1">
        <v>2028</v>
      </c>
      <c r="AJ17" s="1">
        <v>2029</v>
      </c>
      <c r="AK17" s="1">
        <v>2030</v>
      </c>
      <c r="AL17" s="1">
        <v>2031</v>
      </c>
      <c r="AM17" s="1">
        <v>2032</v>
      </c>
      <c r="AN17" s="1">
        <v>2033</v>
      </c>
      <c r="AO17" s="1">
        <v>2034</v>
      </c>
      <c r="AP17" s="1">
        <v>2035</v>
      </c>
      <c r="AQ17" s="1">
        <v>2036</v>
      </c>
      <c r="AR17" s="1">
        <v>2037</v>
      </c>
      <c r="AS17" s="1">
        <v>2038</v>
      </c>
      <c r="AT17" s="1">
        <v>2039</v>
      </c>
      <c r="AU17" s="1">
        <v>2040</v>
      </c>
      <c r="AV17" s="1">
        <v>2041</v>
      </c>
      <c r="AW17" s="1">
        <v>2042</v>
      </c>
      <c r="AX17" s="1">
        <v>2043</v>
      </c>
      <c r="AY17" s="1">
        <v>2044</v>
      </c>
      <c r="AZ17" s="1">
        <v>2045</v>
      </c>
      <c r="BA17" s="1">
        <v>2046</v>
      </c>
      <c r="BB17" s="1">
        <v>2047</v>
      </c>
      <c r="BC17" s="1">
        <v>2048</v>
      </c>
      <c r="BD17" s="1">
        <v>2049</v>
      </c>
      <c r="BE17" s="1">
        <v>2050</v>
      </c>
    </row>
    <row r="18" spans="1:57">
      <c r="A18" s="1" t="str">
        <f>'Population Definitions'!$A$2</f>
        <v>PWID_males</v>
      </c>
      <c r="C18" t="s">
        <v>53</v>
      </c>
      <c r="D18" s="3"/>
      <c r="E18" s="3">
        <v>0</v>
      </c>
      <c r="F18" s="4" t="s">
        <v>39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</row>
    <row r="19" spans="1:57">
      <c r="A19" s="1" t="str">
        <f>'Population Definitions'!$A$3</f>
        <v>PWID_females</v>
      </c>
      <c r="C19" t="s">
        <v>53</v>
      </c>
      <c r="D19" s="3"/>
      <c r="E19" s="3">
        <v>0</v>
      </c>
      <c r="F19" s="4" t="s">
        <v>39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</row>
    <row r="20" spans="1:57">
      <c r="A20" s="1" t="str">
        <f>'Population Definitions'!$A$4</f>
        <v>0-9_males</v>
      </c>
      <c r="C20" t="s">
        <v>53</v>
      </c>
      <c r="D20" s="3"/>
      <c r="E20" s="3"/>
      <c r="F20" s="4" t="s">
        <v>39</v>
      </c>
      <c r="G20" s="3">
        <v>719808.7588932806</v>
      </c>
      <c r="H20" s="3">
        <v>736844.194760257</v>
      </c>
      <c r="I20" s="3">
        <v>752034.4552644585</v>
      </c>
      <c r="J20" s="3">
        <v>775262.5729115175</v>
      </c>
      <c r="K20" s="3">
        <v>799902.0128585559</v>
      </c>
      <c r="L20" s="3">
        <v>821585.307464162</v>
      </c>
      <c r="M20" s="3">
        <v>834896.443895205</v>
      </c>
      <c r="N20" s="3">
        <v>842062.9249011858</v>
      </c>
      <c r="O20" s="3">
        <v>852853.6543209876</v>
      </c>
      <c r="P20" s="3">
        <v>864952.7037037037</v>
      </c>
      <c r="Q20" s="3">
        <v>878457.5538005922</v>
      </c>
      <c r="R20" s="3">
        <v>888290.6446199408</v>
      </c>
      <c r="S20" s="3">
        <v>914553.3798717316</v>
      </c>
      <c r="T20" s="3">
        <v>950104.1983226443</v>
      </c>
      <c r="U20" s="3">
        <v>978935.8106508875</v>
      </c>
      <c r="V20" s="3">
        <v>992076.7731755424</v>
      </c>
      <c r="W20" s="3">
        <v>1027222.959093149</v>
      </c>
      <c r="X20" s="3">
        <v>1061536.990142928</v>
      </c>
      <c r="Y20" s="3">
        <v>1087540.920650567</v>
      </c>
      <c r="Z20" s="3">
        <v>1107397.650246305</v>
      </c>
      <c r="AA20" s="3">
        <v>1127246.714285714</v>
      </c>
      <c r="AB20" s="3">
        <v>1148133.896551724</v>
      </c>
      <c r="AC20" s="3">
        <v>1170093.699507389</v>
      </c>
      <c r="AD20" s="3">
        <v>1191102.472181191</v>
      </c>
      <c r="AE20" s="3">
        <v>1211201.134416543</v>
      </c>
      <c r="AF20" s="3">
        <v>1228099.17872969</v>
      </c>
      <c r="AG20" s="3">
        <v>1248539.477104874</v>
      </c>
      <c r="AH20" s="3">
        <v>1266290.850320039</v>
      </c>
      <c r="AI20" s="3">
        <v>1283770.640571147</v>
      </c>
      <c r="AJ20" s="3">
        <v>1303302.785819793</v>
      </c>
      <c r="AK20" s="3">
        <v>1322353.696208764</v>
      </c>
      <c r="AL20" s="3">
        <v>1343751.895617922</v>
      </c>
      <c r="AM20" s="3">
        <v>1358786.931560808</v>
      </c>
      <c r="AN20" s="3">
        <v>1379193.850393701</v>
      </c>
      <c r="AO20" s="3">
        <v>1402625.125984252</v>
      </c>
      <c r="AP20" s="3">
        <v>1423019.094534712</v>
      </c>
      <c r="AQ20" s="3">
        <v>1441668.975873954</v>
      </c>
      <c r="AR20" s="3">
        <v>1457158.849827671</v>
      </c>
      <c r="AS20" s="3">
        <v>1480885.464566929</v>
      </c>
      <c r="AT20" s="3">
        <v>1500196.373707533</v>
      </c>
      <c r="AU20" s="3">
        <v>1519434.092565239</v>
      </c>
      <c r="AV20" s="3">
        <v>1534620.059055118</v>
      </c>
      <c r="AW20" s="3">
        <v>1557342.342519685</v>
      </c>
      <c r="AX20" s="3">
        <v>1576488.177165355</v>
      </c>
      <c r="AY20" s="3">
        <v>1596655.028064993</v>
      </c>
      <c r="AZ20" s="3">
        <v>1607747.796159527</v>
      </c>
      <c r="BA20" s="3">
        <v>1635037.061546037</v>
      </c>
      <c r="BB20" s="3">
        <v>1653776.286065977</v>
      </c>
      <c r="BC20" s="3">
        <v>1666334.079271295</v>
      </c>
      <c r="BD20" s="3">
        <v>1674945.543574594</v>
      </c>
      <c r="BE20" s="3">
        <v>1695039.129492861</v>
      </c>
    </row>
    <row r="21" spans="1:57">
      <c r="A21" s="1" t="str">
        <f>'Population Definitions'!$A$5</f>
        <v>0-9_females</v>
      </c>
      <c r="C21" t="s">
        <v>53</v>
      </c>
      <c r="D21" s="3"/>
      <c r="E21" s="3"/>
      <c r="F21" s="4" t="s">
        <v>39</v>
      </c>
      <c r="G21" s="3">
        <v>702938.2411067194</v>
      </c>
      <c r="H21" s="3">
        <v>720277.805239743</v>
      </c>
      <c r="I21" s="3">
        <v>735126.5447355412</v>
      </c>
      <c r="J21" s="3">
        <v>757832.4270884824</v>
      </c>
      <c r="K21" s="3">
        <v>782682.9871414441</v>
      </c>
      <c r="L21" s="3">
        <v>803113.6925358378</v>
      </c>
      <c r="M21" s="3">
        <v>816125.5561047948</v>
      </c>
      <c r="N21" s="3">
        <v>822327.0750988142</v>
      </c>
      <c r="O21" s="3">
        <v>832052.3456790124</v>
      </c>
      <c r="P21" s="3">
        <v>843856.2962962963</v>
      </c>
      <c r="Q21" s="3">
        <v>856196.4461994077</v>
      </c>
      <c r="R21" s="3">
        <v>865780.3553800592</v>
      </c>
      <c r="S21" s="3">
        <v>890509.6201282684</v>
      </c>
      <c r="T21" s="3">
        <v>925125.8016773558</v>
      </c>
      <c r="U21" s="3">
        <v>952272.1893491123</v>
      </c>
      <c r="V21" s="3">
        <v>965055.2268244575</v>
      </c>
      <c r="W21" s="3">
        <v>998273.0409068506</v>
      </c>
      <c r="X21" s="3">
        <v>1031620.009857073</v>
      </c>
      <c r="Y21" s="3">
        <v>1056891.079349433</v>
      </c>
      <c r="Z21" s="3">
        <v>1075143.349753695</v>
      </c>
      <c r="AA21" s="3">
        <v>1094414.285714286</v>
      </c>
      <c r="AB21" s="3">
        <v>1114693.103448276</v>
      </c>
      <c r="AC21" s="3">
        <v>1136013.300492611</v>
      </c>
      <c r="AD21" s="3">
        <v>1155288.527818809</v>
      </c>
      <c r="AE21" s="3">
        <v>1174782.865583456</v>
      </c>
      <c r="AF21" s="3">
        <v>1191172.82127031</v>
      </c>
      <c r="AG21" s="3">
        <v>1210998.522895126</v>
      </c>
      <c r="AH21" s="3">
        <v>1228216.149679961</v>
      </c>
      <c r="AI21" s="3">
        <v>1245170.359428853</v>
      </c>
      <c r="AJ21" s="3">
        <v>1264115.214180207</v>
      </c>
      <c r="AK21" s="3">
        <v>1282593.303791236</v>
      </c>
      <c r="AL21" s="3">
        <v>1303348.104382078</v>
      </c>
      <c r="AM21" s="3">
        <v>1317931.068439193</v>
      </c>
      <c r="AN21" s="3">
        <v>1336428.149606299</v>
      </c>
      <c r="AO21" s="3">
        <v>1359132.874015748</v>
      </c>
      <c r="AP21" s="3">
        <v>1380231.905465288</v>
      </c>
      <c r="AQ21" s="3">
        <v>1398321.024126046</v>
      </c>
      <c r="AR21" s="3">
        <v>1413345.150172329</v>
      </c>
      <c r="AS21" s="3">
        <v>1434966.535433071</v>
      </c>
      <c r="AT21" s="3">
        <v>1455088.626292467</v>
      </c>
      <c r="AU21" s="3">
        <v>1473747.907434761</v>
      </c>
      <c r="AV21" s="3">
        <v>1487034.940944882</v>
      </c>
      <c r="AW21" s="3">
        <v>1509052.657480315</v>
      </c>
      <c r="AX21" s="3">
        <v>1527604.822834646</v>
      </c>
      <c r="AY21" s="3">
        <v>1548646.971935007</v>
      </c>
      <c r="AZ21" s="3">
        <v>1559406.203840473</v>
      </c>
      <c r="BA21" s="3">
        <v>1585874.938453964</v>
      </c>
      <c r="BB21" s="3">
        <v>1604050.713934023</v>
      </c>
      <c r="BC21" s="3">
        <v>1616230.920728705</v>
      </c>
      <c r="BD21" s="3">
        <v>1624583.456425406</v>
      </c>
      <c r="BE21" s="3">
        <v>1644072.870507139</v>
      </c>
    </row>
    <row r="22" spans="1:57">
      <c r="A22" s="1" t="str">
        <f>'Population Definitions'!$A$6</f>
        <v>10-17_males</v>
      </c>
      <c r="C22" t="s">
        <v>53</v>
      </c>
      <c r="D22" s="3"/>
      <c r="E22" s="3">
        <v>0</v>
      </c>
      <c r="F22" s="4" t="s">
        <v>39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</row>
    <row r="23" spans="1:57">
      <c r="A23" s="1" t="str">
        <f>'Population Definitions'!$A$7</f>
        <v>10-17_females</v>
      </c>
      <c r="C23" t="s">
        <v>53</v>
      </c>
      <c r="D23" s="3"/>
      <c r="E23" s="3">
        <v>0</v>
      </c>
      <c r="F23" s="4" t="s">
        <v>39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</row>
    <row r="24" spans="1:57">
      <c r="A24" s="1" t="str">
        <f>'Population Definitions'!$A$8</f>
        <v>18-64_males</v>
      </c>
      <c r="C24" t="s">
        <v>53</v>
      </c>
      <c r="D24" s="3"/>
      <c r="E24" s="3">
        <v>0</v>
      </c>
      <c r="F24" s="4" t="s">
        <v>39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</row>
    <row r="25" spans="1:57">
      <c r="A25" s="1" t="str">
        <f>'Population Definitions'!$A$9</f>
        <v>18-64_females</v>
      </c>
      <c r="C25" t="s">
        <v>53</v>
      </c>
      <c r="D25" s="3"/>
      <c r="E25" s="3">
        <v>0</v>
      </c>
      <c r="F25" s="4" t="s">
        <v>39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</row>
    <row r="26" spans="1:57">
      <c r="A26" s="1" t="str">
        <f>'Population Definitions'!$A$10</f>
        <v>65+_males</v>
      </c>
      <c r="C26" t="s">
        <v>53</v>
      </c>
      <c r="D26" s="3"/>
      <c r="E26" s="3">
        <v>0</v>
      </c>
      <c r="F26" s="4" t="s">
        <v>39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</row>
    <row r="27" spans="1:57">
      <c r="A27" s="1" t="str">
        <f>'Population Definitions'!$A$11</f>
        <v>65+_females</v>
      </c>
      <c r="C27" t="s">
        <v>53</v>
      </c>
      <c r="D27" s="3"/>
      <c r="E27" s="3">
        <v>0</v>
      </c>
      <c r="F27" s="4" t="s">
        <v>39</v>
      </c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</row>
    <row r="28" spans="1:57">
      <c r="A28" s="1" t="str">
        <f>'Population Definitions'!$A$12</f>
        <v>Prisoners_males</v>
      </c>
      <c r="C28" t="s">
        <v>53</v>
      </c>
      <c r="D28" s="3"/>
      <c r="E28" s="3">
        <v>0</v>
      </c>
      <c r="F28" s="4" t="s">
        <v>39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</row>
    <row r="29" spans="1:57">
      <c r="A29" s="1" t="str">
        <f>'Population Definitions'!$A$13</f>
        <v>Prisoners_females</v>
      </c>
      <c r="C29" t="s">
        <v>53</v>
      </c>
      <c r="D29" s="3"/>
      <c r="E29" s="3">
        <v>0</v>
      </c>
      <c r="F29" s="4" t="s">
        <v>39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</row>
    <row r="30" spans="1:57">
      <c r="A30" s="1" t="str">
        <f>'Population Definitions'!$A$14</f>
        <v>Prisoners_PWID_males</v>
      </c>
      <c r="C30" t="s">
        <v>53</v>
      </c>
      <c r="D30" s="3"/>
      <c r="E30" s="3">
        <v>0</v>
      </c>
      <c r="F30" s="4" t="s">
        <v>39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</row>
    <row r="31" spans="1:57">
      <c r="A31" s="1" t="str">
        <f>'Population Definitions'!$A$15</f>
        <v>Prisoners_PWID_females</v>
      </c>
      <c r="C31" t="s">
        <v>53</v>
      </c>
      <c r="D31" s="3"/>
      <c r="E31" s="3">
        <v>0</v>
      </c>
      <c r="F31" s="4" t="s">
        <v>39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</row>
    <row r="33" spans="1:57">
      <c r="A33" s="1" t="s">
        <v>54</v>
      </c>
      <c r="B33" s="1" t="s">
        <v>31</v>
      </c>
      <c r="C33" s="1" t="s">
        <v>32</v>
      </c>
      <c r="D33" s="1" t="s">
        <v>33</v>
      </c>
      <c r="E33" s="1" t="s">
        <v>38</v>
      </c>
      <c r="F33" s="1"/>
      <c r="G33" s="1">
        <v>2000</v>
      </c>
      <c r="H33" s="1">
        <v>2001</v>
      </c>
      <c r="I33" s="1">
        <v>2002</v>
      </c>
      <c r="J33" s="1">
        <v>2003</v>
      </c>
      <c r="K33" s="1">
        <v>2004</v>
      </c>
      <c r="L33" s="1">
        <v>2005</v>
      </c>
      <c r="M33" s="1">
        <v>2006</v>
      </c>
      <c r="N33" s="1">
        <v>2007</v>
      </c>
      <c r="O33" s="1">
        <v>2008</v>
      </c>
      <c r="P33" s="1">
        <v>2009</v>
      </c>
      <c r="Q33" s="1">
        <v>2010</v>
      </c>
      <c r="R33" s="1">
        <v>2011</v>
      </c>
      <c r="S33" s="1">
        <v>2012</v>
      </c>
      <c r="T33" s="1">
        <v>2013</v>
      </c>
      <c r="U33" s="1">
        <v>2014</v>
      </c>
      <c r="V33" s="1">
        <v>2015</v>
      </c>
      <c r="W33" s="1">
        <v>2016</v>
      </c>
      <c r="X33" s="1">
        <v>2017</v>
      </c>
      <c r="Y33" s="1">
        <v>2018</v>
      </c>
      <c r="Z33" s="1">
        <v>2019</v>
      </c>
      <c r="AA33" s="1">
        <v>2020</v>
      </c>
      <c r="AB33" s="1">
        <v>2021</v>
      </c>
      <c r="AC33" s="1">
        <v>2022</v>
      </c>
      <c r="AD33" s="1">
        <v>2023</v>
      </c>
      <c r="AE33" s="1">
        <v>2024</v>
      </c>
      <c r="AF33" s="1">
        <v>2025</v>
      </c>
      <c r="AG33" s="1">
        <v>2026</v>
      </c>
      <c r="AH33" s="1">
        <v>2027</v>
      </c>
      <c r="AI33" s="1">
        <v>2028</v>
      </c>
      <c r="AJ33" s="1">
        <v>2029</v>
      </c>
      <c r="AK33" s="1">
        <v>2030</v>
      </c>
      <c r="AL33" s="1">
        <v>2031</v>
      </c>
      <c r="AM33" s="1">
        <v>2032</v>
      </c>
      <c r="AN33" s="1">
        <v>2033</v>
      </c>
      <c r="AO33" s="1">
        <v>2034</v>
      </c>
      <c r="AP33" s="1">
        <v>2035</v>
      </c>
      <c r="AQ33" s="1">
        <v>2036</v>
      </c>
      <c r="AR33" s="1">
        <v>2037</v>
      </c>
      <c r="AS33" s="1">
        <v>2038</v>
      </c>
      <c r="AT33" s="1">
        <v>2039</v>
      </c>
      <c r="AU33" s="1">
        <v>2040</v>
      </c>
      <c r="AV33" s="1">
        <v>2041</v>
      </c>
      <c r="AW33" s="1">
        <v>2042</v>
      </c>
      <c r="AX33" s="1">
        <v>2043</v>
      </c>
      <c r="AY33" s="1">
        <v>2044</v>
      </c>
      <c r="AZ33" s="1">
        <v>2045</v>
      </c>
      <c r="BA33" s="1">
        <v>2046</v>
      </c>
      <c r="BB33" s="1">
        <v>2047</v>
      </c>
      <c r="BC33" s="1">
        <v>2048</v>
      </c>
      <c r="BD33" s="1">
        <v>2049</v>
      </c>
      <c r="BE33" s="1">
        <v>2050</v>
      </c>
    </row>
    <row r="34" spans="1:57">
      <c r="A34" s="1" t="str">
        <f>'Population Definitions'!$A$2</f>
        <v>PWID_males</v>
      </c>
      <c r="C34" t="s">
        <v>55</v>
      </c>
      <c r="D34" s="3"/>
      <c r="E34" s="3">
        <v>0</v>
      </c>
      <c r="F34" s="4" t="s">
        <v>39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</row>
    <row r="35" spans="1:57">
      <c r="A35" s="1" t="str">
        <f>'Population Definitions'!$A$3</f>
        <v>PWID_females</v>
      </c>
      <c r="C35" t="s">
        <v>55</v>
      </c>
      <c r="D35" s="3"/>
      <c r="E35" s="3">
        <v>0</v>
      </c>
      <c r="F35" s="4" t="s">
        <v>39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</row>
    <row r="36" spans="1:57">
      <c r="A36" s="1" t="str">
        <f>'Population Definitions'!$A$4</f>
        <v>0-9_males</v>
      </c>
      <c r="C36" t="s">
        <v>55</v>
      </c>
      <c r="D36" s="3"/>
      <c r="E36" s="3"/>
      <c r="F36" s="4" t="s">
        <v>39</v>
      </c>
      <c r="G36" s="3">
        <v>0.001599989867382346</v>
      </c>
      <c r="H36" s="3">
        <v>0.001122531546755875</v>
      </c>
      <c r="I36" s="3">
        <v>0.001721729917278466</v>
      </c>
      <c r="J36" s="3">
        <v>0.001754085830918558</v>
      </c>
      <c r="K36" s="3">
        <v>0.001465220105143982</v>
      </c>
      <c r="L36" s="3">
        <v>0.0007747373467498739</v>
      </c>
      <c r="M36" s="3">
        <v>0.0003358581851135121</v>
      </c>
      <c r="N36" s="3">
        <v>0.0004235598638701949</v>
      </c>
      <c r="O36" s="3">
        <v>4.872310444468412E-05</v>
      </c>
      <c r="P36" s="3">
        <v>0.0002651956503932583</v>
      </c>
      <c r="Q36" s="3">
        <v>0.0004759268059411135</v>
      </c>
      <c r="R36" s="3">
        <v>0.001647174820821124</v>
      </c>
      <c r="S36" s="3">
        <v>0.002337342802433258</v>
      </c>
      <c r="T36" s="3">
        <v>0.001879946603852624</v>
      </c>
      <c r="U36" s="3">
        <v>0.001263522218703062</v>
      </c>
      <c r="V36" s="3">
        <v>0.002846930285947799</v>
      </c>
      <c r="W36" s="3">
        <v>0.002592868798122455</v>
      </c>
      <c r="X36" s="3">
        <v>0.001736324538628528</v>
      </c>
      <c r="Y36" s="3">
        <v>0.001029668759591307</v>
      </c>
      <c r="Z36" s="3">
        <v>0.001010430210402975</v>
      </c>
      <c r="AA36" s="3">
        <v>0.001133153699392617</v>
      </c>
      <c r="AB36" s="3">
        <v>0.001152274071077181</v>
      </c>
      <c r="AC36" s="3">
        <v>0.001022398810839119</v>
      </c>
      <c r="AD36" s="3">
        <v>0.0008238944610367557</v>
      </c>
      <c r="AE36" s="3">
        <v>0.0006568711824619304</v>
      </c>
      <c r="AF36" s="3">
        <v>0.0008296254111255837</v>
      </c>
      <c r="AG36" s="3">
        <v>0.0006414626097484176</v>
      </c>
      <c r="AH36" s="3">
        <v>0.0006114797293549391</v>
      </c>
      <c r="AI36" s="3">
        <v>0.0007638912522905101</v>
      </c>
      <c r="AJ36" s="3">
        <v>0.0007743911597331159</v>
      </c>
      <c r="AK36" s="3">
        <v>0.0008740663706459629</v>
      </c>
      <c r="AL36" s="3">
        <v>0.0006309813034521018</v>
      </c>
      <c r="AM36" s="3">
        <v>0.0007874245928069654</v>
      </c>
      <c r="AN36" s="3">
        <v>0.0009243469818213062</v>
      </c>
      <c r="AO36" s="3">
        <v>0.0008068357313455076</v>
      </c>
      <c r="AP36" s="3">
        <v>0.0007301765861238963</v>
      </c>
      <c r="AQ36" s="3">
        <v>0.0006026356132924901</v>
      </c>
      <c r="AR36" s="3">
        <v>0.0008700416256507557</v>
      </c>
      <c r="AS36" s="3">
        <v>0.000683431742515318</v>
      </c>
      <c r="AT36" s="3">
        <v>0.0006483605543678835</v>
      </c>
      <c r="AU36" s="3">
        <v>0.0004542147504051684</v>
      </c>
      <c r="AV36" s="3">
        <v>0.0007090034882851054</v>
      </c>
      <c r="AW36" s="3">
        <v>0.0005779984783747286</v>
      </c>
      <c r="AX36" s="3">
        <v>0.0006143703611013843</v>
      </c>
      <c r="AY36" s="3">
        <v>0.0003685356049734603</v>
      </c>
      <c r="AZ36" s="3">
        <v>0.0008995959363175846</v>
      </c>
      <c r="BA36" s="3">
        <v>0.0005883042971810392</v>
      </c>
      <c r="BB36" s="3">
        <v>0.0003839018672283644</v>
      </c>
      <c r="BC36" s="3">
        <v>0.0002161002886234106</v>
      </c>
      <c r="BD36" s="3">
        <v>0.0005623155317977524</v>
      </c>
      <c r="BE36" s="3">
        <v>0.0004193466449595048</v>
      </c>
    </row>
    <row r="37" spans="1:57">
      <c r="A37" s="1" t="str">
        <f>'Population Definitions'!$A$5</f>
        <v>0-9_females</v>
      </c>
      <c r="C37" t="s">
        <v>55</v>
      </c>
      <c r="D37" s="3"/>
      <c r="E37" s="3"/>
      <c r="F37" s="4" t="s">
        <v>39</v>
      </c>
      <c r="G37" s="3">
        <v>0.001630416847310316</v>
      </c>
      <c r="H37" s="3">
        <v>0.001103887609719503</v>
      </c>
      <c r="I37" s="3">
        <v>0.001763701895937267</v>
      </c>
      <c r="J37" s="3">
        <v>0.001794750962662632</v>
      </c>
      <c r="K37" s="3">
        <v>0.001366392428634969</v>
      </c>
      <c r="L37" s="3">
        <v>0.0007351890180880635</v>
      </c>
      <c r="M37" s="3">
        <v>0.0001840973441762077</v>
      </c>
      <c r="N37" s="3">
        <v>0.0003071481630710348</v>
      </c>
      <c r="O37" s="3">
        <v>6.69790237951593E-06</v>
      </c>
      <c r="P37" s="3">
        <v>0.0001513189834295824</v>
      </c>
      <c r="Q37" s="3">
        <v>0.0004373390695579592</v>
      </c>
      <c r="R37" s="3">
        <v>0.001543263465816188</v>
      </c>
      <c r="S37" s="3">
        <v>0.002292139369633728</v>
      </c>
      <c r="T37" s="3">
        <v>0.001818064570181221</v>
      </c>
      <c r="U37" s="3">
        <v>0.001283076221302393</v>
      </c>
      <c r="V37" s="3">
        <v>0.002800049200868014</v>
      </c>
      <c r="W37" s="3">
        <v>0.002571311445239221</v>
      </c>
      <c r="X37" s="3">
        <v>0.001652407761722127</v>
      </c>
      <c r="Y37" s="3">
        <v>0.000902512902411985</v>
      </c>
      <c r="Z37" s="3">
        <v>0.001014055904418294</v>
      </c>
      <c r="AA37" s="3">
        <v>0.001159227487372677</v>
      </c>
      <c r="AB37" s="3">
        <v>0.001074035070039053</v>
      </c>
      <c r="AC37" s="3">
        <v>0.0009538946643991639</v>
      </c>
      <c r="AD37" s="3">
        <v>0.0008583760720096105</v>
      </c>
      <c r="AE37" s="3">
        <v>0.0006824634982026893</v>
      </c>
      <c r="AF37" s="3">
        <v>0.0008414924547819252</v>
      </c>
      <c r="AG37" s="3">
        <v>0.0006381430594784575</v>
      </c>
      <c r="AH37" s="3">
        <v>0.0005949396243609687</v>
      </c>
      <c r="AI37" s="3">
        <v>0.0007293167379198156</v>
      </c>
      <c r="AJ37" s="3">
        <v>0.0007493370905431842</v>
      </c>
      <c r="AK37" s="3">
        <v>0.0008558885312233857</v>
      </c>
      <c r="AL37" s="3">
        <v>0.0005969977086794832</v>
      </c>
      <c r="AM37" s="3">
        <v>0.0007414085166821606</v>
      </c>
      <c r="AN37" s="3">
        <v>0.0009751939504052524</v>
      </c>
      <c r="AO37" s="3">
        <v>0.0008705608581379355</v>
      </c>
      <c r="AP37" s="3">
        <v>0.0006916431093899933</v>
      </c>
      <c r="AQ37" s="3">
        <v>0.0005719567209916716</v>
      </c>
      <c r="AR37" s="3">
        <v>0.0008197735082714747</v>
      </c>
      <c r="AS37" s="3">
        <v>0.0007389481964427289</v>
      </c>
      <c r="AT37" s="3">
        <v>0.0006051385202573669</v>
      </c>
      <c r="AU37" s="3">
        <v>0.0003909168667914407</v>
      </c>
      <c r="AV37" s="3">
        <v>0.0007471403400364299</v>
      </c>
      <c r="AW37" s="3">
        <v>0.0006199036643772633</v>
      </c>
      <c r="AX37" s="3">
        <v>0.0006616039314236092</v>
      </c>
      <c r="AY37" s="3">
        <v>0.0003252933545288884</v>
      </c>
      <c r="AZ37" s="3">
        <v>0.0008628692463970032</v>
      </c>
      <c r="BA37" s="3">
        <v>0.0005456201948659339</v>
      </c>
      <c r="BB37" s="3">
        <v>0.0003471442239905706</v>
      </c>
      <c r="BC37" s="3">
        <v>0.0001767151603494895</v>
      </c>
      <c r="BD37" s="3">
        <v>0.000514831366779317</v>
      </c>
      <c r="BE37" s="3">
        <v>0.0003772556458600825</v>
      </c>
    </row>
    <row r="38" spans="1:57">
      <c r="A38" s="1" t="str">
        <f>'Population Definitions'!$A$6</f>
        <v>10-17_males</v>
      </c>
      <c r="C38" t="s">
        <v>55</v>
      </c>
      <c r="D38" s="3"/>
      <c r="E38" s="3"/>
      <c r="F38" s="4" t="s">
        <v>39</v>
      </c>
      <c r="G38" s="3">
        <v>-0.0008743569833020149</v>
      </c>
      <c r="H38" s="3">
        <v>-0.001583207318647583</v>
      </c>
      <c r="I38" s="3">
        <v>-0.001548528961640203</v>
      </c>
      <c r="J38" s="3">
        <v>-0.001576335541775373</v>
      </c>
      <c r="K38" s="3">
        <v>-0.00155149038553355</v>
      </c>
      <c r="L38" s="3">
        <v>-0.001529288446725115</v>
      </c>
      <c r="M38" s="3">
        <v>-0.001471072085508077</v>
      </c>
      <c r="N38" s="3">
        <v>-0.001769896588530918</v>
      </c>
      <c r="O38" s="3">
        <v>-0.00284445271862369</v>
      </c>
      <c r="P38" s="3">
        <v>-0.002411443039679993</v>
      </c>
      <c r="Q38" s="3">
        <v>-0.00106726077248004</v>
      </c>
      <c r="R38" s="3">
        <v>-0.0006643327510595175</v>
      </c>
      <c r="S38" s="3">
        <v>-0.0002103659064763675</v>
      </c>
      <c r="T38" s="3">
        <v>-6.351940840736455E-05</v>
      </c>
      <c r="U38" s="3">
        <v>0.0008666346952363574</v>
      </c>
      <c r="V38" s="3">
        <v>0.001640487684023</v>
      </c>
      <c r="W38" s="3">
        <v>0.001224083302426798</v>
      </c>
      <c r="X38" s="3">
        <v>0.0003130258533262208</v>
      </c>
      <c r="Y38" s="3">
        <v>-0.0004481790133747904</v>
      </c>
      <c r="Z38" s="3">
        <v>-0.0002969597129838683</v>
      </c>
      <c r="AA38" s="3">
        <v>-7.029979959919239E-05</v>
      </c>
      <c r="AB38" s="3">
        <v>-0.0001432401967987495</v>
      </c>
      <c r="AC38" s="3">
        <v>-0.0002424033427718107</v>
      </c>
      <c r="AD38" s="3">
        <v>-0.0002324900302528456</v>
      </c>
      <c r="AE38" s="3">
        <v>-0.0001655710830907914</v>
      </c>
      <c r="AF38" s="3">
        <v>-0.0001527741431147615</v>
      </c>
      <c r="AG38" s="3">
        <v>-0.0001932370242718523</v>
      </c>
      <c r="AH38" s="3">
        <v>-0.0002059842927255501</v>
      </c>
      <c r="AI38" s="3">
        <v>-0.0001621650531287833</v>
      </c>
      <c r="AJ38" s="3">
        <v>-0.000126288197931543</v>
      </c>
      <c r="AK38" s="3">
        <v>-0.0001086336355240693</v>
      </c>
      <c r="AL38" s="3">
        <v>-9.258602148984965E-05</v>
      </c>
      <c r="AM38" s="3">
        <v>-0.0001096830927139778</v>
      </c>
      <c r="AN38" s="3">
        <v>-7.675994530410573E-05</v>
      </c>
      <c r="AO38" s="3">
        <v>-7.61206880021482E-05</v>
      </c>
      <c r="AP38" s="3">
        <v>-8.799076533488247E-05</v>
      </c>
      <c r="AQ38" s="3">
        <v>-8.260143820016263E-05</v>
      </c>
      <c r="AR38" s="3">
        <v>-9.044507273509978E-05</v>
      </c>
      <c r="AS38" s="3">
        <v>-9.629733486805004E-05</v>
      </c>
      <c r="AT38" s="3">
        <v>-0.000123070664355108</v>
      </c>
      <c r="AU38" s="3">
        <v>-0.0001386909580377067</v>
      </c>
      <c r="AV38" s="3">
        <v>-0.0001240552802735179</v>
      </c>
      <c r="AW38" s="3">
        <v>-0.0001209967404150082</v>
      </c>
      <c r="AX38" s="3">
        <v>-0.0001286654496892189</v>
      </c>
      <c r="AY38" s="3">
        <v>-9.876737623776353E-05</v>
      </c>
      <c r="AZ38" s="3">
        <v>-9.821457845295369E-05</v>
      </c>
      <c r="BA38" s="3">
        <v>-0.0001131564454816122</v>
      </c>
      <c r="BB38" s="3">
        <v>-0.000107081644076699</v>
      </c>
      <c r="BC38" s="3">
        <v>-0.0001301506758644802</v>
      </c>
      <c r="BD38" s="3">
        <v>-0.0001425203460830256</v>
      </c>
      <c r="BE38" s="3">
        <v>-0.0001459562106124479</v>
      </c>
    </row>
    <row r="39" spans="1:57">
      <c r="A39" s="1" t="str">
        <f>'Population Definitions'!$A$7</f>
        <v>10-17_females</v>
      </c>
      <c r="C39" t="s">
        <v>55</v>
      </c>
      <c r="D39" s="3"/>
      <c r="E39" s="3"/>
      <c r="F39" s="4" t="s">
        <v>39</v>
      </c>
      <c r="G39" s="3">
        <v>-0.0004943989858299866</v>
      </c>
      <c r="H39" s="3">
        <v>-0.00093453291489813</v>
      </c>
      <c r="I39" s="3">
        <v>-0.0009115885678711067</v>
      </c>
      <c r="J39" s="3">
        <v>-0.0009353102213165387</v>
      </c>
      <c r="K39" s="3">
        <v>-0.000924672509525016</v>
      </c>
      <c r="L39" s="3">
        <v>-0.0009115182887620083</v>
      </c>
      <c r="M39" s="3">
        <v>-0.0008864355376789271</v>
      </c>
      <c r="N39" s="3">
        <v>-0.001072786561824278</v>
      </c>
      <c r="O39" s="3">
        <v>-0.001726467950859049</v>
      </c>
      <c r="P39" s="3">
        <v>-0.001470101496812015</v>
      </c>
      <c r="Q39" s="3">
        <v>-0.0006466327221198863</v>
      </c>
      <c r="R39" s="3">
        <v>-0.0003908433861953872</v>
      </c>
      <c r="S39" s="3">
        <v>-0.000119767689736523</v>
      </c>
      <c r="T39" s="3">
        <v>-2.5300416196903E-05</v>
      </c>
      <c r="U39" s="3">
        <v>0.00054651747484557</v>
      </c>
      <c r="V39" s="3">
        <v>0.00101107042085339</v>
      </c>
      <c r="W39" s="3">
        <v>0.0007580811507643571</v>
      </c>
      <c r="X39" s="3">
        <v>0.0001863218068499788</v>
      </c>
      <c r="Y39" s="3">
        <v>-0.0002778558299611417</v>
      </c>
      <c r="Z39" s="3">
        <v>-0.0001800934655447373</v>
      </c>
      <c r="AA39" s="3">
        <v>-3.646720973073566E-05</v>
      </c>
      <c r="AB39" s="3">
        <v>-0.0001022200942284731</v>
      </c>
      <c r="AC39" s="3">
        <v>-0.0001550386715038066</v>
      </c>
      <c r="AD39" s="3">
        <v>-0.0001941001965561838</v>
      </c>
      <c r="AE39" s="3">
        <v>-0.0001825332950511931</v>
      </c>
      <c r="AF39" s="3">
        <v>-0.0001682327085762507</v>
      </c>
      <c r="AG39" s="3">
        <v>-0.000208619085706211</v>
      </c>
      <c r="AH39" s="3">
        <v>-0.0002215768089934397</v>
      </c>
      <c r="AI39" s="3">
        <v>-0.0001762915275157571</v>
      </c>
      <c r="AJ39" s="3">
        <v>-0.0001395808936083159</v>
      </c>
      <c r="AK39" s="3">
        <v>-0.0001219779774666078</v>
      </c>
      <c r="AL39" s="3">
        <v>-0.0001064925766895927</v>
      </c>
      <c r="AM39" s="3">
        <v>-0.0001237103106018314</v>
      </c>
      <c r="AN39" s="3">
        <v>-9.031581061585401E-05</v>
      </c>
      <c r="AO39" s="3">
        <v>-9.002906267508111E-05</v>
      </c>
      <c r="AP39" s="3">
        <v>-0.0001033991320342626</v>
      </c>
      <c r="AQ39" s="3">
        <v>-9.696739091448403E-05</v>
      </c>
      <c r="AR39" s="3">
        <v>-0.0001061276655317588</v>
      </c>
      <c r="AS39" s="3">
        <v>-0.0001117688424798953</v>
      </c>
      <c r="AT39" s="3">
        <v>-0.0001391910504469926</v>
      </c>
      <c r="AU39" s="3">
        <v>-0.0001559040007287729</v>
      </c>
      <c r="AV39" s="3">
        <v>-0.000140388534383289</v>
      </c>
      <c r="AW39" s="3">
        <v>-0.0001375061420101752</v>
      </c>
      <c r="AX39" s="3">
        <v>-0.0001449683166647922</v>
      </c>
      <c r="AY39" s="3">
        <v>-0.0001152553748532363</v>
      </c>
      <c r="AZ39" s="3">
        <v>-0.0001141121656574452</v>
      </c>
      <c r="BA39" s="3">
        <v>-0.0001299874562104686</v>
      </c>
      <c r="BB39" s="3">
        <v>-0.0001236006724107272</v>
      </c>
      <c r="BC39" s="3">
        <v>-0.0001467598646340498</v>
      </c>
      <c r="BD39" s="3">
        <v>-0.0001597005665771406</v>
      </c>
      <c r="BE39" s="3">
        <v>-0.0001631333012715458</v>
      </c>
    </row>
    <row r="40" spans="1:57">
      <c r="A40" s="1" t="str">
        <f>'Population Definitions'!$A$8</f>
        <v>18-64_males</v>
      </c>
      <c r="C40" t="s">
        <v>55</v>
      </c>
      <c r="D40" s="3"/>
      <c r="E40" s="3"/>
      <c r="F40" s="4" t="s">
        <v>39</v>
      </c>
      <c r="G40" s="3">
        <v>-0.005020212626320671</v>
      </c>
      <c r="H40" s="3">
        <v>-0.008771539590622449</v>
      </c>
      <c r="I40" s="3">
        <v>-0.008561691190326107</v>
      </c>
      <c r="J40" s="3">
        <v>-0.008655444520708766</v>
      </c>
      <c r="K40" s="3">
        <v>-0.008493871486793392</v>
      </c>
      <c r="L40" s="3">
        <v>-0.008358303475127759</v>
      </c>
      <c r="M40" s="3">
        <v>-0.008105371327417964</v>
      </c>
      <c r="N40" s="3">
        <v>-0.009684229001008874</v>
      </c>
      <c r="O40" s="3">
        <v>-0.01542881759676679</v>
      </c>
      <c r="P40" s="3">
        <v>-0.01327656068234425</v>
      </c>
      <c r="Q40" s="3">
        <v>-0.006014463416771828</v>
      </c>
      <c r="R40" s="3">
        <v>-0.003755482930246965</v>
      </c>
      <c r="S40" s="3">
        <v>-0.001302563426739623</v>
      </c>
      <c r="T40" s="3">
        <v>-0.0005343738316680756</v>
      </c>
      <c r="U40" s="3">
        <v>0.004711690485249949</v>
      </c>
      <c r="V40" s="3">
        <v>0.008783288723817673</v>
      </c>
      <c r="W40" s="3">
        <v>0.006452209266326498</v>
      </c>
      <c r="X40" s="3">
        <v>0.001444874018465123</v>
      </c>
      <c r="Y40" s="3">
        <v>-0.002602050366859799</v>
      </c>
      <c r="Z40" s="3">
        <v>-0.001618477192005424</v>
      </c>
      <c r="AA40" s="3">
        <v>-0.00081438965298511</v>
      </c>
      <c r="AB40" s="3">
        <v>-0.0007867138015296251</v>
      </c>
      <c r="AC40" s="3">
        <v>-0.00156010888539163</v>
      </c>
      <c r="AD40" s="3">
        <v>-0.001098296298297119</v>
      </c>
      <c r="AE40" s="3">
        <v>-0.0004879598125781171</v>
      </c>
      <c r="AF40" s="3">
        <v>-0.0004214537759630625</v>
      </c>
      <c r="AG40" s="3">
        <v>-0.0005620061286506723</v>
      </c>
      <c r="AH40" s="3">
        <v>-0.0006023987654837376</v>
      </c>
      <c r="AI40" s="3">
        <v>-0.0004239400598147221</v>
      </c>
      <c r="AJ40" s="3">
        <v>-0.0002783128828248326</v>
      </c>
      <c r="AK40" s="3">
        <v>-0.0002106840047393663</v>
      </c>
      <c r="AL40" s="3">
        <v>-0.0001517442139345083</v>
      </c>
      <c r="AM40" s="3">
        <v>-0.0002057493456392164</v>
      </c>
      <c r="AN40" s="3">
        <v>-7.644964262029182E-05</v>
      </c>
      <c r="AO40" s="3">
        <v>-7.340888258197198E-05</v>
      </c>
      <c r="AP40" s="3">
        <v>-0.0001169048557093198</v>
      </c>
      <c r="AQ40" s="3">
        <v>-8.658602246811361E-05</v>
      </c>
      <c r="AR40" s="3">
        <v>-0.0001129041440359478</v>
      </c>
      <c r="AS40" s="3">
        <v>-0.000124901372227244</v>
      </c>
      <c r="AT40" s="3">
        <v>-0.0002148187712298705</v>
      </c>
      <c r="AU40" s="3">
        <v>-0.0002647632334232019</v>
      </c>
      <c r="AV40" s="3">
        <v>-0.0002079702023326055</v>
      </c>
      <c r="AW40" s="3">
        <v>-0.0001897634621626202</v>
      </c>
      <c r="AX40" s="3">
        <v>-0.0002098624925301448</v>
      </c>
      <c r="AY40" s="3">
        <v>-0.0001047237934848995</v>
      </c>
      <c r="AZ40" s="3">
        <v>-9.653107754713483E-05</v>
      </c>
      <c r="BA40" s="3">
        <v>-0.0001400551635254876</v>
      </c>
      <c r="BB40" s="3">
        <v>-0.0001142455170161875</v>
      </c>
      <c r="BC40" s="3">
        <v>-0.0001794193608082361</v>
      </c>
      <c r="BD40" s="3">
        <v>-0.0002117912324943945</v>
      </c>
      <c r="BE40" s="3">
        <v>-0.0002139347536735979</v>
      </c>
    </row>
    <row r="41" spans="1:57">
      <c r="A41" s="1" t="str">
        <f>'Population Definitions'!$A$9</f>
        <v>18-64_females</v>
      </c>
      <c r="C41" t="s">
        <v>55</v>
      </c>
      <c r="D41" s="3"/>
      <c r="E41" s="3"/>
      <c r="F41" s="4" t="s">
        <v>39</v>
      </c>
      <c r="G41" s="3">
        <v>-0.002383293235246557</v>
      </c>
      <c r="H41" s="3">
        <v>-0.004259380641334989</v>
      </c>
      <c r="I41" s="3">
        <v>-0.004077506004117254</v>
      </c>
      <c r="J41" s="3">
        <v>-0.004123258760531236</v>
      </c>
      <c r="K41" s="3">
        <v>-0.004048370508954552</v>
      </c>
      <c r="L41" s="3">
        <v>-0.003910084558925555</v>
      </c>
      <c r="M41" s="3">
        <v>-0.0038156338759766</v>
      </c>
      <c r="N41" s="3">
        <v>-0.004575625956344005</v>
      </c>
      <c r="O41" s="3">
        <v>-0.007341306904541399</v>
      </c>
      <c r="P41" s="3">
        <v>-0.006169417467676834</v>
      </c>
      <c r="Q41" s="3">
        <v>-0.002796651349905343</v>
      </c>
      <c r="R41" s="3">
        <v>-0.001641410669643687</v>
      </c>
      <c r="S41" s="3">
        <v>-0.0005586296879261137</v>
      </c>
      <c r="T41" s="3">
        <v>-9.528223750413036E-05</v>
      </c>
      <c r="U41" s="3">
        <v>0.002298528048544689</v>
      </c>
      <c r="V41" s="3">
        <v>0.004238588314568347</v>
      </c>
      <c r="W41" s="3">
        <v>0.003199434281328008</v>
      </c>
      <c r="X41" s="3">
        <v>0.0007997876863640393</v>
      </c>
      <c r="Y41" s="3">
        <v>-0.001136577470573199</v>
      </c>
      <c r="Z41" s="3">
        <v>-0.0006332628517971192</v>
      </c>
      <c r="AA41" s="3">
        <v>-0.0004615762080364513</v>
      </c>
      <c r="AB41" s="3">
        <v>-0.0004237461805990879</v>
      </c>
      <c r="AC41" s="3">
        <v>-0.0007346833619023141</v>
      </c>
      <c r="AD41" s="3">
        <v>-0.0006593143224452664</v>
      </c>
      <c r="AE41" s="3">
        <v>-0.0004239031903861668</v>
      </c>
      <c r="AF41" s="3">
        <v>-0.0003632455597642608</v>
      </c>
      <c r="AG41" s="3">
        <v>-0.0005059319920205849</v>
      </c>
      <c r="AH41" s="3">
        <v>-0.0005502017788492636</v>
      </c>
      <c r="AI41" s="3">
        <v>-0.0003808146579560954</v>
      </c>
      <c r="AJ41" s="3">
        <v>-0.0002448683149765185</v>
      </c>
      <c r="AK41" s="3">
        <v>-0.0001835491386009833</v>
      </c>
      <c r="AL41" s="3">
        <v>-0.0001289073849000628</v>
      </c>
      <c r="AM41" s="3">
        <v>-0.0001861868369887397</v>
      </c>
      <c r="AN41" s="3">
        <v>-6.145598458332649E-05</v>
      </c>
      <c r="AO41" s="3">
        <v>-6.062363584450764E-05</v>
      </c>
      <c r="AP41" s="3">
        <v>-0.0001037274460941731</v>
      </c>
      <c r="AQ41" s="3">
        <v>-7.557075817542627E-05</v>
      </c>
      <c r="AR41" s="3">
        <v>-9.95386493312112E-05</v>
      </c>
      <c r="AS41" s="3">
        <v>-0.0001111733602765811</v>
      </c>
      <c r="AT41" s="3">
        <v>-0.0001970738083815752</v>
      </c>
      <c r="AU41" s="3">
        <v>-0.0002454673813126582</v>
      </c>
      <c r="AV41" s="3">
        <v>-0.0001882770703129746</v>
      </c>
      <c r="AW41" s="3">
        <v>-0.000169442984819472</v>
      </c>
      <c r="AX41" s="3">
        <v>-0.0001880984270948695</v>
      </c>
      <c r="AY41" s="3">
        <v>-8.595074035906796E-05</v>
      </c>
      <c r="AZ41" s="3">
        <v>-7.880645159359474E-05</v>
      </c>
      <c r="BA41" s="3">
        <v>-0.0001229227773626034</v>
      </c>
      <c r="BB41" s="3">
        <v>-9.849145882385755E-05</v>
      </c>
      <c r="BC41" s="3">
        <v>-0.0001639191281554869</v>
      </c>
      <c r="BD41" s="3">
        <v>-0.0001977235274837721</v>
      </c>
      <c r="BE41" s="3">
        <v>-0.0002013463992574639</v>
      </c>
    </row>
    <row r="42" spans="1:57">
      <c r="A42" s="1" t="str">
        <f>'Population Definitions'!$A$10</f>
        <v>65+_males</v>
      </c>
      <c r="C42" t="s">
        <v>55</v>
      </c>
      <c r="D42" s="3"/>
      <c r="E42" s="3"/>
      <c r="F42" s="4" t="s">
        <v>39</v>
      </c>
      <c r="G42" s="3">
        <v>-0.00296352601304275</v>
      </c>
      <c r="H42" s="3">
        <v>-0.003118543417877861</v>
      </c>
      <c r="I42" s="3">
        <v>-0.003077073850886762</v>
      </c>
      <c r="J42" s="3">
        <v>-0.003123683078673719</v>
      </c>
      <c r="K42" s="3">
        <v>-0.003157948190606664</v>
      </c>
      <c r="L42" s="3">
        <v>-0.003237448199285166</v>
      </c>
      <c r="M42" s="3">
        <v>-0.003260196231241052</v>
      </c>
      <c r="N42" s="3">
        <v>-0.003353443669116948</v>
      </c>
      <c r="O42" s="3">
        <v>-0.003646895177973314</v>
      </c>
      <c r="P42" s="3">
        <v>-0.003715262028974263</v>
      </c>
      <c r="Q42" s="3">
        <v>-0.003318014729894672</v>
      </c>
      <c r="R42" s="3">
        <v>-0.003211231092095577</v>
      </c>
      <c r="S42" s="3">
        <v>-0.003037929334455525</v>
      </c>
      <c r="T42" s="3">
        <v>-0.002742092362759123</v>
      </c>
      <c r="U42" s="3">
        <v>-0.002239472108290595</v>
      </c>
      <c r="V42" s="3">
        <v>-0.002550216296664739</v>
      </c>
      <c r="W42" s="3">
        <v>-0.002412625885796551</v>
      </c>
      <c r="X42" s="3">
        <v>-0.002576673348470153</v>
      </c>
      <c r="Y42" s="3">
        <v>-0.002581646862330064</v>
      </c>
      <c r="Z42" s="3">
        <v>-0.003079212968220715</v>
      </c>
      <c r="AA42" s="3">
        <v>-0.00288147336836729</v>
      </c>
      <c r="AB42" s="3">
        <v>-0.0004377752376785307</v>
      </c>
      <c r="AC42" s="3">
        <v>-0.002557260811912105</v>
      </c>
      <c r="AD42" s="3">
        <v>-0.002565771603503227</v>
      </c>
      <c r="AE42" s="3">
        <v>-0.002549742202078706</v>
      </c>
      <c r="AF42" s="3">
        <v>-0.002453540285148497</v>
      </c>
      <c r="AG42" s="3">
        <v>-0.002637567531572807</v>
      </c>
      <c r="AH42" s="3">
        <v>-0.00271735122360173</v>
      </c>
      <c r="AI42" s="3">
        <v>-0.002667253477213096</v>
      </c>
      <c r="AJ42" s="3">
        <v>-0.002614578718246276</v>
      </c>
      <c r="AK42" s="3">
        <v>-0.00266038011259959</v>
      </c>
      <c r="AL42" s="3">
        <v>-0.002763397353216682</v>
      </c>
      <c r="AM42" s="3">
        <v>-0.002909014745795527</v>
      </c>
      <c r="AN42" s="3">
        <v>-0.002888229328934395</v>
      </c>
      <c r="AO42" s="3">
        <v>-0.002937483797387883</v>
      </c>
      <c r="AP42" s="3">
        <v>-0.003054059547007737</v>
      </c>
      <c r="AQ42" s="3">
        <v>-0.003015757924404663</v>
      </c>
      <c r="AR42" s="3">
        <v>-0.003095271384710297</v>
      </c>
      <c r="AS42" s="3">
        <v>-0.003044480244479104</v>
      </c>
      <c r="AT42" s="3">
        <v>-0.003124879612358752</v>
      </c>
      <c r="AU42" s="3">
        <v>-0.003113362726343815</v>
      </c>
      <c r="AV42" s="3">
        <v>-0.002998327145331367</v>
      </c>
      <c r="AW42" s="3">
        <v>-0.002927213727388023</v>
      </c>
      <c r="AX42" s="3">
        <v>-0.00292924381335798</v>
      </c>
      <c r="AY42" s="3">
        <v>-0.002806718262653093</v>
      </c>
      <c r="AZ42" s="3">
        <v>-0.002761707223251184</v>
      </c>
      <c r="BA42" s="3">
        <v>-0.002790510016321831</v>
      </c>
      <c r="BB42" s="3">
        <v>-0.002760030858419007</v>
      </c>
      <c r="BC42" s="3">
        <v>-0.002771752904580994</v>
      </c>
      <c r="BD42" s="3">
        <v>-0.002756862264430777</v>
      </c>
      <c r="BE42" s="3">
        <v>-0.002661108920898006</v>
      </c>
    </row>
    <row r="43" spans="1:57">
      <c r="A43" s="1" t="str">
        <f>'Population Definitions'!$A$11</f>
        <v>65+_females</v>
      </c>
      <c r="C43" t="s">
        <v>55</v>
      </c>
      <c r="D43" s="3"/>
      <c r="E43" s="3"/>
      <c r="F43" s="4" t="s">
        <v>39</v>
      </c>
      <c r="G43" s="3">
        <v>-0.001930479986663699</v>
      </c>
      <c r="H43" s="3">
        <v>-0.002021597806184892</v>
      </c>
      <c r="I43" s="3">
        <v>-0.00185367633643489</v>
      </c>
      <c r="J43" s="3">
        <v>-0.001909855875623086</v>
      </c>
      <c r="K43" s="3">
        <v>-0.001935777029304377</v>
      </c>
      <c r="L43" s="3">
        <v>-0.001890331655606791</v>
      </c>
      <c r="M43" s="3">
        <v>-0.001990404629298844</v>
      </c>
      <c r="N43" s="3">
        <v>-0.002157038933943587</v>
      </c>
      <c r="O43" s="3">
        <v>-0.002278605836633336</v>
      </c>
      <c r="P43" s="3">
        <v>-0.002323564320277616</v>
      </c>
      <c r="Q43" s="3">
        <v>-0.002411616170860388</v>
      </c>
      <c r="R43" s="3">
        <v>-0.002271449438840678</v>
      </c>
      <c r="S43" s="3">
        <v>-0.002338799925931363</v>
      </c>
      <c r="T43" s="3">
        <v>-0.002044955690489464</v>
      </c>
      <c r="U43" s="3">
        <v>-0.002010032974609576</v>
      </c>
      <c r="V43" s="3">
        <v>-0.002007096330032339</v>
      </c>
      <c r="W43" s="3">
        <v>-0.001903504701318389</v>
      </c>
      <c r="X43" s="3">
        <v>-0.001752853567033191</v>
      </c>
      <c r="Y43" s="3">
        <v>-0.001830200361210532</v>
      </c>
      <c r="Z43" s="3">
        <v>-0.00130363389173458</v>
      </c>
      <c r="AA43" s="3">
        <v>-0.004010227602070779</v>
      </c>
      <c r="AB43" s="3">
        <v>-0.0005343187749397355</v>
      </c>
      <c r="AC43" s="3">
        <v>-0.002019103628106582</v>
      </c>
      <c r="AD43" s="3">
        <v>-0.002169818571597485</v>
      </c>
      <c r="AE43" s="3">
        <v>-0.002126385944425411</v>
      </c>
      <c r="AF43" s="3">
        <v>-0.001993467034632337</v>
      </c>
      <c r="AG43" s="3">
        <v>-0.002035492144523123</v>
      </c>
      <c r="AH43" s="3">
        <v>-0.002001901806716044</v>
      </c>
      <c r="AI43" s="3">
        <v>-0.001865517599096232</v>
      </c>
      <c r="AJ43" s="3">
        <v>-0.001771664767227672</v>
      </c>
      <c r="AK43" s="3">
        <v>-0.001754173096907869</v>
      </c>
      <c r="AL43" s="3">
        <v>-0.001721111675031397</v>
      </c>
      <c r="AM43" s="3">
        <v>-0.001797963968196301</v>
      </c>
      <c r="AN43" s="3">
        <v>-0.001737247103315448</v>
      </c>
      <c r="AO43" s="3">
        <v>-0.001771058825614275</v>
      </c>
      <c r="AP43" s="3">
        <v>-0.001809896742157265</v>
      </c>
      <c r="AQ43" s="3">
        <v>-0.001821033041328215</v>
      </c>
      <c r="AR43" s="3">
        <v>-0.001838680493094412</v>
      </c>
      <c r="AS43" s="3">
        <v>-0.001860488167011648</v>
      </c>
      <c r="AT43" s="3">
        <v>-0.001937575671412354</v>
      </c>
      <c r="AU43" s="3">
        <v>-0.001923856445684207</v>
      </c>
      <c r="AV43" s="3">
        <v>-0.001895034972895828</v>
      </c>
      <c r="AW43" s="3">
        <v>-0.001832125558278839</v>
      </c>
      <c r="AX43" s="3">
        <v>-0.001839332268246854</v>
      </c>
      <c r="AY43" s="3">
        <v>-0.001746273533726389</v>
      </c>
      <c r="AZ43" s="3">
        <v>-0.001728918749538412</v>
      </c>
      <c r="BA43" s="3">
        <v>-0.00172112821623881</v>
      </c>
      <c r="BB43" s="3">
        <v>-0.001699092026442593</v>
      </c>
      <c r="BC43" s="3">
        <v>-0.001712256542085246</v>
      </c>
      <c r="BD43" s="3">
        <v>-0.001726298043336306</v>
      </c>
      <c r="BE43" s="3">
        <v>-0.00164552628712541</v>
      </c>
    </row>
    <row r="44" spans="1:57">
      <c r="A44" s="1" t="str">
        <f>'Population Definitions'!$A$12</f>
        <v>Prisoners_males</v>
      </c>
      <c r="C44" t="s">
        <v>55</v>
      </c>
      <c r="D44" s="3"/>
      <c r="E44" s="3">
        <v>0</v>
      </c>
      <c r="F44" s="4" t="s">
        <v>39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</row>
    <row r="45" spans="1:57">
      <c r="A45" s="1" t="str">
        <f>'Population Definitions'!$A$13</f>
        <v>Prisoners_females</v>
      </c>
      <c r="C45" t="s">
        <v>55</v>
      </c>
      <c r="D45" s="3"/>
      <c r="E45" s="3">
        <v>0</v>
      </c>
      <c r="F45" s="4" t="s">
        <v>39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</row>
    <row r="46" spans="1:57">
      <c r="A46" s="1" t="str">
        <f>'Population Definitions'!$A$14</f>
        <v>Prisoners_PWID_males</v>
      </c>
      <c r="C46" t="s">
        <v>55</v>
      </c>
      <c r="D46" s="3"/>
      <c r="E46" s="3">
        <v>0</v>
      </c>
      <c r="F46" s="4" t="s">
        <v>39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</row>
    <row r="47" spans="1:57">
      <c r="A47" s="1" t="str">
        <f>'Population Definitions'!$A$15</f>
        <v>Prisoners_PWID_females</v>
      </c>
      <c r="C47" t="s">
        <v>55</v>
      </c>
      <c r="D47" s="3"/>
      <c r="E47" s="3">
        <v>0</v>
      </c>
      <c r="F47" s="4" t="s">
        <v>39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</row>
    <row r="49" spans="1:57">
      <c r="A49" s="1" t="s">
        <v>56</v>
      </c>
      <c r="B49" s="1" t="s">
        <v>31</v>
      </c>
      <c r="C49" s="1" t="s">
        <v>32</v>
      </c>
      <c r="D49" s="1" t="s">
        <v>33</v>
      </c>
      <c r="E49" s="1" t="s">
        <v>38</v>
      </c>
      <c r="F49" s="1"/>
      <c r="G49" s="1">
        <v>2000</v>
      </c>
      <c r="H49" s="1">
        <v>2001</v>
      </c>
      <c r="I49" s="1">
        <v>2002</v>
      </c>
      <c r="J49" s="1">
        <v>2003</v>
      </c>
      <c r="K49" s="1">
        <v>2004</v>
      </c>
      <c r="L49" s="1">
        <v>2005</v>
      </c>
      <c r="M49" s="1">
        <v>2006</v>
      </c>
      <c r="N49" s="1">
        <v>2007</v>
      </c>
      <c r="O49" s="1">
        <v>2008</v>
      </c>
      <c r="P49" s="1">
        <v>2009</v>
      </c>
      <c r="Q49" s="1">
        <v>2010</v>
      </c>
      <c r="R49" s="1">
        <v>2011</v>
      </c>
      <c r="S49" s="1">
        <v>2012</v>
      </c>
      <c r="T49" s="1">
        <v>2013</v>
      </c>
      <c r="U49" s="1">
        <v>2014</v>
      </c>
      <c r="V49" s="1">
        <v>2015</v>
      </c>
      <c r="W49" s="1">
        <v>2016</v>
      </c>
      <c r="X49" s="1">
        <v>2017</v>
      </c>
      <c r="Y49" s="1">
        <v>2018</v>
      </c>
      <c r="Z49" s="1">
        <v>2019</v>
      </c>
      <c r="AA49" s="1">
        <v>2020</v>
      </c>
      <c r="AB49" s="1">
        <v>2021</v>
      </c>
      <c r="AC49" s="1">
        <v>2022</v>
      </c>
      <c r="AD49" s="1">
        <v>2023</v>
      </c>
      <c r="AE49" s="1">
        <v>2024</v>
      </c>
      <c r="AF49" s="1">
        <v>2025</v>
      </c>
      <c r="AG49" s="1">
        <v>2026</v>
      </c>
      <c r="AH49" s="1">
        <v>2027</v>
      </c>
      <c r="AI49" s="1">
        <v>2028</v>
      </c>
      <c r="AJ49" s="1">
        <v>2029</v>
      </c>
      <c r="AK49" s="1">
        <v>2030</v>
      </c>
      <c r="AL49" s="1">
        <v>2031</v>
      </c>
      <c r="AM49" s="1">
        <v>2032</v>
      </c>
      <c r="AN49" s="1">
        <v>2033</v>
      </c>
      <c r="AO49" s="1">
        <v>2034</v>
      </c>
      <c r="AP49" s="1">
        <v>2035</v>
      </c>
      <c r="AQ49" s="1">
        <v>2036</v>
      </c>
      <c r="AR49" s="1">
        <v>2037</v>
      </c>
      <c r="AS49" s="1">
        <v>2038</v>
      </c>
      <c r="AT49" s="1">
        <v>2039</v>
      </c>
      <c r="AU49" s="1">
        <v>2040</v>
      </c>
      <c r="AV49" s="1">
        <v>2041</v>
      </c>
      <c r="AW49" s="1">
        <v>2042</v>
      </c>
      <c r="AX49" s="1">
        <v>2043</v>
      </c>
      <c r="AY49" s="1">
        <v>2044</v>
      </c>
      <c r="AZ49" s="1">
        <v>2045</v>
      </c>
      <c r="BA49" s="1">
        <v>2046</v>
      </c>
      <c r="BB49" s="1">
        <v>2047</v>
      </c>
      <c r="BC49" s="1">
        <v>2048</v>
      </c>
      <c r="BD49" s="1">
        <v>2049</v>
      </c>
      <c r="BE49" s="1">
        <v>2050</v>
      </c>
    </row>
    <row r="50" spans="1:57">
      <c r="A50" s="1" t="str">
        <f>'Population Definitions'!$A$2</f>
        <v>PWID_males</v>
      </c>
      <c r="C50" t="s">
        <v>55</v>
      </c>
      <c r="D50" s="3"/>
      <c r="E50" s="3"/>
      <c r="F50" s="4" t="s">
        <v>39</v>
      </c>
      <c r="G50" s="3">
        <v>0.009966295994788429</v>
      </c>
      <c r="H50" s="3">
        <v>0.009737947001573684</v>
      </c>
      <c r="I50" s="3">
        <v>0.00949428870801864</v>
      </c>
      <c r="J50" s="3">
        <v>0.009148286466471542</v>
      </c>
      <c r="K50" s="3">
        <v>0.008840874908690656</v>
      </c>
      <c r="L50" s="3">
        <v>0.008565846254808652</v>
      </c>
      <c r="M50" s="3">
        <v>0.008332778716692192</v>
      </c>
      <c r="N50" s="3">
        <v>0.008113555474199364</v>
      </c>
      <c r="O50" s="3">
        <v>0.007954728092278936</v>
      </c>
      <c r="P50" s="3">
        <v>0.007744069055946134</v>
      </c>
      <c r="Q50" s="3">
        <v>0.007534722042279985</v>
      </c>
      <c r="R50" s="3">
        <v>0.007340382060761171</v>
      </c>
      <c r="S50" s="3">
        <v>0.007099360043122837</v>
      </c>
      <c r="T50" s="3">
        <v>0.006911277904423393</v>
      </c>
      <c r="U50" s="3">
        <v>0.006801229919806456</v>
      </c>
      <c r="V50" s="3">
        <v>0.006568340966884164</v>
      </c>
      <c r="W50" s="3">
        <v>0.006418878643207378</v>
      </c>
      <c r="X50" s="3">
        <v>0.006270904780303854</v>
      </c>
      <c r="Y50" s="3">
        <v>0.006165157461268835</v>
      </c>
      <c r="Z50" s="3">
        <v>0.006036979555565192</v>
      </c>
      <c r="AA50" s="3">
        <v>0.005681621564731448</v>
      </c>
      <c r="AB50" s="3">
        <v>0.00611023495135826</v>
      </c>
      <c r="AC50" s="3">
        <v>0.005772257732076786</v>
      </c>
      <c r="AD50" s="3">
        <v>0.005820190834914475</v>
      </c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</row>
    <row r="51" spans="1:57">
      <c r="A51" s="1" t="str">
        <f>'Population Definitions'!$A$3</f>
        <v>PWID_females</v>
      </c>
      <c r="C51" t="s">
        <v>55</v>
      </c>
      <c r="D51" s="3"/>
      <c r="E51" s="3"/>
      <c r="F51" s="4" t="s">
        <v>39</v>
      </c>
      <c r="G51" s="3">
        <v>0.009415085220448111</v>
      </c>
      <c r="H51" s="3">
        <v>0.009080808863212504</v>
      </c>
      <c r="I51" s="3">
        <v>0.008865026736911644</v>
      </c>
      <c r="J51" s="3">
        <v>0.008476457299083237</v>
      </c>
      <c r="K51" s="3">
        <v>0.008145236633056205</v>
      </c>
      <c r="L51" s="3">
        <v>0.007869106265928408</v>
      </c>
      <c r="M51" s="3">
        <v>0.00750179116883433</v>
      </c>
      <c r="N51" s="3">
        <v>0.007228506139156398</v>
      </c>
      <c r="O51" s="3">
        <v>0.007036135450534713</v>
      </c>
      <c r="P51" s="3">
        <v>0.006950666772683183</v>
      </c>
      <c r="Q51" s="3">
        <v>0.006652655634991781</v>
      </c>
      <c r="R51" s="3">
        <v>0.006471115504406206</v>
      </c>
      <c r="S51" s="3">
        <v>0.006108675996854895</v>
      </c>
      <c r="T51" s="3">
        <v>0.00590574001373232</v>
      </c>
      <c r="U51" s="3">
        <v>0.00553734401711435</v>
      </c>
      <c r="V51" s="3">
        <v>0.005260357892574399</v>
      </c>
      <c r="W51" s="3">
        <v>0.005020951690109693</v>
      </c>
      <c r="X51" s="3">
        <v>0.004710314357866521</v>
      </c>
      <c r="Y51" s="3">
        <v>0.004467071758948835</v>
      </c>
      <c r="Z51" s="3">
        <v>0.004207713144211323</v>
      </c>
      <c r="AA51" s="3">
        <v>0.003778102133668751</v>
      </c>
      <c r="AB51" s="3">
        <v>0.004151742735800511</v>
      </c>
      <c r="AC51" s="3">
        <v>0.004107841073507535</v>
      </c>
      <c r="AD51" s="3">
        <v>0.004120734990551498</v>
      </c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</row>
    <row r="52" spans="1:57">
      <c r="A52" s="1" t="str">
        <f>'Population Definitions'!$A$4</f>
        <v>0-9_males</v>
      </c>
      <c r="C52" t="s">
        <v>55</v>
      </c>
      <c r="D52" s="3"/>
      <c r="E52" s="3"/>
      <c r="F52" s="4" t="s">
        <v>39</v>
      </c>
      <c r="G52" s="3">
        <v>0.01863225721469851</v>
      </c>
      <c r="H52" s="3">
        <v>0.01754492386181801</v>
      </c>
      <c r="I52" s="3">
        <v>0.0164148229450823</v>
      </c>
      <c r="J52" s="3">
        <v>0.01535446392969803</v>
      </c>
      <c r="K52" s="3">
        <v>0.01439770270226595</v>
      </c>
      <c r="L52" s="3">
        <v>0.01347534758456274</v>
      </c>
      <c r="M52" s="3">
        <v>0.01257358533680836</v>
      </c>
      <c r="N52" s="3">
        <v>0.01167577886857577</v>
      </c>
      <c r="O52" s="3">
        <v>0.01088290016934492</v>
      </c>
      <c r="P52" s="3">
        <v>0.01018080157721269</v>
      </c>
      <c r="Q52" s="3">
        <v>0.009539150291079851</v>
      </c>
      <c r="R52" s="3">
        <v>0.008972384183101992</v>
      </c>
      <c r="S52" s="3">
        <v>0.008540433927613047</v>
      </c>
      <c r="T52" s="3">
        <v>0.00819687458658909</v>
      </c>
      <c r="U52" s="3">
        <v>0.007891659906495773</v>
      </c>
      <c r="V52" s="3">
        <v>0.007527805089658533</v>
      </c>
      <c r="W52" s="3">
        <v>0.007224831758050045</v>
      </c>
      <c r="X52" s="3">
        <v>0.006902316752011119</v>
      </c>
      <c r="Y52" s="3">
        <v>0.006546188875927096</v>
      </c>
      <c r="Z52" s="3">
        <v>0.006213419098290228</v>
      </c>
      <c r="AA52" s="3">
        <v>0.005964435705473344</v>
      </c>
      <c r="AB52" s="3">
        <v>0.005723485107481279</v>
      </c>
      <c r="AC52" s="3">
        <v>0.005471556978993716</v>
      </c>
      <c r="AD52" s="3">
        <v>0.005222009732507604</v>
      </c>
      <c r="AE52" s="3">
        <v>0.00507396098470037</v>
      </c>
      <c r="AF52" s="3">
        <v>0.004947498988377656</v>
      </c>
      <c r="AG52" s="3">
        <v>0.004837132731155451</v>
      </c>
      <c r="AH52" s="3">
        <v>0.00473193809318749</v>
      </c>
      <c r="AI52" s="3">
        <v>0.004618878458936847</v>
      </c>
      <c r="AJ52" s="3">
        <v>0.004499882365035439</v>
      </c>
      <c r="AK52" s="3">
        <v>0.004389362459429912</v>
      </c>
      <c r="AL52" s="3">
        <v>0.004295932235760008</v>
      </c>
      <c r="AM52" s="3">
        <v>0.004180895003516749</v>
      </c>
      <c r="AN52" s="3">
        <v>0.004085968030972063</v>
      </c>
      <c r="AO52" s="3">
        <v>0.003992332222651743</v>
      </c>
      <c r="AP52" s="3">
        <v>0.003904202741465559</v>
      </c>
      <c r="AQ52" s="3">
        <v>0.00380817672036368</v>
      </c>
      <c r="AR52" s="3">
        <v>0.003722236729685492</v>
      </c>
      <c r="AS52" s="3">
        <v>0.003642287363944354</v>
      </c>
      <c r="AT52" s="3">
        <v>0.003567921572933436</v>
      </c>
      <c r="AU52" s="3">
        <v>0.003498474859446069</v>
      </c>
      <c r="AV52" s="3">
        <v>0.003413648040535594</v>
      </c>
      <c r="AW52" s="3">
        <v>0.003350575634387198</v>
      </c>
      <c r="AX52" s="3">
        <v>0.003280049585059316</v>
      </c>
      <c r="AY52" s="3">
        <v>0.003216402471416194</v>
      </c>
      <c r="AZ52" s="3">
        <v>0.003137591705545144</v>
      </c>
      <c r="BA52" s="3">
        <v>0.003086821168960491</v>
      </c>
      <c r="BB52" s="3">
        <v>0.003012006726288998</v>
      </c>
      <c r="BC52" s="3">
        <v>0.002942032954550121</v>
      </c>
      <c r="BD52" s="3">
        <v>0.002874594023906936</v>
      </c>
      <c r="BE52" s="3">
        <v>0.002815400161182073</v>
      </c>
    </row>
    <row r="53" spans="1:57">
      <c r="A53" s="1" t="str">
        <f>'Population Definitions'!$A$5</f>
        <v>0-9_females</v>
      </c>
      <c r="C53" t="s">
        <v>55</v>
      </c>
      <c r="D53" s="3"/>
      <c r="E53" s="3"/>
      <c r="F53" s="4" t="s">
        <v>39</v>
      </c>
      <c r="G53" s="3">
        <v>0.01684899014289863</v>
      </c>
      <c r="H53" s="3">
        <v>0.01573034914758436</v>
      </c>
      <c r="I53" s="3">
        <v>0.01461371863249561</v>
      </c>
      <c r="J53" s="3">
        <v>0.01355696830076457</v>
      </c>
      <c r="K53" s="3">
        <v>0.01261811302182074</v>
      </c>
      <c r="L53" s="3">
        <v>0.01172630773368906</v>
      </c>
      <c r="M53" s="3">
        <v>0.01088113818326881</v>
      </c>
      <c r="N53" s="3">
        <v>0.0100572879431486</v>
      </c>
      <c r="O53" s="3">
        <v>0.009333955606715096</v>
      </c>
      <c r="P53" s="3">
        <v>0.008692359259474591</v>
      </c>
      <c r="Q53" s="3">
        <v>0.008126861229797562</v>
      </c>
      <c r="R53" s="3">
        <v>0.007623784255758362</v>
      </c>
      <c r="S53" s="3">
        <v>0.007234678546114578</v>
      </c>
      <c r="T53" s="3">
        <v>0.006922180141136519</v>
      </c>
      <c r="U53" s="3">
        <v>0.006635431150991325</v>
      </c>
      <c r="V53" s="3">
        <v>0.006316781646101889</v>
      </c>
      <c r="W53" s="3">
        <v>0.006051309513924247</v>
      </c>
      <c r="X53" s="3">
        <v>0.005820488029299611</v>
      </c>
      <c r="Y53" s="3">
        <v>0.005574646928722496</v>
      </c>
      <c r="Z53" s="3">
        <v>0.005339171018447286</v>
      </c>
      <c r="AA53" s="3">
        <v>0.005106028508479892</v>
      </c>
      <c r="AB53" s="3">
        <v>0.004814327371223812</v>
      </c>
      <c r="AC53" s="3">
        <v>0.004666775333954216</v>
      </c>
      <c r="AD53" s="3">
        <v>0.004438956678901295</v>
      </c>
      <c r="AE53" s="3">
        <v>0.004286545857256369</v>
      </c>
      <c r="AF53" s="3">
        <v>0.004149958407098521</v>
      </c>
      <c r="AG53" s="3">
        <v>0.004021414974145982</v>
      </c>
      <c r="AH53" s="3">
        <v>0.003901082815031895</v>
      </c>
      <c r="AI53" s="3">
        <v>0.003770766368533591</v>
      </c>
      <c r="AJ53" s="3">
        <v>0.003640296758044186</v>
      </c>
      <c r="AK53" s="3">
        <v>0.003515322920924505</v>
      </c>
      <c r="AL53" s="3">
        <v>0.003400479363707376</v>
      </c>
      <c r="AM53" s="3">
        <v>0.003280094643697662</v>
      </c>
      <c r="AN53" s="3">
        <v>0.003170350685267435</v>
      </c>
      <c r="AO53" s="3">
        <v>0.003063634811083722</v>
      </c>
      <c r="AP53" s="3">
        <v>0.002958954730789453</v>
      </c>
      <c r="AQ53" s="3">
        <v>0.002858885691088133</v>
      </c>
      <c r="AR53" s="3">
        <v>0.002759483577695641</v>
      </c>
      <c r="AS53" s="3">
        <v>0.002676715868168738</v>
      </c>
      <c r="AT53" s="3">
        <v>0.002593933440805414</v>
      </c>
      <c r="AU53" s="3">
        <v>0.002517537616445127</v>
      </c>
      <c r="AV53" s="3">
        <v>0.002437444214424591</v>
      </c>
      <c r="AW53" s="3">
        <v>0.002368301655711895</v>
      </c>
      <c r="AX53" s="3">
        <v>0.002297577998658149</v>
      </c>
      <c r="AY53" s="3">
        <v>0.002233009200401313</v>
      </c>
      <c r="AZ53" s="3">
        <v>0.002160086819621029</v>
      </c>
      <c r="BA53" s="3">
        <v>0.002103936849169205</v>
      </c>
      <c r="BB53" s="3">
        <v>0.002038695760383756</v>
      </c>
      <c r="BC53" s="3">
        <v>0.001979163911481363</v>
      </c>
      <c r="BD53" s="3">
        <v>0.00191903804460623</v>
      </c>
      <c r="BE53" s="3">
        <v>0.001864240536233915</v>
      </c>
    </row>
    <row r="54" spans="1:57">
      <c r="A54" s="1" t="str">
        <f>'Population Definitions'!$A$6</f>
        <v>10-17_males</v>
      </c>
      <c r="C54" t="s">
        <v>55</v>
      </c>
      <c r="D54" s="3"/>
      <c r="E54" s="3"/>
      <c r="F54" s="4" t="s">
        <v>39</v>
      </c>
      <c r="G54" s="3">
        <v>0.00260314512749701</v>
      </c>
      <c r="H54" s="3">
        <v>0.002472988171722319</v>
      </c>
      <c r="I54" s="3">
        <v>0.002350023145247369</v>
      </c>
      <c r="J54" s="3">
        <v>0.002208209420418988</v>
      </c>
      <c r="K54" s="3">
        <v>0.002082475182973569</v>
      </c>
      <c r="L54" s="3">
        <v>0.00196343563206179</v>
      </c>
      <c r="M54" s="3">
        <v>0.00185844146316944</v>
      </c>
      <c r="N54" s="3">
        <v>0.001743104749048512</v>
      </c>
      <c r="O54" s="3">
        <v>0.001651822618047231</v>
      </c>
      <c r="P54" s="3">
        <v>0.001577898790079922</v>
      </c>
      <c r="Q54" s="3">
        <v>0.001496763949423729</v>
      </c>
      <c r="R54" s="3">
        <v>0.001431674900558664</v>
      </c>
      <c r="S54" s="3">
        <v>0.001379699055161169</v>
      </c>
      <c r="T54" s="3">
        <v>0.001326410203757767</v>
      </c>
      <c r="U54" s="3">
        <v>0.0012769761462831</v>
      </c>
      <c r="V54" s="3">
        <v>0.001245582515800102</v>
      </c>
      <c r="W54" s="3">
        <v>0.001179276808120895</v>
      </c>
      <c r="X54" s="3">
        <v>0.001127841911634562</v>
      </c>
      <c r="Y54" s="3">
        <v>0.001076374527966583</v>
      </c>
      <c r="Z54" s="3">
        <v>0.001034953833907098</v>
      </c>
      <c r="AA54" s="3">
        <v>0.001012990645243554</v>
      </c>
      <c r="AB54" s="3">
        <v>0.0009935593685005684</v>
      </c>
      <c r="AC54" s="3">
        <v>0.0009863253019114753</v>
      </c>
      <c r="AD54" s="3">
        <v>0.0009508457502063045</v>
      </c>
      <c r="AE54" s="3">
        <v>0.000926615769967597</v>
      </c>
      <c r="AF54" s="3">
        <v>0.0009076801167926573</v>
      </c>
      <c r="AG54" s="3">
        <v>0.00088979247245754</v>
      </c>
      <c r="AH54" s="3">
        <v>0.0008731527794621002</v>
      </c>
      <c r="AI54" s="3">
        <v>0.0008588843415086169</v>
      </c>
      <c r="AJ54" s="3">
        <v>0.0008443648906547467</v>
      </c>
      <c r="AK54" s="3">
        <v>0.0008312609535948574</v>
      </c>
      <c r="AL54" s="3">
        <v>0.0008194713760450907</v>
      </c>
      <c r="AM54" s="3">
        <v>0.0008056542863925151</v>
      </c>
      <c r="AN54" s="3">
        <v>0.000793406158656265</v>
      </c>
      <c r="AO54" s="3">
        <v>0.000780794175700036</v>
      </c>
      <c r="AP54" s="3">
        <v>0.0007690576682975591</v>
      </c>
      <c r="AQ54" s="3">
        <v>0.0007558087940105506</v>
      </c>
      <c r="AR54" s="3">
        <v>0.0007446920912283769</v>
      </c>
      <c r="AS54" s="3">
        <v>0.0007333161606709077</v>
      </c>
      <c r="AT54" s="3">
        <v>0.0007228264887383933</v>
      </c>
      <c r="AU54" s="3">
        <v>0.0007132077448183035</v>
      </c>
      <c r="AV54" s="3">
        <v>0.0007018427481470018</v>
      </c>
      <c r="AW54" s="3">
        <v>0.000692093214097779</v>
      </c>
      <c r="AX54" s="3">
        <v>0.0006816062217961877</v>
      </c>
      <c r="AY54" s="3">
        <v>0.0006719338982807522</v>
      </c>
      <c r="AZ54" s="3">
        <v>0.0006611754905568042</v>
      </c>
      <c r="BA54" s="3">
        <v>0.0006518691259142847</v>
      </c>
      <c r="BB54" s="3">
        <v>0.0006403227920335026</v>
      </c>
      <c r="BC54" s="3">
        <v>0.0006304231382280014</v>
      </c>
      <c r="BD54" s="3">
        <v>0.0006213996860984803</v>
      </c>
      <c r="BE54" s="3">
        <v>0.000611501529700421</v>
      </c>
    </row>
    <row r="55" spans="1:57">
      <c r="A55" s="1" t="str">
        <f>'Population Definitions'!$A$7</f>
        <v>10-17_females</v>
      </c>
      <c r="C55" t="s">
        <v>55</v>
      </c>
      <c r="D55" s="3"/>
      <c r="E55" s="3"/>
      <c r="F55" s="4" t="s">
        <v>39</v>
      </c>
      <c r="G55" s="3">
        <v>0.002609203018937866</v>
      </c>
      <c r="H55" s="3">
        <v>0.002447054760192598</v>
      </c>
      <c r="I55" s="3">
        <v>0.002296737111350321</v>
      </c>
      <c r="J55" s="3">
        <v>0.002131735508184281</v>
      </c>
      <c r="K55" s="3">
        <v>0.001987577776578414</v>
      </c>
      <c r="L55" s="3">
        <v>0.001852570307056816</v>
      </c>
      <c r="M55" s="3">
        <v>0.001724800300546844</v>
      </c>
      <c r="N55" s="3">
        <v>0.001610703687284749</v>
      </c>
      <c r="O55" s="3">
        <v>0.001514281180636286</v>
      </c>
      <c r="P55" s="3">
        <v>0.001411488825254932</v>
      </c>
      <c r="Q55" s="3">
        <v>0.001326883853958846</v>
      </c>
      <c r="R55" s="3">
        <v>0.001261465253350066</v>
      </c>
      <c r="S55" s="3">
        <v>0.001188564138364227</v>
      </c>
      <c r="T55" s="3">
        <v>0.001130645155363977</v>
      </c>
      <c r="U55" s="3">
        <v>0.001065201160079844</v>
      </c>
      <c r="V55" s="3">
        <v>0.001009204796108817</v>
      </c>
      <c r="W55" s="3">
        <v>0.000953868141354789</v>
      </c>
      <c r="X55" s="3">
        <v>0.0009010463663289243</v>
      </c>
      <c r="Y55" s="3">
        <v>0.0008685567425453207</v>
      </c>
      <c r="Z55" s="3">
        <v>0.0008319516143077895</v>
      </c>
      <c r="AA55" s="3">
        <v>0.0007973483153211666</v>
      </c>
      <c r="AB55" s="3">
        <v>0.0007579732088689509</v>
      </c>
      <c r="AC55" s="3">
        <v>0.0007678802126370006</v>
      </c>
      <c r="AD55" s="3">
        <v>0.0007444481740155156</v>
      </c>
      <c r="AE55" s="3">
        <v>0.0007205057329119412</v>
      </c>
      <c r="AF55" s="3">
        <v>0.0007011211800660607</v>
      </c>
      <c r="AG55" s="3">
        <v>0.0006817057092409907</v>
      </c>
      <c r="AH55" s="3">
        <v>0.0006635086281635695</v>
      </c>
      <c r="AI55" s="3">
        <v>0.0006478923174471198</v>
      </c>
      <c r="AJ55" s="3">
        <v>0.0006318800589591865</v>
      </c>
      <c r="AK55" s="3">
        <v>0.0006165528271513347</v>
      </c>
      <c r="AL55" s="3">
        <v>0.0006023225279036901</v>
      </c>
      <c r="AM55" s="3">
        <v>0.0005871848413967322</v>
      </c>
      <c r="AN55" s="3">
        <v>0.0005728987986833009</v>
      </c>
      <c r="AO55" s="3">
        <v>0.0005583838471449077</v>
      </c>
      <c r="AP55" s="3">
        <v>0.0005441071238481001</v>
      </c>
      <c r="AQ55" s="3">
        <v>0.0005302112443824125</v>
      </c>
      <c r="AR55" s="3">
        <v>0.0005168988376617627</v>
      </c>
      <c r="AS55" s="3">
        <v>0.0005049596312828101</v>
      </c>
      <c r="AT55" s="3">
        <v>0.0004929842304566947</v>
      </c>
      <c r="AU55" s="3">
        <v>0.000482051088715284</v>
      </c>
      <c r="AV55" s="3">
        <v>0.0004708854416350122</v>
      </c>
      <c r="AW55" s="3">
        <v>0.000460052697512699</v>
      </c>
      <c r="AX55" s="3">
        <v>0.0004493966609152155</v>
      </c>
      <c r="AY55" s="3">
        <v>0.0004390392844365515</v>
      </c>
      <c r="AZ55" s="3">
        <v>0.0004285534746782176</v>
      </c>
      <c r="BA55" s="3">
        <v>0.0004187941728284875</v>
      </c>
      <c r="BB55" s="3">
        <v>0.0004083442775439623</v>
      </c>
      <c r="BC55" s="3">
        <v>0.0003992627012008987</v>
      </c>
      <c r="BD55" s="3">
        <v>0.0003901403542773446</v>
      </c>
      <c r="BE55" s="3">
        <v>0.0003808745887997915</v>
      </c>
    </row>
    <row r="56" spans="1:57">
      <c r="A56" s="1" t="str">
        <f>'Population Definitions'!$A$8</f>
        <v>18-64_males</v>
      </c>
      <c r="C56" t="s">
        <v>55</v>
      </c>
      <c r="D56" s="3"/>
      <c r="E56" s="3"/>
      <c r="F56" s="4" t="s">
        <v>39</v>
      </c>
      <c r="G56" s="3">
        <v>0.009966295994788429</v>
      </c>
      <c r="H56" s="3">
        <v>0.009737947001573684</v>
      </c>
      <c r="I56" s="3">
        <v>0.00949428870801864</v>
      </c>
      <c r="J56" s="3">
        <v>0.009148286466471542</v>
      </c>
      <c r="K56" s="3">
        <v>0.008840874908690656</v>
      </c>
      <c r="L56" s="3">
        <v>0.008565846254808652</v>
      </c>
      <c r="M56" s="3">
        <v>0.008332778716692192</v>
      </c>
      <c r="N56" s="3">
        <v>0.008113555474199364</v>
      </c>
      <c r="O56" s="3">
        <v>0.007954728092278936</v>
      </c>
      <c r="P56" s="3">
        <v>0.007744069055946134</v>
      </c>
      <c r="Q56" s="3">
        <v>0.007534722042279985</v>
      </c>
      <c r="R56" s="3">
        <v>0.007340382060761171</v>
      </c>
      <c r="S56" s="3">
        <v>0.007099360043122837</v>
      </c>
      <c r="T56" s="3">
        <v>0.006911277904423393</v>
      </c>
      <c r="U56" s="3">
        <v>0.006801229919806456</v>
      </c>
      <c r="V56" s="3">
        <v>0.006568340966884164</v>
      </c>
      <c r="W56" s="3">
        <v>0.006418878643207378</v>
      </c>
      <c r="X56" s="3">
        <v>0.006270904780303854</v>
      </c>
      <c r="Y56" s="3">
        <v>0.006165157461268835</v>
      </c>
      <c r="Z56" s="3">
        <v>0.006036979555565192</v>
      </c>
      <c r="AA56" s="3">
        <v>0.005681621564731448</v>
      </c>
      <c r="AB56" s="3">
        <v>0.00611023495135826</v>
      </c>
      <c r="AC56" s="3">
        <v>0.005772257732076786</v>
      </c>
      <c r="AD56" s="3">
        <v>0.005820190834914475</v>
      </c>
      <c r="AE56" s="3">
        <v>0.005934410014256426</v>
      </c>
      <c r="AF56" s="3">
        <v>0.005885919104771567</v>
      </c>
      <c r="AG56" s="3">
        <v>0.005842236297100132</v>
      </c>
      <c r="AH56" s="3">
        <v>0.00580476565786957</v>
      </c>
      <c r="AI56" s="3">
        <v>0.005780434630086438</v>
      </c>
      <c r="AJ56" s="3">
        <v>0.005754753288318095</v>
      </c>
      <c r="AK56" s="3">
        <v>0.005726400389133204</v>
      </c>
      <c r="AL56" s="3">
        <v>0.005694145080302364</v>
      </c>
      <c r="AM56" s="3">
        <v>0.005655809792097701</v>
      </c>
      <c r="AN56" s="3">
        <v>0.005615808559209741</v>
      </c>
      <c r="AO56" s="3">
        <v>0.005571566587789549</v>
      </c>
      <c r="AP56" s="3">
        <v>0.005523305131309011</v>
      </c>
      <c r="AQ56" s="3">
        <v>0.00547321873969155</v>
      </c>
      <c r="AR56" s="3">
        <v>0.005422776475065479</v>
      </c>
      <c r="AS56" s="3">
        <v>0.005377311985488703</v>
      </c>
      <c r="AT56" s="3">
        <v>0.005330011170805977</v>
      </c>
      <c r="AU56" s="3">
        <v>0.005290465672100092</v>
      </c>
      <c r="AV56" s="3">
        <v>0.005248401795973571</v>
      </c>
      <c r="AW56" s="3">
        <v>0.005212069096654985</v>
      </c>
      <c r="AX56" s="3">
        <v>0.005173251259546207</v>
      </c>
      <c r="AY56" s="3">
        <v>0.005141194502034045</v>
      </c>
      <c r="AZ56" s="3">
        <v>0.005105679884726128</v>
      </c>
      <c r="BA56" s="3">
        <v>0.005075509812902844</v>
      </c>
      <c r="BB56" s="3">
        <v>0.005041167667593692</v>
      </c>
      <c r="BC56" s="3">
        <v>0.005011864373825311</v>
      </c>
      <c r="BD56" s="3">
        <v>0.004983436063717974</v>
      </c>
      <c r="BE56" s="3">
        <v>0.004954291946118346</v>
      </c>
    </row>
    <row r="57" spans="1:57">
      <c r="A57" s="1" t="str">
        <f>'Population Definitions'!$A$9</f>
        <v>18-64_females</v>
      </c>
      <c r="C57" t="s">
        <v>55</v>
      </c>
      <c r="D57" s="3"/>
      <c r="E57" s="3"/>
      <c r="F57" s="4" t="s">
        <v>39</v>
      </c>
      <c r="G57" s="3">
        <v>0.009415085220448111</v>
      </c>
      <c r="H57" s="3">
        <v>0.009080808863212504</v>
      </c>
      <c r="I57" s="3">
        <v>0.008865026736911644</v>
      </c>
      <c r="J57" s="3">
        <v>0.008476457299083237</v>
      </c>
      <c r="K57" s="3">
        <v>0.008145236633056205</v>
      </c>
      <c r="L57" s="3">
        <v>0.007869106265928408</v>
      </c>
      <c r="M57" s="3">
        <v>0.00750179116883433</v>
      </c>
      <c r="N57" s="3">
        <v>0.007228506139156398</v>
      </c>
      <c r="O57" s="3">
        <v>0.007036135450534713</v>
      </c>
      <c r="P57" s="3">
        <v>0.006950666772683183</v>
      </c>
      <c r="Q57" s="3">
        <v>0.006652655634991781</v>
      </c>
      <c r="R57" s="3">
        <v>0.006471115504406206</v>
      </c>
      <c r="S57" s="3">
        <v>0.006108675996854895</v>
      </c>
      <c r="T57" s="3">
        <v>0.00590574001373232</v>
      </c>
      <c r="U57" s="3">
        <v>0.00553734401711435</v>
      </c>
      <c r="V57" s="3">
        <v>0.005260357892574399</v>
      </c>
      <c r="W57" s="3">
        <v>0.005020951690109693</v>
      </c>
      <c r="X57" s="3">
        <v>0.004710314357866521</v>
      </c>
      <c r="Y57" s="3">
        <v>0.004467071758948835</v>
      </c>
      <c r="Z57" s="3">
        <v>0.004207713144211323</v>
      </c>
      <c r="AA57" s="3">
        <v>0.003778102133668751</v>
      </c>
      <c r="AB57" s="3">
        <v>0.004151742735800511</v>
      </c>
      <c r="AC57" s="3">
        <v>0.004107841073507535</v>
      </c>
      <c r="AD57" s="3">
        <v>0.004120734990551498</v>
      </c>
      <c r="AE57" s="3">
        <v>0.004218619520121718</v>
      </c>
      <c r="AF57" s="3">
        <v>0.004153590962203534</v>
      </c>
      <c r="AG57" s="3">
        <v>0.004093444630105636</v>
      </c>
      <c r="AH57" s="3">
        <v>0.004043270971675005</v>
      </c>
      <c r="AI57" s="3">
        <v>0.00400819980375228</v>
      </c>
      <c r="AJ57" s="3">
        <v>0.003973150367223096</v>
      </c>
      <c r="AK57" s="3">
        <v>0.003940760551501016</v>
      </c>
      <c r="AL57" s="3">
        <v>0.003909677802458446</v>
      </c>
      <c r="AM57" s="3">
        <v>0.003874735545409945</v>
      </c>
      <c r="AN57" s="3">
        <v>0.003841867951378859</v>
      </c>
      <c r="AO57" s="3">
        <v>0.003804959039665603</v>
      </c>
      <c r="AP57" s="3">
        <v>0.00376701776424238</v>
      </c>
      <c r="AQ57" s="3">
        <v>0.003726553452554449</v>
      </c>
      <c r="AR57" s="3">
        <v>0.003687079131291299</v>
      </c>
      <c r="AS57" s="3">
        <v>0.003648662442362943</v>
      </c>
      <c r="AT57" s="3">
        <v>0.003609039860767853</v>
      </c>
      <c r="AU57" s="3">
        <v>0.003572696886993086</v>
      </c>
      <c r="AV57" s="3">
        <v>0.003533001462433261</v>
      </c>
      <c r="AW57" s="3">
        <v>0.003497169158599066</v>
      </c>
      <c r="AX57" s="3">
        <v>0.00345713849330353</v>
      </c>
      <c r="AY57" s="3">
        <v>0.003420783834755194</v>
      </c>
      <c r="AZ57" s="3">
        <v>0.003382559004179625</v>
      </c>
      <c r="BA57" s="3">
        <v>0.003349571951192252</v>
      </c>
      <c r="BB57" s="3">
        <v>0.003312490160309902</v>
      </c>
      <c r="BC57" s="3">
        <v>0.00328024125732934</v>
      </c>
      <c r="BD57" s="3">
        <v>0.003248674827161707</v>
      </c>
      <c r="BE57" s="3">
        <v>0.003217694915257093</v>
      </c>
    </row>
    <row r="58" spans="1:57">
      <c r="A58" s="1" t="str">
        <f>'Population Definitions'!$A$10</f>
        <v>65+_males</v>
      </c>
      <c r="C58" t="s">
        <v>55</v>
      </c>
      <c r="D58" s="3"/>
      <c r="E58" s="3"/>
      <c r="F58" s="4" t="s">
        <v>39</v>
      </c>
      <c r="G58" s="3">
        <v>0.07890356130444698</v>
      </c>
      <c r="H58" s="3">
        <v>0.07837724293379107</v>
      </c>
      <c r="I58" s="3">
        <v>0.07773860592612833</v>
      </c>
      <c r="J58" s="3">
        <v>0.07697739166911985</v>
      </c>
      <c r="K58" s="3">
        <v>0.07625327840148348</v>
      </c>
      <c r="L58" s="3">
        <v>0.07553814318381019</v>
      </c>
      <c r="M58" s="3">
        <v>0.07487292043168774</v>
      </c>
      <c r="N58" s="3">
        <v>0.07412989689937215</v>
      </c>
      <c r="O58" s="3">
        <v>0.0733005669471215</v>
      </c>
      <c r="P58" s="3">
        <v>0.07248852441366167</v>
      </c>
      <c r="Q58" s="3">
        <v>0.07193673955751731</v>
      </c>
      <c r="R58" s="3">
        <v>0.07112269657470162</v>
      </c>
      <c r="S58" s="3">
        <v>0.07038072285064628</v>
      </c>
      <c r="T58" s="3">
        <v>0.06982713059113825</v>
      </c>
      <c r="U58" s="3">
        <v>0.06926413296863605</v>
      </c>
      <c r="V58" s="3">
        <v>0.06855417709916219</v>
      </c>
      <c r="W58" s="3">
        <v>0.06900693930280145</v>
      </c>
      <c r="X58" s="3">
        <v>0.06911026368203907</v>
      </c>
      <c r="Y58" s="3">
        <v>0.06930224700663974</v>
      </c>
      <c r="Z58" s="3">
        <v>0.06937958808940946</v>
      </c>
      <c r="AA58" s="3">
        <v>0.07071004614610564</v>
      </c>
      <c r="AB58" s="3">
        <v>0.07192070891858492</v>
      </c>
      <c r="AC58" s="3">
        <v>0.06838638984628882</v>
      </c>
      <c r="AD58" s="3">
        <v>0.06908420373087965</v>
      </c>
      <c r="AE58" s="3">
        <v>0.06955557344567258</v>
      </c>
      <c r="AF58" s="3">
        <v>0.06974238417082967</v>
      </c>
      <c r="AG58" s="3">
        <v>0.06978001934023176</v>
      </c>
      <c r="AH58" s="3">
        <v>0.0697423224900241</v>
      </c>
      <c r="AI58" s="3">
        <v>0.06952042095157536</v>
      </c>
      <c r="AJ58" s="3">
        <v>0.06920188163324555</v>
      </c>
      <c r="AK58" s="3">
        <v>0.06866553554733464</v>
      </c>
      <c r="AL58" s="3">
        <v>0.06793393895183747</v>
      </c>
      <c r="AM58" s="3">
        <v>0.06711969722974526</v>
      </c>
      <c r="AN58" s="3">
        <v>0.06617969740857266</v>
      </c>
      <c r="AO58" s="3">
        <v>0.06520417724352538</v>
      </c>
      <c r="AP58" s="3">
        <v>0.06416975487995207</v>
      </c>
      <c r="AQ58" s="3">
        <v>0.06320108182175908</v>
      </c>
      <c r="AR58" s="3">
        <v>0.06221916067334372</v>
      </c>
      <c r="AS58" s="3">
        <v>0.06143726634997652</v>
      </c>
      <c r="AT58" s="3">
        <v>0.06064980177162883</v>
      </c>
      <c r="AU58" s="3">
        <v>0.06004060288584152</v>
      </c>
      <c r="AV58" s="3">
        <v>0.05955510442407234</v>
      </c>
      <c r="AW58" s="3">
        <v>0.05915459978362797</v>
      </c>
      <c r="AX58" s="3">
        <v>0.05881162392473321</v>
      </c>
      <c r="AY58" s="3">
        <v>0.05859482266497859</v>
      </c>
      <c r="AZ58" s="3">
        <v>0.05840761571757742</v>
      </c>
      <c r="BA58" s="3">
        <v>0.05825446409467976</v>
      </c>
      <c r="BB58" s="3">
        <v>0.05816615235969531</v>
      </c>
      <c r="BC58" s="3">
        <v>0.05810395429128708</v>
      </c>
      <c r="BD58" s="3">
        <v>0.0580441540159324</v>
      </c>
      <c r="BE58" s="3">
        <v>0.05799172181751294</v>
      </c>
    </row>
    <row r="59" spans="1:57">
      <c r="A59" s="1" t="str">
        <f>'Population Definitions'!$A$11</f>
        <v>65+_females</v>
      </c>
      <c r="C59" t="s">
        <v>55</v>
      </c>
      <c r="D59" s="3"/>
      <c r="E59" s="3"/>
      <c r="F59" s="4" t="s">
        <v>39</v>
      </c>
      <c r="G59" s="3">
        <v>0.06770682134339423</v>
      </c>
      <c r="H59" s="3">
        <v>0.06704613504124105</v>
      </c>
      <c r="I59" s="3">
        <v>0.06648422387306428</v>
      </c>
      <c r="J59" s="3">
        <v>0.06560859449275581</v>
      </c>
      <c r="K59" s="3">
        <v>0.06484825431629285</v>
      </c>
      <c r="L59" s="3">
        <v>0.06410416777019533</v>
      </c>
      <c r="M59" s="3">
        <v>0.06316415620070537</v>
      </c>
      <c r="N59" s="3">
        <v>0.06226917714195054</v>
      </c>
      <c r="O59" s="3">
        <v>0.06143037435443596</v>
      </c>
      <c r="P59" s="3">
        <v>0.06042903987284801</v>
      </c>
      <c r="Q59" s="3">
        <v>0.05934177481236581</v>
      </c>
      <c r="R59" s="3">
        <v>0.0583815642442193</v>
      </c>
      <c r="S59" s="3">
        <v>0.05709704647128341</v>
      </c>
      <c r="T59" s="3">
        <v>0.05611730786295452</v>
      </c>
      <c r="U59" s="3">
        <v>0.05493796193125314</v>
      </c>
      <c r="V59" s="3">
        <v>0.0540261266182635</v>
      </c>
      <c r="W59" s="3">
        <v>0.05320461064108369</v>
      </c>
      <c r="X59" s="3">
        <v>0.05213287449961983</v>
      </c>
      <c r="Y59" s="3">
        <v>0.05074696206998336</v>
      </c>
      <c r="Z59" s="3">
        <v>0.04959927451756273</v>
      </c>
      <c r="AA59" s="3">
        <v>0.04766255317840536</v>
      </c>
      <c r="AB59" s="3">
        <v>0.05116539548445204</v>
      </c>
      <c r="AC59" s="3">
        <v>0.04799628040642857</v>
      </c>
      <c r="AD59" s="3">
        <v>0.04795562387253869</v>
      </c>
      <c r="AE59" s="3">
        <v>0.04826127424643535</v>
      </c>
      <c r="AF59" s="3">
        <v>0.04845545773692012</v>
      </c>
      <c r="AG59" s="3">
        <v>0.04866965115927493</v>
      </c>
      <c r="AH59" s="3">
        <v>0.04895665374859739</v>
      </c>
      <c r="AI59" s="3">
        <v>0.0492289170400407</v>
      </c>
      <c r="AJ59" s="3">
        <v>0.04948502191052646</v>
      </c>
      <c r="AK59" s="3">
        <v>0.04971048456023501</v>
      </c>
      <c r="AL59" s="3">
        <v>0.0499060650584762</v>
      </c>
      <c r="AM59" s="3">
        <v>0.04999172280705626</v>
      </c>
      <c r="AN59" s="3">
        <v>0.05003406067382092</v>
      </c>
      <c r="AO59" s="3">
        <v>0.04997829367622434</v>
      </c>
      <c r="AP59" s="3">
        <v>0.04985093208400221</v>
      </c>
      <c r="AQ59" s="3">
        <v>0.04961382580941352</v>
      </c>
      <c r="AR59" s="3">
        <v>0.04933524729686034</v>
      </c>
      <c r="AS59" s="3">
        <v>0.04898661803808766</v>
      </c>
      <c r="AT59" s="3">
        <v>0.04858325677891123</v>
      </c>
      <c r="AU59" s="3">
        <v>0.04819630056844268</v>
      </c>
      <c r="AV59" s="3">
        <v>0.04774459354082861</v>
      </c>
      <c r="AW59" s="3">
        <v>0.04733499949319675</v>
      </c>
      <c r="AX59" s="3">
        <v>0.04685663975427445</v>
      </c>
      <c r="AY59" s="3">
        <v>0.04642663566489777</v>
      </c>
      <c r="AZ59" s="3">
        <v>0.04600159478329982</v>
      </c>
      <c r="BA59" s="3">
        <v>0.04562836629557877</v>
      </c>
      <c r="BB59" s="3">
        <v>0.04525311913981596</v>
      </c>
      <c r="BC59" s="3">
        <v>0.04491538465923017</v>
      </c>
      <c r="BD59" s="3">
        <v>0.04460131222369752</v>
      </c>
      <c r="BE59" s="3">
        <v>0.04435918735718722</v>
      </c>
    </row>
    <row r="60" spans="1:57">
      <c r="A60" s="1" t="str">
        <f>'Population Definitions'!$A$12</f>
        <v>Prisoners_males</v>
      </c>
      <c r="C60" t="s">
        <v>55</v>
      </c>
      <c r="D60" s="3"/>
      <c r="E60" s="3"/>
      <c r="F60" s="4" t="s">
        <v>39</v>
      </c>
      <c r="G60" s="3">
        <v>0.009966295994788429</v>
      </c>
      <c r="H60" s="3">
        <v>0.009737947001573684</v>
      </c>
      <c r="I60" s="3">
        <v>0.00949428870801864</v>
      </c>
      <c r="J60" s="3">
        <v>0.009148286466471542</v>
      </c>
      <c r="K60" s="3">
        <v>0.008840874908690656</v>
      </c>
      <c r="L60" s="3">
        <v>0.008565846254808652</v>
      </c>
      <c r="M60" s="3">
        <v>0.008332778716692192</v>
      </c>
      <c r="N60" s="3">
        <v>0.008113555474199364</v>
      </c>
      <c r="O60" s="3">
        <v>0.007954728092278936</v>
      </c>
      <c r="P60" s="3">
        <v>0.007744069055946134</v>
      </c>
      <c r="Q60" s="3">
        <v>0.007534722042279985</v>
      </c>
      <c r="R60" s="3">
        <v>0.007340382060761171</v>
      </c>
      <c r="S60" s="3">
        <v>0.007099360043122837</v>
      </c>
      <c r="T60" s="3">
        <v>0.006911277904423393</v>
      </c>
      <c r="U60" s="3">
        <v>0.006801229919806456</v>
      </c>
      <c r="V60" s="3">
        <v>0.006568340966884164</v>
      </c>
      <c r="W60" s="3">
        <v>0.006418878643207378</v>
      </c>
      <c r="X60" s="3">
        <v>0.006270904780303854</v>
      </c>
      <c r="Y60" s="3">
        <v>0.006165157461268835</v>
      </c>
      <c r="Z60" s="3">
        <v>0.006036979555565192</v>
      </c>
      <c r="AA60" s="3">
        <v>0.005681621564731448</v>
      </c>
      <c r="AB60" s="3">
        <v>0.00611023495135826</v>
      </c>
      <c r="AC60" s="3">
        <v>0.005772257732076786</v>
      </c>
      <c r="AD60" s="3">
        <v>0.005820190834914475</v>
      </c>
      <c r="AE60" s="3">
        <v>0.007306078035131354</v>
      </c>
      <c r="AF60" s="3">
        <v>0.007323232323232324</v>
      </c>
      <c r="AG60" s="3">
        <v>0.007341390696630654</v>
      </c>
      <c r="AH60" s="3">
        <v>0.007363722263855853</v>
      </c>
      <c r="AI60" s="3">
        <v>0.007324429125376993</v>
      </c>
      <c r="AJ60" s="3">
        <v>0.007290647044925237</v>
      </c>
      <c r="AK60" s="3">
        <v>0.007256844132617967</v>
      </c>
      <c r="AL60" s="3">
        <v>0.007323055360896987</v>
      </c>
      <c r="AM60" s="3">
        <v>0.00734481406211003</v>
      </c>
      <c r="AN60" s="3">
        <v>0.007356671740233384</v>
      </c>
      <c r="AO60" s="3">
        <v>0.007337758112094395</v>
      </c>
      <c r="AP60" s="3">
        <v>0.007443329198150445</v>
      </c>
      <c r="AQ60" s="3">
        <v>0.007449504646340527</v>
      </c>
      <c r="AR60" s="3">
        <v>0.007463272841542933</v>
      </c>
      <c r="AS60" s="3">
        <v>0.00752454530822469</v>
      </c>
      <c r="AT60" s="3">
        <v>0.007672950785858669</v>
      </c>
      <c r="AU60" s="3">
        <v>0.00773784355179704</v>
      </c>
      <c r="AV60" s="3">
        <v>0.007814874310771502</v>
      </c>
      <c r="AW60" s="3">
        <v>0.007917337627482555</v>
      </c>
      <c r="AX60" s="3">
        <v>0.008033611893439216</v>
      </c>
      <c r="AY60" s="3">
        <v>0.008201411405683768</v>
      </c>
      <c r="AZ60" s="3">
        <v>0.008318976126015259</v>
      </c>
      <c r="BA60" s="3">
        <v>0.008547878294494759</v>
      </c>
      <c r="BB60" s="3">
        <v>0.008645229309435952</v>
      </c>
      <c r="BC60" s="3">
        <v>0.008857299070530344</v>
      </c>
      <c r="BD60" s="3">
        <v>0.009084714967067909</v>
      </c>
      <c r="BE60" s="3">
        <v>0.009302325581395349</v>
      </c>
    </row>
    <row r="61" spans="1:57">
      <c r="A61" s="1" t="str">
        <f>'Population Definitions'!$A$13</f>
        <v>Prisoners_females</v>
      </c>
      <c r="C61" t="s">
        <v>55</v>
      </c>
      <c r="D61" s="3"/>
      <c r="E61" s="3"/>
      <c r="F61" s="4" t="s">
        <v>39</v>
      </c>
      <c r="G61" s="3">
        <v>0.009415085220448111</v>
      </c>
      <c r="H61" s="3">
        <v>0.009080808863212504</v>
      </c>
      <c r="I61" s="3">
        <v>0.008865026736911644</v>
      </c>
      <c r="J61" s="3">
        <v>0.008476457299083237</v>
      </c>
      <c r="K61" s="3">
        <v>0.008145236633056205</v>
      </c>
      <c r="L61" s="3">
        <v>0.007869106265928408</v>
      </c>
      <c r="M61" s="3">
        <v>0.00750179116883433</v>
      </c>
      <c r="N61" s="3">
        <v>0.007228506139156398</v>
      </c>
      <c r="O61" s="3">
        <v>0.007036135450534713</v>
      </c>
      <c r="P61" s="3">
        <v>0.006950666772683183</v>
      </c>
      <c r="Q61" s="3">
        <v>0.006652655634991781</v>
      </c>
      <c r="R61" s="3">
        <v>0.006471115504406206</v>
      </c>
      <c r="S61" s="3">
        <v>0.006108675996854895</v>
      </c>
      <c r="T61" s="3">
        <v>0.00590574001373232</v>
      </c>
      <c r="U61" s="3">
        <v>0.00553734401711435</v>
      </c>
      <c r="V61" s="3">
        <v>0.005260357892574399</v>
      </c>
      <c r="W61" s="3">
        <v>0.005020951690109693</v>
      </c>
      <c r="X61" s="3">
        <v>0.004710314357866521</v>
      </c>
      <c r="Y61" s="3">
        <v>0.004467071758948835</v>
      </c>
      <c r="Z61" s="3">
        <v>0.004207713144211323</v>
      </c>
      <c r="AA61" s="3">
        <v>0.003778102133668751</v>
      </c>
      <c r="AB61" s="3">
        <v>0.004151742735800511</v>
      </c>
      <c r="AC61" s="3">
        <v>0.004107841073507535</v>
      </c>
      <c r="AD61" s="3">
        <v>0.004120734990551498</v>
      </c>
      <c r="AE61" s="3">
        <v>0.004291987190069002</v>
      </c>
      <c r="AF61" s="3">
        <v>0.004217714400482024</v>
      </c>
      <c r="AG61" s="3">
        <v>0.004210526315789474</v>
      </c>
      <c r="AH61" s="3">
        <v>0.004238456237077877</v>
      </c>
      <c r="AI61" s="3">
        <v>0.004199181159673863</v>
      </c>
      <c r="AJ61" s="3">
        <v>0.004234272701394819</v>
      </c>
      <c r="AK61" s="3">
        <v>0.004273040014484882</v>
      </c>
      <c r="AL61" s="3">
        <v>0.004236975904502248</v>
      </c>
      <c r="AM61" s="3">
        <v>0.004268863508706235</v>
      </c>
      <c r="AN61" s="3">
        <v>0.004180284259329634</v>
      </c>
      <c r="AO61" s="3">
        <v>0.004166827423897527</v>
      </c>
      <c r="AP61" s="3">
        <v>0.004202835932283279</v>
      </c>
      <c r="AQ61" s="3">
        <v>0.004288920955587622</v>
      </c>
      <c r="AR61" s="3">
        <v>0.004343016347769083</v>
      </c>
      <c r="AS61" s="3">
        <v>0.00436241610738255</v>
      </c>
      <c r="AT61" s="3">
        <v>0.004427631861754718</v>
      </c>
      <c r="AU61" s="3">
        <v>0.004495966853263983</v>
      </c>
      <c r="AV61" s="3">
        <v>0.004531858968548899</v>
      </c>
      <c r="AW61" s="3">
        <v>0.004674863260249637</v>
      </c>
      <c r="AX61" s="3">
        <v>0.004687348990045424</v>
      </c>
      <c r="AY61" s="3">
        <v>0.004754992742379499</v>
      </c>
      <c r="AZ61" s="3">
        <v>0.004924576227256234</v>
      </c>
      <c r="BA61" s="3">
        <v>0.004999462423395334</v>
      </c>
      <c r="BB61" s="3">
        <v>0.005035810205908684</v>
      </c>
      <c r="BC61" s="3">
        <v>0.005073773837989152</v>
      </c>
      <c r="BD61" s="3">
        <v>0.005284577537508352</v>
      </c>
      <c r="BE61" s="3">
        <v>0.005312756941369933</v>
      </c>
    </row>
    <row r="62" spans="1:57">
      <c r="A62" s="1" t="str">
        <f>'Population Definitions'!$A$14</f>
        <v>Prisoners_PWID_males</v>
      </c>
      <c r="C62" t="s">
        <v>55</v>
      </c>
      <c r="D62" s="3"/>
      <c r="E62" s="3"/>
      <c r="F62" s="4" t="s">
        <v>39</v>
      </c>
      <c r="G62" s="3">
        <v>0.009966295994788429</v>
      </c>
      <c r="H62" s="3">
        <v>0.009737947001573684</v>
      </c>
      <c r="I62" s="3">
        <v>0.00949428870801864</v>
      </c>
      <c r="J62" s="3">
        <v>0.009148286466471542</v>
      </c>
      <c r="K62" s="3">
        <v>0.008840874908690656</v>
      </c>
      <c r="L62" s="3">
        <v>0.008565846254808652</v>
      </c>
      <c r="M62" s="3">
        <v>0.008332778716692192</v>
      </c>
      <c r="N62" s="3">
        <v>0.008113555474199364</v>
      </c>
      <c r="O62" s="3">
        <v>0.007954728092278936</v>
      </c>
      <c r="P62" s="3">
        <v>0.007744069055946134</v>
      </c>
      <c r="Q62" s="3">
        <v>0.007534722042279985</v>
      </c>
      <c r="R62" s="3">
        <v>0.007340382060761171</v>
      </c>
      <c r="S62" s="3">
        <v>0.007099360043122837</v>
      </c>
      <c r="T62" s="3">
        <v>0.006911277904423393</v>
      </c>
      <c r="U62" s="3">
        <v>0.006801229919806456</v>
      </c>
      <c r="V62" s="3">
        <v>0.006568340966884164</v>
      </c>
      <c r="W62" s="3">
        <v>0.006418878643207378</v>
      </c>
      <c r="X62" s="3">
        <v>0.006270904780303854</v>
      </c>
      <c r="Y62" s="3">
        <v>0.006165157461268835</v>
      </c>
      <c r="Z62" s="3">
        <v>0.006036979555565192</v>
      </c>
      <c r="AA62" s="3">
        <v>0.005681621564731448</v>
      </c>
      <c r="AB62" s="3">
        <v>0.00611023495135826</v>
      </c>
      <c r="AC62" s="3">
        <v>0.005772257732076786</v>
      </c>
      <c r="AD62" s="3">
        <v>0.005820190834914475</v>
      </c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</row>
    <row r="63" spans="1:57">
      <c r="A63" s="1" t="str">
        <f>'Population Definitions'!$A$15</f>
        <v>Prisoners_PWID_females</v>
      </c>
      <c r="C63" t="s">
        <v>55</v>
      </c>
      <c r="D63" s="3"/>
      <c r="E63" s="3"/>
      <c r="F63" s="4" t="s">
        <v>39</v>
      </c>
      <c r="G63" s="3">
        <v>0.009415085220448111</v>
      </c>
      <c r="H63" s="3">
        <v>0.009080808863212504</v>
      </c>
      <c r="I63" s="3">
        <v>0.008865026736911644</v>
      </c>
      <c r="J63" s="3">
        <v>0.008476457299083237</v>
      </c>
      <c r="K63" s="3">
        <v>0.008145236633056205</v>
      </c>
      <c r="L63" s="3">
        <v>0.007869106265928408</v>
      </c>
      <c r="M63" s="3">
        <v>0.00750179116883433</v>
      </c>
      <c r="N63" s="3">
        <v>0.007228506139156398</v>
      </c>
      <c r="O63" s="3">
        <v>0.007036135450534713</v>
      </c>
      <c r="P63" s="3">
        <v>0.006950666772683183</v>
      </c>
      <c r="Q63" s="3">
        <v>0.006652655634991781</v>
      </c>
      <c r="R63" s="3">
        <v>0.006471115504406206</v>
      </c>
      <c r="S63" s="3">
        <v>0.006108675996854895</v>
      </c>
      <c r="T63" s="3">
        <v>0.00590574001373232</v>
      </c>
      <c r="U63" s="3">
        <v>0.00553734401711435</v>
      </c>
      <c r="V63" s="3">
        <v>0.005260357892574399</v>
      </c>
      <c r="W63" s="3">
        <v>0.005020951690109693</v>
      </c>
      <c r="X63" s="3">
        <v>0.004710314357866521</v>
      </c>
      <c r="Y63" s="3">
        <v>0.004467071758948835</v>
      </c>
      <c r="Z63" s="3">
        <v>0.004207713144211323</v>
      </c>
      <c r="AA63" s="3">
        <v>0.003778102133668751</v>
      </c>
      <c r="AB63" s="3">
        <v>0.004151742735800511</v>
      </c>
      <c r="AC63" s="3">
        <v>0.004107841073507535</v>
      </c>
      <c r="AD63" s="3">
        <v>0.004120734990551498</v>
      </c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</row>
  </sheetData>
  <conditionalFormatting sqref="E18">
    <cfRule type="expression" dxfId="0" priority="1">
      <formula>COUNTIF(G18:BE18,"&lt;&gt;" &amp; "")&gt;0</formula>
    </cfRule>
    <cfRule type="expression" dxfId="1" priority="2">
      <formula>AND(COUNTIF(G18:BE18,"&lt;&gt;" &amp; "")&gt;0,NOT(ISBLANK(E18)))</formula>
    </cfRule>
  </conditionalFormatting>
  <conditionalFormatting sqref="E19">
    <cfRule type="expression" dxfId="0" priority="3">
      <formula>COUNTIF(G19:BE19,"&lt;&gt;" &amp; "")&gt;0</formula>
    </cfRule>
    <cfRule type="expression" dxfId="1" priority="4">
      <formula>AND(COUNTIF(G19:BE19,"&lt;&gt;" &amp; "")&gt;0,NOT(ISBLANK(E19)))</formula>
    </cfRule>
  </conditionalFormatting>
  <conditionalFormatting sqref="E20">
    <cfRule type="expression" dxfId="0" priority="5">
      <formula>COUNTIF(G20:BE20,"&lt;&gt;" &amp; "")&gt;0</formula>
    </cfRule>
    <cfRule type="expression" dxfId="1" priority="6">
      <formula>AND(COUNTIF(G20:BE20,"&lt;&gt;" &amp; "")&gt;0,NOT(ISBLANK(E20)))</formula>
    </cfRule>
  </conditionalFormatting>
  <conditionalFormatting sqref="E21">
    <cfRule type="expression" dxfId="0" priority="7">
      <formula>COUNTIF(G21:BE21,"&lt;&gt;" &amp; "")&gt;0</formula>
    </cfRule>
    <cfRule type="expression" dxfId="1" priority="8">
      <formula>AND(COUNTIF(G21:BE21,"&lt;&gt;" &amp; "")&gt;0,NOT(ISBLANK(E21)))</formula>
    </cfRule>
  </conditionalFormatting>
  <conditionalFormatting sqref="E22">
    <cfRule type="expression" dxfId="0" priority="9">
      <formula>COUNTIF(G22:BE22,"&lt;&gt;" &amp; "")&gt;0</formula>
    </cfRule>
    <cfRule type="expression" dxfId="1" priority="10">
      <formula>AND(COUNTIF(G22:BE22,"&lt;&gt;" &amp; "")&gt;0,NOT(ISBLANK(E22)))</formula>
    </cfRule>
  </conditionalFormatting>
  <conditionalFormatting sqref="E23">
    <cfRule type="expression" dxfId="0" priority="11">
      <formula>COUNTIF(G23:BE23,"&lt;&gt;" &amp; "")&gt;0</formula>
    </cfRule>
    <cfRule type="expression" dxfId="1" priority="12">
      <formula>AND(COUNTIF(G23:BE23,"&lt;&gt;" &amp; "")&gt;0,NOT(ISBLANK(E23)))</formula>
    </cfRule>
  </conditionalFormatting>
  <conditionalFormatting sqref="E24">
    <cfRule type="expression" dxfId="0" priority="13">
      <formula>COUNTIF(G24:BE24,"&lt;&gt;" &amp; "")&gt;0</formula>
    </cfRule>
    <cfRule type="expression" dxfId="1" priority="14">
      <formula>AND(COUNTIF(G24:BE24,"&lt;&gt;" &amp; "")&gt;0,NOT(ISBLANK(E24)))</formula>
    </cfRule>
  </conditionalFormatting>
  <conditionalFormatting sqref="E25">
    <cfRule type="expression" dxfId="0" priority="15">
      <formula>COUNTIF(G25:BE25,"&lt;&gt;" &amp; "")&gt;0</formula>
    </cfRule>
    <cfRule type="expression" dxfId="1" priority="16">
      <formula>AND(COUNTIF(G25:BE25,"&lt;&gt;" &amp; "")&gt;0,NOT(ISBLANK(E25)))</formula>
    </cfRule>
  </conditionalFormatting>
  <conditionalFormatting sqref="E26">
    <cfRule type="expression" dxfId="0" priority="17">
      <formula>COUNTIF(G26:BE26,"&lt;&gt;" &amp; "")&gt;0</formula>
    </cfRule>
    <cfRule type="expression" dxfId="1" priority="18">
      <formula>AND(COUNTIF(G26:BE26,"&lt;&gt;" &amp; "")&gt;0,NOT(ISBLANK(E26)))</formula>
    </cfRule>
  </conditionalFormatting>
  <conditionalFormatting sqref="E27">
    <cfRule type="expression" dxfId="0" priority="19">
      <formula>COUNTIF(G27:BE27,"&lt;&gt;" &amp; "")&gt;0</formula>
    </cfRule>
    <cfRule type="expression" dxfId="1" priority="20">
      <formula>AND(COUNTIF(G27:BE27,"&lt;&gt;" &amp; "")&gt;0,NOT(ISBLANK(E27)))</formula>
    </cfRule>
  </conditionalFormatting>
  <conditionalFormatting sqref="E28">
    <cfRule type="expression" dxfId="0" priority="21">
      <formula>COUNTIF(G28:BE28,"&lt;&gt;" &amp; "")&gt;0</formula>
    </cfRule>
    <cfRule type="expression" dxfId="1" priority="22">
      <formula>AND(COUNTIF(G28:BE28,"&lt;&gt;" &amp; "")&gt;0,NOT(ISBLANK(E28)))</formula>
    </cfRule>
  </conditionalFormatting>
  <conditionalFormatting sqref="E29">
    <cfRule type="expression" dxfId="0" priority="23">
      <formula>COUNTIF(G29:BE29,"&lt;&gt;" &amp; "")&gt;0</formula>
    </cfRule>
    <cfRule type="expression" dxfId="1" priority="24">
      <formula>AND(COUNTIF(G29:BE29,"&lt;&gt;" &amp; "")&gt;0,NOT(ISBLANK(E29)))</formula>
    </cfRule>
  </conditionalFormatting>
  <conditionalFormatting sqref="E30">
    <cfRule type="expression" dxfId="0" priority="25">
      <formula>COUNTIF(G30:BE30,"&lt;&gt;" &amp; "")&gt;0</formula>
    </cfRule>
    <cfRule type="expression" dxfId="1" priority="26">
      <formula>AND(COUNTIF(G30:BE30,"&lt;&gt;" &amp; "")&gt;0,NOT(ISBLANK(E30)))</formula>
    </cfRule>
  </conditionalFormatting>
  <conditionalFormatting sqref="E31">
    <cfRule type="expression" dxfId="0" priority="27">
      <formula>COUNTIF(G31:BE31,"&lt;&gt;" &amp; "")&gt;0</formula>
    </cfRule>
    <cfRule type="expression" dxfId="1" priority="28">
      <formula>AND(COUNTIF(G31:BE31,"&lt;&gt;" &amp; "")&gt;0,NOT(ISBLANK(E31)))</formula>
    </cfRule>
  </conditionalFormatting>
  <conditionalFormatting sqref="E34">
    <cfRule type="expression" dxfId="0" priority="29">
      <formula>COUNTIF(G34:BE34,"&lt;&gt;" &amp; "")&gt;0</formula>
    </cfRule>
    <cfRule type="expression" dxfId="1" priority="30">
      <formula>AND(COUNTIF(G34:BE34,"&lt;&gt;" &amp; "")&gt;0,NOT(ISBLANK(E34)))</formula>
    </cfRule>
  </conditionalFormatting>
  <conditionalFormatting sqref="E35">
    <cfRule type="expression" dxfId="0" priority="31">
      <formula>COUNTIF(G35:BE35,"&lt;&gt;" &amp; "")&gt;0</formula>
    </cfRule>
    <cfRule type="expression" dxfId="1" priority="32">
      <formula>AND(COUNTIF(G35:BE35,"&lt;&gt;" &amp; "")&gt;0,NOT(ISBLANK(E35)))</formula>
    </cfRule>
  </conditionalFormatting>
  <conditionalFormatting sqref="E36">
    <cfRule type="expression" dxfId="0" priority="33">
      <formula>COUNTIF(G36:BE36,"&lt;&gt;" &amp; "")&gt;0</formula>
    </cfRule>
    <cfRule type="expression" dxfId="1" priority="34">
      <formula>AND(COUNTIF(G36:BE36,"&lt;&gt;" &amp; "")&gt;0,NOT(ISBLANK(E36)))</formula>
    </cfRule>
  </conditionalFormatting>
  <conditionalFormatting sqref="E37">
    <cfRule type="expression" dxfId="0" priority="35">
      <formula>COUNTIF(G37:BE37,"&lt;&gt;" &amp; "")&gt;0</formula>
    </cfRule>
    <cfRule type="expression" dxfId="1" priority="36">
      <formula>AND(COUNTIF(G37:BE37,"&lt;&gt;" &amp; "")&gt;0,NOT(ISBLANK(E37)))</formula>
    </cfRule>
  </conditionalFormatting>
  <conditionalFormatting sqref="E38">
    <cfRule type="expression" dxfId="0" priority="37">
      <formula>COUNTIF(G38:BE38,"&lt;&gt;" &amp; "")&gt;0</formula>
    </cfRule>
    <cfRule type="expression" dxfId="1" priority="38">
      <formula>AND(COUNTIF(G38:BE38,"&lt;&gt;" &amp; "")&gt;0,NOT(ISBLANK(E38)))</formula>
    </cfRule>
  </conditionalFormatting>
  <conditionalFormatting sqref="E39">
    <cfRule type="expression" dxfId="0" priority="39">
      <formula>COUNTIF(G39:BE39,"&lt;&gt;" &amp; "")&gt;0</formula>
    </cfRule>
    <cfRule type="expression" dxfId="1" priority="40">
      <formula>AND(COUNTIF(G39:BE39,"&lt;&gt;" &amp; "")&gt;0,NOT(ISBLANK(E39)))</formula>
    </cfRule>
  </conditionalFormatting>
  <conditionalFormatting sqref="E40">
    <cfRule type="expression" dxfId="0" priority="41">
      <formula>COUNTIF(G40:BE40,"&lt;&gt;" &amp; "")&gt;0</formula>
    </cfRule>
    <cfRule type="expression" dxfId="1" priority="42">
      <formula>AND(COUNTIF(G40:BE40,"&lt;&gt;" &amp; "")&gt;0,NOT(ISBLANK(E40)))</formula>
    </cfRule>
  </conditionalFormatting>
  <conditionalFormatting sqref="E41">
    <cfRule type="expression" dxfId="0" priority="43">
      <formula>COUNTIF(G41:BE41,"&lt;&gt;" &amp; "")&gt;0</formula>
    </cfRule>
    <cfRule type="expression" dxfId="1" priority="44">
      <formula>AND(COUNTIF(G41:BE41,"&lt;&gt;" &amp; "")&gt;0,NOT(ISBLANK(E41)))</formula>
    </cfRule>
  </conditionalFormatting>
  <conditionalFormatting sqref="E42">
    <cfRule type="expression" dxfId="0" priority="45">
      <formula>COUNTIF(G42:BE42,"&lt;&gt;" &amp; "")&gt;0</formula>
    </cfRule>
    <cfRule type="expression" dxfId="1" priority="46">
      <formula>AND(COUNTIF(G42:BE42,"&lt;&gt;" &amp; "")&gt;0,NOT(ISBLANK(E42)))</formula>
    </cfRule>
  </conditionalFormatting>
  <conditionalFormatting sqref="E43">
    <cfRule type="expression" dxfId="0" priority="47">
      <formula>COUNTIF(G43:BE43,"&lt;&gt;" &amp; "")&gt;0</formula>
    </cfRule>
    <cfRule type="expression" dxfId="1" priority="48">
      <formula>AND(COUNTIF(G43:BE43,"&lt;&gt;" &amp; "")&gt;0,NOT(ISBLANK(E43)))</formula>
    </cfRule>
  </conditionalFormatting>
  <conditionalFormatting sqref="E44">
    <cfRule type="expression" dxfId="0" priority="49">
      <formula>COUNTIF(G44:BE44,"&lt;&gt;" &amp; "")&gt;0</formula>
    </cfRule>
    <cfRule type="expression" dxfId="1" priority="50">
      <formula>AND(COUNTIF(G44:BE44,"&lt;&gt;" &amp; "")&gt;0,NOT(ISBLANK(E44)))</formula>
    </cfRule>
  </conditionalFormatting>
  <conditionalFormatting sqref="E45">
    <cfRule type="expression" dxfId="0" priority="51">
      <formula>COUNTIF(G45:BE45,"&lt;&gt;" &amp; "")&gt;0</formula>
    </cfRule>
    <cfRule type="expression" dxfId="1" priority="52">
      <formula>AND(COUNTIF(G45:BE45,"&lt;&gt;" &amp; "")&gt;0,NOT(ISBLANK(E45)))</formula>
    </cfRule>
  </conditionalFormatting>
  <conditionalFormatting sqref="E46">
    <cfRule type="expression" dxfId="0" priority="53">
      <formula>COUNTIF(G46:BE46,"&lt;&gt;" &amp; "")&gt;0</formula>
    </cfRule>
    <cfRule type="expression" dxfId="1" priority="54">
      <formula>AND(COUNTIF(G46:BE46,"&lt;&gt;" &amp; "")&gt;0,NOT(ISBLANK(E46)))</formula>
    </cfRule>
  </conditionalFormatting>
  <conditionalFormatting sqref="E47">
    <cfRule type="expression" dxfId="0" priority="55">
      <formula>COUNTIF(G47:BE47,"&lt;&gt;" &amp; "")&gt;0</formula>
    </cfRule>
    <cfRule type="expression" dxfId="1" priority="56">
      <formula>AND(COUNTIF(G47:BE47,"&lt;&gt;" &amp; "")&gt;0,NOT(ISBLANK(E47)))</formula>
    </cfRule>
  </conditionalFormatting>
  <conditionalFormatting sqref="E50">
    <cfRule type="expression" dxfId="0" priority="57">
      <formula>COUNTIF(G50:BE50,"&lt;&gt;" &amp; "")&gt;0</formula>
    </cfRule>
    <cfRule type="expression" dxfId="1" priority="58">
      <formula>AND(COUNTIF(G50:BE50,"&lt;&gt;" &amp; "")&gt;0,NOT(ISBLANK(E50)))</formula>
    </cfRule>
  </conditionalFormatting>
  <conditionalFormatting sqref="E51">
    <cfRule type="expression" dxfId="0" priority="59">
      <formula>COUNTIF(G51:BE51,"&lt;&gt;" &amp; "")&gt;0</formula>
    </cfRule>
    <cfRule type="expression" dxfId="1" priority="60">
      <formula>AND(COUNTIF(G51:BE51,"&lt;&gt;" &amp; "")&gt;0,NOT(ISBLANK(E51)))</formula>
    </cfRule>
  </conditionalFormatting>
  <conditionalFormatting sqref="E52">
    <cfRule type="expression" dxfId="0" priority="61">
      <formula>COUNTIF(G52:BE52,"&lt;&gt;" &amp; "")&gt;0</formula>
    </cfRule>
    <cfRule type="expression" dxfId="1" priority="62">
      <formula>AND(COUNTIF(G52:BE52,"&lt;&gt;" &amp; "")&gt;0,NOT(ISBLANK(E52)))</formula>
    </cfRule>
  </conditionalFormatting>
  <conditionalFormatting sqref="E53">
    <cfRule type="expression" dxfId="0" priority="63">
      <formula>COUNTIF(G53:BE53,"&lt;&gt;" &amp; "")&gt;0</formula>
    </cfRule>
    <cfRule type="expression" dxfId="1" priority="64">
      <formula>AND(COUNTIF(G53:BE53,"&lt;&gt;" &amp; "")&gt;0,NOT(ISBLANK(E53)))</formula>
    </cfRule>
  </conditionalFormatting>
  <conditionalFormatting sqref="E54">
    <cfRule type="expression" dxfId="0" priority="65">
      <formula>COUNTIF(G54:BE54,"&lt;&gt;" &amp; "")&gt;0</formula>
    </cfRule>
    <cfRule type="expression" dxfId="1" priority="66">
      <formula>AND(COUNTIF(G54:BE54,"&lt;&gt;" &amp; "")&gt;0,NOT(ISBLANK(E54)))</formula>
    </cfRule>
  </conditionalFormatting>
  <conditionalFormatting sqref="E55">
    <cfRule type="expression" dxfId="0" priority="67">
      <formula>COUNTIF(G55:BE55,"&lt;&gt;" &amp; "")&gt;0</formula>
    </cfRule>
    <cfRule type="expression" dxfId="1" priority="68">
      <formula>AND(COUNTIF(G55:BE55,"&lt;&gt;" &amp; "")&gt;0,NOT(ISBLANK(E55)))</formula>
    </cfRule>
  </conditionalFormatting>
  <conditionalFormatting sqref="E56">
    <cfRule type="expression" dxfId="0" priority="69">
      <formula>COUNTIF(G56:BE56,"&lt;&gt;" &amp; "")&gt;0</formula>
    </cfRule>
    <cfRule type="expression" dxfId="1" priority="70">
      <formula>AND(COUNTIF(G56:BE56,"&lt;&gt;" &amp; "")&gt;0,NOT(ISBLANK(E56)))</formula>
    </cfRule>
  </conditionalFormatting>
  <conditionalFormatting sqref="E57">
    <cfRule type="expression" dxfId="0" priority="71">
      <formula>COUNTIF(G57:BE57,"&lt;&gt;" &amp; "")&gt;0</formula>
    </cfRule>
    <cfRule type="expression" dxfId="1" priority="72">
      <formula>AND(COUNTIF(G57:BE57,"&lt;&gt;" &amp; "")&gt;0,NOT(ISBLANK(E57)))</formula>
    </cfRule>
  </conditionalFormatting>
  <conditionalFormatting sqref="E58">
    <cfRule type="expression" dxfId="0" priority="73">
      <formula>COUNTIF(G58:BE58,"&lt;&gt;" &amp; "")&gt;0</formula>
    </cfRule>
    <cfRule type="expression" dxfId="1" priority="74">
      <formula>AND(COUNTIF(G58:BE58,"&lt;&gt;" &amp; "")&gt;0,NOT(ISBLANK(E58)))</formula>
    </cfRule>
  </conditionalFormatting>
  <conditionalFormatting sqref="E59">
    <cfRule type="expression" dxfId="0" priority="75">
      <formula>COUNTIF(G59:BE59,"&lt;&gt;" &amp; "")&gt;0</formula>
    </cfRule>
    <cfRule type="expression" dxfId="1" priority="76">
      <formula>AND(COUNTIF(G59:BE59,"&lt;&gt;" &amp; "")&gt;0,NOT(ISBLANK(E59)))</formula>
    </cfRule>
  </conditionalFormatting>
  <conditionalFormatting sqref="E60">
    <cfRule type="expression" dxfId="0" priority="77">
      <formula>COUNTIF(G60:BE60,"&lt;&gt;" &amp; "")&gt;0</formula>
    </cfRule>
    <cfRule type="expression" dxfId="1" priority="78">
      <formula>AND(COUNTIF(G60:BE60,"&lt;&gt;" &amp; "")&gt;0,NOT(ISBLANK(E60)))</formula>
    </cfRule>
  </conditionalFormatting>
  <conditionalFormatting sqref="E61">
    <cfRule type="expression" dxfId="0" priority="79">
      <formula>COUNTIF(G61:BE61,"&lt;&gt;" &amp; "")&gt;0</formula>
    </cfRule>
    <cfRule type="expression" dxfId="1" priority="80">
      <formula>AND(COUNTIF(G61:BE61,"&lt;&gt;" &amp; "")&gt;0,NOT(ISBLANK(E61)))</formula>
    </cfRule>
  </conditionalFormatting>
  <conditionalFormatting sqref="E62">
    <cfRule type="expression" dxfId="0" priority="81">
      <formula>COUNTIF(G62:BE62,"&lt;&gt;" &amp; "")&gt;0</formula>
    </cfRule>
    <cfRule type="expression" dxfId="1" priority="82">
      <formula>AND(COUNTIF(G62:BE62,"&lt;&gt;" &amp; "")&gt;0,NOT(ISBLANK(E62)))</formula>
    </cfRule>
  </conditionalFormatting>
  <conditionalFormatting sqref="E63">
    <cfRule type="expression" dxfId="0" priority="83">
      <formula>COUNTIF(G63:BE63,"&lt;&gt;" &amp; "")&gt;0</formula>
    </cfRule>
    <cfRule type="expression" dxfId="1" priority="84">
      <formula>AND(COUNTIF(G63:BE63,"&lt;&gt;" &amp; "")&gt;0,NOT(ISBLANK(E63)))</formula>
    </cfRule>
  </conditionalFormatting>
  <dataValidations count="56">
    <dataValidation type="list" allowBlank="1" showInputMessage="1" showErrorMessage="1" sqref="C2">
      <formula1>"Number"</formula1>
    </dataValidation>
    <dataValidation type="list" allowBlank="1" showInputMessage="1" showErrorMessage="1" sqref="C3">
      <formula1>"Number"</formula1>
    </dataValidation>
    <dataValidation type="list" allowBlank="1" showInputMessage="1" showErrorMessage="1" sqref="C4">
      <formula1>"Number"</formula1>
    </dataValidation>
    <dataValidation type="list" allowBlank="1" showInputMessage="1" showErrorMessage="1" sqref="C5">
      <formula1>"Number"</formula1>
    </dataValidation>
    <dataValidation type="list" allowBlank="1" showInputMessage="1" showErrorMessage="1" sqref="C6">
      <formula1>"Number"</formula1>
    </dataValidation>
    <dataValidation type="list" allowBlank="1" showInputMessage="1" showErrorMessage="1" sqref="C7">
      <formula1>"Number"</formula1>
    </dataValidation>
    <dataValidation type="list" allowBlank="1" showInputMessage="1" showErrorMessage="1" sqref="C8">
      <formula1>"Number"</formula1>
    </dataValidation>
    <dataValidation type="list" allowBlank="1" showInputMessage="1" showErrorMessage="1" sqref="C9">
      <formula1>"Number"</formula1>
    </dataValidation>
    <dataValidation type="list" allowBlank="1" showInputMessage="1" showErrorMessage="1" sqref="C10">
      <formula1>"Number"</formula1>
    </dataValidation>
    <dataValidation type="list" allowBlank="1" showInputMessage="1" showErrorMessage="1" sqref="C11">
      <formula1>"Number"</formula1>
    </dataValidation>
    <dataValidation type="list" allowBlank="1" showInputMessage="1" showErrorMessage="1" sqref="C12">
      <formula1>"Number"</formula1>
    </dataValidation>
    <dataValidation type="list" allowBlank="1" showInputMessage="1" showErrorMessage="1" sqref="C13">
      <formula1>"Number"</formula1>
    </dataValidation>
    <dataValidation type="list" allowBlank="1" showInputMessage="1" showErrorMessage="1" sqref="C14">
      <formula1>"Number"</formula1>
    </dataValidation>
    <dataValidation type="list" allowBlank="1" showInputMessage="1" showErrorMessage="1" sqref="C15">
      <formula1>"Number"</formula1>
    </dataValidation>
    <dataValidation type="list" allowBlank="1" showInputMessage="1" showErrorMessage="1" sqref="C18">
      <formula1>"Number (per year)"</formula1>
    </dataValidation>
    <dataValidation type="list" allowBlank="1" showInputMessage="1" showErrorMessage="1" sqref="C19">
      <formula1>"Number (per year)"</formula1>
    </dataValidation>
    <dataValidation type="list" allowBlank="1" showInputMessage="1" showErrorMessage="1" sqref="C20">
      <formula1>"Number (per year)"</formula1>
    </dataValidation>
    <dataValidation type="list" allowBlank="1" showInputMessage="1" showErrorMessage="1" sqref="C21">
      <formula1>"Number (per year)"</formula1>
    </dataValidation>
    <dataValidation type="list" allowBlank="1" showInputMessage="1" showErrorMessage="1" sqref="C22">
      <formula1>"Number (per year)"</formula1>
    </dataValidation>
    <dataValidation type="list" allowBlank="1" showInputMessage="1" showErrorMessage="1" sqref="C23">
      <formula1>"Number (per year)"</formula1>
    </dataValidation>
    <dataValidation type="list" allowBlank="1" showInputMessage="1" showErrorMessage="1" sqref="C24">
      <formula1>"Number (per year)"</formula1>
    </dataValidation>
    <dataValidation type="list" allowBlank="1" showInputMessage="1" showErrorMessage="1" sqref="C25">
      <formula1>"Number (per year)"</formula1>
    </dataValidation>
    <dataValidation type="list" allowBlank="1" showInputMessage="1" showErrorMessage="1" sqref="C26">
      <formula1>"Number (per year)"</formula1>
    </dataValidation>
    <dataValidation type="list" allowBlank="1" showInputMessage="1" showErrorMessage="1" sqref="C27">
      <formula1>"Number (per year)"</formula1>
    </dataValidation>
    <dataValidation type="list" allowBlank="1" showInputMessage="1" showErrorMessage="1" sqref="C28">
      <formula1>"Number (per year)"</formula1>
    </dataValidation>
    <dataValidation type="list" allowBlank="1" showInputMessage="1" showErrorMessage="1" sqref="C29">
      <formula1>"Number (per year)"</formula1>
    </dataValidation>
    <dataValidation type="list" allowBlank="1" showInputMessage="1" showErrorMessage="1" sqref="C30">
      <formula1>"Number (per year)"</formula1>
    </dataValidation>
    <dataValidation type="list" allowBlank="1" showInputMessage="1" showErrorMessage="1" sqref="C31">
      <formula1>"Number (per year)"</formula1>
    </dataValidation>
    <dataValidation type="list" allowBlank="1" showInputMessage="1" showErrorMessage="1" sqref="C34">
      <formula1>"Rate (per year)"</formula1>
    </dataValidation>
    <dataValidation type="list" allowBlank="1" showInputMessage="1" showErrorMessage="1" sqref="C35">
      <formula1>"Rate (per year)"</formula1>
    </dataValidation>
    <dataValidation type="list" allowBlank="1" showInputMessage="1" showErrorMessage="1" sqref="C36">
      <formula1>"Rate (per year)"</formula1>
    </dataValidation>
    <dataValidation type="list" allowBlank="1" showInputMessage="1" showErrorMessage="1" sqref="C37">
      <formula1>"Rate (per year)"</formula1>
    </dataValidation>
    <dataValidation type="list" allowBlank="1" showInputMessage="1" showErrorMessage="1" sqref="C38">
      <formula1>"Rate (per year)"</formula1>
    </dataValidation>
    <dataValidation type="list" allowBlank="1" showInputMessage="1" showErrorMessage="1" sqref="C39">
      <formula1>"Rate (per year)"</formula1>
    </dataValidation>
    <dataValidation type="list" allowBlank="1" showInputMessage="1" showErrorMessage="1" sqref="C40">
      <formula1>"Rate (per year)"</formula1>
    </dataValidation>
    <dataValidation type="list" allowBlank="1" showInputMessage="1" showErrorMessage="1" sqref="C41">
      <formula1>"Rate (per year)"</formula1>
    </dataValidation>
    <dataValidation type="list" allowBlank="1" showInputMessage="1" showErrorMessage="1" sqref="C42">
      <formula1>"Rate (per year)"</formula1>
    </dataValidation>
    <dataValidation type="list" allowBlank="1" showInputMessage="1" showErrorMessage="1" sqref="C43">
      <formula1>"Rate (per year)"</formula1>
    </dataValidation>
    <dataValidation type="list" allowBlank="1" showInputMessage="1" showErrorMessage="1" sqref="C44">
      <formula1>"Rate (per year)"</formula1>
    </dataValidation>
    <dataValidation type="list" allowBlank="1" showInputMessage="1" showErrorMessage="1" sqref="C45">
      <formula1>"Rate (per year)"</formula1>
    </dataValidation>
    <dataValidation type="list" allowBlank="1" showInputMessage="1" showErrorMessage="1" sqref="C46">
      <formula1>"Rate (per year)"</formula1>
    </dataValidation>
    <dataValidation type="list" allowBlank="1" showInputMessage="1" showErrorMessage="1" sqref="C47">
      <formula1>"Rate (per year)"</formula1>
    </dataValidation>
    <dataValidation type="list" allowBlank="1" showInputMessage="1" showErrorMessage="1" sqref="C50">
      <formula1>"Rate (per year)"</formula1>
    </dataValidation>
    <dataValidation type="list" allowBlank="1" showInputMessage="1" showErrorMessage="1" sqref="C51">
      <formula1>"Rate (per year)"</formula1>
    </dataValidation>
    <dataValidation type="list" allowBlank="1" showInputMessage="1" showErrorMessage="1" sqref="C52">
      <formula1>"Rate (per year)"</formula1>
    </dataValidation>
    <dataValidation type="list" allowBlank="1" showInputMessage="1" showErrorMessage="1" sqref="C53">
      <formula1>"Rate (per year)"</formula1>
    </dataValidation>
    <dataValidation type="list" allowBlank="1" showInputMessage="1" showErrorMessage="1" sqref="C54">
      <formula1>"Rate (per year)"</formula1>
    </dataValidation>
    <dataValidation type="list" allowBlank="1" showInputMessage="1" showErrorMessage="1" sqref="C55">
      <formula1>"Rate (per year)"</formula1>
    </dataValidation>
    <dataValidation type="list" allowBlank="1" showInputMessage="1" showErrorMessage="1" sqref="C56">
      <formula1>"Rate (per year)"</formula1>
    </dataValidation>
    <dataValidation type="list" allowBlank="1" showInputMessage="1" showErrorMessage="1" sqref="C57">
      <formula1>"Rate (per year)"</formula1>
    </dataValidation>
    <dataValidation type="list" allowBlank="1" showInputMessage="1" showErrorMessage="1" sqref="C58">
      <formula1>"Rate (per year)"</formula1>
    </dataValidation>
    <dataValidation type="list" allowBlank="1" showInputMessage="1" showErrorMessage="1" sqref="C59">
      <formula1>"Rate (per year)"</formula1>
    </dataValidation>
    <dataValidation type="list" allowBlank="1" showInputMessage="1" showErrorMessage="1" sqref="C60">
      <formula1>"Rate (per year)"</formula1>
    </dataValidation>
    <dataValidation type="list" allowBlank="1" showInputMessage="1" showErrorMessage="1" sqref="C61">
      <formula1>"Rate (per year)"</formula1>
    </dataValidation>
    <dataValidation type="list" allowBlank="1" showInputMessage="1" showErrorMessage="1" sqref="C62">
      <formula1>"Rate (per year)"</formula1>
    </dataValidation>
    <dataValidation type="list" allowBlank="1" showInputMessage="1" showErrorMessage="1" sqref="C63">
      <formula1>"Rate (per year)"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sheetPr>
    <tabColor rgb="FF808080"/>
  </sheetPr>
  <dimension ref="A1:BE31"/>
  <sheetViews>
    <sheetView workbookViewId="0"/>
  </sheetViews>
  <sheetFormatPr defaultRowHeight="15"/>
  <cols>
    <col min="1" max="1" width="45.7109375" customWidth="1"/>
    <col min="2" max="2" width="12.7109375" customWidth="1"/>
    <col min="3" max="3" width="7.28515625" customWidth="1"/>
    <col min="4" max="4" width="13.85546875" customWidth="1"/>
    <col min="5" max="5" width="10.5703125" customWidth="1"/>
    <col min="6" max="6" width="3.85546875" customWidth="1"/>
    <col min="7" max="57" width="9.42578125" customWidth="1"/>
  </cols>
  <sheetData>
    <row r="1" spans="1:57">
      <c r="A1" s="1" t="s">
        <v>57</v>
      </c>
      <c r="B1" s="1" t="s">
        <v>31</v>
      </c>
      <c r="C1" s="1" t="s">
        <v>32</v>
      </c>
      <c r="D1" s="1" t="s">
        <v>33</v>
      </c>
      <c r="E1" s="1" t="s">
        <v>38</v>
      </c>
      <c r="F1" s="1"/>
      <c r="G1" s="1">
        <v>2000</v>
      </c>
      <c r="H1" s="1">
        <v>2001</v>
      </c>
      <c r="I1" s="1">
        <v>2002</v>
      </c>
      <c r="J1" s="1">
        <v>2003</v>
      </c>
      <c r="K1" s="1">
        <v>2004</v>
      </c>
      <c r="L1" s="1">
        <v>2005</v>
      </c>
      <c r="M1" s="1">
        <v>2006</v>
      </c>
      <c r="N1" s="1">
        <v>2007</v>
      </c>
      <c r="O1" s="1">
        <v>2008</v>
      </c>
      <c r="P1" s="1">
        <v>2009</v>
      </c>
      <c r="Q1" s="1">
        <v>2010</v>
      </c>
      <c r="R1" s="1">
        <v>2011</v>
      </c>
      <c r="S1" s="1">
        <v>2012</v>
      </c>
      <c r="T1" s="1">
        <v>2013</v>
      </c>
      <c r="U1" s="1">
        <v>2014</v>
      </c>
      <c r="V1" s="1">
        <v>2015</v>
      </c>
      <c r="W1" s="1">
        <v>2016</v>
      </c>
      <c r="X1" s="1">
        <v>2017</v>
      </c>
      <c r="Y1" s="1">
        <v>2018</v>
      </c>
      <c r="Z1" s="1">
        <v>2019</v>
      </c>
      <c r="AA1" s="1">
        <v>2020</v>
      </c>
      <c r="AB1" s="1">
        <v>2021</v>
      </c>
      <c r="AC1" s="1">
        <v>2022</v>
      </c>
      <c r="AD1" s="1">
        <v>2023</v>
      </c>
      <c r="AE1" s="1">
        <v>2024</v>
      </c>
      <c r="AF1" s="1">
        <v>2025</v>
      </c>
      <c r="AG1" s="1">
        <v>2026</v>
      </c>
      <c r="AH1" s="1">
        <v>2027</v>
      </c>
      <c r="AI1" s="1">
        <v>2028</v>
      </c>
      <c r="AJ1" s="1">
        <v>2029</v>
      </c>
      <c r="AK1" s="1">
        <v>2030</v>
      </c>
      <c r="AL1" s="1">
        <v>2031</v>
      </c>
      <c r="AM1" s="1">
        <v>2032</v>
      </c>
      <c r="AN1" s="1">
        <v>2033</v>
      </c>
      <c r="AO1" s="1">
        <v>2034</v>
      </c>
      <c r="AP1" s="1">
        <v>2035</v>
      </c>
      <c r="AQ1" s="1">
        <v>2036</v>
      </c>
      <c r="AR1" s="1">
        <v>2037</v>
      </c>
      <c r="AS1" s="1">
        <v>2038</v>
      </c>
      <c r="AT1" s="1">
        <v>2039</v>
      </c>
      <c r="AU1" s="1">
        <v>2040</v>
      </c>
      <c r="AV1" s="1">
        <v>2041</v>
      </c>
      <c r="AW1" s="1">
        <v>2042</v>
      </c>
      <c r="AX1" s="1">
        <v>2043</v>
      </c>
      <c r="AY1" s="1">
        <v>2044</v>
      </c>
      <c r="AZ1" s="1">
        <v>2045</v>
      </c>
      <c r="BA1" s="1">
        <v>2046</v>
      </c>
      <c r="BB1" s="1">
        <v>2047</v>
      </c>
      <c r="BC1" s="1">
        <v>2048</v>
      </c>
      <c r="BD1" s="1">
        <v>2049</v>
      </c>
      <c r="BE1" s="1">
        <v>2050</v>
      </c>
    </row>
    <row r="2" spans="1:57">
      <c r="A2" s="1" t="str">
        <f>'Population Definitions'!$A$2</f>
        <v>PWID_males</v>
      </c>
      <c r="C2" t="s">
        <v>58</v>
      </c>
      <c r="D2" s="3"/>
      <c r="E2" s="3">
        <v>0.1</v>
      </c>
      <c r="F2" s="4" t="s">
        <v>39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</row>
    <row r="3" spans="1:57">
      <c r="A3" s="1" t="str">
        <f>'Population Definitions'!$A$3</f>
        <v>PWID_females</v>
      </c>
      <c r="C3" t="s">
        <v>58</v>
      </c>
      <c r="D3" s="3"/>
      <c r="E3" s="3">
        <v>0.1</v>
      </c>
      <c r="F3" s="4" t="s">
        <v>39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</row>
    <row r="4" spans="1:57">
      <c r="A4" s="1" t="str">
        <f>'Population Definitions'!$A$4</f>
        <v>0-9_males</v>
      </c>
      <c r="C4" t="s">
        <v>58</v>
      </c>
      <c r="D4" s="3"/>
      <c r="E4" s="3">
        <v>0</v>
      </c>
      <c r="F4" s="4" t="s">
        <v>39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</row>
    <row r="5" spans="1:57">
      <c r="A5" s="1" t="str">
        <f>'Population Definitions'!$A$5</f>
        <v>0-9_females</v>
      </c>
      <c r="C5" t="s">
        <v>58</v>
      </c>
      <c r="D5" s="3"/>
      <c r="E5" s="3">
        <v>0</v>
      </c>
      <c r="F5" s="4" t="s">
        <v>39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</row>
    <row r="6" spans="1:57">
      <c r="A6" s="1" t="str">
        <f>'Population Definitions'!$A$6</f>
        <v>10-17_males</v>
      </c>
      <c r="C6" t="s">
        <v>58</v>
      </c>
      <c r="D6" s="3"/>
      <c r="E6" s="3">
        <v>0</v>
      </c>
      <c r="F6" s="4" t="s">
        <v>39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</row>
    <row r="7" spans="1:57">
      <c r="A7" s="1" t="str">
        <f>'Population Definitions'!$A$7</f>
        <v>10-17_females</v>
      </c>
      <c r="C7" t="s">
        <v>58</v>
      </c>
      <c r="D7" s="3"/>
      <c r="E7" s="3">
        <v>0</v>
      </c>
      <c r="F7" s="4" t="s">
        <v>39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</row>
    <row r="8" spans="1:57">
      <c r="A8" s="1" t="str">
        <f>'Population Definitions'!$A$8</f>
        <v>18-64_males</v>
      </c>
      <c r="C8" t="s">
        <v>58</v>
      </c>
      <c r="D8" s="3"/>
      <c r="E8" s="3">
        <v>0</v>
      </c>
      <c r="F8" s="4" t="s">
        <v>39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</row>
    <row r="9" spans="1:57">
      <c r="A9" s="1" t="str">
        <f>'Population Definitions'!$A$9</f>
        <v>18-64_females</v>
      </c>
      <c r="C9" t="s">
        <v>58</v>
      </c>
      <c r="D9" s="3"/>
      <c r="E9" s="3">
        <v>0</v>
      </c>
      <c r="F9" s="4" t="s">
        <v>39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</row>
    <row r="10" spans="1:57">
      <c r="A10" s="1" t="str">
        <f>'Population Definitions'!$A$10</f>
        <v>65+_males</v>
      </c>
      <c r="C10" t="s">
        <v>58</v>
      </c>
      <c r="D10" s="3"/>
      <c r="E10" s="3">
        <v>0</v>
      </c>
      <c r="F10" s="4" t="s">
        <v>39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</row>
    <row r="11" spans="1:57">
      <c r="A11" s="1" t="str">
        <f>'Population Definitions'!$A$11</f>
        <v>65+_females</v>
      </c>
      <c r="C11" t="s">
        <v>58</v>
      </c>
      <c r="D11" s="3"/>
      <c r="E11" s="3">
        <v>0</v>
      </c>
      <c r="F11" s="4" t="s">
        <v>39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</row>
    <row r="12" spans="1:57">
      <c r="A12" s="1" t="str">
        <f>'Population Definitions'!$A$12</f>
        <v>Prisoners_males</v>
      </c>
      <c r="C12" t="s">
        <v>58</v>
      </c>
      <c r="D12" s="3"/>
      <c r="E12" s="3">
        <v>0</v>
      </c>
      <c r="F12" s="4" t="s">
        <v>39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</row>
    <row r="13" spans="1:57">
      <c r="A13" s="1" t="str">
        <f>'Population Definitions'!$A$13</f>
        <v>Prisoners_females</v>
      </c>
      <c r="C13" t="s">
        <v>58</v>
      </c>
      <c r="D13" s="3"/>
      <c r="E13" s="3">
        <v>0</v>
      </c>
      <c r="F13" s="4" t="s">
        <v>39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</row>
    <row r="14" spans="1:57">
      <c r="A14" s="1" t="str">
        <f>'Population Definitions'!$A$14</f>
        <v>Prisoners_PWID_males</v>
      </c>
      <c r="C14" t="s">
        <v>58</v>
      </c>
      <c r="D14" s="3"/>
      <c r="E14" s="3">
        <v>0.1</v>
      </c>
      <c r="F14" s="4" t="s">
        <v>39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</row>
    <row r="15" spans="1:57">
      <c r="A15" s="1" t="str">
        <f>'Population Definitions'!$A$15</f>
        <v>Prisoners_PWID_females</v>
      </c>
      <c r="C15" t="s">
        <v>58</v>
      </c>
      <c r="D15" s="3"/>
      <c r="E15" s="3">
        <v>0.1</v>
      </c>
      <c r="F15" s="4" t="s">
        <v>39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</row>
    <row r="17" spans="1:57">
      <c r="A17" s="1" t="s">
        <v>59</v>
      </c>
      <c r="B17" s="1" t="s">
        <v>31</v>
      </c>
      <c r="C17" s="1" t="s">
        <v>32</v>
      </c>
      <c r="D17" s="1" t="s">
        <v>33</v>
      </c>
      <c r="E17" s="1" t="s">
        <v>38</v>
      </c>
      <c r="F17" s="1"/>
      <c r="G17" s="1">
        <v>2000</v>
      </c>
      <c r="H17" s="1">
        <v>2001</v>
      </c>
      <c r="I17" s="1">
        <v>2002</v>
      </c>
      <c r="J17" s="1">
        <v>2003</v>
      </c>
      <c r="K17" s="1">
        <v>2004</v>
      </c>
      <c r="L17" s="1">
        <v>2005</v>
      </c>
      <c r="M17" s="1">
        <v>2006</v>
      </c>
      <c r="N17" s="1">
        <v>2007</v>
      </c>
      <c r="O17" s="1">
        <v>2008</v>
      </c>
      <c r="P17" s="1">
        <v>2009</v>
      </c>
      <c r="Q17" s="1">
        <v>2010</v>
      </c>
      <c r="R17" s="1">
        <v>2011</v>
      </c>
      <c r="S17" s="1">
        <v>2012</v>
      </c>
      <c r="T17" s="1">
        <v>2013</v>
      </c>
      <c r="U17" s="1">
        <v>2014</v>
      </c>
      <c r="V17" s="1">
        <v>2015</v>
      </c>
      <c r="W17" s="1">
        <v>2016</v>
      </c>
      <c r="X17" s="1">
        <v>2017</v>
      </c>
      <c r="Y17" s="1">
        <v>2018</v>
      </c>
      <c r="Z17" s="1">
        <v>2019</v>
      </c>
      <c r="AA17" s="1">
        <v>2020</v>
      </c>
      <c r="AB17" s="1">
        <v>2021</v>
      </c>
      <c r="AC17" s="1">
        <v>2022</v>
      </c>
      <c r="AD17" s="1">
        <v>2023</v>
      </c>
      <c r="AE17" s="1">
        <v>2024</v>
      </c>
      <c r="AF17" s="1">
        <v>2025</v>
      </c>
      <c r="AG17" s="1">
        <v>2026</v>
      </c>
      <c r="AH17" s="1">
        <v>2027</v>
      </c>
      <c r="AI17" s="1">
        <v>2028</v>
      </c>
      <c r="AJ17" s="1">
        <v>2029</v>
      </c>
      <c r="AK17" s="1">
        <v>2030</v>
      </c>
      <c r="AL17" s="1">
        <v>2031</v>
      </c>
      <c r="AM17" s="1">
        <v>2032</v>
      </c>
      <c r="AN17" s="1">
        <v>2033</v>
      </c>
      <c r="AO17" s="1">
        <v>2034</v>
      </c>
      <c r="AP17" s="1">
        <v>2035</v>
      </c>
      <c r="AQ17" s="1">
        <v>2036</v>
      </c>
      <c r="AR17" s="1">
        <v>2037</v>
      </c>
      <c r="AS17" s="1">
        <v>2038</v>
      </c>
      <c r="AT17" s="1">
        <v>2039</v>
      </c>
      <c r="AU17" s="1">
        <v>2040</v>
      </c>
      <c r="AV17" s="1">
        <v>2041</v>
      </c>
      <c r="AW17" s="1">
        <v>2042</v>
      </c>
      <c r="AX17" s="1">
        <v>2043</v>
      </c>
      <c r="AY17" s="1">
        <v>2044</v>
      </c>
      <c r="AZ17" s="1">
        <v>2045</v>
      </c>
      <c r="BA17" s="1">
        <v>2046</v>
      </c>
      <c r="BB17" s="1">
        <v>2047</v>
      </c>
      <c r="BC17" s="1">
        <v>2048</v>
      </c>
      <c r="BD17" s="1">
        <v>2049</v>
      </c>
      <c r="BE17" s="1">
        <v>2050</v>
      </c>
    </row>
    <row r="18" spans="1:57">
      <c r="A18" s="1" t="str">
        <f>'Population Definitions'!$A$2</f>
        <v>PWID_males</v>
      </c>
      <c r="C18" t="s">
        <v>58</v>
      </c>
      <c r="D18" s="3"/>
      <c r="E18" s="3">
        <v>0</v>
      </c>
      <c r="F18" s="4" t="s">
        <v>39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</row>
    <row r="19" spans="1:57">
      <c r="A19" s="1" t="str">
        <f>'Population Definitions'!$A$3</f>
        <v>PWID_females</v>
      </c>
      <c r="C19" t="s">
        <v>58</v>
      </c>
      <c r="D19" s="3"/>
      <c r="E19" s="3">
        <v>0</v>
      </c>
      <c r="F19" s="4" t="s">
        <v>39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</row>
    <row r="20" spans="1:57">
      <c r="A20" s="1" t="str">
        <f>'Population Definitions'!$A$4</f>
        <v>0-9_males</v>
      </c>
      <c r="C20" t="s">
        <v>58</v>
      </c>
      <c r="D20" s="3"/>
      <c r="E20" s="3">
        <v>0</v>
      </c>
      <c r="F20" s="4" t="s">
        <v>39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</row>
    <row r="21" spans="1:57">
      <c r="A21" s="1" t="str">
        <f>'Population Definitions'!$A$5</f>
        <v>0-9_females</v>
      </c>
      <c r="C21" t="s">
        <v>58</v>
      </c>
      <c r="D21" s="3"/>
      <c r="E21" s="3">
        <v>0</v>
      </c>
      <c r="F21" s="4" t="s">
        <v>39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</row>
    <row r="22" spans="1:57">
      <c r="A22" s="1" t="str">
        <f>'Population Definitions'!$A$6</f>
        <v>10-17_males</v>
      </c>
      <c r="C22" t="s">
        <v>58</v>
      </c>
      <c r="D22" s="3"/>
      <c r="E22" s="3">
        <v>0</v>
      </c>
      <c r="F22" s="4" t="s">
        <v>39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</row>
    <row r="23" spans="1:57">
      <c r="A23" s="1" t="str">
        <f>'Population Definitions'!$A$7</f>
        <v>10-17_females</v>
      </c>
      <c r="C23" t="s">
        <v>58</v>
      </c>
      <c r="D23" s="3"/>
      <c r="E23" s="3">
        <v>0</v>
      </c>
      <c r="F23" s="4" t="s">
        <v>39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</row>
    <row r="24" spans="1:57">
      <c r="A24" s="1" t="str">
        <f>'Population Definitions'!$A$8</f>
        <v>18-64_males</v>
      </c>
      <c r="C24" t="s">
        <v>58</v>
      </c>
      <c r="D24" s="3"/>
      <c r="E24" s="3">
        <v>0.1</v>
      </c>
      <c r="F24" s="4" t="s">
        <v>39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</row>
    <row r="25" spans="1:57">
      <c r="A25" s="1" t="str">
        <f>'Population Definitions'!$A$9</f>
        <v>18-64_females</v>
      </c>
      <c r="C25" t="s">
        <v>58</v>
      </c>
      <c r="D25" s="3"/>
      <c r="E25" s="3">
        <v>0.1</v>
      </c>
      <c r="F25" s="4" t="s">
        <v>39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</row>
    <row r="26" spans="1:57">
      <c r="A26" s="1" t="str">
        <f>'Population Definitions'!$A$10</f>
        <v>65+_males</v>
      </c>
      <c r="C26" t="s">
        <v>58</v>
      </c>
      <c r="D26" s="3"/>
      <c r="E26" s="3">
        <v>0.1</v>
      </c>
      <c r="F26" s="4" t="s">
        <v>39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</row>
    <row r="27" spans="1:57">
      <c r="A27" s="1" t="str">
        <f>'Population Definitions'!$A$11</f>
        <v>65+_females</v>
      </c>
      <c r="C27" t="s">
        <v>58</v>
      </c>
      <c r="D27" s="3"/>
      <c r="E27" s="3">
        <v>0.1</v>
      </c>
      <c r="F27" s="4" t="s">
        <v>39</v>
      </c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</row>
    <row r="28" spans="1:57">
      <c r="A28" s="1" t="str">
        <f>'Population Definitions'!$A$12</f>
        <v>Prisoners_males</v>
      </c>
      <c r="C28" t="s">
        <v>58</v>
      </c>
      <c r="D28" s="3"/>
      <c r="E28" s="3">
        <v>0</v>
      </c>
      <c r="F28" s="4" t="s">
        <v>39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</row>
    <row r="29" spans="1:57">
      <c r="A29" s="1" t="str">
        <f>'Population Definitions'!$A$13</f>
        <v>Prisoners_females</v>
      </c>
      <c r="C29" t="s">
        <v>58</v>
      </c>
      <c r="D29" s="3"/>
      <c r="E29" s="3">
        <v>0</v>
      </c>
      <c r="F29" s="4" t="s">
        <v>39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</row>
    <row r="30" spans="1:57">
      <c r="A30" s="1" t="str">
        <f>'Population Definitions'!$A$14</f>
        <v>Prisoners_PWID_males</v>
      </c>
      <c r="C30" t="s">
        <v>58</v>
      </c>
      <c r="D30" s="3"/>
      <c r="E30" s="3">
        <v>0</v>
      </c>
      <c r="F30" s="4" t="s">
        <v>39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</row>
    <row r="31" spans="1:57">
      <c r="A31" s="1" t="str">
        <f>'Population Definitions'!$A$15</f>
        <v>Prisoners_PWID_females</v>
      </c>
      <c r="C31" t="s">
        <v>58</v>
      </c>
      <c r="D31" s="3"/>
      <c r="E31" s="3">
        <v>0</v>
      </c>
      <c r="F31" s="4" t="s">
        <v>39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</row>
  </sheetData>
  <conditionalFormatting sqref="E10">
    <cfRule type="expression" dxfId="0" priority="17">
      <formula>COUNTIF(G10:BE10,"&lt;&gt;" &amp; "")&gt;0</formula>
    </cfRule>
    <cfRule type="expression" dxfId="1" priority="18">
      <formula>AND(COUNTIF(G10:BE10,"&lt;&gt;" &amp; "")&gt;0,NOT(ISBLANK(E10)))</formula>
    </cfRule>
  </conditionalFormatting>
  <conditionalFormatting sqref="E11">
    <cfRule type="expression" dxfId="0" priority="19">
      <formula>COUNTIF(G11:BE11,"&lt;&gt;" &amp; "")&gt;0</formula>
    </cfRule>
    <cfRule type="expression" dxfId="1" priority="20">
      <formula>AND(COUNTIF(G11:BE11,"&lt;&gt;" &amp; "")&gt;0,NOT(ISBLANK(E11)))</formula>
    </cfRule>
  </conditionalFormatting>
  <conditionalFormatting sqref="E12">
    <cfRule type="expression" dxfId="0" priority="21">
      <formula>COUNTIF(G12:BE12,"&lt;&gt;" &amp; "")&gt;0</formula>
    </cfRule>
    <cfRule type="expression" dxfId="1" priority="22">
      <formula>AND(COUNTIF(G12:BE12,"&lt;&gt;" &amp; "")&gt;0,NOT(ISBLANK(E12)))</formula>
    </cfRule>
  </conditionalFormatting>
  <conditionalFormatting sqref="E13">
    <cfRule type="expression" dxfId="0" priority="23">
      <formula>COUNTIF(G13:BE13,"&lt;&gt;" &amp; "")&gt;0</formula>
    </cfRule>
    <cfRule type="expression" dxfId="1" priority="24">
      <formula>AND(COUNTIF(G13:BE13,"&lt;&gt;" &amp; "")&gt;0,NOT(ISBLANK(E13)))</formula>
    </cfRule>
  </conditionalFormatting>
  <conditionalFormatting sqref="E14">
    <cfRule type="expression" dxfId="0" priority="25">
      <formula>COUNTIF(G14:BE14,"&lt;&gt;" &amp; "")&gt;0</formula>
    </cfRule>
    <cfRule type="expression" dxfId="1" priority="26">
      <formula>AND(COUNTIF(G14:BE14,"&lt;&gt;" &amp; "")&gt;0,NOT(ISBLANK(E14)))</formula>
    </cfRule>
  </conditionalFormatting>
  <conditionalFormatting sqref="E15">
    <cfRule type="expression" dxfId="0" priority="27">
      <formula>COUNTIF(G15:BE15,"&lt;&gt;" &amp; "")&gt;0</formula>
    </cfRule>
    <cfRule type="expression" dxfId="1" priority="28">
      <formula>AND(COUNTIF(G15:BE15,"&lt;&gt;" &amp; "")&gt;0,NOT(ISBLANK(E15)))</formula>
    </cfRule>
  </conditionalFormatting>
  <conditionalFormatting sqref="E18">
    <cfRule type="expression" dxfId="0" priority="29">
      <formula>COUNTIF(G18:BE18,"&lt;&gt;" &amp; "")&gt;0</formula>
    </cfRule>
    <cfRule type="expression" dxfId="1" priority="30">
      <formula>AND(COUNTIF(G18:BE18,"&lt;&gt;" &amp; "")&gt;0,NOT(ISBLANK(E18)))</formula>
    </cfRule>
  </conditionalFormatting>
  <conditionalFormatting sqref="E19">
    <cfRule type="expression" dxfId="0" priority="31">
      <formula>COUNTIF(G19:BE19,"&lt;&gt;" &amp; "")&gt;0</formula>
    </cfRule>
    <cfRule type="expression" dxfId="1" priority="32">
      <formula>AND(COUNTIF(G19:BE19,"&lt;&gt;" &amp; "")&gt;0,NOT(ISBLANK(E19)))</formula>
    </cfRule>
  </conditionalFormatting>
  <conditionalFormatting sqref="E2">
    <cfRule type="expression" dxfId="0" priority="1">
      <formula>COUNTIF(G2:BE2,"&lt;&gt;" &amp; "")&gt;0</formula>
    </cfRule>
    <cfRule type="expression" dxfId="1" priority="2">
      <formula>AND(COUNTIF(G2:BE2,"&lt;&gt;" &amp; "")&gt;0,NOT(ISBLANK(E2)))</formula>
    </cfRule>
  </conditionalFormatting>
  <conditionalFormatting sqref="E20">
    <cfRule type="expression" dxfId="0" priority="33">
      <formula>COUNTIF(G20:BE20,"&lt;&gt;" &amp; "")&gt;0</formula>
    </cfRule>
    <cfRule type="expression" dxfId="1" priority="34">
      <formula>AND(COUNTIF(G20:BE20,"&lt;&gt;" &amp; "")&gt;0,NOT(ISBLANK(E20)))</formula>
    </cfRule>
  </conditionalFormatting>
  <conditionalFormatting sqref="E21">
    <cfRule type="expression" dxfId="0" priority="35">
      <formula>COUNTIF(G21:BE21,"&lt;&gt;" &amp; "")&gt;0</formula>
    </cfRule>
    <cfRule type="expression" dxfId="1" priority="36">
      <formula>AND(COUNTIF(G21:BE21,"&lt;&gt;" &amp; "")&gt;0,NOT(ISBLANK(E21)))</formula>
    </cfRule>
  </conditionalFormatting>
  <conditionalFormatting sqref="E22">
    <cfRule type="expression" dxfId="0" priority="37">
      <formula>COUNTIF(G22:BE22,"&lt;&gt;" &amp; "")&gt;0</formula>
    </cfRule>
    <cfRule type="expression" dxfId="1" priority="38">
      <formula>AND(COUNTIF(G22:BE22,"&lt;&gt;" &amp; "")&gt;0,NOT(ISBLANK(E22)))</formula>
    </cfRule>
  </conditionalFormatting>
  <conditionalFormatting sqref="E23">
    <cfRule type="expression" dxfId="0" priority="39">
      <formula>COUNTIF(G23:BE23,"&lt;&gt;" &amp; "")&gt;0</formula>
    </cfRule>
    <cfRule type="expression" dxfId="1" priority="40">
      <formula>AND(COUNTIF(G23:BE23,"&lt;&gt;" &amp; "")&gt;0,NOT(ISBLANK(E23)))</formula>
    </cfRule>
  </conditionalFormatting>
  <conditionalFormatting sqref="E24">
    <cfRule type="expression" dxfId="0" priority="41">
      <formula>COUNTIF(G24:BE24,"&lt;&gt;" &amp; "")&gt;0</formula>
    </cfRule>
    <cfRule type="expression" dxfId="1" priority="42">
      <formula>AND(COUNTIF(G24:BE24,"&lt;&gt;" &amp; "")&gt;0,NOT(ISBLANK(E24)))</formula>
    </cfRule>
  </conditionalFormatting>
  <conditionalFormatting sqref="E25">
    <cfRule type="expression" dxfId="0" priority="43">
      <formula>COUNTIF(G25:BE25,"&lt;&gt;" &amp; "")&gt;0</formula>
    </cfRule>
    <cfRule type="expression" dxfId="1" priority="44">
      <formula>AND(COUNTIF(G25:BE25,"&lt;&gt;" &amp; "")&gt;0,NOT(ISBLANK(E25)))</formula>
    </cfRule>
  </conditionalFormatting>
  <conditionalFormatting sqref="E26">
    <cfRule type="expression" dxfId="0" priority="45">
      <formula>COUNTIF(G26:BE26,"&lt;&gt;" &amp; "")&gt;0</formula>
    </cfRule>
    <cfRule type="expression" dxfId="1" priority="46">
      <formula>AND(COUNTIF(G26:BE26,"&lt;&gt;" &amp; "")&gt;0,NOT(ISBLANK(E26)))</formula>
    </cfRule>
  </conditionalFormatting>
  <conditionalFormatting sqref="E27">
    <cfRule type="expression" dxfId="0" priority="47">
      <formula>COUNTIF(G27:BE27,"&lt;&gt;" &amp; "")&gt;0</formula>
    </cfRule>
    <cfRule type="expression" dxfId="1" priority="48">
      <formula>AND(COUNTIF(G27:BE27,"&lt;&gt;" &amp; "")&gt;0,NOT(ISBLANK(E27)))</formula>
    </cfRule>
  </conditionalFormatting>
  <conditionalFormatting sqref="E28">
    <cfRule type="expression" dxfId="0" priority="49">
      <formula>COUNTIF(G28:BE28,"&lt;&gt;" &amp; "")&gt;0</formula>
    </cfRule>
    <cfRule type="expression" dxfId="1" priority="50">
      <formula>AND(COUNTIF(G28:BE28,"&lt;&gt;" &amp; "")&gt;0,NOT(ISBLANK(E28)))</formula>
    </cfRule>
  </conditionalFormatting>
  <conditionalFormatting sqref="E29">
    <cfRule type="expression" dxfId="0" priority="51">
      <formula>COUNTIF(G29:BE29,"&lt;&gt;" &amp; "")&gt;0</formula>
    </cfRule>
    <cfRule type="expression" dxfId="1" priority="52">
      <formula>AND(COUNTIF(G29:BE29,"&lt;&gt;" &amp; "")&gt;0,NOT(ISBLANK(E29)))</formula>
    </cfRule>
  </conditionalFormatting>
  <conditionalFormatting sqref="E3">
    <cfRule type="expression" dxfId="0" priority="3">
      <formula>COUNTIF(G3:BE3,"&lt;&gt;" &amp; "")&gt;0</formula>
    </cfRule>
    <cfRule type="expression" dxfId="1" priority="4">
      <formula>AND(COUNTIF(G3:BE3,"&lt;&gt;" &amp; "")&gt;0,NOT(ISBLANK(E3)))</formula>
    </cfRule>
  </conditionalFormatting>
  <conditionalFormatting sqref="E30">
    <cfRule type="expression" dxfId="0" priority="53">
      <formula>COUNTIF(G30:BE30,"&lt;&gt;" &amp; "")&gt;0</formula>
    </cfRule>
    <cfRule type="expression" dxfId="1" priority="54">
      <formula>AND(COUNTIF(G30:BE30,"&lt;&gt;" &amp; "")&gt;0,NOT(ISBLANK(E30)))</formula>
    </cfRule>
  </conditionalFormatting>
  <conditionalFormatting sqref="E31">
    <cfRule type="expression" dxfId="0" priority="55">
      <formula>COUNTIF(G31:BE31,"&lt;&gt;" &amp; "")&gt;0</formula>
    </cfRule>
    <cfRule type="expression" dxfId="1" priority="56">
      <formula>AND(COUNTIF(G31:BE31,"&lt;&gt;" &amp; "")&gt;0,NOT(ISBLANK(E31)))</formula>
    </cfRule>
  </conditionalFormatting>
  <conditionalFormatting sqref="E4">
    <cfRule type="expression" dxfId="0" priority="5">
      <formula>COUNTIF(G4:BE4,"&lt;&gt;" &amp; "")&gt;0</formula>
    </cfRule>
    <cfRule type="expression" dxfId="1" priority="6">
      <formula>AND(COUNTIF(G4:BE4,"&lt;&gt;" &amp; "")&gt;0,NOT(ISBLANK(E4)))</formula>
    </cfRule>
  </conditionalFormatting>
  <conditionalFormatting sqref="E5">
    <cfRule type="expression" dxfId="0" priority="7">
      <formula>COUNTIF(G5:BE5,"&lt;&gt;" &amp; "")&gt;0</formula>
    </cfRule>
    <cfRule type="expression" dxfId="1" priority="8">
      <formula>AND(COUNTIF(G5:BE5,"&lt;&gt;" &amp; "")&gt;0,NOT(ISBLANK(E5)))</formula>
    </cfRule>
  </conditionalFormatting>
  <conditionalFormatting sqref="E6">
    <cfRule type="expression" dxfId="0" priority="9">
      <formula>COUNTIF(G6:BE6,"&lt;&gt;" &amp; "")&gt;0</formula>
    </cfRule>
    <cfRule type="expression" dxfId="1" priority="10">
      <formula>AND(COUNTIF(G6:BE6,"&lt;&gt;" &amp; "")&gt;0,NOT(ISBLANK(E6)))</formula>
    </cfRule>
  </conditionalFormatting>
  <conditionalFormatting sqref="E7">
    <cfRule type="expression" dxfId="0" priority="11">
      <formula>COUNTIF(G7:BE7,"&lt;&gt;" &amp; "")&gt;0</formula>
    </cfRule>
    <cfRule type="expression" dxfId="1" priority="12">
      <formula>AND(COUNTIF(G7:BE7,"&lt;&gt;" &amp; "")&gt;0,NOT(ISBLANK(E7)))</formula>
    </cfRule>
  </conditionalFormatting>
  <conditionalFormatting sqref="E8">
    <cfRule type="expression" dxfId="0" priority="13">
      <formula>COUNTIF(G8:BE8,"&lt;&gt;" &amp; "")&gt;0</formula>
    </cfRule>
    <cfRule type="expression" dxfId="1" priority="14">
      <formula>AND(COUNTIF(G8:BE8,"&lt;&gt;" &amp; "")&gt;0,NOT(ISBLANK(E8)))</formula>
    </cfRule>
  </conditionalFormatting>
  <conditionalFormatting sqref="E9">
    <cfRule type="expression" dxfId="0" priority="15">
      <formula>COUNTIF(G9:BE9,"&lt;&gt;" &amp; "")&gt;0</formula>
    </cfRule>
    <cfRule type="expression" dxfId="1" priority="16">
      <formula>AND(COUNTIF(G9:BE9,"&lt;&gt;" &amp; "")&gt;0,NOT(ISBLANK(E9)))</formula>
    </cfRule>
  </conditionalFormatting>
  <dataValidations count="28">
    <dataValidation type="list" allowBlank="1" showInputMessage="1" showErrorMessage="1" sqref="C2">
      <formula1>"N.A."</formula1>
    </dataValidation>
    <dataValidation type="list" allowBlank="1" showInputMessage="1" showErrorMessage="1" sqref="C3">
      <formula1>"N.A."</formula1>
    </dataValidation>
    <dataValidation type="list" allowBlank="1" showInputMessage="1" showErrorMessage="1" sqref="C4">
      <formula1>"N.A."</formula1>
    </dataValidation>
    <dataValidation type="list" allowBlank="1" showInputMessage="1" showErrorMessage="1" sqref="C5">
      <formula1>"N.A."</formula1>
    </dataValidation>
    <dataValidation type="list" allowBlank="1" showInputMessage="1" showErrorMessage="1" sqref="C6">
      <formula1>"N.A."</formula1>
    </dataValidation>
    <dataValidation type="list" allowBlank="1" showInputMessage="1" showErrorMessage="1" sqref="C7">
      <formula1>"N.A."</formula1>
    </dataValidation>
    <dataValidation type="list" allowBlank="1" showInputMessage="1" showErrorMessage="1" sqref="C8">
      <formula1>"N.A."</formula1>
    </dataValidation>
    <dataValidation type="list" allowBlank="1" showInputMessage="1" showErrorMessage="1" sqref="C9">
      <formula1>"N.A."</formula1>
    </dataValidation>
    <dataValidation type="list" allowBlank="1" showInputMessage="1" showErrorMessage="1" sqref="C10">
      <formula1>"N.A."</formula1>
    </dataValidation>
    <dataValidation type="list" allowBlank="1" showInputMessage="1" showErrorMessage="1" sqref="C11">
      <formula1>"N.A."</formula1>
    </dataValidation>
    <dataValidation type="list" allowBlank="1" showInputMessage="1" showErrorMessage="1" sqref="C12">
      <formula1>"N.A."</formula1>
    </dataValidation>
    <dataValidation type="list" allowBlank="1" showInputMessage="1" showErrorMessage="1" sqref="C13">
      <formula1>"N.A."</formula1>
    </dataValidation>
    <dataValidation type="list" allowBlank="1" showInputMessage="1" showErrorMessage="1" sqref="C14">
      <formula1>"N.A."</formula1>
    </dataValidation>
    <dataValidation type="list" allowBlank="1" showInputMessage="1" showErrorMessage="1" sqref="C15">
      <formula1>"N.A."</formula1>
    </dataValidation>
    <dataValidation type="list" allowBlank="1" showInputMessage="1" showErrorMessage="1" sqref="C18">
      <formula1>"N.A."</formula1>
    </dataValidation>
    <dataValidation type="list" allowBlank="1" showInputMessage="1" showErrorMessage="1" sqref="C19">
      <formula1>"N.A."</formula1>
    </dataValidation>
    <dataValidation type="list" allowBlank="1" showInputMessage="1" showErrorMessage="1" sqref="C20">
      <formula1>"N.A."</formula1>
    </dataValidation>
    <dataValidation type="list" allowBlank="1" showInputMessage="1" showErrorMessage="1" sqref="C21">
      <formula1>"N.A."</formula1>
    </dataValidation>
    <dataValidation type="list" allowBlank="1" showInputMessage="1" showErrorMessage="1" sqref="C22">
      <formula1>"N.A."</formula1>
    </dataValidation>
    <dataValidation type="list" allowBlank="1" showInputMessage="1" showErrorMessage="1" sqref="C23">
      <formula1>"N.A."</formula1>
    </dataValidation>
    <dataValidation type="list" allowBlank="1" showInputMessage="1" showErrorMessage="1" sqref="C24">
      <formula1>"N.A."</formula1>
    </dataValidation>
    <dataValidation type="list" allowBlank="1" showInputMessage="1" showErrorMessage="1" sqref="C25">
      <formula1>"N.A."</formula1>
    </dataValidation>
    <dataValidation type="list" allowBlank="1" showInputMessage="1" showErrorMessage="1" sqref="C26">
      <formula1>"N.A."</formula1>
    </dataValidation>
    <dataValidation type="list" allowBlank="1" showInputMessage="1" showErrorMessage="1" sqref="C27">
      <formula1>"N.A."</formula1>
    </dataValidation>
    <dataValidation type="list" allowBlank="1" showInputMessage="1" showErrorMessage="1" sqref="C28">
      <formula1>"N.A."</formula1>
    </dataValidation>
    <dataValidation type="list" allowBlank="1" showInputMessage="1" showErrorMessage="1" sqref="C29">
      <formula1>"N.A."</formula1>
    </dataValidation>
    <dataValidation type="list" allowBlank="1" showInputMessage="1" showErrorMessage="1" sqref="C30">
      <formula1>"N.A."</formula1>
    </dataValidation>
    <dataValidation type="list" allowBlank="1" showInputMessage="1" showErrorMessage="1" sqref="C31">
      <formula1>"N.A."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sheetPr>
    <tabColor rgb="FF808080"/>
  </sheetPr>
  <dimension ref="A1:BE287"/>
  <sheetViews>
    <sheetView workbookViewId="0"/>
  </sheetViews>
  <sheetFormatPr defaultRowHeight="15"/>
  <cols>
    <col min="1" max="1" width="67.7109375" customWidth="1"/>
    <col min="2" max="2" width="30.28515625" customWidth="1"/>
    <col min="3" max="3" width="19.28515625" customWidth="1"/>
    <col min="4" max="4" width="13.85546875" customWidth="1"/>
    <col min="5" max="5" width="10.5703125" customWidth="1"/>
    <col min="6" max="6" width="3.85546875" customWidth="1"/>
    <col min="7" max="57" width="9.42578125" customWidth="1"/>
  </cols>
  <sheetData>
    <row r="1" spans="1:57">
      <c r="A1" s="1" t="s">
        <v>60</v>
      </c>
      <c r="B1" s="1" t="s">
        <v>31</v>
      </c>
      <c r="C1" s="1" t="s">
        <v>32</v>
      </c>
      <c r="D1" s="1" t="s">
        <v>33</v>
      </c>
      <c r="E1" s="1" t="s">
        <v>38</v>
      </c>
      <c r="F1" s="1"/>
      <c r="G1" s="1">
        <v>2000</v>
      </c>
      <c r="H1" s="1">
        <v>2001</v>
      </c>
      <c r="I1" s="1">
        <v>2002</v>
      </c>
      <c r="J1" s="1">
        <v>2003</v>
      </c>
      <c r="K1" s="1">
        <v>2004</v>
      </c>
      <c r="L1" s="1">
        <v>2005</v>
      </c>
      <c r="M1" s="1">
        <v>2006</v>
      </c>
      <c r="N1" s="1">
        <v>2007</v>
      </c>
      <c r="O1" s="1">
        <v>2008</v>
      </c>
      <c r="P1" s="1">
        <v>2009</v>
      </c>
      <c r="Q1" s="1">
        <v>2010</v>
      </c>
      <c r="R1" s="1">
        <v>2011</v>
      </c>
      <c r="S1" s="1">
        <v>2012</v>
      </c>
      <c r="T1" s="1">
        <v>2013</v>
      </c>
      <c r="U1" s="1">
        <v>2014</v>
      </c>
      <c r="V1" s="1">
        <v>2015</v>
      </c>
      <c r="W1" s="1">
        <v>2016</v>
      </c>
      <c r="X1" s="1">
        <v>2017</v>
      </c>
      <c r="Y1" s="1">
        <v>2018</v>
      </c>
      <c r="Z1" s="1">
        <v>2019</v>
      </c>
      <c r="AA1" s="1">
        <v>2020</v>
      </c>
      <c r="AB1" s="1">
        <v>2021</v>
      </c>
      <c r="AC1" s="1">
        <v>2022</v>
      </c>
      <c r="AD1" s="1">
        <v>2023</v>
      </c>
      <c r="AE1" s="1">
        <v>2024</v>
      </c>
      <c r="AF1" s="1">
        <v>2025</v>
      </c>
      <c r="AG1" s="1">
        <v>2026</v>
      </c>
      <c r="AH1" s="1">
        <v>2027</v>
      </c>
      <c r="AI1" s="1">
        <v>2028</v>
      </c>
      <c r="AJ1" s="1">
        <v>2029</v>
      </c>
      <c r="AK1" s="1">
        <v>2030</v>
      </c>
      <c r="AL1" s="1">
        <v>2031</v>
      </c>
      <c r="AM1" s="1">
        <v>2032</v>
      </c>
      <c r="AN1" s="1">
        <v>2033</v>
      </c>
      <c r="AO1" s="1">
        <v>2034</v>
      </c>
      <c r="AP1" s="1">
        <v>2035</v>
      </c>
      <c r="AQ1" s="1">
        <v>2036</v>
      </c>
      <c r="AR1" s="1">
        <v>2037</v>
      </c>
      <c r="AS1" s="1">
        <v>2038</v>
      </c>
      <c r="AT1" s="1">
        <v>2039</v>
      </c>
      <c r="AU1" s="1">
        <v>2040</v>
      </c>
      <c r="AV1" s="1">
        <v>2041</v>
      </c>
      <c r="AW1" s="1">
        <v>2042</v>
      </c>
      <c r="AX1" s="1">
        <v>2043</v>
      </c>
      <c r="AY1" s="1">
        <v>2044</v>
      </c>
      <c r="AZ1" s="1">
        <v>2045</v>
      </c>
      <c r="BA1" s="1">
        <v>2046</v>
      </c>
      <c r="BB1" s="1">
        <v>2047</v>
      </c>
      <c r="BC1" s="1">
        <v>2048</v>
      </c>
      <c r="BD1" s="1">
        <v>2049</v>
      </c>
      <c r="BE1" s="1">
        <v>2050</v>
      </c>
    </row>
    <row r="2" spans="1:57">
      <c r="A2" s="1" t="str">
        <f>'Population Definitions'!$A$2</f>
        <v>PWID_males</v>
      </c>
      <c r="C2" t="s">
        <v>50</v>
      </c>
      <c r="D2" s="3">
        <v>0.02806122448979592</v>
      </c>
      <c r="E2" s="3">
        <v>0.1988950276243094</v>
      </c>
      <c r="F2" s="4" t="s">
        <v>39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</row>
    <row r="3" spans="1:57">
      <c r="A3" s="1" t="str">
        <f>'Population Definitions'!$A$3</f>
        <v>PWID_females</v>
      </c>
      <c r="C3" t="s">
        <v>50</v>
      </c>
      <c r="D3" s="3">
        <v>0.03316326530612245</v>
      </c>
      <c r="E3" s="3">
        <v>0.4210526315789473</v>
      </c>
      <c r="F3" s="4" t="s">
        <v>39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</row>
    <row r="4" spans="1:57">
      <c r="A4" s="1" t="str">
        <f>'Population Definitions'!$A$4</f>
        <v>0-9_males</v>
      </c>
      <c r="C4" t="s">
        <v>50</v>
      </c>
      <c r="D4" s="3">
        <v>0.02806122448979592</v>
      </c>
      <c r="E4" s="3">
        <v>0.1988950276243094</v>
      </c>
      <c r="F4" s="4" t="s">
        <v>39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</row>
    <row r="5" spans="1:57">
      <c r="A5" s="1" t="str">
        <f>'Population Definitions'!$A$5</f>
        <v>0-9_females</v>
      </c>
      <c r="C5" t="s">
        <v>50</v>
      </c>
      <c r="D5" s="3">
        <v>0.03316326530612245</v>
      </c>
      <c r="E5" s="3">
        <v>0.4210526315789473</v>
      </c>
      <c r="F5" s="4" t="s">
        <v>39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</row>
    <row r="6" spans="1:57">
      <c r="A6" s="1" t="str">
        <f>'Population Definitions'!$A$6</f>
        <v>10-17_males</v>
      </c>
      <c r="C6" t="s">
        <v>50</v>
      </c>
      <c r="D6" s="3">
        <v>0.02806122448979592</v>
      </c>
      <c r="E6" s="3">
        <v>0.1988950276243094</v>
      </c>
      <c r="F6" s="4" t="s">
        <v>39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</row>
    <row r="7" spans="1:57">
      <c r="A7" s="1" t="str">
        <f>'Population Definitions'!$A$7</f>
        <v>10-17_females</v>
      </c>
      <c r="C7" t="s">
        <v>50</v>
      </c>
      <c r="D7" s="3">
        <v>0.03316326530612245</v>
      </c>
      <c r="E7" s="3">
        <v>0.4210526315789473</v>
      </c>
      <c r="F7" s="4" t="s">
        <v>39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</row>
    <row r="8" spans="1:57">
      <c r="A8" s="1" t="str">
        <f>'Population Definitions'!$A$8</f>
        <v>18-64_males</v>
      </c>
      <c r="C8" t="s">
        <v>50</v>
      </c>
      <c r="D8" s="3">
        <v>0.02806122448979592</v>
      </c>
      <c r="E8" s="3">
        <v>0.1988950276243094</v>
      </c>
      <c r="F8" s="4" t="s">
        <v>39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</row>
    <row r="9" spans="1:57">
      <c r="A9" s="1" t="str">
        <f>'Population Definitions'!$A$9</f>
        <v>18-64_females</v>
      </c>
      <c r="C9" t="s">
        <v>50</v>
      </c>
      <c r="D9" s="3">
        <v>0.03316326530612245</v>
      </c>
      <c r="E9" s="3">
        <v>0.4210526315789473</v>
      </c>
      <c r="F9" s="4" t="s">
        <v>39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</row>
    <row r="10" spans="1:57">
      <c r="A10" s="1" t="str">
        <f>'Population Definitions'!$A$10</f>
        <v>65+_males</v>
      </c>
      <c r="C10" t="s">
        <v>50</v>
      </c>
      <c r="D10" s="3">
        <v>0.02806122448979592</v>
      </c>
      <c r="E10" s="3">
        <v>0.1988950276243094</v>
      </c>
      <c r="F10" s="4" t="s">
        <v>39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</row>
    <row r="11" spans="1:57">
      <c r="A11" s="1" t="str">
        <f>'Population Definitions'!$A$11</f>
        <v>65+_females</v>
      </c>
      <c r="C11" t="s">
        <v>50</v>
      </c>
      <c r="D11" s="3">
        <v>0.03316326530612245</v>
      </c>
      <c r="E11" s="3">
        <v>0.4210526315789473</v>
      </c>
      <c r="F11" s="4" t="s">
        <v>39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</row>
    <row r="12" spans="1:57">
      <c r="A12" s="1" t="str">
        <f>'Population Definitions'!$A$12</f>
        <v>Prisoners_males</v>
      </c>
      <c r="C12" t="s">
        <v>50</v>
      </c>
      <c r="D12" s="3">
        <v>0.02806122448979592</v>
      </c>
      <c r="E12" s="3">
        <v>0.1988950276243094</v>
      </c>
      <c r="F12" s="4" t="s">
        <v>39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</row>
    <row r="13" spans="1:57">
      <c r="A13" s="1" t="str">
        <f>'Population Definitions'!$A$13</f>
        <v>Prisoners_females</v>
      </c>
      <c r="C13" t="s">
        <v>50</v>
      </c>
      <c r="D13" s="3">
        <v>0.03316326530612245</v>
      </c>
      <c r="E13" s="3">
        <v>0.4210526315789473</v>
      </c>
      <c r="F13" s="4" t="s">
        <v>39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</row>
    <row r="14" spans="1:57">
      <c r="A14" s="1" t="str">
        <f>'Population Definitions'!$A$14</f>
        <v>Prisoners_PWID_males</v>
      </c>
      <c r="C14" t="s">
        <v>50</v>
      </c>
      <c r="D14" s="3">
        <v>0.02806122448979592</v>
      </c>
      <c r="E14" s="3">
        <v>0.1988950276243094</v>
      </c>
      <c r="F14" s="4" t="s">
        <v>39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</row>
    <row r="15" spans="1:57">
      <c r="A15" s="1" t="str">
        <f>'Population Definitions'!$A$15</f>
        <v>Prisoners_PWID_females</v>
      </c>
      <c r="C15" t="s">
        <v>50</v>
      </c>
      <c r="D15" s="3">
        <v>0.03316326530612245</v>
      </c>
      <c r="E15" s="3">
        <v>0.4210526315789473</v>
      </c>
      <c r="F15" s="4" t="s">
        <v>39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</row>
    <row r="17" spans="1:57">
      <c r="A17" s="1" t="s">
        <v>61</v>
      </c>
      <c r="B17" s="1" t="s">
        <v>31</v>
      </c>
      <c r="C17" s="1" t="s">
        <v>32</v>
      </c>
      <c r="D17" s="1" t="s">
        <v>33</v>
      </c>
      <c r="E17" s="1" t="s">
        <v>38</v>
      </c>
      <c r="F17" s="1"/>
      <c r="G17" s="1">
        <v>2000</v>
      </c>
      <c r="H17" s="1">
        <v>2001</v>
      </c>
      <c r="I17" s="1">
        <v>2002</v>
      </c>
      <c r="J17" s="1">
        <v>2003</v>
      </c>
      <c r="K17" s="1">
        <v>2004</v>
      </c>
      <c r="L17" s="1">
        <v>2005</v>
      </c>
      <c r="M17" s="1">
        <v>2006</v>
      </c>
      <c r="N17" s="1">
        <v>2007</v>
      </c>
      <c r="O17" s="1">
        <v>2008</v>
      </c>
      <c r="P17" s="1">
        <v>2009</v>
      </c>
      <c r="Q17" s="1">
        <v>2010</v>
      </c>
      <c r="R17" s="1">
        <v>2011</v>
      </c>
      <c r="S17" s="1">
        <v>2012</v>
      </c>
      <c r="T17" s="1">
        <v>2013</v>
      </c>
      <c r="U17" s="1">
        <v>2014</v>
      </c>
      <c r="V17" s="1">
        <v>2015</v>
      </c>
      <c r="W17" s="1">
        <v>2016</v>
      </c>
      <c r="X17" s="1">
        <v>2017</v>
      </c>
      <c r="Y17" s="1">
        <v>2018</v>
      </c>
      <c r="Z17" s="1">
        <v>2019</v>
      </c>
      <c r="AA17" s="1">
        <v>2020</v>
      </c>
      <c r="AB17" s="1">
        <v>2021</v>
      </c>
      <c r="AC17" s="1">
        <v>2022</v>
      </c>
      <c r="AD17" s="1">
        <v>2023</v>
      </c>
      <c r="AE17" s="1">
        <v>2024</v>
      </c>
      <c r="AF17" s="1">
        <v>2025</v>
      </c>
      <c r="AG17" s="1">
        <v>2026</v>
      </c>
      <c r="AH17" s="1">
        <v>2027</v>
      </c>
      <c r="AI17" s="1">
        <v>2028</v>
      </c>
      <c r="AJ17" s="1">
        <v>2029</v>
      </c>
      <c r="AK17" s="1">
        <v>2030</v>
      </c>
      <c r="AL17" s="1">
        <v>2031</v>
      </c>
      <c r="AM17" s="1">
        <v>2032</v>
      </c>
      <c r="AN17" s="1">
        <v>2033</v>
      </c>
      <c r="AO17" s="1">
        <v>2034</v>
      </c>
      <c r="AP17" s="1">
        <v>2035</v>
      </c>
      <c r="AQ17" s="1">
        <v>2036</v>
      </c>
      <c r="AR17" s="1">
        <v>2037</v>
      </c>
      <c r="AS17" s="1">
        <v>2038</v>
      </c>
      <c r="AT17" s="1">
        <v>2039</v>
      </c>
      <c r="AU17" s="1">
        <v>2040</v>
      </c>
      <c r="AV17" s="1">
        <v>2041</v>
      </c>
      <c r="AW17" s="1">
        <v>2042</v>
      </c>
      <c r="AX17" s="1">
        <v>2043</v>
      </c>
      <c r="AY17" s="1">
        <v>2044</v>
      </c>
      <c r="AZ17" s="1">
        <v>2045</v>
      </c>
      <c r="BA17" s="1">
        <v>2046</v>
      </c>
      <c r="BB17" s="1">
        <v>2047</v>
      </c>
      <c r="BC17" s="1">
        <v>2048</v>
      </c>
      <c r="BD17" s="1">
        <v>2049</v>
      </c>
      <c r="BE17" s="1">
        <v>2050</v>
      </c>
    </row>
    <row r="18" spans="1:57">
      <c r="A18" s="1" t="str">
        <f>'Population Definitions'!$A$2</f>
        <v>PWID_males</v>
      </c>
      <c r="B18" t="s">
        <v>62</v>
      </c>
      <c r="C18" t="s">
        <v>63</v>
      </c>
      <c r="D18" s="3"/>
      <c r="E18" s="3">
        <v>1</v>
      </c>
      <c r="F18" s="4" t="s">
        <v>39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</row>
    <row r="19" spans="1:57">
      <c r="A19" s="1" t="str">
        <f>'Population Definitions'!$A$3</f>
        <v>PWID_females</v>
      </c>
      <c r="B19" t="s">
        <v>62</v>
      </c>
      <c r="C19" t="s">
        <v>63</v>
      </c>
      <c r="D19" s="3"/>
      <c r="E19" s="3">
        <v>1</v>
      </c>
      <c r="F19" s="4" t="s">
        <v>39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</row>
    <row r="20" spans="1:57">
      <c r="A20" s="1" t="str">
        <f>'Population Definitions'!$A$4</f>
        <v>0-9_males</v>
      </c>
      <c r="B20" t="s">
        <v>62</v>
      </c>
      <c r="C20" t="s">
        <v>63</v>
      </c>
      <c r="D20" s="3"/>
      <c r="E20" s="3">
        <v>1</v>
      </c>
      <c r="F20" s="4" t="s">
        <v>39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</row>
    <row r="21" spans="1:57">
      <c r="A21" s="1" t="str">
        <f>'Population Definitions'!$A$5</f>
        <v>0-9_females</v>
      </c>
      <c r="B21" t="s">
        <v>62</v>
      </c>
      <c r="C21" t="s">
        <v>63</v>
      </c>
      <c r="D21" s="3"/>
      <c r="E21" s="3">
        <v>1</v>
      </c>
      <c r="F21" s="4" t="s">
        <v>39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</row>
    <row r="22" spans="1:57">
      <c r="A22" s="1" t="str">
        <f>'Population Definitions'!$A$6</f>
        <v>10-17_males</v>
      </c>
      <c r="B22" t="s">
        <v>62</v>
      </c>
      <c r="C22" t="s">
        <v>63</v>
      </c>
      <c r="D22" s="3"/>
      <c r="E22" s="3">
        <v>1</v>
      </c>
      <c r="F22" s="4" t="s">
        <v>39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</row>
    <row r="23" spans="1:57">
      <c r="A23" s="1" t="str">
        <f>'Population Definitions'!$A$7</f>
        <v>10-17_females</v>
      </c>
      <c r="B23" t="s">
        <v>62</v>
      </c>
      <c r="C23" t="s">
        <v>63</v>
      </c>
      <c r="D23" s="3"/>
      <c r="E23" s="3">
        <v>1</v>
      </c>
      <c r="F23" s="4" t="s">
        <v>39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</row>
    <row r="24" spans="1:57">
      <c r="A24" s="1" t="str">
        <f>'Population Definitions'!$A$8</f>
        <v>18-64_males</v>
      </c>
      <c r="B24" t="s">
        <v>62</v>
      </c>
      <c r="C24" t="s">
        <v>63</v>
      </c>
      <c r="D24" s="3"/>
      <c r="E24" s="3">
        <v>1</v>
      </c>
      <c r="F24" s="4" t="s">
        <v>39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</row>
    <row r="25" spans="1:57">
      <c r="A25" s="1" t="str">
        <f>'Population Definitions'!$A$9</f>
        <v>18-64_females</v>
      </c>
      <c r="B25" t="s">
        <v>62</v>
      </c>
      <c r="C25" t="s">
        <v>63</v>
      </c>
      <c r="D25" s="3"/>
      <c r="E25" s="3">
        <v>1</v>
      </c>
      <c r="F25" s="4" t="s">
        <v>39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</row>
    <row r="26" spans="1:57">
      <c r="A26" s="1" t="str">
        <f>'Population Definitions'!$A$10</f>
        <v>65+_males</v>
      </c>
      <c r="B26" t="s">
        <v>62</v>
      </c>
      <c r="C26" t="s">
        <v>63</v>
      </c>
      <c r="D26" s="3"/>
      <c r="E26" s="3">
        <v>1</v>
      </c>
      <c r="F26" s="4" t="s">
        <v>39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</row>
    <row r="27" spans="1:57">
      <c r="A27" s="1" t="str">
        <f>'Population Definitions'!$A$11</f>
        <v>65+_females</v>
      </c>
      <c r="B27" t="s">
        <v>62</v>
      </c>
      <c r="C27" t="s">
        <v>63</v>
      </c>
      <c r="D27" s="3"/>
      <c r="E27" s="3">
        <v>1</v>
      </c>
      <c r="F27" s="4" t="s">
        <v>39</v>
      </c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</row>
    <row r="28" spans="1:57">
      <c r="A28" s="1" t="str">
        <f>'Population Definitions'!$A$12</f>
        <v>Prisoners_males</v>
      </c>
      <c r="B28" t="s">
        <v>62</v>
      </c>
      <c r="C28" t="s">
        <v>63</v>
      </c>
      <c r="D28" s="3"/>
      <c r="E28" s="3">
        <v>1</v>
      </c>
      <c r="F28" s="4" t="s">
        <v>39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</row>
    <row r="29" spans="1:57">
      <c r="A29" s="1" t="str">
        <f>'Population Definitions'!$A$13</f>
        <v>Prisoners_females</v>
      </c>
      <c r="B29" t="s">
        <v>62</v>
      </c>
      <c r="C29" t="s">
        <v>63</v>
      </c>
      <c r="D29" s="3"/>
      <c r="E29" s="3">
        <v>1</v>
      </c>
      <c r="F29" s="4" t="s">
        <v>39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</row>
    <row r="30" spans="1:57">
      <c r="A30" s="1" t="str">
        <f>'Population Definitions'!$A$14</f>
        <v>Prisoners_PWID_males</v>
      </c>
      <c r="B30" t="s">
        <v>62</v>
      </c>
      <c r="C30" t="s">
        <v>63</v>
      </c>
      <c r="D30" s="3"/>
      <c r="E30" s="3">
        <v>1</v>
      </c>
      <c r="F30" s="4" t="s">
        <v>39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</row>
    <row r="31" spans="1:57">
      <c r="A31" s="1" t="str">
        <f>'Population Definitions'!$A$15</f>
        <v>Prisoners_PWID_females</v>
      </c>
      <c r="B31" t="s">
        <v>62</v>
      </c>
      <c r="C31" t="s">
        <v>63</v>
      </c>
      <c r="D31" s="3"/>
      <c r="E31" s="3">
        <v>1</v>
      </c>
      <c r="F31" s="4" t="s">
        <v>39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</row>
    <row r="33" spans="1:57">
      <c r="A33" s="1" t="s">
        <v>64</v>
      </c>
      <c r="B33" s="1" t="s">
        <v>31</v>
      </c>
      <c r="C33" s="1" t="s">
        <v>32</v>
      </c>
      <c r="D33" s="1" t="s">
        <v>33</v>
      </c>
      <c r="E33" s="1" t="s">
        <v>38</v>
      </c>
      <c r="F33" s="1"/>
      <c r="G33" s="1">
        <v>2000</v>
      </c>
      <c r="H33" s="1">
        <v>2001</v>
      </c>
      <c r="I33" s="1">
        <v>2002</v>
      </c>
      <c r="J33" s="1">
        <v>2003</v>
      </c>
      <c r="K33" s="1">
        <v>2004</v>
      </c>
      <c r="L33" s="1">
        <v>2005</v>
      </c>
      <c r="M33" s="1">
        <v>2006</v>
      </c>
      <c r="N33" s="1">
        <v>2007</v>
      </c>
      <c r="O33" s="1">
        <v>2008</v>
      </c>
      <c r="P33" s="1">
        <v>2009</v>
      </c>
      <c r="Q33" s="1">
        <v>2010</v>
      </c>
      <c r="R33" s="1">
        <v>2011</v>
      </c>
      <c r="S33" s="1">
        <v>2012</v>
      </c>
      <c r="T33" s="1">
        <v>2013</v>
      </c>
      <c r="U33" s="1">
        <v>2014</v>
      </c>
      <c r="V33" s="1">
        <v>2015</v>
      </c>
      <c r="W33" s="1">
        <v>2016</v>
      </c>
      <c r="X33" s="1">
        <v>2017</v>
      </c>
      <c r="Y33" s="1">
        <v>2018</v>
      </c>
      <c r="Z33" s="1">
        <v>2019</v>
      </c>
      <c r="AA33" s="1">
        <v>2020</v>
      </c>
      <c r="AB33" s="1">
        <v>2021</v>
      </c>
      <c r="AC33" s="1">
        <v>2022</v>
      </c>
      <c r="AD33" s="1">
        <v>2023</v>
      </c>
      <c r="AE33" s="1">
        <v>2024</v>
      </c>
      <c r="AF33" s="1">
        <v>2025</v>
      </c>
      <c r="AG33" s="1">
        <v>2026</v>
      </c>
      <c r="AH33" s="1">
        <v>2027</v>
      </c>
      <c r="AI33" s="1">
        <v>2028</v>
      </c>
      <c r="AJ33" s="1">
        <v>2029</v>
      </c>
      <c r="AK33" s="1">
        <v>2030</v>
      </c>
      <c r="AL33" s="1">
        <v>2031</v>
      </c>
      <c r="AM33" s="1">
        <v>2032</v>
      </c>
      <c r="AN33" s="1">
        <v>2033</v>
      </c>
      <c r="AO33" s="1">
        <v>2034</v>
      </c>
      <c r="AP33" s="1">
        <v>2035</v>
      </c>
      <c r="AQ33" s="1">
        <v>2036</v>
      </c>
      <c r="AR33" s="1">
        <v>2037</v>
      </c>
      <c r="AS33" s="1">
        <v>2038</v>
      </c>
      <c r="AT33" s="1">
        <v>2039</v>
      </c>
      <c r="AU33" s="1">
        <v>2040</v>
      </c>
      <c r="AV33" s="1">
        <v>2041</v>
      </c>
      <c r="AW33" s="1">
        <v>2042</v>
      </c>
      <c r="AX33" s="1">
        <v>2043</v>
      </c>
      <c r="AY33" s="1">
        <v>2044</v>
      </c>
      <c r="AZ33" s="1">
        <v>2045</v>
      </c>
      <c r="BA33" s="1">
        <v>2046</v>
      </c>
      <c r="BB33" s="1">
        <v>2047</v>
      </c>
      <c r="BC33" s="1">
        <v>2048</v>
      </c>
      <c r="BD33" s="1">
        <v>2049</v>
      </c>
      <c r="BE33" s="1">
        <v>2050</v>
      </c>
    </row>
    <row r="34" spans="1:57">
      <c r="A34" s="1" t="str">
        <f>'Population Definitions'!$A$2</f>
        <v>PWID_males</v>
      </c>
      <c r="C34" t="s">
        <v>55</v>
      </c>
      <c r="D34" s="3">
        <v>0.09438775510204081</v>
      </c>
      <c r="E34" s="3">
        <v>0.25</v>
      </c>
      <c r="F34" s="4" t="s">
        <v>39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</row>
    <row r="35" spans="1:57">
      <c r="A35" s="1" t="str">
        <f>'Population Definitions'!$A$3</f>
        <v>PWID_females</v>
      </c>
      <c r="C35" t="s">
        <v>55</v>
      </c>
      <c r="D35" s="3">
        <v>0.09438775510204081</v>
      </c>
      <c r="E35" s="3">
        <v>0.25</v>
      </c>
      <c r="F35" s="4" t="s">
        <v>39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</row>
    <row r="36" spans="1:57">
      <c r="A36" s="1" t="str">
        <f>'Population Definitions'!$A$4</f>
        <v>0-9_males</v>
      </c>
      <c r="C36" t="s">
        <v>55</v>
      </c>
      <c r="D36" s="3">
        <v>0.09438775510204081</v>
      </c>
      <c r="E36" s="3">
        <v>0.25</v>
      </c>
      <c r="F36" s="4" t="s">
        <v>39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</row>
    <row r="37" spans="1:57">
      <c r="A37" s="1" t="str">
        <f>'Population Definitions'!$A$5</f>
        <v>0-9_females</v>
      </c>
      <c r="C37" t="s">
        <v>55</v>
      </c>
      <c r="D37" s="3">
        <v>0.09438775510204081</v>
      </c>
      <c r="E37" s="3">
        <v>0.25</v>
      </c>
      <c r="F37" s="4" t="s">
        <v>39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</row>
    <row r="38" spans="1:57">
      <c r="A38" s="1" t="str">
        <f>'Population Definitions'!$A$6</f>
        <v>10-17_males</v>
      </c>
      <c r="C38" t="s">
        <v>55</v>
      </c>
      <c r="D38" s="3">
        <v>0.09438775510204081</v>
      </c>
      <c r="E38" s="3">
        <v>0.25</v>
      </c>
      <c r="F38" s="4" t="s">
        <v>39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</row>
    <row r="39" spans="1:57">
      <c r="A39" s="1" t="str">
        <f>'Population Definitions'!$A$7</f>
        <v>10-17_females</v>
      </c>
      <c r="C39" t="s">
        <v>55</v>
      </c>
      <c r="D39" s="3">
        <v>0.09438775510204081</v>
      </c>
      <c r="E39" s="3">
        <v>0.25</v>
      </c>
      <c r="F39" s="4" t="s">
        <v>39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</row>
    <row r="40" spans="1:57">
      <c r="A40" s="1" t="str">
        <f>'Population Definitions'!$A$8</f>
        <v>18-64_males</v>
      </c>
      <c r="C40" t="s">
        <v>55</v>
      </c>
      <c r="D40" s="3">
        <v>0.09438775510204081</v>
      </c>
      <c r="E40" s="3">
        <v>0.25</v>
      </c>
      <c r="F40" s="4" t="s">
        <v>39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</row>
    <row r="41" spans="1:57">
      <c r="A41" s="1" t="str">
        <f>'Population Definitions'!$A$9</f>
        <v>18-64_females</v>
      </c>
      <c r="C41" t="s">
        <v>55</v>
      </c>
      <c r="D41" s="3">
        <v>0.09438775510204081</v>
      </c>
      <c r="E41" s="3">
        <v>0.25</v>
      </c>
      <c r="F41" s="4" t="s">
        <v>39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</row>
    <row r="42" spans="1:57">
      <c r="A42" s="1" t="str">
        <f>'Population Definitions'!$A$10</f>
        <v>65+_males</v>
      </c>
      <c r="C42" t="s">
        <v>55</v>
      </c>
      <c r="D42" s="3">
        <v>0.09438775510204081</v>
      </c>
      <c r="E42" s="3">
        <v>0.25</v>
      </c>
      <c r="F42" s="4" t="s">
        <v>39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</row>
    <row r="43" spans="1:57">
      <c r="A43" s="1" t="str">
        <f>'Population Definitions'!$A$11</f>
        <v>65+_females</v>
      </c>
      <c r="C43" t="s">
        <v>55</v>
      </c>
      <c r="D43" s="3">
        <v>0.09438775510204081</v>
      </c>
      <c r="E43" s="3">
        <v>0.25</v>
      </c>
      <c r="F43" s="4" t="s">
        <v>39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</row>
    <row r="44" spans="1:57">
      <c r="A44" s="1" t="str">
        <f>'Population Definitions'!$A$12</f>
        <v>Prisoners_males</v>
      </c>
      <c r="C44" t="s">
        <v>55</v>
      </c>
      <c r="D44" s="3">
        <v>0.09438775510204081</v>
      </c>
      <c r="E44" s="3">
        <v>0.25</v>
      </c>
      <c r="F44" s="4" t="s">
        <v>39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</row>
    <row r="45" spans="1:57">
      <c r="A45" s="1" t="str">
        <f>'Population Definitions'!$A$13</f>
        <v>Prisoners_females</v>
      </c>
      <c r="C45" t="s">
        <v>55</v>
      </c>
      <c r="D45" s="3">
        <v>0.09438775510204081</v>
      </c>
      <c r="E45" s="3">
        <v>0.25</v>
      </c>
      <c r="F45" s="4" t="s">
        <v>39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</row>
    <row r="46" spans="1:57">
      <c r="A46" s="1" t="str">
        <f>'Population Definitions'!$A$14</f>
        <v>Prisoners_PWID_males</v>
      </c>
      <c r="C46" t="s">
        <v>55</v>
      </c>
      <c r="D46" s="3">
        <v>0.09438775510204081</v>
      </c>
      <c r="E46" s="3">
        <v>0.25</v>
      </c>
      <c r="F46" s="4" t="s">
        <v>39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</row>
    <row r="47" spans="1:57">
      <c r="A47" s="1" t="str">
        <f>'Population Definitions'!$A$15</f>
        <v>Prisoners_PWID_females</v>
      </c>
      <c r="C47" t="s">
        <v>55</v>
      </c>
      <c r="D47" s="3">
        <v>0.09438775510204081</v>
      </c>
      <c r="E47" s="3">
        <v>0.25</v>
      </c>
      <c r="F47" s="4" t="s">
        <v>39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</row>
    <row r="49" spans="1:57">
      <c r="A49" s="1" t="s">
        <v>65</v>
      </c>
      <c r="B49" s="1" t="s">
        <v>31</v>
      </c>
      <c r="C49" s="1" t="s">
        <v>32</v>
      </c>
      <c r="D49" s="1" t="s">
        <v>33</v>
      </c>
      <c r="E49" s="1" t="s">
        <v>38</v>
      </c>
      <c r="F49" s="1"/>
      <c r="G49" s="1">
        <v>2000</v>
      </c>
      <c r="H49" s="1">
        <v>2001</v>
      </c>
      <c r="I49" s="1">
        <v>2002</v>
      </c>
      <c r="J49" s="1">
        <v>2003</v>
      </c>
      <c r="K49" s="1">
        <v>2004</v>
      </c>
      <c r="L49" s="1">
        <v>2005</v>
      </c>
      <c r="M49" s="1">
        <v>2006</v>
      </c>
      <c r="N49" s="1">
        <v>2007</v>
      </c>
      <c r="O49" s="1">
        <v>2008</v>
      </c>
      <c r="P49" s="1">
        <v>2009</v>
      </c>
      <c r="Q49" s="1">
        <v>2010</v>
      </c>
      <c r="R49" s="1">
        <v>2011</v>
      </c>
      <c r="S49" s="1">
        <v>2012</v>
      </c>
      <c r="T49" s="1">
        <v>2013</v>
      </c>
      <c r="U49" s="1">
        <v>2014</v>
      </c>
      <c r="V49" s="1">
        <v>2015</v>
      </c>
      <c r="W49" s="1">
        <v>2016</v>
      </c>
      <c r="X49" s="1">
        <v>2017</v>
      </c>
      <c r="Y49" s="1">
        <v>2018</v>
      </c>
      <c r="Z49" s="1">
        <v>2019</v>
      </c>
      <c r="AA49" s="1">
        <v>2020</v>
      </c>
      <c r="AB49" s="1">
        <v>2021</v>
      </c>
      <c r="AC49" s="1">
        <v>2022</v>
      </c>
      <c r="AD49" s="1">
        <v>2023</v>
      </c>
      <c r="AE49" s="1">
        <v>2024</v>
      </c>
      <c r="AF49" s="1">
        <v>2025</v>
      </c>
      <c r="AG49" s="1">
        <v>2026</v>
      </c>
      <c r="AH49" s="1">
        <v>2027</v>
      </c>
      <c r="AI49" s="1">
        <v>2028</v>
      </c>
      <c r="AJ49" s="1">
        <v>2029</v>
      </c>
      <c r="AK49" s="1">
        <v>2030</v>
      </c>
      <c r="AL49" s="1">
        <v>2031</v>
      </c>
      <c r="AM49" s="1">
        <v>2032</v>
      </c>
      <c r="AN49" s="1">
        <v>2033</v>
      </c>
      <c r="AO49" s="1">
        <v>2034</v>
      </c>
      <c r="AP49" s="1">
        <v>2035</v>
      </c>
      <c r="AQ49" s="1">
        <v>2036</v>
      </c>
      <c r="AR49" s="1">
        <v>2037</v>
      </c>
      <c r="AS49" s="1">
        <v>2038</v>
      </c>
      <c r="AT49" s="1">
        <v>2039</v>
      </c>
      <c r="AU49" s="1">
        <v>2040</v>
      </c>
      <c r="AV49" s="1">
        <v>2041</v>
      </c>
      <c r="AW49" s="1">
        <v>2042</v>
      </c>
      <c r="AX49" s="1">
        <v>2043</v>
      </c>
      <c r="AY49" s="1">
        <v>2044</v>
      </c>
      <c r="AZ49" s="1">
        <v>2045</v>
      </c>
      <c r="BA49" s="1">
        <v>2046</v>
      </c>
      <c r="BB49" s="1">
        <v>2047</v>
      </c>
      <c r="BC49" s="1">
        <v>2048</v>
      </c>
      <c r="BD49" s="1">
        <v>2049</v>
      </c>
      <c r="BE49" s="1">
        <v>2050</v>
      </c>
    </row>
    <row r="50" spans="1:57">
      <c r="A50" s="1" t="str">
        <f>'Population Definitions'!$A$2</f>
        <v>PWID_males</v>
      </c>
      <c r="C50" t="s">
        <v>55</v>
      </c>
      <c r="D50" s="3">
        <v>0.03061224489795919</v>
      </c>
      <c r="E50" s="3">
        <v>0.08</v>
      </c>
      <c r="F50" s="4" t="s">
        <v>39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</row>
    <row r="51" spans="1:57">
      <c r="A51" s="1" t="str">
        <f>'Population Definitions'!$A$3</f>
        <v>PWID_females</v>
      </c>
      <c r="C51" t="s">
        <v>55</v>
      </c>
      <c r="D51" s="3">
        <v>0.03061224489795919</v>
      </c>
      <c r="E51" s="3">
        <v>0.08</v>
      </c>
      <c r="F51" s="4" t="s">
        <v>39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</row>
    <row r="52" spans="1:57">
      <c r="A52" s="1" t="str">
        <f>'Population Definitions'!$A$4</f>
        <v>0-9_males</v>
      </c>
      <c r="C52" t="s">
        <v>55</v>
      </c>
      <c r="D52" s="3">
        <v>0.03061224489795919</v>
      </c>
      <c r="E52" s="3">
        <v>0.08</v>
      </c>
      <c r="F52" s="4" t="s">
        <v>39</v>
      </c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</row>
    <row r="53" spans="1:57">
      <c r="A53" s="1" t="str">
        <f>'Population Definitions'!$A$5</f>
        <v>0-9_females</v>
      </c>
      <c r="C53" t="s">
        <v>55</v>
      </c>
      <c r="D53" s="3">
        <v>0.03061224489795919</v>
      </c>
      <c r="E53" s="3">
        <v>0.08</v>
      </c>
      <c r="F53" s="4" t="s">
        <v>39</v>
      </c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</row>
    <row r="54" spans="1:57">
      <c r="A54" s="1" t="str">
        <f>'Population Definitions'!$A$6</f>
        <v>10-17_males</v>
      </c>
      <c r="C54" t="s">
        <v>55</v>
      </c>
      <c r="D54" s="3">
        <v>0.03061224489795919</v>
      </c>
      <c r="E54" s="3">
        <v>0.08</v>
      </c>
      <c r="F54" s="4" t="s">
        <v>39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</row>
    <row r="55" spans="1:57">
      <c r="A55" s="1" t="str">
        <f>'Population Definitions'!$A$7</f>
        <v>10-17_females</v>
      </c>
      <c r="C55" t="s">
        <v>55</v>
      </c>
      <c r="D55" s="3">
        <v>0.03061224489795919</v>
      </c>
      <c r="E55" s="3">
        <v>0.08</v>
      </c>
      <c r="F55" s="4" t="s">
        <v>39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</row>
    <row r="56" spans="1:57">
      <c r="A56" s="1" t="str">
        <f>'Population Definitions'!$A$8</f>
        <v>18-64_males</v>
      </c>
      <c r="C56" t="s">
        <v>55</v>
      </c>
      <c r="D56" s="3">
        <v>0.03061224489795919</v>
      </c>
      <c r="E56" s="3">
        <v>0.08</v>
      </c>
      <c r="F56" s="4" t="s">
        <v>39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</row>
    <row r="57" spans="1:57">
      <c r="A57" s="1" t="str">
        <f>'Population Definitions'!$A$9</f>
        <v>18-64_females</v>
      </c>
      <c r="C57" t="s">
        <v>55</v>
      </c>
      <c r="D57" s="3">
        <v>0.03061224489795919</v>
      </c>
      <c r="E57" s="3">
        <v>0.08</v>
      </c>
      <c r="F57" s="4" t="s">
        <v>39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</row>
    <row r="58" spans="1:57">
      <c r="A58" s="1" t="str">
        <f>'Population Definitions'!$A$10</f>
        <v>65+_males</v>
      </c>
      <c r="C58" t="s">
        <v>55</v>
      </c>
      <c r="D58" s="3">
        <v>0.03061224489795919</v>
      </c>
      <c r="E58" s="3">
        <v>0.08</v>
      </c>
      <c r="F58" s="4" t="s">
        <v>39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</row>
    <row r="59" spans="1:57">
      <c r="A59" s="1" t="str">
        <f>'Population Definitions'!$A$11</f>
        <v>65+_females</v>
      </c>
      <c r="C59" t="s">
        <v>55</v>
      </c>
      <c r="D59" s="3">
        <v>0.03061224489795919</v>
      </c>
      <c r="E59" s="3">
        <v>0.08</v>
      </c>
      <c r="F59" s="4" t="s">
        <v>39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</row>
    <row r="60" spans="1:57">
      <c r="A60" s="1" t="str">
        <f>'Population Definitions'!$A$12</f>
        <v>Prisoners_males</v>
      </c>
      <c r="C60" t="s">
        <v>55</v>
      </c>
      <c r="D60" s="3">
        <v>0.03061224489795919</v>
      </c>
      <c r="E60" s="3">
        <v>0.08</v>
      </c>
      <c r="F60" s="4" t="s">
        <v>39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</row>
    <row r="61" spans="1:57">
      <c r="A61" s="1" t="str">
        <f>'Population Definitions'!$A$13</f>
        <v>Prisoners_females</v>
      </c>
      <c r="C61" t="s">
        <v>55</v>
      </c>
      <c r="D61" s="3">
        <v>0.03061224489795919</v>
      </c>
      <c r="E61" s="3">
        <v>0.08</v>
      </c>
      <c r="F61" s="4" t="s">
        <v>39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</row>
    <row r="62" spans="1:57">
      <c r="A62" s="1" t="str">
        <f>'Population Definitions'!$A$14</f>
        <v>Prisoners_PWID_males</v>
      </c>
      <c r="C62" t="s">
        <v>55</v>
      </c>
      <c r="D62" s="3">
        <v>0.03061224489795919</v>
      </c>
      <c r="E62" s="3">
        <v>0.08</v>
      </c>
      <c r="F62" s="4" t="s">
        <v>39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</row>
    <row r="63" spans="1:57">
      <c r="A63" s="1" t="str">
        <f>'Population Definitions'!$A$15</f>
        <v>Prisoners_PWID_females</v>
      </c>
      <c r="C63" t="s">
        <v>55</v>
      </c>
      <c r="D63" s="3">
        <v>0.03061224489795919</v>
      </c>
      <c r="E63" s="3">
        <v>0.08</v>
      </c>
      <c r="F63" s="4" t="s">
        <v>39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</row>
    <row r="65" spans="1:57">
      <c r="A65" s="1" t="s">
        <v>66</v>
      </c>
      <c r="B65" s="1" t="s">
        <v>31</v>
      </c>
      <c r="C65" s="1" t="s">
        <v>32</v>
      </c>
      <c r="D65" s="1" t="s">
        <v>33</v>
      </c>
      <c r="E65" s="1" t="s">
        <v>38</v>
      </c>
      <c r="F65" s="1"/>
      <c r="G65" s="1">
        <v>2000</v>
      </c>
      <c r="H65" s="1">
        <v>2001</v>
      </c>
      <c r="I65" s="1">
        <v>2002</v>
      </c>
      <c r="J65" s="1">
        <v>2003</v>
      </c>
      <c r="K65" s="1">
        <v>2004</v>
      </c>
      <c r="L65" s="1">
        <v>2005</v>
      </c>
      <c r="M65" s="1">
        <v>2006</v>
      </c>
      <c r="N65" s="1">
        <v>2007</v>
      </c>
      <c r="O65" s="1">
        <v>2008</v>
      </c>
      <c r="P65" s="1">
        <v>2009</v>
      </c>
      <c r="Q65" s="1">
        <v>2010</v>
      </c>
      <c r="R65" s="1">
        <v>2011</v>
      </c>
      <c r="S65" s="1">
        <v>2012</v>
      </c>
      <c r="T65" s="1">
        <v>2013</v>
      </c>
      <c r="U65" s="1">
        <v>2014</v>
      </c>
      <c r="V65" s="1">
        <v>2015</v>
      </c>
      <c r="W65" s="1">
        <v>2016</v>
      </c>
      <c r="X65" s="1">
        <v>2017</v>
      </c>
      <c r="Y65" s="1">
        <v>2018</v>
      </c>
      <c r="Z65" s="1">
        <v>2019</v>
      </c>
      <c r="AA65" s="1">
        <v>2020</v>
      </c>
      <c r="AB65" s="1">
        <v>2021</v>
      </c>
      <c r="AC65" s="1">
        <v>2022</v>
      </c>
      <c r="AD65" s="1">
        <v>2023</v>
      </c>
      <c r="AE65" s="1">
        <v>2024</v>
      </c>
      <c r="AF65" s="1">
        <v>2025</v>
      </c>
      <c r="AG65" s="1">
        <v>2026</v>
      </c>
      <c r="AH65" s="1">
        <v>2027</v>
      </c>
      <c r="AI65" s="1">
        <v>2028</v>
      </c>
      <c r="AJ65" s="1">
        <v>2029</v>
      </c>
      <c r="AK65" s="1">
        <v>2030</v>
      </c>
      <c r="AL65" s="1">
        <v>2031</v>
      </c>
      <c r="AM65" s="1">
        <v>2032</v>
      </c>
      <c r="AN65" s="1">
        <v>2033</v>
      </c>
      <c r="AO65" s="1">
        <v>2034</v>
      </c>
      <c r="AP65" s="1">
        <v>2035</v>
      </c>
      <c r="AQ65" s="1">
        <v>2036</v>
      </c>
      <c r="AR65" s="1">
        <v>2037</v>
      </c>
      <c r="AS65" s="1">
        <v>2038</v>
      </c>
      <c r="AT65" s="1">
        <v>2039</v>
      </c>
      <c r="AU65" s="1">
        <v>2040</v>
      </c>
      <c r="AV65" s="1">
        <v>2041</v>
      </c>
      <c r="AW65" s="1">
        <v>2042</v>
      </c>
      <c r="AX65" s="1">
        <v>2043</v>
      </c>
      <c r="AY65" s="1">
        <v>2044</v>
      </c>
      <c r="AZ65" s="1">
        <v>2045</v>
      </c>
      <c r="BA65" s="1">
        <v>2046</v>
      </c>
      <c r="BB65" s="1">
        <v>2047</v>
      </c>
      <c r="BC65" s="1">
        <v>2048</v>
      </c>
      <c r="BD65" s="1">
        <v>2049</v>
      </c>
      <c r="BE65" s="1">
        <v>2050</v>
      </c>
    </row>
    <row r="66" spans="1:57">
      <c r="A66" s="1" t="str">
        <f>'Population Definitions'!$A$2</f>
        <v>PWID_males</v>
      </c>
      <c r="C66" t="s">
        <v>55</v>
      </c>
      <c r="D66" s="3">
        <v>0.01530612244897959</v>
      </c>
      <c r="E66" s="3">
        <v>0.03</v>
      </c>
      <c r="F66" s="4" t="s">
        <v>39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</row>
    <row r="67" spans="1:57">
      <c r="A67" s="1" t="str">
        <f>'Population Definitions'!$A$3</f>
        <v>PWID_females</v>
      </c>
      <c r="C67" t="s">
        <v>55</v>
      </c>
      <c r="D67" s="3">
        <v>0.01530612244897959</v>
      </c>
      <c r="E67" s="3">
        <v>0.03</v>
      </c>
      <c r="F67" s="4" t="s">
        <v>39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</row>
    <row r="68" spans="1:57">
      <c r="A68" s="1" t="str">
        <f>'Population Definitions'!$A$4</f>
        <v>0-9_males</v>
      </c>
      <c r="C68" t="s">
        <v>55</v>
      </c>
      <c r="D68" s="3">
        <v>0.01530612244897959</v>
      </c>
      <c r="E68" s="3">
        <v>0.03</v>
      </c>
      <c r="F68" s="4" t="s">
        <v>39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</row>
    <row r="69" spans="1:57">
      <c r="A69" s="1" t="str">
        <f>'Population Definitions'!$A$5</f>
        <v>0-9_females</v>
      </c>
      <c r="C69" t="s">
        <v>55</v>
      </c>
      <c r="D69" s="3">
        <v>0.01530612244897959</v>
      </c>
      <c r="E69" s="3">
        <v>0.03</v>
      </c>
      <c r="F69" s="4" t="s">
        <v>39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</row>
    <row r="70" spans="1:57">
      <c r="A70" s="1" t="str">
        <f>'Population Definitions'!$A$6</f>
        <v>10-17_males</v>
      </c>
      <c r="C70" t="s">
        <v>55</v>
      </c>
      <c r="D70" s="3">
        <v>0.01530612244897959</v>
      </c>
      <c r="E70" s="3">
        <v>0.03</v>
      </c>
      <c r="F70" s="4" t="s">
        <v>39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</row>
    <row r="71" spans="1:57">
      <c r="A71" s="1" t="str">
        <f>'Population Definitions'!$A$7</f>
        <v>10-17_females</v>
      </c>
      <c r="C71" t="s">
        <v>55</v>
      </c>
      <c r="D71" s="3">
        <v>0.01530612244897959</v>
      </c>
      <c r="E71" s="3">
        <v>0.03</v>
      </c>
      <c r="F71" s="4" t="s">
        <v>39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</row>
    <row r="72" spans="1:57">
      <c r="A72" s="1" t="str">
        <f>'Population Definitions'!$A$8</f>
        <v>18-64_males</v>
      </c>
      <c r="C72" t="s">
        <v>55</v>
      </c>
      <c r="D72" s="3">
        <v>0.01530612244897959</v>
      </c>
      <c r="E72" s="3">
        <v>0.03</v>
      </c>
      <c r="F72" s="4" t="s">
        <v>39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</row>
    <row r="73" spans="1:57">
      <c r="A73" s="1" t="str">
        <f>'Population Definitions'!$A$9</f>
        <v>18-64_females</v>
      </c>
      <c r="C73" t="s">
        <v>55</v>
      </c>
      <c r="D73" s="3">
        <v>0.01530612244897959</v>
      </c>
      <c r="E73" s="3">
        <v>0.03</v>
      </c>
      <c r="F73" s="4" t="s">
        <v>39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</row>
    <row r="74" spans="1:57">
      <c r="A74" s="1" t="str">
        <f>'Population Definitions'!$A$10</f>
        <v>65+_males</v>
      </c>
      <c r="C74" t="s">
        <v>55</v>
      </c>
      <c r="D74" s="3">
        <v>0.01530612244897959</v>
      </c>
      <c r="E74" s="3">
        <v>0.03</v>
      </c>
      <c r="F74" s="4" t="s">
        <v>39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</row>
    <row r="75" spans="1:57">
      <c r="A75" s="1" t="str">
        <f>'Population Definitions'!$A$11</f>
        <v>65+_females</v>
      </c>
      <c r="C75" t="s">
        <v>55</v>
      </c>
      <c r="D75" s="3">
        <v>0.01530612244897959</v>
      </c>
      <c r="E75" s="3">
        <v>0.03</v>
      </c>
      <c r="F75" s="4" t="s">
        <v>39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</row>
    <row r="76" spans="1:57">
      <c r="A76" s="1" t="str">
        <f>'Population Definitions'!$A$12</f>
        <v>Prisoners_males</v>
      </c>
      <c r="C76" t="s">
        <v>55</v>
      </c>
      <c r="D76" s="3">
        <v>0.01530612244897959</v>
      </c>
      <c r="E76" s="3">
        <v>0.03</v>
      </c>
      <c r="F76" s="4" t="s">
        <v>39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</row>
    <row r="77" spans="1:57">
      <c r="A77" s="1" t="str">
        <f>'Population Definitions'!$A$13</f>
        <v>Prisoners_females</v>
      </c>
      <c r="C77" t="s">
        <v>55</v>
      </c>
      <c r="D77" s="3">
        <v>0.01530612244897959</v>
      </c>
      <c r="E77" s="3">
        <v>0.03</v>
      </c>
      <c r="F77" s="4" t="s">
        <v>39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</row>
    <row r="78" spans="1:57">
      <c r="A78" s="1" t="str">
        <f>'Population Definitions'!$A$14</f>
        <v>Prisoners_PWID_males</v>
      </c>
      <c r="C78" t="s">
        <v>55</v>
      </c>
      <c r="D78" s="3">
        <v>0.01530612244897959</v>
      </c>
      <c r="E78" s="3">
        <v>0.03</v>
      </c>
      <c r="F78" s="4" t="s">
        <v>39</v>
      </c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/>
      <c r="BC78" s="3"/>
      <c r="BD78" s="3"/>
      <c r="BE78" s="3"/>
    </row>
    <row r="79" spans="1:57">
      <c r="A79" s="1" t="str">
        <f>'Population Definitions'!$A$15</f>
        <v>Prisoners_PWID_females</v>
      </c>
      <c r="C79" t="s">
        <v>55</v>
      </c>
      <c r="D79" s="3">
        <v>0.01530612244897959</v>
      </c>
      <c r="E79" s="3">
        <v>0.03</v>
      </c>
      <c r="F79" s="4" t="s">
        <v>39</v>
      </c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3"/>
      <c r="BC79" s="3"/>
      <c r="BD79" s="3"/>
      <c r="BE79" s="3"/>
    </row>
    <row r="81" spans="1:57">
      <c r="A81" s="1" t="s">
        <v>67</v>
      </c>
      <c r="B81" s="1" t="s">
        <v>31</v>
      </c>
      <c r="C81" s="1" t="s">
        <v>32</v>
      </c>
      <c r="D81" s="1" t="s">
        <v>33</v>
      </c>
      <c r="E81" s="1" t="s">
        <v>38</v>
      </c>
      <c r="F81" s="1"/>
      <c r="G81" s="1">
        <v>2000</v>
      </c>
      <c r="H81" s="1">
        <v>2001</v>
      </c>
      <c r="I81" s="1">
        <v>2002</v>
      </c>
      <c r="J81" s="1">
        <v>2003</v>
      </c>
      <c r="K81" s="1">
        <v>2004</v>
      </c>
      <c r="L81" s="1">
        <v>2005</v>
      </c>
      <c r="M81" s="1">
        <v>2006</v>
      </c>
      <c r="N81" s="1">
        <v>2007</v>
      </c>
      <c r="O81" s="1">
        <v>2008</v>
      </c>
      <c r="P81" s="1">
        <v>2009</v>
      </c>
      <c r="Q81" s="1">
        <v>2010</v>
      </c>
      <c r="R81" s="1">
        <v>2011</v>
      </c>
      <c r="S81" s="1">
        <v>2012</v>
      </c>
      <c r="T81" s="1">
        <v>2013</v>
      </c>
      <c r="U81" s="1">
        <v>2014</v>
      </c>
      <c r="V81" s="1">
        <v>2015</v>
      </c>
      <c r="W81" s="1">
        <v>2016</v>
      </c>
      <c r="X81" s="1">
        <v>2017</v>
      </c>
      <c r="Y81" s="1">
        <v>2018</v>
      </c>
      <c r="Z81" s="1">
        <v>2019</v>
      </c>
      <c r="AA81" s="1">
        <v>2020</v>
      </c>
      <c r="AB81" s="1">
        <v>2021</v>
      </c>
      <c r="AC81" s="1">
        <v>2022</v>
      </c>
      <c r="AD81" s="1">
        <v>2023</v>
      </c>
      <c r="AE81" s="1">
        <v>2024</v>
      </c>
      <c r="AF81" s="1">
        <v>2025</v>
      </c>
      <c r="AG81" s="1">
        <v>2026</v>
      </c>
      <c r="AH81" s="1">
        <v>2027</v>
      </c>
      <c r="AI81" s="1">
        <v>2028</v>
      </c>
      <c r="AJ81" s="1">
        <v>2029</v>
      </c>
      <c r="AK81" s="1">
        <v>2030</v>
      </c>
      <c r="AL81" s="1">
        <v>2031</v>
      </c>
      <c r="AM81" s="1">
        <v>2032</v>
      </c>
      <c r="AN81" s="1">
        <v>2033</v>
      </c>
      <c r="AO81" s="1">
        <v>2034</v>
      </c>
      <c r="AP81" s="1">
        <v>2035</v>
      </c>
      <c r="AQ81" s="1">
        <v>2036</v>
      </c>
      <c r="AR81" s="1">
        <v>2037</v>
      </c>
      <c r="AS81" s="1">
        <v>2038</v>
      </c>
      <c r="AT81" s="1">
        <v>2039</v>
      </c>
      <c r="AU81" s="1">
        <v>2040</v>
      </c>
      <c r="AV81" s="1">
        <v>2041</v>
      </c>
      <c r="AW81" s="1">
        <v>2042</v>
      </c>
      <c r="AX81" s="1">
        <v>2043</v>
      </c>
      <c r="AY81" s="1">
        <v>2044</v>
      </c>
      <c r="AZ81" s="1">
        <v>2045</v>
      </c>
      <c r="BA81" s="1">
        <v>2046</v>
      </c>
      <c r="BB81" s="1">
        <v>2047</v>
      </c>
      <c r="BC81" s="1">
        <v>2048</v>
      </c>
      <c r="BD81" s="1">
        <v>2049</v>
      </c>
      <c r="BE81" s="1">
        <v>2050</v>
      </c>
    </row>
    <row r="82" spans="1:57">
      <c r="A82" s="1" t="str">
        <f>'Population Definitions'!$A$2</f>
        <v>PWID_males</v>
      </c>
      <c r="C82" t="s">
        <v>55</v>
      </c>
      <c r="D82" s="3">
        <v>0.05102040816326531</v>
      </c>
      <c r="E82" s="3">
        <v>0.1</v>
      </c>
      <c r="F82" s="4" t="s">
        <v>39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</row>
    <row r="83" spans="1:57">
      <c r="A83" s="1" t="str">
        <f>'Population Definitions'!$A$3</f>
        <v>PWID_females</v>
      </c>
      <c r="C83" t="s">
        <v>55</v>
      </c>
      <c r="D83" s="3">
        <v>0.05102040816326531</v>
      </c>
      <c r="E83" s="3">
        <v>0.1</v>
      </c>
      <c r="F83" s="4" t="s">
        <v>39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</row>
    <row r="84" spans="1:57">
      <c r="A84" s="1" t="str">
        <f>'Population Definitions'!$A$4</f>
        <v>0-9_males</v>
      </c>
      <c r="C84" t="s">
        <v>55</v>
      </c>
      <c r="D84" s="3">
        <v>0.05102040816326531</v>
      </c>
      <c r="E84" s="3">
        <v>0.1</v>
      </c>
      <c r="F84" s="4" t="s">
        <v>39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</row>
    <row r="85" spans="1:57">
      <c r="A85" s="1" t="str">
        <f>'Population Definitions'!$A$5</f>
        <v>0-9_females</v>
      </c>
      <c r="C85" t="s">
        <v>55</v>
      </c>
      <c r="D85" s="3">
        <v>0.05102040816326531</v>
      </c>
      <c r="E85" s="3">
        <v>0.1</v>
      </c>
      <c r="F85" s="4" t="s">
        <v>39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</row>
    <row r="86" spans="1:57">
      <c r="A86" s="1" t="str">
        <f>'Population Definitions'!$A$6</f>
        <v>10-17_males</v>
      </c>
      <c r="C86" t="s">
        <v>55</v>
      </c>
      <c r="D86" s="3">
        <v>0.05102040816326531</v>
      </c>
      <c r="E86" s="3">
        <v>0.1</v>
      </c>
      <c r="F86" s="4" t="s">
        <v>39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</row>
    <row r="87" spans="1:57">
      <c r="A87" s="1" t="str">
        <f>'Population Definitions'!$A$7</f>
        <v>10-17_females</v>
      </c>
      <c r="C87" t="s">
        <v>55</v>
      </c>
      <c r="D87" s="3">
        <v>0.05102040816326531</v>
      </c>
      <c r="E87" s="3">
        <v>0.1</v>
      </c>
      <c r="F87" s="4" t="s">
        <v>39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</row>
    <row r="88" spans="1:57">
      <c r="A88" s="1" t="str">
        <f>'Population Definitions'!$A$8</f>
        <v>18-64_males</v>
      </c>
      <c r="C88" t="s">
        <v>55</v>
      </c>
      <c r="D88" s="3">
        <v>0.05102040816326531</v>
      </c>
      <c r="E88" s="3">
        <v>0.1</v>
      </c>
      <c r="F88" s="4" t="s">
        <v>39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</row>
    <row r="89" spans="1:57">
      <c r="A89" s="1" t="str">
        <f>'Population Definitions'!$A$9</f>
        <v>18-64_females</v>
      </c>
      <c r="C89" t="s">
        <v>55</v>
      </c>
      <c r="D89" s="3">
        <v>0.05102040816326531</v>
      </c>
      <c r="E89" s="3">
        <v>0.1</v>
      </c>
      <c r="F89" s="4" t="s">
        <v>39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</row>
    <row r="90" spans="1:57">
      <c r="A90" s="1" t="str">
        <f>'Population Definitions'!$A$10</f>
        <v>65+_males</v>
      </c>
      <c r="C90" t="s">
        <v>55</v>
      </c>
      <c r="D90" s="3">
        <v>0.05102040816326531</v>
      </c>
      <c r="E90" s="3">
        <v>0.1</v>
      </c>
      <c r="F90" s="4" t="s">
        <v>39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</row>
    <row r="91" spans="1:57">
      <c r="A91" s="1" t="str">
        <f>'Population Definitions'!$A$11</f>
        <v>65+_females</v>
      </c>
      <c r="C91" t="s">
        <v>55</v>
      </c>
      <c r="D91" s="3">
        <v>0.05102040816326531</v>
      </c>
      <c r="E91" s="3">
        <v>0.1</v>
      </c>
      <c r="F91" s="4" t="s">
        <v>39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</row>
    <row r="92" spans="1:57">
      <c r="A92" s="1" t="str">
        <f>'Population Definitions'!$A$12</f>
        <v>Prisoners_males</v>
      </c>
      <c r="C92" t="s">
        <v>55</v>
      </c>
      <c r="D92" s="3">
        <v>0.05102040816326531</v>
      </c>
      <c r="E92" s="3">
        <v>0.1</v>
      </c>
      <c r="F92" s="4" t="s">
        <v>39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</row>
    <row r="93" spans="1:57">
      <c r="A93" s="1" t="str">
        <f>'Population Definitions'!$A$13</f>
        <v>Prisoners_females</v>
      </c>
      <c r="C93" t="s">
        <v>55</v>
      </c>
      <c r="D93" s="3">
        <v>0.05102040816326531</v>
      </c>
      <c r="E93" s="3">
        <v>0.1</v>
      </c>
      <c r="F93" s="4" t="s">
        <v>39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</row>
    <row r="94" spans="1:57">
      <c r="A94" s="1" t="str">
        <f>'Population Definitions'!$A$14</f>
        <v>Prisoners_PWID_males</v>
      </c>
      <c r="C94" t="s">
        <v>55</v>
      </c>
      <c r="D94" s="3">
        <v>0.05102040816326531</v>
      </c>
      <c r="E94" s="3">
        <v>0.1</v>
      </c>
      <c r="F94" s="4" t="s">
        <v>39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</row>
    <row r="95" spans="1:57">
      <c r="A95" s="1" t="str">
        <f>'Population Definitions'!$A$15</f>
        <v>Prisoners_PWID_females</v>
      </c>
      <c r="C95" t="s">
        <v>55</v>
      </c>
      <c r="D95" s="3">
        <v>0.05102040816326531</v>
      </c>
      <c r="E95" s="3">
        <v>0.1</v>
      </c>
      <c r="F95" s="4" t="s">
        <v>39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</row>
    <row r="97" spans="1:57">
      <c r="A97" s="1" t="s">
        <v>68</v>
      </c>
      <c r="B97" s="1" t="s">
        <v>31</v>
      </c>
      <c r="C97" s="1" t="s">
        <v>32</v>
      </c>
      <c r="D97" s="1" t="s">
        <v>33</v>
      </c>
      <c r="E97" s="1" t="s">
        <v>38</v>
      </c>
      <c r="F97" s="1"/>
      <c r="G97" s="1">
        <v>2000</v>
      </c>
      <c r="H97" s="1">
        <v>2001</v>
      </c>
      <c r="I97" s="1">
        <v>2002</v>
      </c>
      <c r="J97" s="1">
        <v>2003</v>
      </c>
      <c r="K97" s="1">
        <v>2004</v>
      </c>
      <c r="L97" s="1">
        <v>2005</v>
      </c>
      <c r="M97" s="1">
        <v>2006</v>
      </c>
      <c r="N97" s="1">
        <v>2007</v>
      </c>
      <c r="O97" s="1">
        <v>2008</v>
      </c>
      <c r="P97" s="1">
        <v>2009</v>
      </c>
      <c r="Q97" s="1">
        <v>2010</v>
      </c>
      <c r="R97" s="1">
        <v>2011</v>
      </c>
      <c r="S97" s="1">
        <v>2012</v>
      </c>
      <c r="T97" s="1">
        <v>2013</v>
      </c>
      <c r="U97" s="1">
        <v>2014</v>
      </c>
      <c r="V97" s="1">
        <v>2015</v>
      </c>
      <c r="W97" s="1">
        <v>2016</v>
      </c>
      <c r="X97" s="1">
        <v>2017</v>
      </c>
      <c r="Y97" s="1">
        <v>2018</v>
      </c>
      <c r="Z97" s="1">
        <v>2019</v>
      </c>
      <c r="AA97" s="1">
        <v>2020</v>
      </c>
      <c r="AB97" s="1">
        <v>2021</v>
      </c>
      <c r="AC97" s="1">
        <v>2022</v>
      </c>
      <c r="AD97" s="1">
        <v>2023</v>
      </c>
      <c r="AE97" s="1">
        <v>2024</v>
      </c>
      <c r="AF97" s="1">
        <v>2025</v>
      </c>
      <c r="AG97" s="1">
        <v>2026</v>
      </c>
      <c r="AH97" s="1">
        <v>2027</v>
      </c>
      <c r="AI97" s="1">
        <v>2028</v>
      </c>
      <c r="AJ97" s="1">
        <v>2029</v>
      </c>
      <c r="AK97" s="1">
        <v>2030</v>
      </c>
      <c r="AL97" s="1">
        <v>2031</v>
      </c>
      <c r="AM97" s="1">
        <v>2032</v>
      </c>
      <c r="AN97" s="1">
        <v>2033</v>
      </c>
      <c r="AO97" s="1">
        <v>2034</v>
      </c>
      <c r="AP97" s="1">
        <v>2035</v>
      </c>
      <c r="AQ97" s="1">
        <v>2036</v>
      </c>
      <c r="AR97" s="1">
        <v>2037</v>
      </c>
      <c r="AS97" s="1">
        <v>2038</v>
      </c>
      <c r="AT97" s="1">
        <v>2039</v>
      </c>
      <c r="AU97" s="1">
        <v>2040</v>
      </c>
      <c r="AV97" s="1">
        <v>2041</v>
      </c>
      <c r="AW97" s="1">
        <v>2042</v>
      </c>
      <c r="AX97" s="1">
        <v>2043</v>
      </c>
      <c r="AY97" s="1">
        <v>2044</v>
      </c>
      <c r="AZ97" s="1">
        <v>2045</v>
      </c>
      <c r="BA97" s="1">
        <v>2046</v>
      </c>
      <c r="BB97" s="1">
        <v>2047</v>
      </c>
      <c r="BC97" s="1">
        <v>2048</v>
      </c>
      <c r="BD97" s="1">
        <v>2049</v>
      </c>
      <c r="BE97" s="1">
        <v>2050</v>
      </c>
    </row>
    <row r="98" spans="1:57">
      <c r="A98" s="1" t="str">
        <f>'Population Definitions'!$A$2</f>
        <v>PWID_males</v>
      </c>
      <c r="C98" t="s">
        <v>55</v>
      </c>
      <c r="D98" s="3">
        <v>0.003571428571428571</v>
      </c>
      <c r="E98" s="3">
        <v>0.055</v>
      </c>
      <c r="F98" s="4" t="s">
        <v>39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</row>
    <row r="99" spans="1:57">
      <c r="A99" s="1" t="str">
        <f>'Population Definitions'!$A$3</f>
        <v>PWID_females</v>
      </c>
      <c r="C99" t="s">
        <v>55</v>
      </c>
      <c r="D99" s="3">
        <v>0.003571428571428571</v>
      </c>
      <c r="E99" s="3">
        <v>0.055</v>
      </c>
      <c r="F99" s="4" t="s">
        <v>39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</row>
    <row r="100" spans="1:57">
      <c r="A100" s="1" t="str">
        <f>'Population Definitions'!$A$4</f>
        <v>0-9_males</v>
      </c>
      <c r="C100" t="s">
        <v>55</v>
      </c>
      <c r="D100" s="3">
        <v>0.003571428571428571</v>
      </c>
      <c r="E100" s="3">
        <v>0.055</v>
      </c>
      <c r="F100" s="4" t="s">
        <v>39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</row>
    <row r="101" spans="1:57">
      <c r="A101" s="1" t="str">
        <f>'Population Definitions'!$A$5</f>
        <v>0-9_females</v>
      </c>
      <c r="C101" t="s">
        <v>55</v>
      </c>
      <c r="D101" s="3">
        <v>0.003571428571428571</v>
      </c>
      <c r="E101" s="3">
        <v>0.055</v>
      </c>
      <c r="F101" s="4" t="s">
        <v>39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</row>
    <row r="102" spans="1:57">
      <c r="A102" s="1" t="str">
        <f>'Population Definitions'!$A$6</f>
        <v>10-17_males</v>
      </c>
      <c r="C102" t="s">
        <v>55</v>
      </c>
      <c r="D102" s="3">
        <v>0.003571428571428571</v>
      </c>
      <c r="E102" s="3">
        <v>0.055</v>
      </c>
      <c r="F102" s="4" t="s">
        <v>39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</row>
    <row r="103" spans="1:57">
      <c r="A103" s="1" t="str">
        <f>'Population Definitions'!$A$7</f>
        <v>10-17_females</v>
      </c>
      <c r="C103" t="s">
        <v>55</v>
      </c>
      <c r="D103" s="3">
        <v>0.003571428571428571</v>
      </c>
      <c r="E103" s="3">
        <v>0.055</v>
      </c>
      <c r="F103" s="4" t="s">
        <v>39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</row>
    <row r="104" spans="1:57">
      <c r="A104" s="1" t="str">
        <f>'Population Definitions'!$A$8</f>
        <v>18-64_males</v>
      </c>
      <c r="C104" t="s">
        <v>55</v>
      </c>
      <c r="D104" s="3">
        <v>0.003571428571428571</v>
      </c>
      <c r="E104" s="3">
        <v>0.055</v>
      </c>
      <c r="F104" s="4" t="s">
        <v>39</v>
      </c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  <c r="AV104" s="3"/>
      <c r="AW104" s="3"/>
      <c r="AX104" s="3"/>
      <c r="AY104" s="3"/>
      <c r="AZ104" s="3"/>
      <c r="BA104" s="3"/>
      <c r="BB104" s="3"/>
      <c r="BC104" s="3"/>
      <c r="BD104" s="3"/>
      <c r="BE104" s="3"/>
    </row>
    <row r="105" spans="1:57">
      <c r="A105" s="1" t="str">
        <f>'Population Definitions'!$A$9</f>
        <v>18-64_females</v>
      </c>
      <c r="C105" t="s">
        <v>55</v>
      </c>
      <c r="D105" s="3">
        <v>0.003571428571428571</v>
      </c>
      <c r="E105" s="3">
        <v>0.055</v>
      </c>
      <c r="F105" s="4" t="s">
        <v>39</v>
      </c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/>
      <c r="AV105" s="3"/>
      <c r="AW105" s="3"/>
      <c r="AX105" s="3"/>
      <c r="AY105" s="3"/>
      <c r="AZ105" s="3"/>
      <c r="BA105" s="3"/>
      <c r="BB105" s="3"/>
      <c r="BC105" s="3"/>
      <c r="BD105" s="3"/>
      <c r="BE105" s="3"/>
    </row>
    <row r="106" spans="1:57">
      <c r="A106" s="1" t="str">
        <f>'Population Definitions'!$A$10</f>
        <v>65+_males</v>
      </c>
      <c r="C106" t="s">
        <v>55</v>
      </c>
      <c r="D106" s="3">
        <v>0.003571428571428571</v>
      </c>
      <c r="E106" s="3">
        <v>0.055</v>
      </c>
      <c r="F106" s="4" t="s">
        <v>39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</row>
    <row r="107" spans="1:57">
      <c r="A107" s="1" t="str">
        <f>'Population Definitions'!$A$11</f>
        <v>65+_females</v>
      </c>
      <c r="C107" t="s">
        <v>55</v>
      </c>
      <c r="D107" s="3">
        <v>0.003571428571428571</v>
      </c>
      <c r="E107" s="3">
        <v>0.055</v>
      </c>
      <c r="F107" s="4" t="s">
        <v>39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</row>
    <row r="108" spans="1:57">
      <c r="A108" s="1" t="str">
        <f>'Population Definitions'!$A$12</f>
        <v>Prisoners_males</v>
      </c>
      <c r="C108" t="s">
        <v>55</v>
      </c>
      <c r="D108" s="3">
        <v>0.003571428571428571</v>
      </c>
      <c r="E108" s="3">
        <v>0.055</v>
      </c>
      <c r="F108" s="4" t="s">
        <v>39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</row>
    <row r="109" spans="1:57">
      <c r="A109" s="1" t="str">
        <f>'Population Definitions'!$A$13</f>
        <v>Prisoners_females</v>
      </c>
      <c r="C109" t="s">
        <v>55</v>
      </c>
      <c r="D109" s="3">
        <v>0.003571428571428571</v>
      </c>
      <c r="E109" s="3">
        <v>0.055</v>
      </c>
      <c r="F109" s="4" t="s">
        <v>39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</row>
    <row r="110" spans="1:57">
      <c r="A110" s="1" t="str">
        <f>'Population Definitions'!$A$14</f>
        <v>Prisoners_PWID_males</v>
      </c>
      <c r="C110" t="s">
        <v>55</v>
      </c>
      <c r="D110" s="3">
        <v>0.003571428571428571</v>
      </c>
      <c r="E110" s="3">
        <v>0.055</v>
      </c>
      <c r="F110" s="4" t="s">
        <v>39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</row>
    <row r="111" spans="1:57">
      <c r="A111" s="1" t="str">
        <f>'Population Definitions'!$A$15</f>
        <v>Prisoners_PWID_females</v>
      </c>
      <c r="C111" t="s">
        <v>55</v>
      </c>
      <c r="D111" s="3">
        <v>0.003571428571428571</v>
      </c>
      <c r="E111" s="3">
        <v>0.055</v>
      </c>
      <c r="F111" s="4" t="s">
        <v>39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</row>
    <row r="113" spans="1:57">
      <c r="A113" s="1" t="s">
        <v>69</v>
      </c>
      <c r="B113" s="1" t="s">
        <v>31</v>
      </c>
      <c r="C113" s="1" t="s">
        <v>32</v>
      </c>
      <c r="D113" s="1" t="s">
        <v>33</v>
      </c>
      <c r="E113" s="1" t="s">
        <v>38</v>
      </c>
      <c r="F113" s="1"/>
      <c r="G113" s="1">
        <v>2000</v>
      </c>
      <c r="H113" s="1">
        <v>2001</v>
      </c>
      <c r="I113" s="1">
        <v>2002</v>
      </c>
      <c r="J113" s="1">
        <v>2003</v>
      </c>
      <c r="K113" s="1">
        <v>2004</v>
      </c>
      <c r="L113" s="1">
        <v>2005</v>
      </c>
      <c r="M113" s="1">
        <v>2006</v>
      </c>
      <c r="N113" s="1">
        <v>2007</v>
      </c>
      <c r="O113" s="1">
        <v>2008</v>
      </c>
      <c r="P113" s="1">
        <v>2009</v>
      </c>
      <c r="Q113" s="1">
        <v>2010</v>
      </c>
      <c r="R113" s="1">
        <v>2011</v>
      </c>
      <c r="S113" s="1">
        <v>2012</v>
      </c>
      <c r="T113" s="1">
        <v>2013</v>
      </c>
      <c r="U113" s="1">
        <v>2014</v>
      </c>
      <c r="V113" s="1">
        <v>2015</v>
      </c>
      <c r="W113" s="1">
        <v>2016</v>
      </c>
      <c r="X113" s="1">
        <v>2017</v>
      </c>
      <c r="Y113" s="1">
        <v>2018</v>
      </c>
      <c r="Z113" s="1">
        <v>2019</v>
      </c>
      <c r="AA113" s="1">
        <v>2020</v>
      </c>
      <c r="AB113" s="1">
        <v>2021</v>
      </c>
      <c r="AC113" s="1">
        <v>2022</v>
      </c>
      <c r="AD113" s="1">
        <v>2023</v>
      </c>
      <c r="AE113" s="1">
        <v>2024</v>
      </c>
      <c r="AF113" s="1">
        <v>2025</v>
      </c>
      <c r="AG113" s="1">
        <v>2026</v>
      </c>
      <c r="AH113" s="1">
        <v>2027</v>
      </c>
      <c r="AI113" s="1">
        <v>2028</v>
      </c>
      <c r="AJ113" s="1">
        <v>2029</v>
      </c>
      <c r="AK113" s="1">
        <v>2030</v>
      </c>
      <c r="AL113" s="1">
        <v>2031</v>
      </c>
      <c r="AM113" s="1">
        <v>2032</v>
      </c>
      <c r="AN113" s="1">
        <v>2033</v>
      </c>
      <c r="AO113" s="1">
        <v>2034</v>
      </c>
      <c r="AP113" s="1">
        <v>2035</v>
      </c>
      <c r="AQ113" s="1">
        <v>2036</v>
      </c>
      <c r="AR113" s="1">
        <v>2037</v>
      </c>
      <c r="AS113" s="1">
        <v>2038</v>
      </c>
      <c r="AT113" s="1">
        <v>2039</v>
      </c>
      <c r="AU113" s="1">
        <v>2040</v>
      </c>
      <c r="AV113" s="1">
        <v>2041</v>
      </c>
      <c r="AW113" s="1">
        <v>2042</v>
      </c>
      <c r="AX113" s="1">
        <v>2043</v>
      </c>
      <c r="AY113" s="1">
        <v>2044</v>
      </c>
      <c r="AZ113" s="1">
        <v>2045</v>
      </c>
      <c r="BA113" s="1">
        <v>2046</v>
      </c>
      <c r="BB113" s="1">
        <v>2047</v>
      </c>
      <c r="BC113" s="1">
        <v>2048</v>
      </c>
      <c r="BD113" s="1">
        <v>2049</v>
      </c>
      <c r="BE113" s="1">
        <v>2050</v>
      </c>
    </row>
    <row r="114" spans="1:57">
      <c r="A114" s="1" t="str">
        <f>'Population Definitions'!$A$2</f>
        <v>PWID_males</v>
      </c>
      <c r="C114" t="s">
        <v>55</v>
      </c>
      <c r="D114" s="3"/>
      <c r="E114" s="3">
        <v>0.015</v>
      </c>
      <c r="F114" s="4" t="s">
        <v>39</v>
      </c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</row>
    <row r="115" spans="1:57">
      <c r="A115" s="1" t="str">
        <f>'Population Definitions'!$A$3</f>
        <v>PWID_females</v>
      </c>
      <c r="C115" t="s">
        <v>55</v>
      </c>
      <c r="D115" s="3"/>
      <c r="E115" s="3">
        <v>0.015</v>
      </c>
      <c r="F115" s="4" t="s">
        <v>39</v>
      </c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</row>
    <row r="116" spans="1:57">
      <c r="A116" s="1" t="str">
        <f>'Population Definitions'!$A$4</f>
        <v>0-9_males</v>
      </c>
      <c r="C116" t="s">
        <v>55</v>
      </c>
      <c r="D116" s="3"/>
      <c r="E116" s="3">
        <v>0.015</v>
      </c>
      <c r="F116" s="4" t="s">
        <v>39</v>
      </c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</row>
    <row r="117" spans="1:57">
      <c r="A117" s="1" t="str">
        <f>'Population Definitions'!$A$5</f>
        <v>0-9_females</v>
      </c>
      <c r="C117" t="s">
        <v>55</v>
      </c>
      <c r="D117" s="3"/>
      <c r="E117" s="3">
        <v>0.015</v>
      </c>
      <c r="F117" s="4" t="s">
        <v>39</v>
      </c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</row>
    <row r="118" spans="1:57">
      <c r="A118" s="1" t="str">
        <f>'Population Definitions'!$A$6</f>
        <v>10-17_males</v>
      </c>
      <c r="C118" t="s">
        <v>55</v>
      </c>
      <c r="D118" s="3"/>
      <c r="E118" s="3">
        <v>0.015</v>
      </c>
      <c r="F118" s="4" t="s">
        <v>39</v>
      </c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</row>
    <row r="119" spans="1:57">
      <c r="A119" s="1" t="str">
        <f>'Population Definitions'!$A$7</f>
        <v>10-17_females</v>
      </c>
      <c r="C119" t="s">
        <v>55</v>
      </c>
      <c r="D119" s="3"/>
      <c r="E119" s="3">
        <v>0.015</v>
      </c>
      <c r="F119" s="4" t="s">
        <v>39</v>
      </c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</row>
    <row r="120" spans="1:57">
      <c r="A120" s="1" t="str">
        <f>'Population Definitions'!$A$8</f>
        <v>18-64_males</v>
      </c>
      <c r="C120" t="s">
        <v>55</v>
      </c>
      <c r="D120" s="3"/>
      <c r="E120" s="3">
        <v>0.015</v>
      </c>
      <c r="F120" s="4" t="s">
        <v>39</v>
      </c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</row>
    <row r="121" spans="1:57">
      <c r="A121" s="1" t="str">
        <f>'Population Definitions'!$A$9</f>
        <v>18-64_females</v>
      </c>
      <c r="C121" t="s">
        <v>55</v>
      </c>
      <c r="D121" s="3"/>
      <c r="E121" s="3">
        <v>0.015</v>
      </c>
      <c r="F121" s="4" t="s">
        <v>39</v>
      </c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</row>
    <row r="122" spans="1:57">
      <c r="A122" s="1" t="str">
        <f>'Population Definitions'!$A$10</f>
        <v>65+_males</v>
      </c>
      <c r="C122" t="s">
        <v>55</v>
      </c>
      <c r="D122" s="3"/>
      <c r="E122" s="3">
        <v>0.015</v>
      </c>
      <c r="F122" s="4" t="s">
        <v>39</v>
      </c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</row>
    <row r="123" spans="1:57">
      <c r="A123" s="1" t="str">
        <f>'Population Definitions'!$A$11</f>
        <v>65+_females</v>
      </c>
      <c r="C123" t="s">
        <v>55</v>
      </c>
      <c r="D123" s="3"/>
      <c r="E123" s="3">
        <v>0.015</v>
      </c>
      <c r="F123" s="4" t="s">
        <v>39</v>
      </c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</row>
    <row r="124" spans="1:57">
      <c r="A124" s="1" t="str">
        <f>'Population Definitions'!$A$12</f>
        <v>Prisoners_males</v>
      </c>
      <c r="C124" t="s">
        <v>55</v>
      </c>
      <c r="D124" s="3"/>
      <c r="E124" s="3">
        <v>0.015</v>
      </c>
      <c r="F124" s="4" t="s">
        <v>39</v>
      </c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</row>
    <row r="125" spans="1:57">
      <c r="A125" s="1" t="str">
        <f>'Population Definitions'!$A$13</f>
        <v>Prisoners_females</v>
      </c>
      <c r="C125" t="s">
        <v>55</v>
      </c>
      <c r="D125" s="3"/>
      <c r="E125" s="3">
        <v>0.015</v>
      </c>
      <c r="F125" s="4" t="s">
        <v>39</v>
      </c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</row>
    <row r="126" spans="1:57">
      <c r="A126" s="1" t="str">
        <f>'Population Definitions'!$A$14</f>
        <v>Prisoners_PWID_males</v>
      </c>
      <c r="C126" t="s">
        <v>55</v>
      </c>
      <c r="D126" s="3"/>
      <c r="E126" s="3">
        <v>0.015</v>
      </c>
      <c r="F126" s="4" t="s">
        <v>39</v>
      </c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</row>
    <row r="127" spans="1:57">
      <c r="A127" s="1" t="str">
        <f>'Population Definitions'!$A$15</f>
        <v>Prisoners_PWID_females</v>
      </c>
      <c r="C127" t="s">
        <v>55</v>
      </c>
      <c r="D127" s="3"/>
      <c r="E127" s="3">
        <v>0.015</v>
      </c>
      <c r="F127" s="4" t="s">
        <v>39</v>
      </c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</row>
    <row r="129" spans="1:57">
      <c r="A129" s="1" t="s">
        <v>70</v>
      </c>
      <c r="B129" s="1" t="s">
        <v>31</v>
      </c>
      <c r="C129" s="1" t="s">
        <v>32</v>
      </c>
      <c r="D129" s="1" t="s">
        <v>33</v>
      </c>
      <c r="E129" s="1" t="s">
        <v>38</v>
      </c>
      <c r="F129" s="1"/>
      <c r="G129" s="1">
        <v>2000</v>
      </c>
      <c r="H129" s="1">
        <v>2001</v>
      </c>
      <c r="I129" s="1">
        <v>2002</v>
      </c>
      <c r="J129" s="1">
        <v>2003</v>
      </c>
      <c r="K129" s="1">
        <v>2004</v>
      </c>
      <c r="L129" s="1">
        <v>2005</v>
      </c>
      <c r="M129" s="1">
        <v>2006</v>
      </c>
      <c r="N129" s="1">
        <v>2007</v>
      </c>
      <c r="O129" s="1">
        <v>2008</v>
      </c>
      <c r="P129" s="1">
        <v>2009</v>
      </c>
      <c r="Q129" s="1">
        <v>2010</v>
      </c>
      <c r="R129" s="1">
        <v>2011</v>
      </c>
      <c r="S129" s="1">
        <v>2012</v>
      </c>
      <c r="T129" s="1">
        <v>2013</v>
      </c>
      <c r="U129" s="1">
        <v>2014</v>
      </c>
      <c r="V129" s="1">
        <v>2015</v>
      </c>
      <c r="W129" s="1">
        <v>2016</v>
      </c>
      <c r="X129" s="1">
        <v>2017</v>
      </c>
      <c r="Y129" s="1">
        <v>2018</v>
      </c>
      <c r="Z129" s="1">
        <v>2019</v>
      </c>
      <c r="AA129" s="1">
        <v>2020</v>
      </c>
      <c r="AB129" s="1">
        <v>2021</v>
      </c>
      <c r="AC129" s="1">
        <v>2022</v>
      </c>
      <c r="AD129" s="1">
        <v>2023</v>
      </c>
      <c r="AE129" s="1">
        <v>2024</v>
      </c>
      <c r="AF129" s="1">
        <v>2025</v>
      </c>
      <c r="AG129" s="1">
        <v>2026</v>
      </c>
      <c r="AH129" s="1">
        <v>2027</v>
      </c>
      <c r="AI129" s="1">
        <v>2028</v>
      </c>
      <c r="AJ129" s="1">
        <v>2029</v>
      </c>
      <c r="AK129" s="1">
        <v>2030</v>
      </c>
      <c r="AL129" s="1">
        <v>2031</v>
      </c>
      <c r="AM129" s="1">
        <v>2032</v>
      </c>
      <c r="AN129" s="1">
        <v>2033</v>
      </c>
      <c r="AO129" s="1">
        <v>2034</v>
      </c>
      <c r="AP129" s="1">
        <v>2035</v>
      </c>
      <c r="AQ129" s="1">
        <v>2036</v>
      </c>
      <c r="AR129" s="1">
        <v>2037</v>
      </c>
      <c r="AS129" s="1">
        <v>2038</v>
      </c>
      <c r="AT129" s="1">
        <v>2039</v>
      </c>
      <c r="AU129" s="1">
        <v>2040</v>
      </c>
      <c r="AV129" s="1">
        <v>2041</v>
      </c>
      <c r="AW129" s="1">
        <v>2042</v>
      </c>
      <c r="AX129" s="1">
        <v>2043</v>
      </c>
      <c r="AY129" s="1">
        <v>2044</v>
      </c>
      <c r="AZ129" s="1">
        <v>2045</v>
      </c>
      <c r="BA129" s="1">
        <v>2046</v>
      </c>
      <c r="BB129" s="1">
        <v>2047</v>
      </c>
      <c r="BC129" s="1">
        <v>2048</v>
      </c>
      <c r="BD129" s="1">
        <v>2049</v>
      </c>
      <c r="BE129" s="1">
        <v>2050</v>
      </c>
    </row>
    <row r="130" spans="1:57">
      <c r="A130" s="1" t="str">
        <f>'Population Definitions'!$A$2</f>
        <v>PWID_males</v>
      </c>
      <c r="C130" t="s">
        <v>55</v>
      </c>
      <c r="D130" s="3"/>
      <c r="E130" s="3">
        <v>0.02</v>
      </c>
      <c r="F130" s="4" t="s">
        <v>39</v>
      </c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  <c r="AG130" s="3"/>
      <c r="AH130" s="3"/>
      <c r="AI130" s="3"/>
      <c r="AJ130" s="3"/>
      <c r="AK130" s="3"/>
      <c r="AL130" s="3"/>
      <c r="AM130" s="3"/>
      <c r="AN130" s="3"/>
      <c r="AO130" s="3"/>
      <c r="AP130" s="3"/>
      <c r="AQ130" s="3"/>
      <c r="AR130" s="3"/>
      <c r="AS130" s="3"/>
      <c r="AT130" s="3"/>
      <c r="AU130" s="3"/>
      <c r="AV130" s="3"/>
      <c r="AW130" s="3"/>
      <c r="AX130" s="3"/>
      <c r="AY130" s="3"/>
      <c r="AZ130" s="3"/>
      <c r="BA130" s="3"/>
      <c r="BB130" s="3"/>
      <c r="BC130" s="3"/>
      <c r="BD130" s="3"/>
      <c r="BE130" s="3"/>
    </row>
    <row r="131" spans="1:57">
      <c r="A131" s="1" t="str">
        <f>'Population Definitions'!$A$3</f>
        <v>PWID_females</v>
      </c>
      <c r="C131" t="s">
        <v>55</v>
      </c>
      <c r="D131" s="3"/>
      <c r="E131" s="3">
        <v>0.02</v>
      </c>
      <c r="F131" s="4" t="s">
        <v>39</v>
      </c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  <c r="AG131" s="3"/>
      <c r="AH131" s="3"/>
      <c r="AI131" s="3"/>
      <c r="AJ131" s="3"/>
      <c r="AK131" s="3"/>
      <c r="AL131" s="3"/>
      <c r="AM131" s="3"/>
      <c r="AN131" s="3"/>
      <c r="AO131" s="3"/>
      <c r="AP131" s="3"/>
      <c r="AQ131" s="3"/>
      <c r="AR131" s="3"/>
      <c r="AS131" s="3"/>
      <c r="AT131" s="3"/>
      <c r="AU131" s="3"/>
      <c r="AV131" s="3"/>
      <c r="AW131" s="3"/>
      <c r="AX131" s="3"/>
      <c r="AY131" s="3"/>
      <c r="AZ131" s="3"/>
      <c r="BA131" s="3"/>
      <c r="BB131" s="3"/>
      <c r="BC131" s="3"/>
      <c r="BD131" s="3"/>
      <c r="BE131" s="3"/>
    </row>
    <row r="132" spans="1:57">
      <c r="A132" s="1" t="str">
        <f>'Population Definitions'!$A$4</f>
        <v>0-9_males</v>
      </c>
      <c r="C132" t="s">
        <v>55</v>
      </c>
      <c r="D132" s="3"/>
      <c r="E132" s="3">
        <v>0.02</v>
      </c>
      <c r="F132" s="4" t="s">
        <v>39</v>
      </c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</row>
    <row r="133" spans="1:57">
      <c r="A133" s="1" t="str">
        <f>'Population Definitions'!$A$5</f>
        <v>0-9_females</v>
      </c>
      <c r="C133" t="s">
        <v>55</v>
      </c>
      <c r="D133" s="3"/>
      <c r="E133" s="3">
        <v>0.02</v>
      </c>
      <c r="F133" s="4" t="s">
        <v>39</v>
      </c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</row>
    <row r="134" spans="1:57">
      <c r="A134" s="1" t="str">
        <f>'Population Definitions'!$A$6</f>
        <v>10-17_males</v>
      </c>
      <c r="C134" t="s">
        <v>55</v>
      </c>
      <c r="D134" s="3"/>
      <c r="E134" s="3">
        <v>0.02</v>
      </c>
      <c r="F134" s="4" t="s">
        <v>39</v>
      </c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</row>
    <row r="135" spans="1:57">
      <c r="A135" s="1" t="str">
        <f>'Population Definitions'!$A$7</f>
        <v>10-17_females</v>
      </c>
      <c r="C135" t="s">
        <v>55</v>
      </c>
      <c r="D135" s="3"/>
      <c r="E135" s="3">
        <v>0.02</v>
      </c>
      <c r="F135" s="4" t="s">
        <v>39</v>
      </c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</row>
    <row r="136" spans="1:57">
      <c r="A136" s="1" t="str">
        <f>'Population Definitions'!$A$8</f>
        <v>18-64_males</v>
      </c>
      <c r="C136" t="s">
        <v>55</v>
      </c>
      <c r="D136" s="3"/>
      <c r="E136" s="3">
        <v>0.02</v>
      </c>
      <c r="F136" s="4" t="s">
        <v>39</v>
      </c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</row>
    <row r="137" spans="1:57">
      <c r="A137" s="1" t="str">
        <f>'Population Definitions'!$A$9</f>
        <v>18-64_females</v>
      </c>
      <c r="C137" t="s">
        <v>55</v>
      </c>
      <c r="D137" s="3"/>
      <c r="E137" s="3">
        <v>0.02</v>
      </c>
      <c r="F137" s="4" t="s">
        <v>39</v>
      </c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</row>
    <row r="138" spans="1:57">
      <c r="A138" s="1" t="str">
        <f>'Population Definitions'!$A$10</f>
        <v>65+_males</v>
      </c>
      <c r="C138" t="s">
        <v>55</v>
      </c>
      <c r="D138" s="3"/>
      <c r="E138" s="3">
        <v>0.02</v>
      </c>
      <c r="F138" s="4" t="s">
        <v>39</v>
      </c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</row>
    <row r="139" spans="1:57">
      <c r="A139" s="1" t="str">
        <f>'Population Definitions'!$A$11</f>
        <v>65+_females</v>
      </c>
      <c r="C139" t="s">
        <v>55</v>
      </c>
      <c r="D139" s="3"/>
      <c r="E139" s="3">
        <v>0.02</v>
      </c>
      <c r="F139" s="4" t="s">
        <v>39</v>
      </c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</row>
    <row r="140" spans="1:57">
      <c r="A140" s="1" t="str">
        <f>'Population Definitions'!$A$12</f>
        <v>Prisoners_males</v>
      </c>
      <c r="C140" t="s">
        <v>55</v>
      </c>
      <c r="D140" s="3"/>
      <c r="E140" s="3">
        <v>0.02</v>
      </c>
      <c r="F140" s="4" t="s">
        <v>39</v>
      </c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</row>
    <row r="141" spans="1:57">
      <c r="A141" s="1" t="str">
        <f>'Population Definitions'!$A$13</f>
        <v>Prisoners_females</v>
      </c>
      <c r="C141" t="s">
        <v>55</v>
      </c>
      <c r="D141" s="3"/>
      <c r="E141" s="3">
        <v>0.02</v>
      </c>
      <c r="F141" s="4" t="s">
        <v>39</v>
      </c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</row>
    <row r="142" spans="1:57">
      <c r="A142" s="1" t="str">
        <f>'Population Definitions'!$A$14</f>
        <v>Prisoners_PWID_males</v>
      </c>
      <c r="C142" t="s">
        <v>55</v>
      </c>
      <c r="D142" s="3"/>
      <c r="E142" s="3">
        <v>0.02</v>
      </c>
      <c r="F142" s="4" t="s">
        <v>39</v>
      </c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</row>
    <row r="143" spans="1:57">
      <c r="A143" s="1" t="str">
        <f>'Population Definitions'!$A$15</f>
        <v>Prisoners_PWID_females</v>
      </c>
      <c r="C143" t="s">
        <v>55</v>
      </c>
      <c r="D143" s="3"/>
      <c r="E143" s="3">
        <v>0.02</v>
      </c>
      <c r="F143" s="4" t="s">
        <v>39</v>
      </c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</row>
    <row r="145" spans="1:57">
      <c r="A145" s="1" t="s">
        <v>71</v>
      </c>
      <c r="B145" s="1" t="s">
        <v>31</v>
      </c>
      <c r="C145" s="1" t="s">
        <v>32</v>
      </c>
      <c r="D145" s="1" t="s">
        <v>33</v>
      </c>
      <c r="E145" s="1" t="s">
        <v>38</v>
      </c>
      <c r="F145" s="1"/>
      <c r="G145" s="1">
        <v>2000</v>
      </c>
      <c r="H145" s="1">
        <v>2001</v>
      </c>
      <c r="I145" s="1">
        <v>2002</v>
      </c>
      <c r="J145" s="1">
        <v>2003</v>
      </c>
      <c r="K145" s="1">
        <v>2004</v>
      </c>
      <c r="L145" s="1">
        <v>2005</v>
      </c>
      <c r="M145" s="1">
        <v>2006</v>
      </c>
      <c r="N145" s="1">
        <v>2007</v>
      </c>
      <c r="O145" s="1">
        <v>2008</v>
      </c>
      <c r="P145" s="1">
        <v>2009</v>
      </c>
      <c r="Q145" s="1">
        <v>2010</v>
      </c>
      <c r="R145" s="1">
        <v>2011</v>
      </c>
      <c r="S145" s="1">
        <v>2012</v>
      </c>
      <c r="T145" s="1">
        <v>2013</v>
      </c>
      <c r="U145" s="1">
        <v>2014</v>
      </c>
      <c r="V145" s="1">
        <v>2015</v>
      </c>
      <c r="W145" s="1">
        <v>2016</v>
      </c>
      <c r="X145" s="1">
        <v>2017</v>
      </c>
      <c r="Y145" s="1">
        <v>2018</v>
      </c>
      <c r="Z145" s="1">
        <v>2019</v>
      </c>
      <c r="AA145" s="1">
        <v>2020</v>
      </c>
      <c r="AB145" s="1">
        <v>2021</v>
      </c>
      <c r="AC145" s="1">
        <v>2022</v>
      </c>
      <c r="AD145" s="1">
        <v>2023</v>
      </c>
      <c r="AE145" s="1">
        <v>2024</v>
      </c>
      <c r="AF145" s="1">
        <v>2025</v>
      </c>
      <c r="AG145" s="1">
        <v>2026</v>
      </c>
      <c r="AH145" s="1">
        <v>2027</v>
      </c>
      <c r="AI145" s="1">
        <v>2028</v>
      </c>
      <c r="AJ145" s="1">
        <v>2029</v>
      </c>
      <c r="AK145" s="1">
        <v>2030</v>
      </c>
      <c r="AL145" s="1">
        <v>2031</v>
      </c>
      <c r="AM145" s="1">
        <v>2032</v>
      </c>
      <c r="AN145" s="1">
        <v>2033</v>
      </c>
      <c r="AO145" s="1">
        <v>2034</v>
      </c>
      <c r="AP145" s="1">
        <v>2035</v>
      </c>
      <c r="AQ145" s="1">
        <v>2036</v>
      </c>
      <c r="AR145" s="1">
        <v>2037</v>
      </c>
      <c r="AS145" s="1">
        <v>2038</v>
      </c>
      <c r="AT145" s="1">
        <v>2039</v>
      </c>
      <c r="AU145" s="1">
        <v>2040</v>
      </c>
      <c r="AV145" s="1">
        <v>2041</v>
      </c>
      <c r="AW145" s="1">
        <v>2042</v>
      </c>
      <c r="AX145" s="1">
        <v>2043</v>
      </c>
      <c r="AY145" s="1">
        <v>2044</v>
      </c>
      <c r="AZ145" s="1">
        <v>2045</v>
      </c>
      <c r="BA145" s="1">
        <v>2046</v>
      </c>
      <c r="BB145" s="1">
        <v>2047</v>
      </c>
      <c r="BC145" s="1">
        <v>2048</v>
      </c>
      <c r="BD145" s="1">
        <v>2049</v>
      </c>
      <c r="BE145" s="1">
        <v>2050</v>
      </c>
    </row>
    <row r="146" spans="1:57">
      <c r="A146" s="1" t="str">
        <f>'Population Definitions'!$A$2</f>
        <v>PWID_males</v>
      </c>
      <c r="C146" t="s">
        <v>55</v>
      </c>
      <c r="D146" s="3">
        <v>0.02551020408163265</v>
      </c>
      <c r="E146" s="3">
        <v>0.183258146374831</v>
      </c>
      <c r="F146" s="4" t="s">
        <v>39</v>
      </c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</row>
    <row r="147" spans="1:57">
      <c r="A147" s="1" t="str">
        <f>'Population Definitions'!$A$3</f>
        <v>PWID_females</v>
      </c>
      <c r="C147" t="s">
        <v>55</v>
      </c>
      <c r="D147" s="3">
        <v>0.02551020408163265</v>
      </c>
      <c r="E147" s="3">
        <v>0.183258146374831</v>
      </c>
      <c r="F147" s="4" t="s">
        <v>39</v>
      </c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</row>
    <row r="148" spans="1:57">
      <c r="A148" s="1" t="str">
        <f>'Population Definitions'!$A$4</f>
        <v>0-9_males</v>
      </c>
      <c r="C148" t="s">
        <v>55</v>
      </c>
      <c r="D148" s="3">
        <v>0.02551020408163265</v>
      </c>
      <c r="E148" s="3">
        <v>0.183258146374831</v>
      </c>
      <c r="F148" s="4" t="s">
        <v>39</v>
      </c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</row>
    <row r="149" spans="1:57">
      <c r="A149" s="1" t="str">
        <f>'Population Definitions'!$A$5</f>
        <v>0-9_females</v>
      </c>
      <c r="C149" t="s">
        <v>55</v>
      </c>
      <c r="D149" s="3">
        <v>0.02551020408163265</v>
      </c>
      <c r="E149" s="3">
        <v>0.183258146374831</v>
      </c>
      <c r="F149" s="4" t="s">
        <v>39</v>
      </c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</row>
    <row r="150" spans="1:57">
      <c r="A150" s="1" t="str">
        <f>'Population Definitions'!$A$6</f>
        <v>10-17_males</v>
      </c>
      <c r="C150" t="s">
        <v>55</v>
      </c>
      <c r="D150" s="3">
        <v>0.02551020408163265</v>
      </c>
      <c r="E150" s="3">
        <v>0.183258146374831</v>
      </c>
      <c r="F150" s="4" t="s">
        <v>39</v>
      </c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</row>
    <row r="151" spans="1:57">
      <c r="A151" s="1" t="str">
        <f>'Population Definitions'!$A$7</f>
        <v>10-17_females</v>
      </c>
      <c r="C151" t="s">
        <v>55</v>
      </c>
      <c r="D151" s="3">
        <v>0.02551020408163265</v>
      </c>
      <c r="E151" s="3">
        <v>0.183258146374831</v>
      </c>
      <c r="F151" s="4" t="s">
        <v>39</v>
      </c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</row>
    <row r="152" spans="1:57">
      <c r="A152" s="1" t="str">
        <f>'Population Definitions'!$A$8</f>
        <v>18-64_males</v>
      </c>
      <c r="C152" t="s">
        <v>55</v>
      </c>
      <c r="D152" s="3">
        <v>0.02551020408163265</v>
      </c>
      <c r="E152" s="3">
        <v>0.183258146374831</v>
      </c>
      <c r="F152" s="4" t="s">
        <v>39</v>
      </c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</row>
    <row r="153" spans="1:57">
      <c r="A153" s="1" t="str">
        <f>'Population Definitions'!$A$9</f>
        <v>18-64_females</v>
      </c>
      <c r="C153" t="s">
        <v>55</v>
      </c>
      <c r="D153" s="3">
        <v>0.02551020408163265</v>
      </c>
      <c r="E153" s="3">
        <v>0.183258146374831</v>
      </c>
      <c r="F153" s="4" t="s">
        <v>39</v>
      </c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</row>
    <row r="154" spans="1:57">
      <c r="A154" s="1" t="str">
        <f>'Population Definitions'!$A$10</f>
        <v>65+_males</v>
      </c>
      <c r="C154" t="s">
        <v>55</v>
      </c>
      <c r="D154" s="3">
        <v>0.02551020408163265</v>
      </c>
      <c r="E154" s="3">
        <v>0.183258146374831</v>
      </c>
      <c r="F154" s="4" t="s">
        <v>39</v>
      </c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</row>
    <row r="155" spans="1:57">
      <c r="A155" s="1" t="str">
        <f>'Population Definitions'!$A$11</f>
        <v>65+_females</v>
      </c>
      <c r="C155" t="s">
        <v>55</v>
      </c>
      <c r="D155" s="3">
        <v>0.02551020408163265</v>
      </c>
      <c r="E155" s="3">
        <v>0.183258146374831</v>
      </c>
      <c r="F155" s="4" t="s">
        <v>39</v>
      </c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</row>
    <row r="156" spans="1:57">
      <c r="A156" s="1" t="str">
        <f>'Population Definitions'!$A$12</f>
        <v>Prisoners_males</v>
      </c>
      <c r="C156" t="s">
        <v>55</v>
      </c>
      <c r="D156" s="3">
        <v>0.02551020408163265</v>
      </c>
      <c r="E156" s="3">
        <v>0.183258146374831</v>
      </c>
      <c r="F156" s="4" t="s">
        <v>39</v>
      </c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  <c r="AG156" s="3"/>
      <c r="AH156" s="3"/>
      <c r="AI156" s="3"/>
      <c r="AJ156" s="3"/>
      <c r="AK156" s="3"/>
      <c r="AL156" s="3"/>
      <c r="AM156" s="3"/>
      <c r="AN156" s="3"/>
      <c r="AO156" s="3"/>
      <c r="AP156" s="3"/>
      <c r="AQ156" s="3"/>
      <c r="AR156" s="3"/>
      <c r="AS156" s="3"/>
      <c r="AT156" s="3"/>
      <c r="AU156" s="3"/>
      <c r="AV156" s="3"/>
      <c r="AW156" s="3"/>
      <c r="AX156" s="3"/>
      <c r="AY156" s="3"/>
      <c r="AZ156" s="3"/>
      <c r="BA156" s="3"/>
      <c r="BB156" s="3"/>
      <c r="BC156" s="3"/>
      <c r="BD156" s="3"/>
      <c r="BE156" s="3"/>
    </row>
    <row r="157" spans="1:57">
      <c r="A157" s="1" t="str">
        <f>'Population Definitions'!$A$13</f>
        <v>Prisoners_females</v>
      </c>
      <c r="C157" t="s">
        <v>55</v>
      </c>
      <c r="D157" s="3">
        <v>0.02551020408163265</v>
      </c>
      <c r="E157" s="3">
        <v>0.183258146374831</v>
      </c>
      <c r="F157" s="4" t="s">
        <v>39</v>
      </c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  <c r="AG157" s="3"/>
      <c r="AH157" s="3"/>
      <c r="AI157" s="3"/>
      <c r="AJ157" s="3"/>
      <c r="AK157" s="3"/>
      <c r="AL157" s="3"/>
      <c r="AM157" s="3"/>
      <c r="AN157" s="3"/>
      <c r="AO157" s="3"/>
      <c r="AP157" s="3"/>
      <c r="AQ157" s="3"/>
      <c r="AR157" s="3"/>
      <c r="AS157" s="3"/>
      <c r="AT157" s="3"/>
      <c r="AU157" s="3"/>
      <c r="AV157" s="3"/>
      <c r="AW157" s="3"/>
      <c r="AX157" s="3"/>
      <c r="AY157" s="3"/>
      <c r="AZ157" s="3"/>
      <c r="BA157" s="3"/>
      <c r="BB157" s="3"/>
      <c r="BC157" s="3"/>
      <c r="BD157" s="3"/>
      <c r="BE157" s="3"/>
    </row>
    <row r="158" spans="1:57">
      <c r="A158" s="1" t="str">
        <f>'Population Definitions'!$A$14</f>
        <v>Prisoners_PWID_males</v>
      </c>
      <c r="C158" t="s">
        <v>55</v>
      </c>
      <c r="D158" s="3">
        <v>0.02551020408163265</v>
      </c>
      <c r="E158" s="3">
        <v>0.183258146374831</v>
      </c>
      <c r="F158" s="4" t="s">
        <v>39</v>
      </c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</row>
    <row r="159" spans="1:57">
      <c r="A159" s="1" t="str">
        <f>'Population Definitions'!$A$15</f>
        <v>Prisoners_PWID_females</v>
      </c>
      <c r="C159" t="s">
        <v>55</v>
      </c>
      <c r="D159" s="3">
        <v>0.02551020408163265</v>
      </c>
      <c r="E159" s="3">
        <v>0.183258146374831</v>
      </c>
      <c r="F159" s="4" t="s">
        <v>39</v>
      </c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</row>
    <row r="161" spans="1:57">
      <c r="A161" s="1" t="s">
        <v>72</v>
      </c>
      <c r="B161" s="1" t="s">
        <v>31</v>
      </c>
      <c r="C161" s="1" t="s">
        <v>32</v>
      </c>
      <c r="D161" s="1" t="s">
        <v>33</v>
      </c>
      <c r="E161" s="1" t="s">
        <v>38</v>
      </c>
      <c r="F161" s="1"/>
      <c r="G161" s="1">
        <v>2000</v>
      </c>
      <c r="H161" s="1">
        <v>2001</v>
      </c>
      <c r="I161" s="1">
        <v>2002</v>
      </c>
      <c r="J161" s="1">
        <v>2003</v>
      </c>
      <c r="K161" s="1">
        <v>2004</v>
      </c>
      <c r="L161" s="1">
        <v>2005</v>
      </c>
      <c r="M161" s="1">
        <v>2006</v>
      </c>
      <c r="N161" s="1">
        <v>2007</v>
      </c>
      <c r="O161" s="1">
        <v>2008</v>
      </c>
      <c r="P161" s="1">
        <v>2009</v>
      </c>
      <c r="Q161" s="1">
        <v>2010</v>
      </c>
      <c r="R161" s="1">
        <v>2011</v>
      </c>
      <c r="S161" s="1">
        <v>2012</v>
      </c>
      <c r="T161" s="1">
        <v>2013</v>
      </c>
      <c r="U161" s="1">
        <v>2014</v>
      </c>
      <c r="V161" s="1">
        <v>2015</v>
      </c>
      <c r="W161" s="1">
        <v>2016</v>
      </c>
      <c r="X161" s="1">
        <v>2017</v>
      </c>
      <c r="Y161" s="1">
        <v>2018</v>
      </c>
      <c r="Z161" s="1">
        <v>2019</v>
      </c>
      <c r="AA161" s="1">
        <v>2020</v>
      </c>
      <c r="AB161" s="1">
        <v>2021</v>
      </c>
      <c r="AC161" s="1">
        <v>2022</v>
      </c>
      <c r="AD161" s="1">
        <v>2023</v>
      </c>
      <c r="AE161" s="1">
        <v>2024</v>
      </c>
      <c r="AF161" s="1">
        <v>2025</v>
      </c>
      <c r="AG161" s="1">
        <v>2026</v>
      </c>
      <c r="AH161" s="1">
        <v>2027</v>
      </c>
      <c r="AI161" s="1">
        <v>2028</v>
      </c>
      <c r="AJ161" s="1">
        <v>2029</v>
      </c>
      <c r="AK161" s="1">
        <v>2030</v>
      </c>
      <c r="AL161" s="1">
        <v>2031</v>
      </c>
      <c r="AM161" s="1">
        <v>2032</v>
      </c>
      <c r="AN161" s="1">
        <v>2033</v>
      </c>
      <c r="AO161" s="1">
        <v>2034</v>
      </c>
      <c r="AP161" s="1">
        <v>2035</v>
      </c>
      <c r="AQ161" s="1">
        <v>2036</v>
      </c>
      <c r="AR161" s="1">
        <v>2037</v>
      </c>
      <c r="AS161" s="1">
        <v>2038</v>
      </c>
      <c r="AT161" s="1">
        <v>2039</v>
      </c>
      <c r="AU161" s="1">
        <v>2040</v>
      </c>
      <c r="AV161" s="1">
        <v>2041</v>
      </c>
      <c r="AW161" s="1">
        <v>2042</v>
      </c>
      <c r="AX161" s="1">
        <v>2043</v>
      </c>
      <c r="AY161" s="1">
        <v>2044</v>
      </c>
      <c r="AZ161" s="1">
        <v>2045</v>
      </c>
      <c r="BA161" s="1">
        <v>2046</v>
      </c>
      <c r="BB161" s="1">
        <v>2047</v>
      </c>
      <c r="BC161" s="1">
        <v>2048</v>
      </c>
      <c r="BD161" s="1">
        <v>2049</v>
      </c>
      <c r="BE161" s="1">
        <v>2050</v>
      </c>
    </row>
    <row r="162" spans="1:57">
      <c r="A162" s="1" t="str">
        <f>'Population Definitions'!$A$2</f>
        <v>PWID_males</v>
      </c>
      <c r="C162" t="s">
        <v>55</v>
      </c>
      <c r="D162" s="3"/>
      <c r="E162" s="3">
        <v>0.068</v>
      </c>
      <c r="F162" s="4" t="s">
        <v>39</v>
      </c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</row>
    <row r="163" spans="1:57">
      <c r="A163" s="1" t="str">
        <f>'Population Definitions'!$A$3</f>
        <v>PWID_females</v>
      </c>
      <c r="C163" t="s">
        <v>55</v>
      </c>
      <c r="D163" s="3"/>
      <c r="E163" s="3">
        <v>0.068</v>
      </c>
      <c r="F163" s="4" t="s">
        <v>39</v>
      </c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</row>
    <row r="164" spans="1:57">
      <c r="A164" s="1" t="str">
        <f>'Population Definitions'!$A$4</f>
        <v>0-9_males</v>
      </c>
      <c r="C164" t="s">
        <v>55</v>
      </c>
      <c r="D164" s="3"/>
      <c r="E164" s="3">
        <v>0.068</v>
      </c>
      <c r="F164" s="4" t="s">
        <v>39</v>
      </c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</row>
    <row r="165" spans="1:57">
      <c r="A165" s="1" t="str">
        <f>'Population Definitions'!$A$5</f>
        <v>0-9_females</v>
      </c>
      <c r="C165" t="s">
        <v>55</v>
      </c>
      <c r="D165" s="3"/>
      <c r="E165" s="3">
        <v>0.068</v>
      </c>
      <c r="F165" s="4" t="s">
        <v>39</v>
      </c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</row>
    <row r="166" spans="1:57">
      <c r="A166" s="1" t="str">
        <f>'Population Definitions'!$A$6</f>
        <v>10-17_males</v>
      </c>
      <c r="C166" t="s">
        <v>55</v>
      </c>
      <c r="D166" s="3"/>
      <c r="E166" s="3">
        <v>0.068</v>
      </c>
      <c r="F166" s="4" t="s">
        <v>39</v>
      </c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</row>
    <row r="167" spans="1:57">
      <c r="A167" s="1" t="str">
        <f>'Population Definitions'!$A$7</f>
        <v>10-17_females</v>
      </c>
      <c r="C167" t="s">
        <v>55</v>
      </c>
      <c r="D167" s="3"/>
      <c r="E167" s="3">
        <v>0.068</v>
      </c>
      <c r="F167" s="4" t="s">
        <v>39</v>
      </c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</row>
    <row r="168" spans="1:57">
      <c r="A168" s="1" t="str">
        <f>'Population Definitions'!$A$8</f>
        <v>18-64_males</v>
      </c>
      <c r="C168" t="s">
        <v>55</v>
      </c>
      <c r="D168" s="3"/>
      <c r="E168" s="3">
        <v>0.068</v>
      </c>
      <c r="F168" s="4" t="s">
        <v>39</v>
      </c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</row>
    <row r="169" spans="1:57">
      <c r="A169" s="1" t="str">
        <f>'Population Definitions'!$A$9</f>
        <v>18-64_females</v>
      </c>
      <c r="C169" t="s">
        <v>55</v>
      </c>
      <c r="D169" s="3"/>
      <c r="E169" s="3">
        <v>0.068</v>
      </c>
      <c r="F169" s="4" t="s">
        <v>39</v>
      </c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</row>
    <row r="170" spans="1:57">
      <c r="A170" s="1" t="str">
        <f>'Population Definitions'!$A$10</f>
        <v>65+_males</v>
      </c>
      <c r="C170" t="s">
        <v>55</v>
      </c>
      <c r="D170" s="3"/>
      <c r="E170" s="3">
        <v>0.068</v>
      </c>
      <c r="F170" s="4" t="s">
        <v>39</v>
      </c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</row>
    <row r="171" spans="1:57">
      <c r="A171" s="1" t="str">
        <f>'Population Definitions'!$A$11</f>
        <v>65+_females</v>
      </c>
      <c r="C171" t="s">
        <v>55</v>
      </c>
      <c r="D171" s="3"/>
      <c r="E171" s="3">
        <v>0.068</v>
      </c>
      <c r="F171" s="4" t="s">
        <v>39</v>
      </c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</row>
    <row r="172" spans="1:57">
      <c r="A172" s="1" t="str">
        <f>'Population Definitions'!$A$12</f>
        <v>Prisoners_males</v>
      </c>
      <c r="C172" t="s">
        <v>55</v>
      </c>
      <c r="D172" s="3"/>
      <c r="E172" s="3">
        <v>0.068</v>
      </c>
      <c r="F172" s="4" t="s">
        <v>39</v>
      </c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</row>
    <row r="173" spans="1:57">
      <c r="A173" s="1" t="str">
        <f>'Population Definitions'!$A$13</f>
        <v>Prisoners_females</v>
      </c>
      <c r="C173" t="s">
        <v>55</v>
      </c>
      <c r="D173" s="3"/>
      <c r="E173" s="3">
        <v>0.068</v>
      </c>
      <c r="F173" s="4" t="s">
        <v>39</v>
      </c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</row>
    <row r="174" spans="1:57">
      <c r="A174" s="1" t="str">
        <f>'Population Definitions'!$A$14</f>
        <v>Prisoners_PWID_males</v>
      </c>
      <c r="C174" t="s">
        <v>55</v>
      </c>
      <c r="D174" s="3"/>
      <c r="E174" s="3">
        <v>0.068</v>
      </c>
      <c r="F174" s="4" t="s">
        <v>39</v>
      </c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</row>
    <row r="175" spans="1:57">
      <c r="A175" s="1" t="str">
        <f>'Population Definitions'!$A$15</f>
        <v>Prisoners_PWID_females</v>
      </c>
      <c r="C175" t="s">
        <v>55</v>
      </c>
      <c r="D175" s="3"/>
      <c r="E175" s="3">
        <v>0.068</v>
      </c>
      <c r="F175" s="4" t="s">
        <v>39</v>
      </c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</row>
    <row r="177" spans="1:57">
      <c r="A177" s="1" t="s">
        <v>73</v>
      </c>
      <c r="B177" s="1" t="s">
        <v>31</v>
      </c>
      <c r="C177" s="1" t="s">
        <v>32</v>
      </c>
      <c r="D177" s="1" t="s">
        <v>33</v>
      </c>
      <c r="E177" s="1" t="s">
        <v>38</v>
      </c>
      <c r="F177" s="1"/>
      <c r="G177" s="1">
        <v>2000</v>
      </c>
      <c r="H177" s="1">
        <v>2001</v>
      </c>
      <c r="I177" s="1">
        <v>2002</v>
      </c>
      <c r="J177" s="1">
        <v>2003</v>
      </c>
      <c r="K177" s="1">
        <v>2004</v>
      </c>
      <c r="L177" s="1">
        <v>2005</v>
      </c>
      <c r="M177" s="1">
        <v>2006</v>
      </c>
      <c r="N177" s="1">
        <v>2007</v>
      </c>
      <c r="O177" s="1">
        <v>2008</v>
      </c>
      <c r="P177" s="1">
        <v>2009</v>
      </c>
      <c r="Q177" s="1">
        <v>2010</v>
      </c>
      <c r="R177" s="1">
        <v>2011</v>
      </c>
      <c r="S177" s="1">
        <v>2012</v>
      </c>
      <c r="T177" s="1">
        <v>2013</v>
      </c>
      <c r="U177" s="1">
        <v>2014</v>
      </c>
      <c r="V177" s="1">
        <v>2015</v>
      </c>
      <c r="W177" s="1">
        <v>2016</v>
      </c>
      <c r="X177" s="1">
        <v>2017</v>
      </c>
      <c r="Y177" s="1">
        <v>2018</v>
      </c>
      <c r="Z177" s="1">
        <v>2019</v>
      </c>
      <c r="AA177" s="1">
        <v>2020</v>
      </c>
      <c r="AB177" s="1">
        <v>2021</v>
      </c>
      <c r="AC177" s="1">
        <v>2022</v>
      </c>
      <c r="AD177" s="1">
        <v>2023</v>
      </c>
      <c r="AE177" s="1">
        <v>2024</v>
      </c>
      <c r="AF177" s="1">
        <v>2025</v>
      </c>
      <c r="AG177" s="1">
        <v>2026</v>
      </c>
      <c r="AH177" s="1">
        <v>2027</v>
      </c>
      <c r="AI177" s="1">
        <v>2028</v>
      </c>
      <c r="AJ177" s="1">
        <v>2029</v>
      </c>
      <c r="AK177" s="1">
        <v>2030</v>
      </c>
      <c r="AL177" s="1">
        <v>2031</v>
      </c>
      <c r="AM177" s="1">
        <v>2032</v>
      </c>
      <c r="AN177" s="1">
        <v>2033</v>
      </c>
      <c r="AO177" s="1">
        <v>2034</v>
      </c>
      <c r="AP177" s="1">
        <v>2035</v>
      </c>
      <c r="AQ177" s="1">
        <v>2036</v>
      </c>
      <c r="AR177" s="1">
        <v>2037</v>
      </c>
      <c r="AS177" s="1">
        <v>2038</v>
      </c>
      <c r="AT177" s="1">
        <v>2039</v>
      </c>
      <c r="AU177" s="1">
        <v>2040</v>
      </c>
      <c r="AV177" s="1">
        <v>2041</v>
      </c>
      <c r="AW177" s="1">
        <v>2042</v>
      </c>
      <c r="AX177" s="1">
        <v>2043</v>
      </c>
      <c r="AY177" s="1">
        <v>2044</v>
      </c>
      <c r="AZ177" s="1">
        <v>2045</v>
      </c>
      <c r="BA177" s="1">
        <v>2046</v>
      </c>
      <c r="BB177" s="1">
        <v>2047</v>
      </c>
      <c r="BC177" s="1">
        <v>2048</v>
      </c>
      <c r="BD177" s="1">
        <v>2049</v>
      </c>
      <c r="BE177" s="1">
        <v>2050</v>
      </c>
    </row>
    <row r="178" spans="1:57">
      <c r="A178" s="1" t="str">
        <f>'Population Definitions'!$A$2</f>
        <v>PWID_males</v>
      </c>
      <c r="C178" t="s">
        <v>55</v>
      </c>
      <c r="D178" s="3"/>
      <c r="E178" s="3">
        <v>0.03</v>
      </c>
      <c r="F178" s="4" t="s">
        <v>39</v>
      </c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</row>
    <row r="179" spans="1:57">
      <c r="A179" s="1" t="str">
        <f>'Population Definitions'!$A$3</f>
        <v>PWID_females</v>
      </c>
      <c r="C179" t="s">
        <v>55</v>
      </c>
      <c r="D179" s="3"/>
      <c r="E179" s="3">
        <v>0.03</v>
      </c>
      <c r="F179" s="4" t="s">
        <v>39</v>
      </c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</row>
    <row r="180" spans="1:57">
      <c r="A180" s="1" t="str">
        <f>'Population Definitions'!$A$4</f>
        <v>0-9_males</v>
      </c>
      <c r="C180" t="s">
        <v>55</v>
      </c>
      <c r="D180" s="3"/>
      <c r="E180" s="3">
        <v>0.03</v>
      </c>
      <c r="F180" s="4" t="s">
        <v>39</v>
      </c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</row>
    <row r="181" spans="1:57">
      <c r="A181" s="1" t="str">
        <f>'Population Definitions'!$A$5</f>
        <v>0-9_females</v>
      </c>
      <c r="C181" t="s">
        <v>55</v>
      </c>
      <c r="D181" s="3"/>
      <c r="E181" s="3">
        <v>0.03</v>
      </c>
      <c r="F181" s="4" t="s">
        <v>39</v>
      </c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</row>
    <row r="182" spans="1:57">
      <c r="A182" s="1" t="str">
        <f>'Population Definitions'!$A$6</f>
        <v>10-17_males</v>
      </c>
      <c r="C182" t="s">
        <v>55</v>
      </c>
      <c r="D182" s="3"/>
      <c r="E182" s="3">
        <v>0.03</v>
      </c>
      <c r="F182" s="4" t="s">
        <v>39</v>
      </c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  <c r="AG182" s="3"/>
      <c r="AH182" s="3"/>
      <c r="AI182" s="3"/>
      <c r="AJ182" s="3"/>
      <c r="AK182" s="3"/>
      <c r="AL182" s="3"/>
      <c r="AM182" s="3"/>
      <c r="AN182" s="3"/>
      <c r="AO182" s="3"/>
      <c r="AP182" s="3"/>
      <c r="AQ182" s="3"/>
      <c r="AR182" s="3"/>
      <c r="AS182" s="3"/>
      <c r="AT182" s="3"/>
      <c r="AU182" s="3"/>
      <c r="AV182" s="3"/>
      <c r="AW182" s="3"/>
      <c r="AX182" s="3"/>
      <c r="AY182" s="3"/>
      <c r="AZ182" s="3"/>
      <c r="BA182" s="3"/>
      <c r="BB182" s="3"/>
      <c r="BC182" s="3"/>
      <c r="BD182" s="3"/>
      <c r="BE182" s="3"/>
    </row>
    <row r="183" spans="1:57">
      <c r="A183" s="1" t="str">
        <f>'Population Definitions'!$A$7</f>
        <v>10-17_females</v>
      </c>
      <c r="C183" t="s">
        <v>55</v>
      </c>
      <c r="D183" s="3"/>
      <c r="E183" s="3">
        <v>0.03</v>
      </c>
      <c r="F183" s="4" t="s">
        <v>39</v>
      </c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  <c r="AG183" s="3"/>
      <c r="AH183" s="3"/>
      <c r="AI183" s="3"/>
      <c r="AJ183" s="3"/>
      <c r="AK183" s="3"/>
      <c r="AL183" s="3"/>
      <c r="AM183" s="3"/>
      <c r="AN183" s="3"/>
      <c r="AO183" s="3"/>
      <c r="AP183" s="3"/>
      <c r="AQ183" s="3"/>
      <c r="AR183" s="3"/>
      <c r="AS183" s="3"/>
      <c r="AT183" s="3"/>
      <c r="AU183" s="3"/>
      <c r="AV183" s="3"/>
      <c r="AW183" s="3"/>
      <c r="AX183" s="3"/>
      <c r="AY183" s="3"/>
      <c r="AZ183" s="3"/>
      <c r="BA183" s="3"/>
      <c r="BB183" s="3"/>
      <c r="BC183" s="3"/>
      <c r="BD183" s="3"/>
      <c r="BE183" s="3"/>
    </row>
    <row r="184" spans="1:57">
      <c r="A184" s="1" t="str">
        <f>'Population Definitions'!$A$8</f>
        <v>18-64_males</v>
      </c>
      <c r="C184" t="s">
        <v>55</v>
      </c>
      <c r="D184" s="3"/>
      <c r="E184" s="3">
        <v>0.03</v>
      </c>
      <c r="F184" s="4" t="s">
        <v>39</v>
      </c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</row>
    <row r="185" spans="1:57">
      <c r="A185" s="1" t="str">
        <f>'Population Definitions'!$A$9</f>
        <v>18-64_females</v>
      </c>
      <c r="C185" t="s">
        <v>55</v>
      </c>
      <c r="D185" s="3"/>
      <c r="E185" s="3">
        <v>0.03</v>
      </c>
      <c r="F185" s="4" t="s">
        <v>39</v>
      </c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</row>
    <row r="186" spans="1:57">
      <c r="A186" s="1" t="str">
        <f>'Population Definitions'!$A$10</f>
        <v>65+_males</v>
      </c>
      <c r="C186" t="s">
        <v>55</v>
      </c>
      <c r="D186" s="3"/>
      <c r="E186" s="3">
        <v>0.03</v>
      </c>
      <c r="F186" s="4" t="s">
        <v>39</v>
      </c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</row>
    <row r="187" spans="1:57">
      <c r="A187" s="1" t="str">
        <f>'Population Definitions'!$A$11</f>
        <v>65+_females</v>
      </c>
      <c r="C187" t="s">
        <v>55</v>
      </c>
      <c r="D187" s="3"/>
      <c r="E187" s="3">
        <v>0.03</v>
      </c>
      <c r="F187" s="4" t="s">
        <v>39</v>
      </c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</row>
    <row r="188" spans="1:57">
      <c r="A188" s="1" t="str">
        <f>'Population Definitions'!$A$12</f>
        <v>Prisoners_males</v>
      </c>
      <c r="C188" t="s">
        <v>55</v>
      </c>
      <c r="D188" s="3"/>
      <c r="E188" s="3">
        <v>0.03</v>
      </c>
      <c r="F188" s="4" t="s">
        <v>39</v>
      </c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</row>
    <row r="189" spans="1:57">
      <c r="A189" s="1" t="str">
        <f>'Population Definitions'!$A$13</f>
        <v>Prisoners_females</v>
      </c>
      <c r="C189" t="s">
        <v>55</v>
      </c>
      <c r="D189" s="3"/>
      <c r="E189" s="3">
        <v>0.03</v>
      </c>
      <c r="F189" s="4" t="s">
        <v>39</v>
      </c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</row>
    <row r="190" spans="1:57">
      <c r="A190" s="1" t="str">
        <f>'Population Definitions'!$A$14</f>
        <v>Prisoners_PWID_males</v>
      </c>
      <c r="C190" t="s">
        <v>55</v>
      </c>
      <c r="D190" s="3"/>
      <c r="E190" s="3">
        <v>0.03</v>
      </c>
      <c r="F190" s="4" t="s">
        <v>39</v>
      </c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</row>
    <row r="191" spans="1:57">
      <c r="A191" s="1" t="str">
        <f>'Population Definitions'!$A$15</f>
        <v>Prisoners_PWID_females</v>
      </c>
      <c r="C191" t="s">
        <v>55</v>
      </c>
      <c r="D191" s="3"/>
      <c r="E191" s="3">
        <v>0.03</v>
      </c>
      <c r="F191" s="4" t="s">
        <v>39</v>
      </c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</row>
    <row r="193" spans="1:57">
      <c r="A193" s="1" t="s">
        <v>74</v>
      </c>
      <c r="B193" s="1" t="s">
        <v>31</v>
      </c>
      <c r="C193" s="1" t="s">
        <v>32</v>
      </c>
      <c r="D193" s="1" t="s">
        <v>33</v>
      </c>
      <c r="E193" s="1" t="s">
        <v>38</v>
      </c>
      <c r="F193" s="1"/>
      <c r="G193" s="1">
        <v>2000</v>
      </c>
      <c r="H193" s="1">
        <v>2001</v>
      </c>
      <c r="I193" s="1">
        <v>2002</v>
      </c>
      <c r="J193" s="1">
        <v>2003</v>
      </c>
      <c r="K193" s="1">
        <v>2004</v>
      </c>
      <c r="L193" s="1">
        <v>2005</v>
      </c>
      <c r="M193" s="1">
        <v>2006</v>
      </c>
      <c r="N193" s="1">
        <v>2007</v>
      </c>
      <c r="O193" s="1">
        <v>2008</v>
      </c>
      <c r="P193" s="1">
        <v>2009</v>
      </c>
      <c r="Q193" s="1">
        <v>2010</v>
      </c>
      <c r="R193" s="1">
        <v>2011</v>
      </c>
      <c r="S193" s="1">
        <v>2012</v>
      </c>
      <c r="T193" s="1">
        <v>2013</v>
      </c>
      <c r="U193" s="1">
        <v>2014</v>
      </c>
      <c r="V193" s="1">
        <v>2015</v>
      </c>
      <c r="W193" s="1">
        <v>2016</v>
      </c>
      <c r="X193" s="1">
        <v>2017</v>
      </c>
      <c r="Y193" s="1">
        <v>2018</v>
      </c>
      <c r="Z193" s="1">
        <v>2019</v>
      </c>
      <c r="AA193" s="1">
        <v>2020</v>
      </c>
      <c r="AB193" s="1">
        <v>2021</v>
      </c>
      <c r="AC193" s="1">
        <v>2022</v>
      </c>
      <c r="AD193" s="1">
        <v>2023</v>
      </c>
      <c r="AE193" s="1">
        <v>2024</v>
      </c>
      <c r="AF193" s="1">
        <v>2025</v>
      </c>
      <c r="AG193" s="1">
        <v>2026</v>
      </c>
      <c r="AH193" s="1">
        <v>2027</v>
      </c>
      <c r="AI193" s="1">
        <v>2028</v>
      </c>
      <c r="AJ193" s="1">
        <v>2029</v>
      </c>
      <c r="AK193" s="1">
        <v>2030</v>
      </c>
      <c r="AL193" s="1">
        <v>2031</v>
      </c>
      <c r="AM193" s="1">
        <v>2032</v>
      </c>
      <c r="AN193" s="1">
        <v>2033</v>
      </c>
      <c r="AO193" s="1">
        <v>2034</v>
      </c>
      <c r="AP193" s="1">
        <v>2035</v>
      </c>
      <c r="AQ193" s="1">
        <v>2036</v>
      </c>
      <c r="AR193" s="1">
        <v>2037</v>
      </c>
      <c r="AS193" s="1">
        <v>2038</v>
      </c>
      <c r="AT193" s="1">
        <v>2039</v>
      </c>
      <c r="AU193" s="1">
        <v>2040</v>
      </c>
      <c r="AV193" s="1">
        <v>2041</v>
      </c>
      <c r="AW193" s="1">
        <v>2042</v>
      </c>
      <c r="AX193" s="1">
        <v>2043</v>
      </c>
      <c r="AY193" s="1">
        <v>2044</v>
      </c>
      <c r="AZ193" s="1">
        <v>2045</v>
      </c>
      <c r="BA193" s="1">
        <v>2046</v>
      </c>
      <c r="BB193" s="1">
        <v>2047</v>
      </c>
      <c r="BC193" s="1">
        <v>2048</v>
      </c>
      <c r="BD193" s="1">
        <v>2049</v>
      </c>
      <c r="BE193" s="1">
        <v>2050</v>
      </c>
    </row>
    <row r="194" spans="1:57">
      <c r="A194" s="1" t="str">
        <f>'Population Definitions'!$A$2</f>
        <v>PWID_males</v>
      </c>
      <c r="C194" t="s">
        <v>55</v>
      </c>
      <c r="D194" s="3"/>
      <c r="E194" s="3">
        <v>0.138</v>
      </c>
      <c r="F194" s="4" t="s">
        <v>39</v>
      </c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</row>
    <row r="195" spans="1:57">
      <c r="A195" s="1" t="str">
        <f>'Population Definitions'!$A$3</f>
        <v>PWID_females</v>
      </c>
      <c r="C195" t="s">
        <v>55</v>
      </c>
      <c r="D195" s="3"/>
      <c r="E195" s="3">
        <v>0.138</v>
      </c>
      <c r="F195" s="4" t="s">
        <v>39</v>
      </c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</row>
    <row r="196" spans="1:57">
      <c r="A196" s="1" t="str">
        <f>'Population Definitions'!$A$4</f>
        <v>0-9_males</v>
      </c>
      <c r="C196" t="s">
        <v>55</v>
      </c>
      <c r="D196" s="3"/>
      <c r="E196" s="3">
        <v>0.138</v>
      </c>
      <c r="F196" s="4" t="s">
        <v>39</v>
      </c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</row>
    <row r="197" spans="1:57">
      <c r="A197" s="1" t="str">
        <f>'Population Definitions'!$A$5</f>
        <v>0-9_females</v>
      </c>
      <c r="C197" t="s">
        <v>55</v>
      </c>
      <c r="D197" s="3"/>
      <c r="E197" s="3">
        <v>0.138</v>
      </c>
      <c r="F197" s="4" t="s">
        <v>39</v>
      </c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</row>
    <row r="198" spans="1:57">
      <c r="A198" s="1" t="str">
        <f>'Population Definitions'!$A$6</f>
        <v>10-17_males</v>
      </c>
      <c r="C198" t="s">
        <v>55</v>
      </c>
      <c r="D198" s="3"/>
      <c r="E198" s="3">
        <v>0.138</v>
      </c>
      <c r="F198" s="4" t="s">
        <v>39</v>
      </c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</row>
    <row r="199" spans="1:57">
      <c r="A199" s="1" t="str">
        <f>'Population Definitions'!$A$7</f>
        <v>10-17_females</v>
      </c>
      <c r="C199" t="s">
        <v>55</v>
      </c>
      <c r="D199" s="3"/>
      <c r="E199" s="3">
        <v>0.138</v>
      </c>
      <c r="F199" s="4" t="s">
        <v>39</v>
      </c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</row>
    <row r="200" spans="1:57">
      <c r="A200" s="1" t="str">
        <f>'Population Definitions'!$A$8</f>
        <v>18-64_males</v>
      </c>
      <c r="C200" t="s">
        <v>55</v>
      </c>
      <c r="D200" s="3"/>
      <c r="E200" s="3">
        <v>0.138</v>
      </c>
      <c r="F200" s="4" t="s">
        <v>39</v>
      </c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</row>
    <row r="201" spans="1:57">
      <c r="A201" s="1" t="str">
        <f>'Population Definitions'!$A$9</f>
        <v>18-64_females</v>
      </c>
      <c r="C201" t="s">
        <v>55</v>
      </c>
      <c r="D201" s="3"/>
      <c r="E201" s="3">
        <v>0.138</v>
      </c>
      <c r="F201" s="4" t="s">
        <v>39</v>
      </c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</row>
    <row r="202" spans="1:57">
      <c r="A202" s="1" t="str">
        <f>'Population Definitions'!$A$10</f>
        <v>65+_males</v>
      </c>
      <c r="C202" t="s">
        <v>55</v>
      </c>
      <c r="D202" s="3"/>
      <c r="E202" s="3">
        <v>0.138</v>
      </c>
      <c r="F202" s="4" t="s">
        <v>39</v>
      </c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</row>
    <row r="203" spans="1:57">
      <c r="A203" s="1" t="str">
        <f>'Population Definitions'!$A$11</f>
        <v>65+_females</v>
      </c>
      <c r="C203" t="s">
        <v>55</v>
      </c>
      <c r="D203" s="3"/>
      <c r="E203" s="3">
        <v>0.138</v>
      </c>
      <c r="F203" s="4" t="s">
        <v>39</v>
      </c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</row>
    <row r="204" spans="1:57">
      <c r="A204" s="1" t="str">
        <f>'Population Definitions'!$A$12</f>
        <v>Prisoners_males</v>
      </c>
      <c r="C204" t="s">
        <v>55</v>
      </c>
      <c r="D204" s="3"/>
      <c r="E204" s="3">
        <v>0.138</v>
      </c>
      <c r="F204" s="4" t="s">
        <v>39</v>
      </c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</row>
    <row r="205" spans="1:57">
      <c r="A205" s="1" t="str">
        <f>'Population Definitions'!$A$13</f>
        <v>Prisoners_females</v>
      </c>
      <c r="C205" t="s">
        <v>55</v>
      </c>
      <c r="D205" s="3"/>
      <c r="E205" s="3">
        <v>0.138</v>
      </c>
      <c r="F205" s="4" t="s">
        <v>39</v>
      </c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</row>
    <row r="206" spans="1:57">
      <c r="A206" s="1" t="str">
        <f>'Population Definitions'!$A$14</f>
        <v>Prisoners_PWID_males</v>
      </c>
      <c r="C206" t="s">
        <v>55</v>
      </c>
      <c r="D206" s="3"/>
      <c r="E206" s="3">
        <v>0.138</v>
      </c>
      <c r="F206" s="4" t="s">
        <v>39</v>
      </c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</row>
    <row r="207" spans="1:57">
      <c r="A207" s="1" t="str">
        <f>'Population Definitions'!$A$15</f>
        <v>Prisoners_PWID_females</v>
      </c>
      <c r="C207" t="s">
        <v>55</v>
      </c>
      <c r="D207" s="3"/>
      <c r="E207" s="3">
        <v>0.138</v>
      </c>
      <c r="F207" s="4" t="s">
        <v>39</v>
      </c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</row>
    <row r="209" spans="1:57">
      <c r="A209" s="1" t="s">
        <v>75</v>
      </c>
      <c r="B209" s="1" t="s">
        <v>31</v>
      </c>
      <c r="C209" s="1" t="s">
        <v>32</v>
      </c>
      <c r="D209" s="1" t="s">
        <v>33</v>
      </c>
      <c r="E209" s="1" t="s">
        <v>38</v>
      </c>
      <c r="F209" s="1"/>
      <c r="G209" s="1">
        <v>2000</v>
      </c>
      <c r="H209" s="1">
        <v>2001</v>
      </c>
      <c r="I209" s="1">
        <v>2002</v>
      </c>
      <c r="J209" s="1">
        <v>2003</v>
      </c>
      <c r="K209" s="1">
        <v>2004</v>
      </c>
      <c r="L209" s="1">
        <v>2005</v>
      </c>
      <c r="M209" s="1">
        <v>2006</v>
      </c>
      <c r="N209" s="1">
        <v>2007</v>
      </c>
      <c r="O209" s="1">
        <v>2008</v>
      </c>
      <c r="P209" s="1">
        <v>2009</v>
      </c>
      <c r="Q209" s="1">
        <v>2010</v>
      </c>
      <c r="R209" s="1">
        <v>2011</v>
      </c>
      <c r="S209" s="1">
        <v>2012</v>
      </c>
      <c r="T209" s="1">
        <v>2013</v>
      </c>
      <c r="U209" s="1">
        <v>2014</v>
      </c>
      <c r="V209" s="1">
        <v>2015</v>
      </c>
      <c r="W209" s="1">
        <v>2016</v>
      </c>
      <c r="X209" s="1">
        <v>2017</v>
      </c>
      <c r="Y209" s="1">
        <v>2018</v>
      </c>
      <c r="Z209" s="1">
        <v>2019</v>
      </c>
      <c r="AA209" s="1">
        <v>2020</v>
      </c>
      <c r="AB209" s="1">
        <v>2021</v>
      </c>
      <c r="AC209" s="1">
        <v>2022</v>
      </c>
      <c r="AD209" s="1">
        <v>2023</v>
      </c>
      <c r="AE209" s="1">
        <v>2024</v>
      </c>
      <c r="AF209" s="1">
        <v>2025</v>
      </c>
      <c r="AG209" s="1">
        <v>2026</v>
      </c>
      <c r="AH209" s="1">
        <v>2027</v>
      </c>
      <c r="AI209" s="1">
        <v>2028</v>
      </c>
      <c r="AJ209" s="1">
        <v>2029</v>
      </c>
      <c r="AK209" s="1">
        <v>2030</v>
      </c>
      <c r="AL209" s="1">
        <v>2031</v>
      </c>
      <c r="AM209" s="1">
        <v>2032</v>
      </c>
      <c r="AN209" s="1">
        <v>2033</v>
      </c>
      <c r="AO209" s="1">
        <v>2034</v>
      </c>
      <c r="AP209" s="1">
        <v>2035</v>
      </c>
      <c r="AQ209" s="1">
        <v>2036</v>
      </c>
      <c r="AR209" s="1">
        <v>2037</v>
      </c>
      <c r="AS209" s="1">
        <v>2038</v>
      </c>
      <c r="AT209" s="1">
        <v>2039</v>
      </c>
      <c r="AU209" s="1">
        <v>2040</v>
      </c>
      <c r="AV209" s="1">
        <v>2041</v>
      </c>
      <c r="AW209" s="1">
        <v>2042</v>
      </c>
      <c r="AX209" s="1">
        <v>2043</v>
      </c>
      <c r="AY209" s="1">
        <v>2044</v>
      </c>
      <c r="AZ209" s="1">
        <v>2045</v>
      </c>
      <c r="BA209" s="1">
        <v>2046</v>
      </c>
      <c r="BB209" s="1">
        <v>2047</v>
      </c>
      <c r="BC209" s="1">
        <v>2048</v>
      </c>
      <c r="BD209" s="1">
        <v>2049</v>
      </c>
      <c r="BE209" s="1">
        <v>2050</v>
      </c>
    </row>
    <row r="210" spans="1:57">
      <c r="A210" s="1" t="str">
        <f>'Population Definitions'!$A$2</f>
        <v>PWID_males</v>
      </c>
      <c r="C210" t="s">
        <v>55</v>
      </c>
      <c r="D210" s="3"/>
      <c r="E210" s="3">
        <v>0.3</v>
      </c>
      <c r="F210" s="4" t="s">
        <v>39</v>
      </c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</row>
    <row r="211" spans="1:57">
      <c r="A211" s="1" t="str">
        <f>'Population Definitions'!$A$3</f>
        <v>PWID_females</v>
      </c>
      <c r="C211" t="s">
        <v>55</v>
      </c>
      <c r="D211" s="3"/>
      <c r="E211" s="3">
        <v>0.3</v>
      </c>
      <c r="F211" s="4" t="s">
        <v>39</v>
      </c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</row>
    <row r="212" spans="1:57">
      <c r="A212" s="1" t="str">
        <f>'Population Definitions'!$A$4</f>
        <v>0-9_males</v>
      </c>
      <c r="C212" t="s">
        <v>55</v>
      </c>
      <c r="D212" s="3"/>
      <c r="E212" s="3">
        <v>0.3</v>
      </c>
      <c r="F212" s="4" t="s">
        <v>39</v>
      </c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</row>
    <row r="213" spans="1:57">
      <c r="A213" s="1" t="str">
        <f>'Population Definitions'!$A$5</f>
        <v>0-9_females</v>
      </c>
      <c r="C213" t="s">
        <v>55</v>
      </c>
      <c r="D213" s="3"/>
      <c r="E213" s="3">
        <v>0.3</v>
      </c>
      <c r="F213" s="4" t="s">
        <v>39</v>
      </c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</row>
    <row r="214" spans="1:57">
      <c r="A214" s="1" t="str">
        <f>'Population Definitions'!$A$6</f>
        <v>10-17_males</v>
      </c>
      <c r="C214" t="s">
        <v>55</v>
      </c>
      <c r="D214" s="3"/>
      <c r="E214" s="3">
        <v>0.3</v>
      </c>
      <c r="F214" s="4" t="s">
        <v>39</v>
      </c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</row>
    <row r="215" spans="1:57">
      <c r="A215" s="1" t="str">
        <f>'Population Definitions'!$A$7</f>
        <v>10-17_females</v>
      </c>
      <c r="C215" t="s">
        <v>55</v>
      </c>
      <c r="D215" s="3"/>
      <c r="E215" s="3">
        <v>0.3</v>
      </c>
      <c r="F215" s="4" t="s">
        <v>39</v>
      </c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</row>
    <row r="216" spans="1:57">
      <c r="A216" s="1" t="str">
        <f>'Population Definitions'!$A$8</f>
        <v>18-64_males</v>
      </c>
      <c r="C216" t="s">
        <v>55</v>
      </c>
      <c r="D216" s="3"/>
      <c r="E216" s="3">
        <v>0.3</v>
      </c>
      <c r="F216" s="4" t="s">
        <v>39</v>
      </c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</row>
    <row r="217" spans="1:57">
      <c r="A217" s="1" t="str">
        <f>'Population Definitions'!$A$9</f>
        <v>18-64_females</v>
      </c>
      <c r="C217" t="s">
        <v>55</v>
      </c>
      <c r="D217" s="3"/>
      <c r="E217" s="3">
        <v>0.3</v>
      </c>
      <c r="F217" s="4" t="s">
        <v>39</v>
      </c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</row>
    <row r="218" spans="1:57">
      <c r="A218" s="1" t="str">
        <f>'Population Definitions'!$A$10</f>
        <v>65+_males</v>
      </c>
      <c r="C218" t="s">
        <v>55</v>
      </c>
      <c r="D218" s="3"/>
      <c r="E218" s="3">
        <v>0.3</v>
      </c>
      <c r="F218" s="4" t="s">
        <v>39</v>
      </c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</row>
    <row r="219" spans="1:57">
      <c r="A219" s="1" t="str">
        <f>'Population Definitions'!$A$11</f>
        <v>65+_females</v>
      </c>
      <c r="C219" t="s">
        <v>55</v>
      </c>
      <c r="D219" s="3"/>
      <c r="E219" s="3">
        <v>0.3</v>
      </c>
      <c r="F219" s="4" t="s">
        <v>39</v>
      </c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</row>
    <row r="220" spans="1:57">
      <c r="A220" s="1" t="str">
        <f>'Population Definitions'!$A$12</f>
        <v>Prisoners_males</v>
      </c>
      <c r="C220" t="s">
        <v>55</v>
      </c>
      <c r="D220" s="3"/>
      <c r="E220" s="3">
        <v>0.3</v>
      </c>
      <c r="F220" s="4" t="s">
        <v>39</v>
      </c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</row>
    <row r="221" spans="1:57">
      <c r="A221" s="1" t="str">
        <f>'Population Definitions'!$A$13</f>
        <v>Prisoners_females</v>
      </c>
      <c r="C221" t="s">
        <v>55</v>
      </c>
      <c r="D221" s="3"/>
      <c r="E221" s="3">
        <v>0.3</v>
      </c>
      <c r="F221" s="4" t="s">
        <v>39</v>
      </c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</row>
    <row r="222" spans="1:57">
      <c r="A222" s="1" t="str">
        <f>'Population Definitions'!$A$14</f>
        <v>Prisoners_PWID_males</v>
      </c>
      <c r="C222" t="s">
        <v>55</v>
      </c>
      <c r="D222" s="3"/>
      <c r="E222" s="3">
        <v>0.3</v>
      </c>
      <c r="F222" s="4" t="s">
        <v>39</v>
      </c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</row>
    <row r="223" spans="1:57">
      <c r="A223" s="1" t="str">
        <f>'Population Definitions'!$A$15</f>
        <v>Prisoners_PWID_females</v>
      </c>
      <c r="C223" t="s">
        <v>55</v>
      </c>
      <c r="D223" s="3"/>
      <c r="E223" s="3">
        <v>0.3</v>
      </c>
      <c r="F223" s="4" t="s">
        <v>39</v>
      </c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</row>
    <row r="225" spans="1:57">
      <c r="A225" s="1" t="s">
        <v>76</v>
      </c>
      <c r="B225" s="1" t="s">
        <v>31</v>
      </c>
      <c r="C225" s="1" t="s">
        <v>32</v>
      </c>
      <c r="D225" s="1" t="s">
        <v>33</v>
      </c>
      <c r="E225" s="1" t="s">
        <v>38</v>
      </c>
      <c r="F225" s="1"/>
      <c r="G225" s="1">
        <v>2000</v>
      </c>
      <c r="H225" s="1">
        <v>2001</v>
      </c>
      <c r="I225" s="1">
        <v>2002</v>
      </c>
      <c r="J225" s="1">
        <v>2003</v>
      </c>
      <c r="K225" s="1">
        <v>2004</v>
      </c>
      <c r="L225" s="1">
        <v>2005</v>
      </c>
      <c r="M225" s="1">
        <v>2006</v>
      </c>
      <c r="N225" s="1">
        <v>2007</v>
      </c>
      <c r="O225" s="1">
        <v>2008</v>
      </c>
      <c r="P225" s="1">
        <v>2009</v>
      </c>
      <c r="Q225" s="1">
        <v>2010</v>
      </c>
      <c r="R225" s="1">
        <v>2011</v>
      </c>
      <c r="S225" s="1">
        <v>2012</v>
      </c>
      <c r="T225" s="1">
        <v>2013</v>
      </c>
      <c r="U225" s="1">
        <v>2014</v>
      </c>
      <c r="V225" s="1">
        <v>2015</v>
      </c>
      <c r="W225" s="1">
        <v>2016</v>
      </c>
      <c r="X225" s="1">
        <v>2017</v>
      </c>
      <c r="Y225" s="1">
        <v>2018</v>
      </c>
      <c r="Z225" s="1">
        <v>2019</v>
      </c>
      <c r="AA225" s="1">
        <v>2020</v>
      </c>
      <c r="AB225" s="1">
        <v>2021</v>
      </c>
      <c r="AC225" s="1">
        <v>2022</v>
      </c>
      <c r="AD225" s="1">
        <v>2023</v>
      </c>
      <c r="AE225" s="1">
        <v>2024</v>
      </c>
      <c r="AF225" s="1">
        <v>2025</v>
      </c>
      <c r="AG225" s="1">
        <v>2026</v>
      </c>
      <c r="AH225" s="1">
        <v>2027</v>
      </c>
      <c r="AI225" s="1">
        <v>2028</v>
      </c>
      <c r="AJ225" s="1">
        <v>2029</v>
      </c>
      <c r="AK225" s="1">
        <v>2030</v>
      </c>
      <c r="AL225" s="1">
        <v>2031</v>
      </c>
      <c r="AM225" s="1">
        <v>2032</v>
      </c>
      <c r="AN225" s="1">
        <v>2033</v>
      </c>
      <c r="AO225" s="1">
        <v>2034</v>
      </c>
      <c r="AP225" s="1">
        <v>2035</v>
      </c>
      <c r="AQ225" s="1">
        <v>2036</v>
      </c>
      <c r="AR225" s="1">
        <v>2037</v>
      </c>
      <c r="AS225" s="1">
        <v>2038</v>
      </c>
      <c r="AT225" s="1">
        <v>2039</v>
      </c>
      <c r="AU225" s="1">
        <v>2040</v>
      </c>
      <c r="AV225" s="1">
        <v>2041</v>
      </c>
      <c r="AW225" s="1">
        <v>2042</v>
      </c>
      <c r="AX225" s="1">
        <v>2043</v>
      </c>
      <c r="AY225" s="1">
        <v>2044</v>
      </c>
      <c r="AZ225" s="1">
        <v>2045</v>
      </c>
      <c r="BA225" s="1">
        <v>2046</v>
      </c>
      <c r="BB225" s="1">
        <v>2047</v>
      </c>
      <c r="BC225" s="1">
        <v>2048</v>
      </c>
      <c r="BD225" s="1">
        <v>2049</v>
      </c>
      <c r="BE225" s="1">
        <v>2050</v>
      </c>
    </row>
    <row r="226" spans="1:57">
      <c r="A226" s="1" t="str">
        <f>'Population Definitions'!$A$2</f>
        <v>PWID_males</v>
      </c>
      <c r="C226" t="s">
        <v>55</v>
      </c>
      <c r="D226" s="3"/>
      <c r="E226" s="3">
        <v>0.09</v>
      </c>
      <c r="F226" s="4" t="s">
        <v>39</v>
      </c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</row>
    <row r="227" spans="1:57">
      <c r="A227" s="1" t="str">
        <f>'Population Definitions'!$A$3</f>
        <v>PWID_females</v>
      </c>
      <c r="C227" t="s">
        <v>55</v>
      </c>
      <c r="D227" s="3"/>
      <c r="E227" s="3">
        <v>0.09</v>
      </c>
      <c r="F227" s="4" t="s">
        <v>39</v>
      </c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</row>
    <row r="228" spans="1:57">
      <c r="A228" s="1" t="str">
        <f>'Population Definitions'!$A$4</f>
        <v>0-9_males</v>
      </c>
      <c r="C228" t="s">
        <v>55</v>
      </c>
      <c r="D228" s="3"/>
      <c r="E228" s="3">
        <v>0.09</v>
      </c>
      <c r="F228" s="4" t="s">
        <v>39</v>
      </c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</row>
    <row r="229" spans="1:57">
      <c r="A229" s="1" t="str">
        <f>'Population Definitions'!$A$5</f>
        <v>0-9_females</v>
      </c>
      <c r="C229" t="s">
        <v>55</v>
      </c>
      <c r="D229" s="3"/>
      <c r="E229" s="3">
        <v>0.09</v>
      </c>
      <c r="F229" s="4" t="s">
        <v>39</v>
      </c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</row>
    <row r="230" spans="1:57">
      <c r="A230" s="1" t="str">
        <f>'Population Definitions'!$A$6</f>
        <v>10-17_males</v>
      </c>
      <c r="C230" t="s">
        <v>55</v>
      </c>
      <c r="D230" s="3"/>
      <c r="E230" s="3">
        <v>0.09</v>
      </c>
      <c r="F230" s="4" t="s">
        <v>39</v>
      </c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</row>
    <row r="231" spans="1:57">
      <c r="A231" s="1" t="str">
        <f>'Population Definitions'!$A$7</f>
        <v>10-17_females</v>
      </c>
      <c r="C231" t="s">
        <v>55</v>
      </c>
      <c r="D231" s="3"/>
      <c r="E231" s="3">
        <v>0.09</v>
      </c>
      <c r="F231" s="4" t="s">
        <v>39</v>
      </c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</row>
    <row r="232" spans="1:57">
      <c r="A232" s="1" t="str">
        <f>'Population Definitions'!$A$8</f>
        <v>18-64_males</v>
      </c>
      <c r="C232" t="s">
        <v>55</v>
      </c>
      <c r="D232" s="3"/>
      <c r="E232" s="3">
        <v>0.09</v>
      </c>
      <c r="F232" s="4" t="s">
        <v>39</v>
      </c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</row>
    <row r="233" spans="1:57">
      <c r="A233" s="1" t="str">
        <f>'Population Definitions'!$A$9</f>
        <v>18-64_females</v>
      </c>
      <c r="C233" t="s">
        <v>55</v>
      </c>
      <c r="D233" s="3"/>
      <c r="E233" s="3">
        <v>0.09</v>
      </c>
      <c r="F233" s="4" t="s">
        <v>39</v>
      </c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</row>
    <row r="234" spans="1:57">
      <c r="A234" s="1" t="str">
        <f>'Population Definitions'!$A$10</f>
        <v>65+_males</v>
      </c>
      <c r="C234" t="s">
        <v>55</v>
      </c>
      <c r="D234" s="3"/>
      <c r="E234" s="3">
        <v>0.09</v>
      </c>
      <c r="F234" s="4" t="s">
        <v>39</v>
      </c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  <c r="AF234" s="3"/>
      <c r="AG234" s="3"/>
      <c r="AH234" s="3"/>
      <c r="AI234" s="3"/>
      <c r="AJ234" s="3"/>
      <c r="AK234" s="3"/>
      <c r="AL234" s="3"/>
      <c r="AM234" s="3"/>
      <c r="AN234" s="3"/>
      <c r="AO234" s="3"/>
      <c r="AP234" s="3"/>
      <c r="AQ234" s="3"/>
      <c r="AR234" s="3"/>
      <c r="AS234" s="3"/>
      <c r="AT234" s="3"/>
      <c r="AU234" s="3"/>
      <c r="AV234" s="3"/>
      <c r="AW234" s="3"/>
      <c r="AX234" s="3"/>
      <c r="AY234" s="3"/>
      <c r="AZ234" s="3"/>
      <c r="BA234" s="3"/>
      <c r="BB234" s="3"/>
      <c r="BC234" s="3"/>
      <c r="BD234" s="3"/>
      <c r="BE234" s="3"/>
    </row>
    <row r="235" spans="1:57">
      <c r="A235" s="1" t="str">
        <f>'Population Definitions'!$A$11</f>
        <v>65+_females</v>
      </c>
      <c r="C235" t="s">
        <v>55</v>
      </c>
      <c r="D235" s="3"/>
      <c r="E235" s="3">
        <v>0.09</v>
      </c>
      <c r="F235" s="4" t="s">
        <v>39</v>
      </c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  <c r="AF235" s="3"/>
      <c r="AG235" s="3"/>
      <c r="AH235" s="3"/>
      <c r="AI235" s="3"/>
      <c r="AJ235" s="3"/>
      <c r="AK235" s="3"/>
      <c r="AL235" s="3"/>
      <c r="AM235" s="3"/>
      <c r="AN235" s="3"/>
      <c r="AO235" s="3"/>
      <c r="AP235" s="3"/>
      <c r="AQ235" s="3"/>
      <c r="AR235" s="3"/>
      <c r="AS235" s="3"/>
      <c r="AT235" s="3"/>
      <c r="AU235" s="3"/>
      <c r="AV235" s="3"/>
      <c r="AW235" s="3"/>
      <c r="AX235" s="3"/>
      <c r="AY235" s="3"/>
      <c r="AZ235" s="3"/>
      <c r="BA235" s="3"/>
      <c r="BB235" s="3"/>
      <c r="BC235" s="3"/>
      <c r="BD235" s="3"/>
      <c r="BE235" s="3"/>
    </row>
    <row r="236" spans="1:57">
      <c r="A236" s="1" t="str">
        <f>'Population Definitions'!$A$12</f>
        <v>Prisoners_males</v>
      </c>
      <c r="C236" t="s">
        <v>55</v>
      </c>
      <c r="D236" s="3"/>
      <c r="E236" s="3">
        <v>0.09</v>
      </c>
      <c r="F236" s="4" t="s">
        <v>39</v>
      </c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</row>
    <row r="237" spans="1:57">
      <c r="A237" s="1" t="str">
        <f>'Population Definitions'!$A$13</f>
        <v>Prisoners_females</v>
      </c>
      <c r="C237" t="s">
        <v>55</v>
      </c>
      <c r="D237" s="3"/>
      <c r="E237" s="3">
        <v>0.09</v>
      </c>
      <c r="F237" s="4" t="s">
        <v>39</v>
      </c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</row>
    <row r="238" spans="1:57">
      <c r="A238" s="1" t="str">
        <f>'Population Definitions'!$A$14</f>
        <v>Prisoners_PWID_males</v>
      </c>
      <c r="C238" t="s">
        <v>55</v>
      </c>
      <c r="D238" s="3"/>
      <c r="E238" s="3">
        <v>0.09</v>
      </c>
      <c r="F238" s="4" t="s">
        <v>39</v>
      </c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</row>
    <row r="239" spans="1:57">
      <c r="A239" s="1" t="str">
        <f>'Population Definitions'!$A$15</f>
        <v>Prisoners_PWID_females</v>
      </c>
      <c r="C239" t="s">
        <v>55</v>
      </c>
      <c r="D239" s="3"/>
      <c r="E239" s="3">
        <v>0.09</v>
      </c>
      <c r="F239" s="4" t="s">
        <v>39</v>
      </c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</row>
    <row r="241" spans="1:57">
      <c r="A241" s="1" t="s">
        <v>77</v>
      </c>
      <c r="B241" s="1" t="s">
        <v>31</v>
      </c>
      <c r="C241" s="1" t="s">
        <v>32</v>
      </c>
      <c r="D241" s="1" t="s">
        <v>33</v>
      </c>
      <c r="E241" s="1" t="s">
        <v>38</v>
      </c>
      <c r="F241" s="1"/>
      <c r="G241" s="1">
        <v>2000</v>
      </c>
      <c r="H241" s="1">
        <v>2001</v>
      </c>
      <c r="I241" s="1">
        <v>2002</v>
      </c>
      <c r="J241" s="1">
        <v>2003</v>
      </c>
      <c r="K241" s="1">
        <v>2004</v>
      </c>
      <c r="L241" s="1">
        <v>2005</v>
      </c>
      <c r="M241" s="1">
        <v>2006</v>
      </c>
      <c r="N241" s="1">
        <v>2007</v>
      </c>
      <c r="O241" s="1">
        <v>2008</v>
      </c>
      <c r="P241" s="1">
        <v>2009</v>
      </c>
      <c r="Q241" s="1">
        <v>2010</v>
      </c>
      <c r="R241" s="1">
        <v>2011</v>
      </c>
      <c r="S241" s="1">
        <v>2012</v>
      </c>
      <c r="T241" s="1">
        <v>2013</v>
      </c>
      <c r="U241" s="1">
        <v>2014</v>
      </c>
      <c r="V241" s="1">
        <v>2015</v>
      </c>
      <c r="W241" s="1">
        <v>2016</v>
      </c>
      <c r="X241" s="1">
        <v>2017</v>
      </c>
      <c r="Y241" s="1">
        <v>2018</v>
      </c>
      <c r="Z241" s="1">
        <v>2019</v>
      </c>
      <c r="AA241" s="1">
        <v>2020</v>
      </c>
      <c r="AB241" s="1">
        <v>2021</v>
      </c>
      <c r="AC241" s="1">
        <v>2022</v>
      </c>
      <c r="AD241" s="1">
        <v>2023</v>
      </c>
      <c r="AE241" s="1">
        <v>2024</v>
      </c>
      <c r="AF241" s="1">
        <v>2025</v>
      </c>
      <c r="AG241" s="1">
        <v>2026</v>
      </c>
      <c r="AH241" s="1">
        <v>2027</v>
      </c>
      <c r="AI241" s="1">
        <v>2028</v>
      </c>
      <c r="AJ241" s="1">
        <v>2029</v>
      </c>
      <c r="AK241" s="1">
        <v>2030</v>
      </c>
      <c r="AL241" s="1">
        <v>2031</v>
      </c>
      <c r="AM241" s="1">
        <v>2032</v>
      </c>
      <c r="AN241" s="1">
        <v>2033</v>
      </c>
      <c r="AO241" s="1">
        <v>2034</v>
      </c>
      <c r="AP241" s="1">
        <v>2035</v>
      </c>
      <c r="AQ241" s="1">
        <v>2036</v>
      </c>
      <c r="AR241" s="1">
        <v>2037</v>
      </c>
      <c r="AS241" s="1">
        <v>2038</v>
      </c>
      <c r="AT241" s="1">
        <v>2039</v>
      </c>
      <c r="AU241" s="1">
        <v>2040</v>
      </c>
      <c r="AV241" s="1">
        <v>2041</v>
      </c>
      <c r="AW241" s="1">
        <v>2042</v>
      </c>
      <c r="AX241" s="1">
        <v>2043</v>
      </c>
      <c r="AY241" s="1">
        <v>2044</v>
      </c>
      <c r="AZ241" s="1">
        <v>2045</v>
      </c>
      <c r="BA241" s="1">
        <v>2046</v>
      </c>
      <c r="BB241" s="1">
        <v>2047</v>
      </c>
      <c r="BC241" s="1">
        <v>2048</v>
      </c>
      <c r="BD241" s="1">
        <v>2049</v>
      </c>
      <c r="BE241" s="1">
        <v>2050</v>
      </c>
    </row>
    <row r="242" spans="1:57">
      <c r="A242" s="1" t="str">
        <f>'Population Definitions'!$A$2</f>
        <v>PWID_males</v>
      </c>
      <c r="C242" t="s">
        <v>55</v>
      </c>
      <c r="D242" s="3"/>
      <c r="E242" s="3">
        <v>0.03</v>
      </c>
      <c r="F242" s="4" t="s">
        <v>39</v>
      </c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</row>
    <row r="243" spans="1:57">
      <c r="A243" s="1" t="str">
        <f>'Population Definitions'!$A$3</f>
        <v>PWID_females</v>
      </c>
      <c r="C243" t="s">
        <v>55</v>
      </c>
      <c r="D243" s="3"/>
      <c r="E243" s="3">
        <v>0.03</v>
      </c>
      <c r="F243" s="4" t="s">
        <v>39</v>
      </c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</row>
    <row r="244" spans="1:57">
      <c r="A244" s="1" t="str">
        <f>'Population Definitions'!$A$4</f>
        <v>0-9_males</v>
      </c>
      <c r="C244" t="s">
        <v>55</v>
      </c>
      <c r="D244" s="3"/>
      <c r="E244" s="3">
        <v>0.03</v>
      </c>
      <c r="F244" s="4" t="s">
        <v>39</v>
      </c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</row>
    <row r="245" spans="1:57">
      <c r="A245" s="1" t="str">
        <f>'Population Definitions'!$A$5</f>
        <v>0-9_females</v>
      </c>
      <c r="C245" t="s">
        <v>55</v>
      </c>
      <c r="D245" s="3"/>
      <c r="E245" s="3">
        <v>0.03</v>
      </c>
      <c r="F245" s="4" t="s">
        <v>39</v>
      </c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</row>
    <row r="246" spans="1:57">
      <c r="A246" s="1" t="str">
        <f>'Population Definitions'!$A$6</f>
        <v>10-17_males</v>
      </c>
      <c r="C246" t="s">
        <v>55</v>
      </c>
      <c r="D246" s="3"/>
      <c r="E246" s="3">
        <v>0.03</v>
      </c>
      <c r="F246" s="4" t="s">
        <v>39</v>
      </c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</row>
    <row r="247" spans="1:57">
      <c r="A247" s="1" t="str">
        <f>'Population Definitions'!$A$7</f>
        <v>10-17_females</v>
      </c>
      <c r="C247" t="s">
        <v>55</v>
      </c>
      <c r="D247" s="3"/>
      <c r="E247" s="3">
        <v>0.03</v>
      </c>
      <c r="F247" s="4" t="s">
        <v>39</v>
      </c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</row>
    <row r="248" spans="1:57">
      <c r="A248" s="1" t="str">
        <f>'Population Definitions'!$A$8</f>
        <v>18-64_males</v>
      </c>
      <c r="C248" t="s">
        <v>55</v>
      </c>
      <c r="D248" s="3"/>
      <c r="E248" s="3">
        <v>0.03</v>
      </c>
      <c r="F248" s="4" t="s">
        <v>39</v>
      </c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</row>
    <row r="249" spans="1:57">
      <c r="A249" s="1" t="str">
        <f>'Population Definitions'!$A$9</f>
        <v>18-64_females</v>
      </c>
      <c r="C249" t="s">
        <v>55</v>
      </c>
      <c r="D249" s="3"/>
      <c r="E249" s="3">
        <v>0.03</v>
      </c>
      <c r="F249" s="4" t="s">
        <v>39</v>
      </c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</row>
    <row r="250" spans="1:57">
      <c r="A250" s="1" t="str">
        <f>'Population Definitions'!$A$10</f>
        <v>65+_males</v>
      </c>
      <c r="C250" t="s">
        <v>55</v>
      </c>
      <c r="D250" s="3"/>
      <c r="E250" s="3">
        <v>0.03</v>
      </c>
      <c r="F250" s="4" t="s">
        <v>39</v>
      </c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</row>
    <row r="251" spans="1:57">
      <c r="A251" s="1" t="str">
        <f>'Population Definitions'!$A$11</f>
        <v>65+_females</v>
      </c>
      <c r="C251" t="s">
        <v>55</v>
      </c>
      <c r="D251" s="3"/>
      <c r="E251" s="3">
        <v>0.03</v>
      </c>
      <c r="F251" s="4" t="s">
        <v>39</v>
      </c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</row>
    <row r="252" spans="1:57">
      <c r="A252" s="1" t="str">
        <f>'Population Definitions'!$A$12</f>
        <v>Prisoners_males</v>
      </c>
      <c r="C252" t="s">
        <v>55</v>
      </c>
      <c r="D252" s="3"/>
      <c r="E252" s="3">
        <v>0.03</v>
      </c>
      <c r="F252" s="4" t="s">
        <v>39</v>
      </c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</row>
    <row r="253" spans="1:57">
      <c r="A253" s="1" t="str">
        <f>'Population Definitions'!$A$13</f>
        <v>Prisoners_females</v>
      </c>
      <c r="C253" t="s">
        <v>55</v>
      </c>
      <c r="D253" s="3"/>
      <c r="E253" s="3">
        <v>0.03</v>
      </c>
      <c r="F253" s="4" t="s">
        <v>39</v>
      </c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</row>
    <row r="254" spans="1:57">
      <c r="A254" s="1" t="str">
        <f>'Population Definitions'!$A$14</f>
        <v>Prisoners_PWID_males</v>
      </c>
      <c r="C254" t="s">
        <v>55</v>
      </c>
      <c r="D254" s="3"/>
      <c r="E254" s="3">
        <v>0.03</v>
      </c>
      <c r="F254" s="4" t="s">
        <v>39</v>
      </c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</row>
    <row r="255" spans="1:57">
      <c r="A255" s="1" t="str">
        <f>'Population Definitions'!$A$15</f>
        <v>Prisoners_PWID_females</v>
      </c>
      <c r="C255" t="s">
        <v>55</v>
      </c>
      <c r="D255" s="3"/>
      <c r="E255" s="3">
        <v>0.03</v>
      </c>
      <c r="F255" s="4" t="s">
        <v>39</v>
      </c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3"/>
    </row>
    <row r="257" spans="1:57">
      <c r="A257" s="1" t="s">
        <v>78</v>
      </c>
      <c r="B257" s="1" t="s">
        <v>31</v>
      </c>
      <c r="C257" s="1" t="s">
        <v>32</v>
      </c>
      <c r="D257" s="1" t="s">
        <v>33</v>
      </c>
      <c r="E257" s="1" t="s">
        <v>38</v>
      </c>
      <c r="F257" s="1"/>
      <c r="G257" s="1">
        <v>2000</v>
      </c>
      <c r="H257" s="1">
        <v>2001</v>
      </c>
      <c r="I257" s="1">
        <v>2002</v>
      </c>
      <c r="J257" s="1">
        <v>2003</v>
      </c>
      <c r="K257" s="1">
        <v>2004</v>
      </c>
      <c r="L257" s="1">
        <v>2005</v>
      </c>
      <c r="M257" s="1">
        <v>2006</v>
      </c>
      <c r="N257" s="1">
        <v>2007</v>
      </c>
      <c r="O257" s="1">
        <v>2008</v>
      </c>
      <c r="P257" s="1">
        <v>2009</v>
      </c>
      <c r="Q257" s="1">
        <v>2010</v>
      </c>
      <c r="R257" s="1">
        <v>2011</v>
      </c>
      <c r="S257" s="1">
        <v>2012</v>
      </c>
      <c r="T257" s="1">
        <v>2013</v>
      </c>
      <c r="U257" s="1">
        <v>2014</v>
      </c>
      <c r="V257" s="1">
        <v>2015</v>
      </c>
      <c r="W257" s="1">
        <v>2016</v>
      </c>
      <c r="X257" s="1">
        <v>2017</v>
      </c>
      <c r="Y257" s="1">
        <v>2018</v>
      </c>
      <c r="Z257" s="1">
        <v>2019</v>
      </c>
      <c r="AA257" s="1">
        <v>2020</v>
      </c>
      <c r="AB257" s="1">
        <v>2021</v>
      </c>
      <c r="AC257" s="1">
        <v>2022</v>
      </c>
      <c r="AD257" s="1">
        <v>2023</v>
      </c>
      <c r="AE257" s="1">
        <v>2024</v>
      </c>
      <c r="AF257" s="1">
        <v>2025</v>
      </c>
      <c r="AG257" s="1">
        <v>2026</v>
      </c>
      <c r="AH257" s="1">
        <v>2027</v>
      </c>
      <c r="AI257" s="1">
        <v>2028</v>
      </c>
      <c r="AJ257" s="1">
        <v>2029</v>
      </c>
      <c r="AK257" s="1">
        <v>2030</v>
      </c>
      <c r="AL257" s="1">
        <v>2031</v>
      </c>
      <c r="AM257" s="1">
        <v>2032</v>
      </c>
      <c r="AN257" s="1">
        <v>2033</v>
      </c>
      <c r="AO257" s="1">
        <v>2034</v>
      </c>
      <c r="AP257" s="1">
        <v>2035</v>
      </c>
      <c r="AQ257" s="1">
        <v>2036</v>
      </c>
      <c r="AR257" s="1">
        <v>2037</v>
      </c>
      <c r="AS257" s="1">
        <v>2038</v>
      </c>
      <c r="AT257" s="1">
        <v>2039</v>
      </c>
      <c r="AU257" s="1">
        <v>2040</v>
      </c>
      <c r="AV257" s="1">
        <v>2041</v>
      </c>
      <c r="AW257" s="1">
        <v>2042</v>
      </c>
      <c r="AX257" s="1">
        <v>2043</v>
      </c>
      <c r="AY257" s="1">
        <v>2044</v>
      </c>
      <c r="AZ257" s="1">
        <v>2045</v>
      </c>
      <c r="BA257" s="1">
        <v>2046</v>
      </c>
      <c r="BB257" s="1">
        <v>2047</v>
      </c>
      <c r="BC257" s="1">
        <v>2048</v>
      </c>
      <c r="BD257" s="1">
        <v>2049</v>
      </c>
      <c r="BE257" s="1">
        <v>2050</v>
      </c>
    </row>
    <row r="258" spans="1:57">
      <c r="A258" s="1" t="str">
        <f>'Population Definitions'!$A$2</f>
        <v>PWID_males</v>
      </c>
      <c r="C258" t="s">
        <v>58</v>
      </c>
      <c r="D258" s="3"/>
      <c r="E258" s="3">
        <v>0.5</v>
      </c>
      <c r="F258" s="4" t="s">
        <v>39</v>
      </c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</row>
    <row r="259" spans="1:57">
      <c r="A259" s="1" t="str">
        <f>'Population Definitions'!$A$3</f>
        <v>PWID_females</v>
      </c>
      <c r="C259" t="s">
        <v>58</v>
      </c>
      <c r="D259" s="3"/>
      <c r="E259" s="3">
        <v>0.5</v>
      </c>
      <c r="F259" s="4" t="s">
        <v>39</v>
      </c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</row>
    <row r="260" spans="1:57">
      <c r="A260" s="1" t="str">
        <f>'Population Definitions'!$A$4</f>
        <v>0-9_males</v>
      </c>
      <c r="C260" t="s">
        <v>58</v>
      </c>
      <c r="D260" s="3"/>
      <c r="E260" s="3">
        <v>0.5</v>
      </c>
      <c r="F260" s="4" t="s">
        <v>39</v>
      </c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  <c r="AE260" s="3"/>
      <c r="AF260" s="3"/>
      <c r="AG260" s="3"/>
      <c r="AH260" s="3"/>
      <c r="AI260" s="3"/>
      <c r="AJ260" s="3"/>
      <c r="AK260" s="3"/>
      <c r="AL260" s="3"/>
      <c r="AM260" s="3"/>
      <c r="AN260" s="3"/>
      <c r="AO260" s="3"/>
      <c r="AP260" s="3"/>
      <c r="AQ260" s="3"/>
      <c r="AR260" s="3"/>
      <c r="AS260" s="3"/>
      <c r="AT260" s="3"/>
      <c r="AU260" s="3"/>
      <c r="AV260" s="3"/>
      <c r="AW260" s="3"/>
      <c r="AX260" s="3"/>
      <c r="AY260" s="3"/>
      <c r="AZ260" s="3"/>
      <c r="BA260" s="3"/>
      <c r="BB260" s="3"/>
      <c r="BC260" s="3"/>
      <c r="BD260" s="3"/>
      <c r="BE260" s="3"/>
    </row>
    <row r="261" spans="1:57">
      <c r="A261" s="1" t="str">
        <f>'Population Definitions'!$A$5</f>
        <v>0-9_females</v>
      </c>
      <c r="C261" t="s">
        <v>58</v>
      </c>
      <c r="D261" s="3"/>
      <c r="E261" s="3">
        <v>0.5</v>
      </c>
      <c r="F261" s="4" t="s">
        <v>39</v>
      </c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  <c r="AE261" s="3"/>
      <c r="AF261" s="3"/>
      <c r="AG261" s="3"/>
      <c r="AH261" s="3"/>
      <c r="AI261" s="3"/>
      <c r="AJ261" s="3"/>
      <c r="AK261" s="3"/>
      <c r="AL261" s="3"/>
      <c r="AM261" s="3"/>
      <c r="AN261" s="3"/>
      <c r="AO261" s="3"/>
      <c r="AP261" s="3"/>
      <c r="AQ261" s="3"/>
      <c r="AR261" s="3"/>
      <c r="AS261" s="3"/>
      <c r="AT261" s="3"/>
      <c r="AU261" s="3"/>
      <c r="AV261" s="3"/>
      <c r="AW261" s="3"/>
      <c r="AX261" s="3"/>
      <c r="AY261" s="3"/>
      <c r="AZ261" s="3"/>
      <c r="BA261" s="3"/>
      <c r="BB261" s="3"/>
      <c r="BC261" s="3"/>
      <c r="BD261" s="3"/>
      <c r="BE261" s="3"/>
    </row>
    <row r="262" spans="1:57">
      <c r="A262" s="1" t="str">
        <f>'Population Definitions'!$A$6</f>
        <v>10-17_males</v>
      </c>
      <c r="C262" t="s">
        <v>58</v>
      </c>
      <c r="D262" s="3"/>
      <c r="E262" s="3">
        <v>0.5</v>
      </c>
      <c r="F262" s="4" t="s">
        <v>39</v>
      </c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  <c r="BE262" s="3"/>
    </row>
    <row r="263" spans="1:57">
      <c r="A263" s="1" t="str">
        <f>'Population Definitions'!$A$7</f>
        <v>10-17_females</v>
      </c>
      <c r="C263" t="s">
        <v>58</v>
      </c>
      <c r="D263" s="3"/>
      <c r="E263" s="3">
        <v>0.5</v>
      </c>
      <c r="F263" s="4" t="s">
        <v>39</v>
      </c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  <c r="BD263" s="3"/>
      <c r="BE263" s="3"/>
    </row>
    <row r="264" spans="1:57">
      <c r="A264" s="1" t="str">
        <f>'Population Definitions'!$A$8</f>
        <v>18-64_males</v>
      </c>
      <c r="C264" t="s">
        <v>58</v>
      </c>
      <c r="D264" s="3"/>
      <c r="E264" s="3">
        <v>0.5</v>
      </c>
      <c r="F264" s="4" t="s">
        <v>39</v>
      </c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/>
      <c r="BD264" s="3"/>
      <c r="BE264" s="3"/>
    </row>
    <row r="265" spans="1:57">
      <c r="A265" s="1" t="str">
        <f>'Population Definitions'!$A$9</f>
        <v>18-64_females</v>
      </c>
      <c r="C265" t="s">
        <v>58</v>
      </c>
      <c r="D265" s="3"/>
      <c r="E265" s="3">
        <v>0.5</v>
      </c>
      <c r="F265" s="4" t="s">
        <v>39</v>
      </c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  <c r="BD265" s="3"/>
      <c r="BE265" s="3"/>
    </row>
    <row r="266" spans="1:57">
      <c r="A266" s="1" t="str">
        <f>'Population Definitions'!$A$10</f>
        <v>65+_males</v>
      </c>
      <c r="C266" t="s">
        <v>58</v>
      </c>
      <c r="D266" s="3"/>
      <c r="E266" s="3">
        <v>0.5</v>
      </c>
      <c r="F266" s="4" t="s">
        <v>39</v>
      </c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  <c r="BD266" s="3"/>
      <c r="BE266" s="3"/>
    </row>
    <row r="267" spans="1:57">
      <c r="A267" s="1" t="str">
        <f>'Population Definitions'!$A$11</f>
        <v>65+_females</v>
      </c>
      <c r="C267" t="s">
        <v>58</v>
      </c>
      <c r="D267" s="3"/>
      <c r="E267" s="3">
        <v>0.5</v>
      </c>
      <c r="F267" s="4" t="s">
        <v>39</v>
      </c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3"/>
      <c r="BE267" s="3"/>
    </row>
    <row r="268" spans="1:57">
      <c r="A268" s="1" t="str">
        <f>'Population Definitions'!$A$12</f>
        <v>Prisoners_males</v>
      </c>
      <c r="C268" t="s">
        <v>58</v>
      </c>
      <c r="D268" s="3"/>
      <c r="E268" s="3">
        <v>0.5</v>
      </c>
      <c r="F268" s="4" t="s">
        <v>39</v>
      </c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  <c r="BD268" s="3"/>
      <c r="BE268" s="3"/>
    </row>
    <row r="269" spans="1:57">
      <c r="A269" s="1" t="str">
        <f>'Population Definitions'!$A$13</f>
        <v>Prisoners_females</v>
      </c>
      <c r="C269" t="s">
        <v>58</v>
      </c>
      <c r="D269" s="3"/>
      <c r="E269" s="3">
        <v>0.5</v>
      </c>
      <c r="F269" s="4" t="s">
        <v>39</v>
      </c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/>
      <c r="BD269" s="3"/>
      <c r="BE269" s="3"/>
    </row>
    <row r="270" spans="1:57">
      <c r="A270" s="1" t="str">
        <f>'Population Definitions'!$A$14</f>
        <v>Prisoners_PWID_males</v>
      </c>
      <c r="C270" t="s">
        <v>58</v>
      </c>
      <c r="D270" s="3"/>
      <c r="E270" s="3">
        <v>0.5</v>
      </c>
      <c r="F270" s="4" t="s">
        <v>39</v>
      </c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  <c r="BD270" s="3"/>
      <c r="BE270" s="3"/>
    </row>
    <row r="271" spans="1:57">
      <c r="A271" s="1" t="str">
        <f>'Population Definitions'!$A$15</f>
        <v>Prisoners_PWID_females</v>
      </c>
      <c r="C271" t="s">
        <v>58</v>
      </c>
      <c r="D271" s="3"/>
      <c r="E271" s="3">
        <v>0.5</v>
      </c>
      <c r="F271" s="4" t="s">
        <v>39</v>
      </c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  <c r="AZ271" s="3"/>
      <c r="BA271" s="3"/>
      <c r="BB271" s="3"/>
      <c r="BC271" s="3"/>
      <c r="BD271" s="3"/>
      <c r="BE271" s="3"/>
    </row>
    <row r="273" spans="1:57">
      <c r="A273" s="1" t="s">
        <v>79</v>
      </c>
      <c r="B273" s="1" t="s">
        <v>31</v>
      </c>
      <c r="C273" s="1" t="s">
        <v>32</v>
      </c>
      <c r="D273" s="1" t="s">
        <v>33</v>
      </c>
      <c r="E273" s="1" t="s">
        <v>38</v>
      </c>
      <c r="F273" s="1"/>
      <c r="G273" s="1">
        <v>2000</v>
      </c>
      <c r="H273" s="1">
        <v>2001</v>
      </c>
      <c r="I273" s="1">
        <v>2002</v>
      </c>
      <c r="J273" s="1">
        <v>2003</v>
      </c>
      <c r="K273" s="1">
        <v>2004</v>
      </c>
      <c r="L273" s="1">
        <v>2005</v>
      </c>
      <c r="M273" s="1">
        <v>2006</v>
      </c>
      <c r="N273" s="1">
        <v>2007</v>
      </c>
      <c r="O273" s="1">
        <v>2008</v>
      </c>
      <c r="P273" s="1">
        <v>2009</v>
      </c>
      <c r="Q273" s="1">
        <v>2010</v>
      </c>
      <c r="R273" s="1">
        <v>2011</v>
      </c>
      <c r="S273" s="1">
        <v>2012</v>
      </c>
      <c r="T273" s="1">
        <v>2013</v>
      </c>
      <c r="U273" s="1">
        <v>2014</v>
      </c>
      <c r="V273" s="1">
        <v>2015</v>
      </c>
      <c r="W273" s="1">
        <v>2016</v>
      </c>
      <c r="X273" s="1">
        <v>2017</v>
      </c>
      <c r="Y273" s="1">
        <v>2018</v>
      </c>
      <c r="Z273" s="1">
        <v>2019</v>
      </c>
      <c r="AA273" s="1">
        <v>2020</v>
      </c>
      <c r="AB273" s="1">
        <v>2021</v>
      </c>
      <c r="AC273" s="1">
        <v>2022</v>
      </c>
      <c r="AD273" s="1">
        <v>2023</v>
      </c>
      <c r="AE273" s="1">
        <v>2024</v>
      </c>
      <c r="AF273" s="1">
        <v>2025</v>
      </c>
      <c r="AG273" s="1">
        <v>2026</v>
      </c>
      <c r="AH273" s="1">
        <v>2027</v>
      </c>
      <c r="AI273" s="1">
        <v>2028</v>
      </c>
      <c r="AJ273" s="1">
        <v>2029</v>
      </c>
      <c r="AK273" s="1">
        <v>2030</v>
      </c>
      <c r="AL273" s="1">
        <v>2031</v>
      </c>
      <c r="AM273" s="1">
        <v>2032</v>
      </c>
      <c r="AN273" s="1">
        <v>2033</v>
      </c>
      <c r="AO273" s="1">
        <v>2034</v>
      </c>
      <c r="AP273" s="1">
        <v>2035</v>
      </c>
      <c r="AQ273" s="1">
        <v>2036</v>
      </c>
      <c r="AR273" s="1">
        <v>2037</v>
      </c>
      <c r="AS273" s="1">
        <v>2038</v>
      </c>
      <c r="AT273" s="1">
        <v>2039</v>
      </c>
      <c r="AU273" s="1">
        <v>2040</v>
      </c>
      <c r="AV273" s="1">
        <v>2041</v>
      </c>
      <c r="AW273" s="1">
        <v>2042</v>
      </c>
      <c r="AX273" s="1">
        <v>2043</v>
      </c>
      <c r="AY273" s="1">
        <v>2044</v>
      </c>
      <c r="AZ273" s="1">
        <v>2045</v>
      </c>
      <c r="BA273" s="1">
        <v>2046</v>
      </c>
      <c r="BB273" s="1">
        <v>2047</v>
      </c>
      <c r="BC273" s="1">
        <v>2048</v>
      </c>
      <c r="BD273" s="1">
        <v>2049</v>
      </c>
      <c r="BE273" s="1">
        <v>2050</v>
      </c>
    </row>
    <row r="274" spans="1:57">
      <c r="A274" s="1" t="str">
        <f>'Population Definitions'!$A$2</f>
        <v>PWID_males</v>
      </c>
      <c r="C274" t="s">
        <v>58</v>
      </c>
      <c r="D274" s="3"/>
      <c r="E274" s="3">
        <v>0.5</v>
      </c>
      <c r="F274" s="4" t="s">
        <v>39</v>
      </c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  <c r="AZ274" s="3"/>
      <c r="BA274" s="3"/>
      <c r="BB274" s="3"/>
      <c r="BC274" s="3"/>
      <c r="BD274" s="3"/>
      <c r="BE274" s="3"/>
    </row>
    <row r="275" spans="1:57">
      <c r="A275" s="1" t="str">
        <f>'Population Definitions'!$A$3</f>
        <v>PWID_females</v>
      </c>
      <c r="C275" t="s">
        <v>58</v>
      </c>
      <c r="D275" s="3"/>
      <c r="E275" s="3">
        <v>0.5</v>
      </c>
      <c r="F275" s="4" t="s">
        <v>39</v>
      </c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  <c r="AZ275" s="3"/>
      <c r="BA275" s="3"/>
      <c r="BB275" s="3"/>
      <c r="BC275" s="3"/>
      <c r="BD275" s="3"/>
      <c r="BE275" s="3"/>
    </row>
    <row r="276" spans="1:57">
      <c r="A276" s="1" t="str">
        <f>'Population Definitions'!$A$4</f>
        <v>0-9_males</v>
      </c>
      <c r="C276" t="s">
        <v>58</v>
      </c>
      <c r="D276" s="3"/>
      <c r="E276" s="3">
        <v>0.5</v>
      </c>
      <c r="F276" s="4" t="s">
        <v>39</v>
      </c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  <c r="AZ276" s="3"/>
      <c r="BA276" s="3"/>
      <c r="BB276" s="3"/>
      <c r="BC276" s="3"/>
      <c r="BD276" s="3"/>
      <c r="BE276" s="3"/>
    </row>
    <row r="277" spans="1:57">
      <c r="A277" s="1" t="str">
        <f>'Population Definitions'!$A$5</f>
        <v>0-9_females</v>
      </c>
      <c r="C277" t="s">
        <v>58</v>
      </c>
      <c r="D277" s="3"/>
      <c r="E277" s="3">
        <v>0.5</v>
      </c>
      <c r="F277" s="4" t="s">
        <v>39</v>
      </c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/>
      <c r="AZ277" s="3"/>
      <c r="BA277" s="3"/>
      <c r="BB277" s="3"/>
      <c r="BC277" s="3"/>
      <c r="BD277" s="3"/>
      <c r="BE277" s="3"/>
    </row>
    <row r="278" spans="1:57">
      <c r="A278" s="1" t="str">
        <f>'Population Definitions'!$A$6</f>
        <v>10-17_males</v>
      </c>
      <c r="C278" t="s">
        <v>58</v>
      </c>
      <c r="D278" s="3"/>
      <c r="E278" s="3">
        <v>0.5</v>
      </c>
      <c r="F278" s="4" t="s">
        <v>39</v>
      </c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  <c r="AZ278" s="3"/>
      <c r="BA278" s="3"/>
      <c r="BB278" s="3"/>
      <c r="BC278" s="3"/>
      <c r="BD278" s="3"/>
      <c r="BE278" s="3"/>
    </row>
    <row r="279" spans="1:57">
      <c r="A279" s="1" t="str">
        <f>'Population Definitions'!$A$7</f>
        <v>10-17_females</v>
      </c>
      <c r="C279" t="s">
        <v>58</v>
      </c>
      <c r="D279" s="3"/>
      <c r="E279" s="3">
        <v>0.5</v>
      </c>
      <c r="F279" s="4" t="s">
        <v>39</v>
      </c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  <c r="AZ279" s="3"/>
      <c r="BA279" s="3"/>
      <c r="BB279" s="3"/>
      <c r="BC279" s="3"/>
      <c r="BD279" s="3"/>
      <c r="BE279" s="3"/>
    </row>
    <row r="280" spans="1:57">
      <c r="A280" s="1" t="str">
        <f>'Population Definitions'!$A$8</f>
        <v>18-64_males</v>
      </c>
      <c r="C280" t="s">
        <v>58</v>
      </c>
      <c r="D280" s="3"/>
      <c r="E280" s="3">
        <v>0.5</v>
      </c>
      <c r="F280" s="4" t="s">
        <v>39</v>
      </c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  <c r="AZ280" s="3"/>
      <c r="BA280" s="3"/>
      <c r="BB280" s="3"/>
      <c r="BC280" s="3"/>
      <c r="BD280" s="3"/>
      <c r="BE280" s="3"/>
    </row>
    <row r="281" spans="1:57">
      <c r="A281" s="1" t="str">
        <f>'Population Definitions'!$A$9</f>
        <v>18-64_females</v>
      </c>
      <c r="C281" t="s">
        <v>58</v>
      </c>
      <c r="D281" s="3"/>
      <c r="E281" s="3">
        <v>0.5</v>
      </c>
      <c r="F281" s="4" t="s">
        <v>39</v>
      </c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/>
      <c r="AZ281" s="3"/>
      <c r="BA281" s="3"/>
      <c r="BB281" s="3"/>
      <c r="BC281" s="3"/>
      <c r="BD281" s="3"/>
      <c r="BE281" s="3"/>
    </row>
    <row r="282" spans="1:57">
      <c r="A282" s="1" t="str">
        <f>'Population Definitions'!$A$10</f>
        <v>65+_males</v>
      </c>
      <c r="C282" t="s">
        <v>58</v>
      </c>
      <c r="D282" s="3"/>
      <c r="E282" s="3">
        <v>0.5</v>
      </c>
      <c r="F282" s="4" t="s">
        <v>39</v>
      </c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/>
      <c r="AZ282" s="3"/>
      <c r="BA282" s="3"/>
      <c r="BB282" s="3"/>
      <c r="BC282" s="3"/>
      <c r="BD282" s="3"/>
      <c r="BE282" s="3"/>
    </row>
    <row r="283" spans="1:57">
      <c r="A283" s="1" t="str">
        <f>'Population Definitions'!$A$11</f>
        <v>65+_females</v>
      </c>
      <c r="C283" t="s">
        <v>58</v>
      </c>
      <c r="D283" s="3"/>
      <c r="E283" s="3">
        <v>0.5</v>
      </c>
      <c r="F283" s="4" t="s">
        <v>39</v>
      </c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  <c r="AZ283" s="3"/>
      <c r="BA283" s="3"/>
      <c r="BB283" s="3"/>
      <c r="BC283" s="3"/>
      <c r="BD283" s="3"/>
      <c r="BE283" s="3"/>
    </row>
    <row r="284" spans="1:57">
      <c r="A284" s="1" t="str">
        <f>'Population Definitions'!$A$12</f>
        <v>Prisoners_males</v>
      </c>
      <c r="C284" t="s">
        <v>58</v>
      </c>
      <c r="D284" s="3"/>
      <c r="E284" s="3">
        <v>0.5</v>
      </c>
      <c r="F284" s="4" t="s">
        <v>39</v>
      </c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/>
      <c r="AZ284" s="3"/>
      <c r="BA284" s="3"/>
      <c r="BB284" s="3"/>
      <c r="BC284" s="3"/>
      <c r="BD284" s="3"/>
      <c r="BE284" s="3"/>
    </row>
    <row r="285" spans="1:57">
      <c r="A285" s="1" t="str">
        <f>'Population Definitions'!$A$13</f>
        <v>Prisoners_females</v>
      </c>
      <c r="C285" t="s">
        <v>58</v>
      </c>
      <c r="D285" s="3"/>
      <c r="E285" s="3">
        <v>0.5</v>
      </c>
      <c r="F285" s="4" t="s">
        <v>39</v>
      </c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/>
      <c r="AZ285" s="3"/>
      <c r="BA285" s="3"/>
      <c r="BB285" s="3"/>
      <c r="BC285" s="3"/>
      <c r="BD285" s="3"/>
      <c r="BE285" s="3"/>
    </row>
    <row r="286" spans="1:57">
      <c r="A286" s="1" t="str">
        <f>'Population Definitions'!$A$14</f>
        <v>Prisoners_PWID_males</v>
      </c>
      <c r="C286" t="s">
        <v>58</v>
      </c>
      <c r="D286" s="3"/>
      <c r="E286" s="3">
        <v>0.5</v>
      </c>
      <c r="F286" s="4" t="s">
        <v>39</v>
      </c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  <c r="AE286" s="3"/>
      <c r="AF286" s="3"/>
      <c r="AG286" s="3"/>
      <c r="AH286" s="3"/>
      <c r="AI286" s="3"/>
      <c r="AJ286" s="3"/>
      <c r="AK286" s="3"/>
      <c r="AL286" s="3"/>
      <c r="AM286" s="3"/>
      <c r="AN286" s="3"/>
      <c r="AO286" s="3"/>
      <c r="AP286" s="3"/>
      <c r="AQ286" s="3"/>
      <c r="AR286" s="3"/>
      <c r="AS286" s="3"/>
      <c r="AT286" s="3"/>
      <c r="AU286" s="3"/>
      <c r="AV286" s="3"/>
      <c r="AW286" s="3"/>
      <c r="AX286" s="3"/>
      <c r="AY286" s="3"/>
      <c r="AZ286" s="3"/>
      <c r="BA286" s="3"/>
      <c r="BB286" s="3"/>
      <c r="BC286" s="3"/>
      <c r="BD286" s="3"/>
      <c r="BE286" s="3"/>
    </row>
    <row r="287" spans="1:57">
      <c r="A287" s="1" t="str">
        <f>'Population Definitions'!$A$15</f>
        <v>Prisoners_PWID_females</v>
      </c>
      <c r="C287" t="s">
        <v>58</v>
      </c>
      <c r="D287" s="3"/>
      <c r="E287" s="3">
        <v>0.5</v>
      </c>
      <c r="F287" s="4" t="s">
        <v>39</v>
      </c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/>
      <c r="AE287" s="3"/>
      <c r="AF287" s="3"/>
      <c r="AG287" s="3"/>
      <c r="AH287" s="3"/>
      <c r="AI287" s="3"/>
      <c r="AJ287" s="3"/>
      <c r="AK287" s="3"/>
      <c r="AL287" s="3"/>
      <c r="AM287" s="3"/>
      <c r="AN287" s="3"/>
      <c r="AO287" s="3"/>
      <c r="AP287" s="3"/>
      <c r="AQ287" s="3"/>
      <c r="AR287" s="3"/>
      <c r="AS287" s="3"/>
      <c r="AT287" s="3"/>
      <c r="AU287" s="3"/>
      <c r="AV287" s="3"/>
      <c r="AW287" s="3"/>
      <c r="AX287" s="3"/>
      <c r="AY287" s="3"/>
      <c r="AZ287" s="3"/>
      <c r="BA287" s="3"/>
      <c r="BB287" s="3"/>
      <c r="BC287" s="3"/>
      <c r="BD287" s="3"/>
      <c r="BE287" s="3"/>
    </row>
  </sheetData>
  <conditionalFormatting sqref="E10">
    <cfRule type="expression" dxfId="0" priority="17">
      <formula>COUNTIF(G10:BE10,"&lt;&gt;" &amp; "")&gt;0</formula>
    </cfRule>
    <cfRule type="expression" dxfId="1" priority="18">
      <formula>AND(COUNTIF(G10:BE10,"&lt;&gt;" &amp; "")&gt;0,NOT(ISBLANK(E10)))</formula>
    </cfRule>
  </conditionalFormatting>
  <conditionalFormatting sqref="E100">
    <cfRule type="expression" dxfId="0" priority="173">
      <formula>COUNTIF(G100:BE100,"&lt;&gt;" &amp; "")&gt;0</formula>
    </cfRule>
    <cfRule type="expression" dxfId="1" priority="174">
      <formula>AND(COUNTIF(G100:BE100,"&lt;&gt;" &amp; "")&gt;0,NOT(ISBLANK(E100)))</formula>
    </cfRule>
  </conditionalFormatting>
  <conditionalFormatting sqref="E101">
    <cfRule type="expression" dxfId="0" priority="175">
      <formula>COUNTIF(G101:BE101,"&lt;&gt;" &amp; "")&gt;0</formula>
    </cfRule>
    <cfRule type="expression" dxfId="1" priority="176">
      <formula>AND(COUNTIF(G101:BE101,"&lt;&gt;" &amp; "")&gt;0,NOT(ISBLANK(E101)))</formula>
    </cfRule>
  </conditionalFormatting>
  <conditionalFormatting sqref="E102">
    <cfRule type="expression" dxfId="0" priority="177">
      <formula>COUNTIF(G102:BE102,"&lt;&gt;" &amp; "")&gt;0</formula>
    </cfRule>
    <cfRule type="expression" dxfId="1" priority="178">
      <formula>AND(COUNTIF(G102:BE102,"&lt;&gt;" &amp; "")&gt;0,NOT(ISBLANK(E102)))</formula>
    </cfRule>
  </conditionalFormatting>
  <conditionalFormatting sqref="E103">
    <cfRule type="expression" dxfId="0" priority="179">
      <formula>COUNTIF(G103:BE103,"&lt;&gt;" &amp; "")&gt;0</formula>
    </cfRule>
    <cfRule type="expression" dxfId="1" priority="180">
      <formula>AND(COUNTIF(G103:BE103,"&lt;&gt;" &amp; "")&gt;0,NOT(ISBLANK(E103)))</formula>
    </cfRule>
  </conditionalFormatting>
  <conditionalFormatting sqref="E104">
    <cfRule type="expression" dxfId="0" priority="181">
      <formula>COUNTIF(G104:BE104,"&lt;&gt;" &amp; "")&gt;0</formula>
    </cfRule>
    <cfRule type="expression" dxfId="1" priority="182">
      <formula>AND(COUNTIF(G104:BE104,"&lt;&gt;" &amp; "")&gt;0,NOT(ISBLANK(E104)))</formula>
    </cfRule>
  </conditionalFormatting>
  <conditionalFormatting sqref="E105">
    <cfRule type="expression" dxfId="0" priority="183">
      <formula>COUNTIF(G105:BE105,"&lt;&gt;" &amp; "")&gt;0</formula>
    </cfRule>
    <cfRule type="expression" dxfId="1" priority="184">
      <formula>AND(COUNTIF(G105:BE105,"&lt;&gt;" &amp; "")&gt;0,NOT(ISBLANK(E105)))</formula>
    </cfRule>
  </conditionalFormatting>
  <conditionalFormatting sqref="E106">
    <cfRule type="expression" dxfId="0" priority="185">
      <formula>COUNTIF(G106:BE106,"&lt;&gt;" &amp; "")&gt;0</formula>
    </cfRule>
    <cfRule type="expression" dxfId="1" priority="186">
      <formula>AND(COUNTIF(G106:BE106,"&lt;&gt;" &amp; "")&gt;0,NOT(ISBLANK(E106)))</formula>
    </cfRule>
  </conditionalFormatting>
  <conditionalFormatting sqref="E107">
    <cfRule type="expression" dxfId="0" priority="187">
      <formula>COUNTIF(G107:BE107,"&lt;&gt;" &amp; "")&gt;0</formula>
    </cfRule>
    <cfRule type="expression" dxfId="1" priority="188">
      <formula>AND(COUNTIF(G107:BE107,"&lt;&gt;" &amp; "")&gt;0,NOT(ISBLANK(E107)))</formula>
    </cfRule>
  </conditionalFormatting>
  <conditionalFormatting sqref="E108">
    <cfRule type="expression" dxfId="0" priority="189">
      <formula>COUNTIF(G108:BE108,"&lt;&gt;" &amp; "")&gt;0</formula>
    </cfRule>
    <cfRule type="expression" dxfId="1" priority="190">
      <formula>AND(COUNTIF(G108:BE108,"&lt;&gt;" &amp; "")&gt;0,NOT(ISBLANK(E108)))</formula>
    </cfRule>
  </conditionalFormatting>
  <conditionalFormatting sqref="E109">
    <cfRule type="expression" dxfId="0" priority="191">
      <formula>COUNTIF(G109:BE109,"&lt;&gt;" &amp; "")&gt;0</formula>
    </cfRule>
    <cfRule type="expression" dxfId="1" priority="192">
      <formula>AND(COUNTIF(G109:BE109,"&lt;&gt;" &amp; "")&gt;0,NOT(ISBLANK(E109)))</formula>
    </cfRule>
  </conditionalFormatting>
  <conditionalFormatting sqref="E11">
    <cfRule type="expression" dxfId="0" priority="19">
      <formula>COUNTIF(G11:BE11,"&lt;&gt;" &amp; "")&gt;0</formula>
    </cfRule>
    <cfRule type="expression" dxfId="1" priority="20">
      <formula>AND(COUNTIF(G11:BE11,"&lt;&gt;" &amp; "")&gt;0,NOT(ISBLANK(E11)))</formula>
    </cfRule>
  </conditionalFormatting>
  <conditionalFormatting sqref="E110">
    <cfRule type="expression" dxfId="0" priority="193">
      <formula>COUNTIF(G110:BE110,"&lt;&gt;" &amp; "")&gt;0</formula>
    </cfRule>
    <cfRule type="expression" dxfId="1" priority="194">
      <formula>AND(COUNTIF(G110:BE110,"&lt;&gt;" &amp; "")&gt;0,NOT(ISBLANK(E110)))</formula>
    </cfRule>
  </conditionalFormatting>
  <conditionalFormatting sqref="E111">
    <cfRule type="expression" dxfId="0" priority="195">
      <formula>COUNTIF(G111:BE111,"&lt;&gt;" &amp; "")&gt;0</formula>
    </cfRule>
    <cfRule type="expression" dxfId="1" priority="196">
      <formula>AND(COUNTIF(G111:BE111,"&lt;&gt;" &amp; "")&gt;0,NOT(ISBLANK(E111)))</formula>
    </cfRule>
  </conditionalFormatting>
  <conditionalFormatting sqref="E114">
    <cfRule type="expression" dxfId="0" priority="197">
      <formula>COUNTIF(G114:BE114,"&lt;&gt;" &amp; "")&gt;0</formula>
    </cfRule>
    <cfRule type="expression" dxfId="1" priority="198">
      <formula>AND(COUNTIF(G114:BE114,"&lt;&gt;" &amp; "")&gt;0,NOT(ISBLANK(E114)))</formula>
    </cfRule>
  </conditionalFormatting>
  <conditionalFormatting sqref="E115">
    <cfRule type="expression" dxfId="0" priority="199">
      <formula>COUNTIF(G115:BE115,"&lt;&gt;" &amp; "")&gt;0</formula>
    </cfRule>
    <cfRule type="expression" dxfId="1" priority="200">
      <formula>AND(COUNTIF(G115:BE115,"&lt;&gt;" &amp; "")&gt;0,NOT(ISBLANK(E115)))</formula>
    </cfRule>
  </conditionalFormatting>
  <conditionalFormatting sqref="E116">
    <cfRule type="expression" dxfId="0" priority="201">
      <formula>COUNTIF(G116:BE116,"&lt;&gt;" &amp; "")&gt;0</formula>
    </cfRule>
    <cfRule type="expression" dxfId="1" priority="202">
      <formula>AND(COUNTIF(G116:BE116,"&lt;&gt;" &amp; "")&gt;0,NOT(ISBLANK(E116)))</formula>
    </cfRule>
  </conditionalFormatting>
  <conditionalFormatting sqref="E117">
    <cfRule type="expression" dxfId="0" priority="203">
      <formula>COUNTIF(G117:BE117,"&lt;&gt;" &amp; "")&gt;0</formula>
    </cfRule>
    <cfRule type="expression" dxfId="1" priority="204">
      <formula>AND(COUNTIF(G117:BE117,"&lt;&gt;" &amp; "")&gt;0,NOT(ISBLANK(E117)))</formula>
    </cfRule>
  </conditionalFormatting>
  <conditionalFormatting sqref="E118">
    <cfRule type="expression" dxfId="0" priority="205">
      <formula>COUNTIF(G118:BE118,"&lt;&gt;" &amp; "")&gt;0</formula>
    </cfRule>
    <cfRule type="expression" dxfId="1" priority="206">
      <formula>AND(COUNTIF(G118:BE118,"&lt;&gt;" &amp; "")&gt;0,NOT(ISBLANK(E118)))</formula>
    </cfRule>
  </conditionalFormatting>
  <conditionalFormatting sqref="E119">
    <cfRule type="expression" dxfId="0" priority="207">
      <formula>COUNTIF(G119:BE119,"&lt;&gt;" &amp; "")&gt;0</formula>
    </cfRule>
    <cfRule type="expression" dxfId="1" priority="208">
      <formula>AND(COUNTIF(G119:BE119,"&lt;&gt;" &amp; "")&gt;0,NOT(ISBLANK(E119)))</formula>
    </cfRule>
  </conditionalFormatting>
  <conditionalFormatting sqref="E12">
    <cfRule type="expression" dxfId="0" priority="21">
      <formula>COUNTIF(G12:BE12,"&lt;&gt;" &amp; "")&gt;0</formula>
    </cfRule>
    <cfRule type="expression" dxfId="1" priority="22">
      <formula>AND(COUNTIF(G12:BE12,"&lt;&gt;" &amp; "")&gt;0,NOT(ISBLANK(E12)))</formula>
    </cfRule>
  </conditionalFormatting>
  <conditionalFormatting sqref="E120">
    <cfRule type="expression" dxfId="0" priority="209">
      <formula>COUNTIF(G120:BE120,"&lt;&gt;" &amp; "")&gt;0</formula>
    </cfRule>
    <cfRule type="expression" dxfId="1" priority="210">
      <formula>AND(COUNTIF(G120:BE120,"&lt;&gt;" &amp; "")&gt;0,NOT(ISBLANK(E120)))</formula>
    </cfRule>
  </conditionalFormatting>
  <conditionalFormatting sqref="E121">
    <cfRule type="expression" dxfId="0" priority="211">
      <formula>COUNTIF(G121:BE121,"&lt;&gt;" &amp; "")&gt;0</formula>
    </cfRule>
    <cfRule type="expression" dxfId="1" priority="212">
      <formula>AND(COUNTIF(G121:BE121,"&lt;&gt;" &amp; "")&gt;0,NOT(ISBLANK(E121)))</formula>
    </cfRule>
  </conditionalFormatting>
  <conditionalFormatting sqref="E122">
    <cfRule type="expression" dxfId="0" priority="213">
      <formula>COUNTIF(G122:BE122,"&lt;&gt;" &amp; "")&gt;0</formula>
    </cfRule>
    <cfRule type="expression" dxfId="1" priority="214">
      <formula>AND(COUNTIF(G122:BE122,"&lt;&gt;" &amp; "")&gt;0,NOT(ISBLANK(E122)))</formula>
    </cfRule>
  </conditionalFormatting>
  <conditionalFormatting sqref="E123">
    <cfRule type="expression" dxfId="0" priority="215">
      <formula>COUNTIF(G123:BE123,"&lt;&gt;" &amp; "")&gt;0</formula>
    </cfRule>
    <cfRule type="expression" dxfId="1" priority="216">
      <formula>AND(COUNTIF(G123:BE123,"&lt;&gt;" &amp; "")&gt;0,NOT(ISBLANK(E123)))</formula>
    </cfRule>
  </conditionalFormatting>
  <conditionalFormatting sqref="E124">
    <cfRule type="expression" dxfId="0" priority="217">
      <formula>COUNTIF(G124:BE124,"&lt;&gt;" &amp; "")&gt;0</formula>
    </cfRule>
    <cfRule type="expression" dxfId="1" priority="218">
      <formula>AND(COUNTIF(G124:BE124,"&lt;&gt;" &amp; "")&gt;0,NOT(ISBLANK(E124)))</formula>
    </cfRule>
  </conditionalFormatting>
  <conditionalFormatting sqref="E125">
    <cfRule type="expression" dxfId="0" priority="219">
      <formula>COUNTIF(G125:BE125,"&lt;&gt;" &amp; "")&gt;0</formula>
    </cfRule>
    <cfRule type="expression" dxfId="1" priority="220">
      <formula>AND(COUNTIF(G125:BE125,"&lt;&gt;" &amp; "")&gt;0,NOT(ISBLANK(E125)))</formula>
    </cfRule>
  </conditionalFormatting>
  <conditionalFormatting sqref="E126">
    <cfRule type="expression" dxfId="0" priority="221">
      <formula>COUNTIF(G126:BE126,"&lt;&gt;" &amp; "")&gt;0</formula>
    </cfRule>
    <cfRule type="expression" dxfId="1" priority="222">
      <formula>AND(COUNTIF(G126:BE126,"&lt;&gt;" &amp; "")&gt;0,NOT(ISBLANK(E126)))</formula>
    </cfRule>
  </conditionalFormatting>
  <conditionalFormatting sqref="E127">
    <cfRule type="expression" dxfId="0" priority="223">
      <formula>COUNTIF(G127:BE127,"&lt;&gt;" &amp; "")&gt;0</formula>
    </cfRule>
    <cfRule type="expression" dxfId="1" priority="224">
      <formula>AND(COUNTIF(G127:BE127,"&lt;&gt;" &amp; "")&gt;0,NOT(ISBLANK(E127)))</formula>
    </cfRule>
  </conditionalFormatting>
  <conditionalFormatting sqref="E13">
    <cfRule type="expression" dxfId="0" priority="23">
      <formula>COUNTIF(G13:BE13,"&lt;&gt;" &amp; "")&gt;0</formula>
    </cfRule>
    <cfRule type="expression" dxfId="1" priority="24">
      <formula>AND(COUNTIF(G13:BE13,"&lt;&gt;" &amp; "")&gt;0,NOT(ISBLANK(E13)))</formula>
    </cfRule>
  </conditionalFormatting>
  <conditionalFormatting sqref="E130">
    <cfRule type="expression" dxfId="0" priority="225">
      <formula>COUNTIF(G130:BE130,"&lt;&gt;" &amp; "")&gt;0</formula>
    </cfRule>
    <cfRule type="expression" dxfId="1" priority="226">
      <formula>AND(COUNTIF(G130:BE130,"&lt;&gt;" &amp; "")&gt;0,NOT(ISBLANK(E130)))</formula>
    </cfRule>
  </conditionalFormatting>
  <conditionalFormatting sqref="E131">
    <cfRule type="expression" dxfId="0" priority="227">
      <formula>COUNTIF(G131:BE131,"&lt;&gt;" &amp; "")&gt;0</formula>
    </cfRule>
    <cfRule type="expression" dxfId="1" priority="228">
      <formula>AND(COUNTIF(G131:BE131,"&lt;&gt;" &amp; "")&gt;0,NOT(ISBLANK(E131)))</formula>
    </cfRule>
  </conditionalFormatting>
  <conditionalFormatting sqref="E132">
    <cfRule type="expression" dxfId="0" priority="229">
      <formula>COUNTIF(G132:BE132,"&lt;&gt;" &amp; "")&gt;0</formula>
    </cfRule>
    <cfRule type="expression" dxfId="1" priority="230">
      <formula>AND(COUNTIF(G132:BE132,"&lt;&gt;" &amp; "")&gt;0,NOT(ISBLANK(E132)))</formula>
    </cfRule>
  </conditionalFormatting>
  <conditionalFormatting sqref="E133">
    <cfRule type="expression" dxfId="0" priority="231">
      <formula>COUNTIF(G133:BE133,"&lt;&gt;" &amp; "")&gt;0</formula>
    </cfRule>
    <cfRule type="expression" dxfId="1" priority="232">
      <formula>AND(COUNTIF(G133:BE133,"&lt;&gt;" &amp; "")&gt;0,NOT(ISBLANK(E133)))</formula>
    </cfRule>
  </conditionalFormatting>
  <conditionalFormatting sqref="E134">
    <cfRule type="expression" dxfId="0" priority="233">
      <formula>COUNTIF(G134:BE134,"&lt;&gt;" &amp; "")&gt;0</formula>
    </cfRule>
    <cfRule type="expression" dxfId="1" priority="234">
      <formula>AND(COUNTIF(G134:BE134,"&lt;&gt;" &amp; "")&gt;0,NOT(ISBLANK(E134)))</formula>
    </cfRule>
  </conditionalFormatting>
  <conditionalFormatting sqref="E135">
    <cfRule type="expression" dxfId="0" priority="235">
      <formula>COUNTIF(G135:BE135,"&lt;&gt;" &amp; "")&gt;0</formula>
    </cfRule>
    <cfRule type="expression" dxfId="1" priority="236">
      <formula>AND(COUNTIF(G135:BE135,"&lt;&gt;" &amp; "")&gt;0,NOT(ISBLANK(E135)))</formula>
    </cfRule>
  </conditionalFormatting>
  <conditionalFormatting sqref="E136">
    <cfRule type="expression" dxfId="0" priority="237">
      <formula>COUNTIF(G136:BE136,"&lt;&gt;" &amp; "")&gt;0</formula>
    </cfRule>
    <cfRule type="expression" dxfId="1" priority="238">
      <formula>AND(COUNTIF(G136:BE136,"&lt;&gt;" &amp; "")&gt;0,NOT(ISBLANK(E136)))</formula>
    </cfRule>
  </conditionalFormatting>
  <conditionalFormatting sqref="E137">
    <cfRule type="expression" dxfId="0" priority="239">
      <formula>COUNTIF(G137:BE137,"&lt;&gt;" &amp; "")&gt;0</formula>
    </cfRule>
    <cfRule type="expression" dxfId="1" priority="240">
      <formula>AND(COUNTIF(G137:BE137,"&lt;&gt;" &amp; "")&gt;0,NOT(ISBLANK(E137)))</formula>
    </cfRule>
  </conditionalFormatting>
  <conditionalFormatting sqref="E138">
    <cfRule type="expression" dxfId="0" priority="241">
      <formula>COUNTIF(G138:BE138,"&lt;&gt;" &amp; "")&gt;0</formula>
    </cfRule>
    <cfRule type="expression" dxfId="1" priority="242">
      <formula>AND(COUNTIF(G138:BE138,"&lt;&gt;" &amp; "")&gt;0,NOT(ISBLANK(E138)))</formula>
    </cfRule>
  </conditionalFormatting>
  <conditionalFormatting sqref="E139">
    <cfRule type="expression" dxfId="0" priority="243">
      <formula>COUNTIF(G139:BE139,"&lt;&gt;" &amp; "")&gt;0</formula>
    </cfRule>
    <cfRule type="expression" dxfId="1" priority="244">
      <formula>AND(COUNTIF(G139:BE139,"&lt;&gt;" &amp; "")&gt;0,NOT(ISBLANK(E139)))</formula>
    </cfRule>
  </conditionalFormatting>
  <conditionalFormatting sqref="E14">
    <cfRule type="expression" dxfId="0" priority="25">
      <formula>COUNTIF(G14:BE14,"&lt;&gt;" &amp; "")&gt;0</formula>
    </cfRule>
    <cfRule type="expression" dxfId="1" priority="26">
      <formula>AND(COUNTIF(G14:BE14,"&lt;&gt;" &amp; "")&gt;0,NOT(ISBLANK(E14)))</formula>
    </cfRule>
  </conditionalFormatting>
  <conditionalFormatting sqref="E140">
    <cfRule type="expression" dxfId="0" priority="245">
      <formula>COUNTIF(G140:BE140,"&lt;&gt;" &amp; "")&gt;0</formula>
    </cfRule>
    <cfRule type="expression" dxfId="1" priority="246">
      <formula>AND(COUNTIF(G140:BE140,"&lt;&gt;" &amp; "")&gt;0,NOT(ISBLANK(E140)))</formula>
    </cfRule>
  </conditionalFormatting>
  <conditionalFormatting sqref="E141">
    <cfRule type="expression" dxfId="0" priority="247">
      <formula>COUNTIF(G141:BE141,"&lt;&gt;" &amp; "")&gt;0</formula>
    </cfRule>
    <cfRule type="expression" dxfId="1" priority="248">
      <formula>AND(COUNTIF(G141:BE141,"&lt;&gt;" &amp; "")&gt;0,NOT(ISBLANK(E141)))</formula>
    </cfRule>
  </conditionalFormatting>
  <conditionalFormatting sqref="E142">
    <cfRule type="expression" dxfId="0" priority="249">
      <formula>COUNTIF(G142:BE142,"&lt;&gt;" &amp; "")&gt;0</formula>
    </cfRule>
    <cfRule type="expression" dxfId="1" priority="250">
      <formula>AND(COUNTIF(G142:BE142,"&lt;&gt;" &amp; "")&gt;0,NOT(ISBLANK(E142)))</formula>
    </cfRule>
  </conditionalFormatting>
  <conditionalFormatting sqref="E143">
    <cfRule type="expression" dxfId="0" priority="251">
      <formula>COUNTIF(G143:BE143,"&lt;&gt;" &amp; "")&gt;0</formula>
    </cfRule>
    <cfRule type="expression" dxfId="1" priority="252">
      <formula>AND(COUNTIF(G143:BE143,"&lt;&gt;" &amp; "")&gt;0,NOT(ISBLANK(E143)))</formula>
    </cfRule>
  </conditionalFormatting>
  <conditionalFormatting sqref="E146">
    <cfRule type="expression" dxfId="0" priority="253">
      <formula>COUNTIF(G146:BE146,"&lt;&gt;" &amp; "")&gt;0</formula>
    </cfRule>
    <cfRule type="expression" dxfId="1" priority="254">
      <formula>AND(COUNTIF(G146:BE146,"&lt;&gt;" &amp; "")&gt;0,NOT(ISBLANK(E146)))</formula>
    </cfRule>
  </conditionalFormatting>
  <conditionalFormatting sqref="E147">
    <cfRule type="expression" dxfId="0" priority="255">
      <formula>COUNTIF(G147:BE147,"&lt;&gt;" &amp; "")&gt;0</formula>
    </cfRule>
    <cfRule type="expression" dxfId="1" priority="256">
      <formula>AND(COUNTIF(G147:BE147,"&lt;&gt;" &amp; "")&gt;0,NOT(ISBLANK(E147)))</formula>
    </cfRule>
  </conditionalFormatting>
  <conditionalFormatting sqref="E148">
    <cfRule type="expression" dxfId="0" priority="257">
      <formula>COUNTIF(G148:BE148,"&lt;&gt;" &amp; "")&gt;0</formula>
    </cfRule>
    <cfRule type="expression" dxfId="1" priority="258">
      <formula>AND(COUNTIF(G148:BE148,"&lt;&gt;" &amp; "")&gt;0,NOT(ISBLANK(E148)))</formula>
    </cfRule>
  </conditionalFormatting>
  <conditionalFormatting sqref="E149">
    <cfRule type="expression" dxfId="0" priority="259">
      <formula>COUNTIF(G149:BE149,"&lt;&gt;" &amp; "")&gt;0</formula>
    </cfRule>
    <cfRule type="expression" dxfId="1" priority="260">
      <formula>AND(COUNTIF(G149:BE149,"&lt;&gt;" &amp; "")&gt;0,NOT(ISBLANK(E149)))</formula>
    </cfRule>
  </conditionalFormatting>
  <conditionalFormatting sqref="E15">
    <cfRule type="expression" dxfId="0" priority="27">
      <formula>COUNTIF(G15:BE15,"&lt;&gt;" &amp; "")&gt;0</formula>
    </cfRule>
    <cfRule type="expression" dxfId="1" priority="28">
      <formula>AND(COUNTIF(G15:BE15,"&lt;&gt;" &amp; "")&gt;0,NOT(ISBLANK(E15)))</formula>
    </cfRule>
  </conditionalFormatting>
  <conditionalFormatting sqref="E150">
    <cfRule type="expression" dxfId="0" priority="261">
      <formula>COUNTIF(G150:BE150,"&lt;&gt;" &amp; "")&gt;0</formula>
    </cfRule>
    <cfRule type="expression" dxfId="1" priority="262">
      <formula>AND(COUNTIF(G150:BE150,"&lt;&gt;" &amp; "")&gt;0,NOT(ISBLANK(E150)))</formula>
    </cfRule>
  </conditionalFormatting>
  <conditionalFormatting sqref="E151">
    <cfRule type="expression" dxfId="0" priority="263">
      <formula>COUNTIF(G151:BE151,"&lt;&gt;" &amp; "")&gt;0</formula>
    </cfRule>
    <cfRule type="expression" dxfId="1" priority="264">
      <formula>AND(COUNTIF(G151:BE151,"&lt;&gt;" &amp; "")&gt;0,NOT(ISBLANK(E151)))</formula>
    </cfRule>
  </conditionalFormatting>
  <conditionalFormatting sqref="E152">
    <cfRule type="expression" dxfId="0" priority="265">
      <formula>COUNTIF(G152:BE152,"&lt;&gt;" &amp; "")&gt;0</formula>
    </cfRule>
    <cfRule type="expression" dxfId="1" priority="266">
      <formula>AND(COUNTIF(G152:BE152,"&lt;&gt;" &amp; "")&gt;0,NOT(ISBLANK(E152)))</formula>
    </cfRule>
  </conditionalFormatting>
  <conditionalFormatting sqref="E153">
    <cfRule type="expression" dxfId="0" priority="267">
      <formula>COUNTIF(G153:BE153,"&lt;&gt;" &amp; "")&gt;0</formula>
    </cfRule>
    <cfRule type="expression" dxfId="1" priority="268">
      <formula>AND(COUNTIF(G153:BE153,"&lt;&gt;" &amp; "")&gt;0,NOT(ISBLANK(E153)))</formula>
    </cfRule>
  </conditionalFormatting>
  <conditionalFormatting sqref="E154">
    <cfRule type="expression" dxfId="0" priority="269">
      <formula>COUNTIF(G154:BE154,"&lt;&gt;" &amp; "")&gt;0</formula>
    </cfRule>
    <cfRule type="expression" dxfId="1" priority="270">
      <formula>AND(COUNTIF(G154:BE154,"&lt;&gt;" &amp; "")&gt;0,NOT(ISBLANK(E154)))</formula>
    </cfRule>
  </conditionalFormatting>
  <conditionalFormatting sqref="E155">
    <cfRule type="expression" dxfId="0" priority="271">
      <formula>COUNTIF(G155:BE155,"&lt;&gt;" &amp; "")&gt;0</formula>
    </cfRule>
    <cfRule type="expression" dxfId="1" priority="272">
      <formula>AND(COUNTIF(G155:BE155,"&lt;&gt;" &amp; "")&gt;0,NOT(ISBLANK(E155)))</formula>
    </cfRule>
  </conditionalFormatting>
  <conditionalFormatting sqref="E156">
    <cfRule type="expression" dxfId="0" priority="273">
      <formula>COUNTIF(G156:BE156,"&lt;&gt;" &amp; "")&gt;0</formula>
    </cfRule>
    <cfRule type="expression" dxfId="1" priority="274">
      <formula>AND(COUNTIF(G156:BE156,"&lt;&gt;" &amp; "")&gt;0,NOT(ISBLANK(E156)))</formula>
    </cfRule>
  </conditionalFormatting>
  <conditionalFormatting sqref="E157">
    <cfRule type="expression" dxfId="0" priority="275">
      <formula>COUNTIF(G157:BE157,"&lt;&gt;" &amp; "")&gt;0</formula>
    </cfRule>
    <cfRule type="expression" dxfId="1" priority="276">
      <formula>AND(COUNTIF(G157:BE157,"&lt;&gt;" &amp; "")&gt;0,NOT(ISBLANK(E157)))</formula>
    </cfRule>
  </conditionalFormatting>
  <conditionalFormatting sqref="E158">
    <cfRule type="expression" dxfId="0" priority="277">
      <formula>COUNTIF(G158:BE158,"&lt;&gt;" &amp; "")&gt;0</formula>
    </cfRule>
    <cfRule type="expression" dxfId="1" priority="278">
      <formula>AND(COUNTIF(G158:BE158,"&lt;&gt;" &amp; "")&gt;0,NOT(ISBLANK(E158)))</formula>
    </cfRule>
  </conditionalFormatting>
  <conditionalFormatting sqref="E159">
    <cfRule type="expression" dxfId="0" priority="279">
      <formula>COUNTIF(G159:BE159,"&lt;&gt;" &amp; "")&gt;0</formula>
    </cfRule>
    <cfRule type="expression" dxfId="1" priority="280">
      <formula>AND(COUNTIF(G159:BE159,"&lt;&gt;" &amp; "")&gt;0,NOT(ISBLANK(E159)))</formula>
    </cfRule>
  </conditionalFormatting>
  <conditionalFormatting sqref="E162">
    <cfRule type="expression" dxfId="0" priority="281">
      <formula>COUNTIF(G162:BE162,"&lt;&gt;" &amp; "")&gt;0</formula>
    </cfRule>
    <cfRule type="expression" dxfId="1" priority="282">
      <formula>AND(COUNTIF(G162:BE162,"&lt;&gt;" &amp; "")&gt;0,NOT(ISBLANK(E162)))</formula>
    </cfRule>
  </conditionalFormatting>
  <conditionalFormatting sqref="E163">
    <cfRule type="expression" dxfId="0" priority="283">
      <formula>COUNTIF(G163:BE163,"&lt;&gt;" &amp; "")&gt;0</formula>
    </cfRule>
    <cfRule type="expression" dxfId="1" priority="284">
      <formula>AND(COUNTIF(G163:BE163,"&lt;&gt;" &amp; "")&gt;0,NOT(ISBLANK(E163)))</formula>
    </cfRule>
  </conditionalFormatting>
  <conditionalFormatting sqref="E164">
    <cfRule type="expression" dxfId="0" priority="285">
      <formula>COUNTIF(G164:BE164,"&lt;&gt;" &amp; "")&gt;0</formula>
    </cfRule>
    <cfRule type="expression" dxfId="1" priority="286">
      <formula>AND(COUNTIF(G164:BE164,"&lt;&gt;" &amp; "")&gt;0,NOT(ISBLANK(E164)))</formula>
    </cfRule>
  </conditionalFormatting>
  <conditionalFormatting sqref="E165">
    <cfRule type="expression" dxfId="0" priority="287">
      <formula>COUNTIF(G165:BE165,"&lt;&gt;" &amp; "")&gt;0</formula>
    </cfRule>
    <cfRule type="expression" dxfId="1" priority="288">
      <formula>AND(COUNTIF(G165:BE165,"&lt;&gt;" &amp; "")&gt;0,NOT(ISBLANK(E165)))</formula>
    </cfRule>
  </conditionalFormatting>
  <conditionalFormatting sqref="E166">
    <cfRule type="expression" dxfId="0" priority="289">
      <formula>COUNTIF(G166:BE166,"&lt;&gt;" &amp; "")&gt;0</formula>
    </cfRule>
    <cfRule type="expression" dxfId="1" priority="290">
      <formula>AND(COUNTIF(G166:BE166,"&lt;&gt;" &amp; "")&gt;0,NOT(ISBLANK(E166)))</formula>
    </cfRule>
  </conditionalFormatting>
  <conditionalFormatting sqref="E167">
    <cfRule type="expression" dxfId="0" priority="291">
      <formula>COUNTIF(G167:BE167,"&lt;&gt;" &amp; "")&gt;0</formula>
    </cfRule>
    <cfRule type="expression" dxfId="1" priority="292">
      <formula>AND(COUNTIF(G167:BE167,"&lt;&gt;" &amp; "")&gt;0,NOT(ISBLANK(E167)))</formula>
    </cfRule>
  </conditionalFormatting>
  <conditionalFormatting sqref="E168">
    <cfRule type="expression" dxfId="0" priority="293">
      <formula>COUNTIF(G168:BE168,"&lt;&gt;" &amp; "")&gt;0</formula>
    </cfRule>
    <cfRule type="expression" dxfId="1" priority="294">
      <formula>AND(COUNTIF(G168:BE168,"&lt;&gt;" &amp; "")&gt;0,NOT(ISBLANK(E168)))</formula>
    </cfRule>
  </conditionalFormatting>
  <conditionalFormatting sqref="E169">
    <cfRule type="expression" dxfId="0" priority="295">
      <formula>COUNTIF(G169:BE169,"&lt;&gt;" &amp; "")&gt;0</formula>
    </cfRule>
    <cfRule type="expression" dxfId="1" priority="296">
      <formula>AND(COUNTIF(G169:BE169,"&lt;&gt;" &amp; "")&gt;0,NOT(ISBLANK(E169)))</formula>
    </cfRule>
  </conditionalFormatting>
  <conditionalFormatting sqref="E170">
    <cfRule type="expression" dxfId="0" priority="297">
      <formula>COUNTIF(G170:BE170,"&lt;&gt;" &amp; "")&gt;0</formula>
    </cfRule>
    <cfRule type="expression" dxfId="1" priority="298">
      <formula>AND(COUNTIF(G170:BE170,"&lt;&gt;" &amp; "")&gt;0,NOT(ISBLANK(E170)))</formula>
    </cfRule>
  </conditionalFormatting>
  <conditionalFormatting sqref="E171">
    <cfRule type="expression" dxfId="0" priority="299">
      <formula>COUNTIF(G171:BE171,"&lt;&gt;" &amp; "")&gt;0</formula>
    </cfRule>
    <cfRule type="expression" dxfId="1" priority="300">
      <formula>AND(COUNTIF(G171:BE171,"&lt;&gt;" &amp; "")&gt;0,NOT(ISBLANK(E171)))</formula>
    </cfRule>
  </conditionalFormatting>
  <conditionalFormatting sqref="E172">
    <cfRule type="expression" dxfId="0" priority="301">
      <formula>COUNTIF(G172:BE172,"&lt;&gt;" &amp; "")&gt;0</formula>
    </cfRule>
    <cfRule type="expression" dxfId="1" priority="302">
      <formula>AND(COUNTIF(G172:BE172,"&lt;&gt;" &amp; "")&gt;0,NOT(ISBLANK(E172)))</formula>
    </cfRule>
  </conditionalFormatting>
  <conditionalFormatting sqref="E173">
    <cfRule type="expression" dxfId="0" priority="303">
      <formula>COUNTIF(G173:BE173,"&lt;&gt;" &amp; "")&gt;0</formula>
    </cfRule>
    <cfRule type="expression" dxfId="1" priority="304">
      <formula>AND(COUNTIF(G173:BE173,"&lt;&gt;" &amp; "")&gt;0,NOT(ISBLANK(E173)))</formula>
    </cfRule>
  </conditionalFormatting>
  <conditionalFormatting sqref="E174">
    <cfRule type="expression" dxfId="0" priority="305">
      <formula>COUNTIF(G174:BE174,"&lt;&gt;" &amp; "")&gt;0</formula>
    </cfRule>
    <cfRule type="expression" dxfId="1" priority="306">
      <formula>AND(COUNTIF(G174:BE174,"&lt;&gt;" &amp; "")&gt;0,NOT(ISBLANK(E174)))</formula>
    </cfRule>
  </conditionalFormatting>
  <conditionalFormatting sqref="E175">
    <cfRule type="expression" dxfId="0" priority="307">
      <formula>COUNTIF(G175:BE175,"&lt;&gt;" &amp; "")&gt;0</formula>
    </cfRule>
    <cfRule type="expression" dxfId="1" priority="308">
      <formula>AND(COUNTIF(G175:BE175,"&lt;&gt;" &amp; "")&gt;0,NOT(ISBLANK(E175)))</formula>
    </cfRule>
  </conditionalFormatting>
  <conditionalFormatting sqref="E178">
    <cfRule type="expression" dxfId="0" priority="309">
      <formula>COUNTIF(G178:BE178,"&lt;&gt;" &amp; "")&gt;0</formula>
    </cfRule>
    <cfRule type="expression" dxfId="1" priority="310">
      <formula>AND(COUNTIF(G178:BE178,"&lt;&gt;" &amp; "")&gt;0,NOT(ISBLANK(E178)))</formula>
    </cfRule>
  </conditionalFormatting>
  <conditionalFormatting sqref="E179">
    <cfRule type="expression" dxfId="0" priority="311">
      <formula>COUNTIF(G179:BE179,"&lt;&gt;" &amp; "")&gt;0</formula>
    </cfRule>
    <cfRule type="expression" dxfId="1" priority="312">
      <formula>AND(COUNTIF(G179:BE179,"&lt;&gt;" &amp; "")&gt;0,NOT(ISBLANK(E179)))</formula>
    </cfRule>
  </conditionalFormatting>
  <conditionalFormatting sqref="E18">
    <cfRule type="expression" dxfId="0" priority="29">
      <formula>COUNTIF(G18:BE18,"&lt;&gt;" &amp; "")&gt;0</formula>
    </cfRule>
    <cfRule type="expression" dxfId="1" priority="30">
      <formula>AND(COUNTIF(G18:BE18,"&lt;&gt;" &amp; "")&gt;0,NOT(ISBLANK(E18)))</formula>
    </cfRule>
  </conditionalFormatting>
  <conditionalFormatting sqref="E180">
    <cfRule type="expression" dxfId="0" priority="313">
      <formula>COUNTIF(G180:BE180,"&lt;&gt;" &amp; "")&gt;0</formula>
    </cfRule>
    <cfRule type="expression" dxfId="1" priority="314">
      <formula>AND(COUNTIF(G180:BE180,"&lt;&gt;" &amp; "")&gt;0,NOT(ISBLANK(E180)))</formula>
    </cfRule>
  </conditionalFormatting>
  <conditionalFormatting sqref="E181">
    <cfRule type="expression" dxfId="0" priority="315">
      <formula>COUNTIF(G181:BE181,"&lt;&gt;" &amp; "")&gt;0</formula>
    </cfRule>
    <cfRule type="expression" dxfId="1" priority="316">
      <formula>AND(COUNTIF(G181:BE181,"&lt;&gt;" &amp; "")&gt;0,NOT(ISBLANK(E181)))</formula>
    </cfRule>
  </conditionalFormatting>
  <conditionalFormatting sqref="E182">
    <cfRule type="expression" dxfId="0" priority="317">
      <formula>COUNTIF(G182:BE182,"&lt;&gt;" &amp; "")&gt;0</formula>
    </cfRule>
    <cfRule type="expression" dxfId="1" priority="318">
      <formula>AND(COUNTIF(G182:BE182,"&lt;&gt;" &amp; "")&gt;0,NOT(ISBLANK(E182)))</formula>
    </cfRule>
  </conditionalFormatting>
  <conditionalFormatting sqref="E183">
    <cfRule type="expression" dxfId="0" priority="319">
      <formula>COUNTIF(G183:BE183,"&lt;&gt;" &amp; "")&gt;0</formula>
    </cfRule>
    <cfRule type="expression" dxfId="1" priority="320">
      <formula>AND(COUNTIF(G183:BE183,"&lt;&gt;" &amp; "")&gt;0,NOT(ISBLANK(E183)))</formula>
    </cfRule>
  </conditionalFormatting>
  <conditionalFormatting sqref="E184">
    <cfRule type="expression" dxfId="0" priority="321">
      <formula>COUNTIF(G184:BE184,"&lt;&gt;" &amp; "")&gt;0</formula>
    </cfRule>
    <cfRule type="expression" dxfId="1" priority="322">
      <formula>AND(COUNTIF(G184:BE184,"&lt;&gt;" &amp; "")&gt;0,NOT(ISBLANK(E184)))</formula>
    </cfRule>
  </conditionalFormatting>
  <conditionalFormatting sqref="E185">
    <cfRule type="expression" dxfId="0" priority="323">
      <formula>COUNTIF(G185:BE185,"&lt;&gt;" &amp; "")&gt;0</formula>
    </cfRule>
    <cfRule type="expression" dxfId="1" priority="324">
      <formula>AND(COUNTIF(G185:BE185,"&lt;&gt;" &amp; "")&gt;0,NOT(ISBLANK(E185)))</formula>
    </cfRule>
  </conditionalFormatting>
  <conditionalFormatting sqref="E186">
    <cfRule type="expression" dxfId="0" priority="325">
      <formula>COUNTIF(G186:BE186,"&lt;&gt;" &amp; "")&gt;0</formula>
    </cfRule>
    <cfRule type="expression" dxfId="1" priority="326">
      <formula>AND(COUNTIF(G186:BE186,"&lt;&gt;" &amp; "")&gt;0,NOT(ISBLANK(E186)))</formula>
    </cfRule>
  </conditionalFormatting>
  <conditionalFormatting sqref="E187">
    <cfRule type="expression" dxfId="0" priority="327">
      <formula>COUNTIF(G187:BE187,"&lt;&gt;" &amp; "")&gt;0</formula>
    </cfRule>
    <cfRule type="expression" dxfId="1" priority="328">
      <formula>AND(COUNTIF(G187:BE187,"&lt;&gt;" &amp; "")&gt;0,NOT(ISBLANK(E187)))</formula>
    </cfRule>
  </conditionalFormatting>
  <conditionalFormatting sqref="E188">
    <cfRule type="expression" dxfId="0" priority="329">
      <formula>COUNTIF(G188:BE188,"&lt;&gt;" &amp; "")&gt;0</formula>
    </cfRule>
    <cfRule type="expression" dxfId="1" priority="330">
      <formula>AND(COUNTIF(G188:BE188,"&lt;&gt;" &amp; "")&gt;0,NOT(ISBLANK(E188)))</formula>
    </cfRule>
  </conditionalFormatting>
  <conditionalFormatting sqref="E189">
    <cfRule type="expression" dxfId="0" priority="331">
      <formula>COUNTIF(G189:BE189,"&lt;&gt;" &amp; "")&gt;0</formula>
    </cfRule>
    <cfRule type="expression" dxfId="1" priority="332">
      <formula>AND(COUNTIF(G189:BE189,"&lt;&gt;" &amp; "")&gt;0,NOT(ISBLANK(E189)))</formula>
    </cfRule>
  </conditionalFormatting>
  <conditionalFormatting sqref="E19">
    <cfRule type="expression" dxfId="0" priority="31">
      <formula>COUNTIF(G19:BE19,"&lt;&gt;" &amp; "")&gt;0</formula>
    </cfRule>
    <cfRule type="expression" dxfId="1" priority="32">
      <formula>AND(COUNTIF(G19:BE19,"&lt;&gt;" &amp; "")&gt;0,NOT(ISBLANK(E19)))</formula>
    </cfRule>
  </conditionalFormatting>
  <conditionalFormatting sqref="E190">
    <cfRule type="expression" dxfId="0" priority="333">
      <formula>COUNTIF(G190:BE190,"&lt;&gt;" &amp; "")&gt;0</formula>
    </cfRule>
    <cfRule type="expression" dxfId="1" priority="334">
      <formula>AND(COUNTIF(G190:BE190,"&lt;&gt;" &amp; "")&gt;0,NOT(ISBLANK(E190)))</formula>
    </cfRule>
  </conditionalFormatting>
  <conditionalFormatting sqref="E191">
    <cfRule type="expression" dxfId="0" priority="335">
      <formula>COUNTIF(G191:BE191,"&lt;&gt;" &amp; "")&gt;0</formula>
    </cfRule>
    <cfRule type="expression" dxfId="1" priority="336">
      <formula>AND(COUNTIF(G191:BE191,"&lt;&gt;" &amp; "")&gt;0,NOT(ISBLANK(E191)))</formula>
    </cfRule>
  </conditionalFormatting>
  <conditionalFormatting sqref="E194">
    <cfRule type="expression" dxfId="0" priority="337">
      <formula>COUNTIF(G194:BE194,"&lt;&gt;" &amp; "")&gt;0</formula>
    </cfRule>
    <cfRule type="expression" dxfId="1" priority="338">
      <formula>AND(COUNTIF(G194:BE194,"&lt;&gt;" &amp; "")&gt;0,NOT(ISBLANK(E194)))</formula>
    </cfRule>
  </conditionalFormatting>
  <conditionalFormatting sqref="E195">
    <cfRule type="expression" dxfId="0" priority="339">
      <formula>COUNTIF(G195:BE195,"&lt;&gt;" &amp; "")&gt;0</formula>
    </cfRule>
    <cfRule type="expression" dxfId="1" priority="340">
      <formula>AND(COUNTIF(G195:BE195,"&lt;&gt;" &amp; "")&gt;0,NOT(ISBLANK(E195)))</formula>
    </cfRule>
  </conditionalFormatting>
  <conditionalFormatting sqref="E196">
    <cfRule type="expression" dxfId="0" priority="341">
      <formula>COUNTIF(G196:BE196,"&lt;&gt;" &amp; "")&gt;0</formula>
    </cfRule>
    <cfRule type="expression" dxfId="1" priority="342">
      <formula>AND(COUNTIF(G196:BE196,"&lt;&gt;" &amp; "")&gt;0,NOT(ISBLANK(E196)))</formula>
    </cfRule>
  </conditionalFormatting>
  <conditionalFormatting sqref="E197">
    <cfRule type="expression" dxfId="0" priority="343">
      <formula>COUNTIF(G197:BE197,"&lt;&gt;" &amp; "")&gt;0</formula>
    </cfRule>
    <cfRule type="expression" dxfId="1" priority="344">
      <formula>AND(COUNTIF(G197:BE197,"&lt;&gt;" &amp; "")&gt;0,NOT(ISBLANK(E197)))</formula>
    </cfRule>
  </conditionalFormatting>
  <conditionalFormatting sqref="E198">
    <cfRule type="expression" dxfId="0" priority="345">
      <formula>COUNTIF(G198:BE198,"&lt;&gt;" &amp; "")&gt;0</formula>
    </cfRule>
    <cfRule type="expression" dxfId="1" priority="346">
      <formula>AND(COUNTIF(G198:BE198,"&lt;&gt;" &amp; "")&gt;0,NOT(ISBLANK(E198)))</formula>
    </cfRule>
  </conditionalFormatting>
  <conditionalFormatting sqref="E199">
    <cfRule type="expression" dxfId="0" priority="347">
      <formula>COUNTIF(G199:BE199,"&lt;&gt;" &amp; "")&gt;0</formula>
    </cfRule>
    <cfRule type="expression" dxfId="1" priority="348">
      <formula>AND(COUNTIF(G199:BE199,"&lt;&gt;" &amp; "")&gt;0,NOT(ISBLANK(E199)))</formula>
    </cfRule>
  </conditionalFormatting>
  <conditionalFormatting sqref="E2">
    <cfRule type="expression" dxfId="0" priority="1">
      <formula>COUNTIF(G2:BE2,"&lt;&gt;" &amp; "")&gt;0</formula>
    </cfRule>
    <cfRule type="expression" dxfId="1" priority="2">
      <formula>AND(COUNTIF(G2:BE2,"&lt;&gt;" &amp; "")&gt;0,NOT(ISBLANK(E2)))</formula>
    </cfRule>
  </conditionalFormatting>
  <conditionalFormatting sqref="E20">
    <cfRule type="expression" dxfId="0" priority="33">
      <formula>COUNTIF(G20:BE20,"&lt;&gt;" &amp; "")&gt;0</formula>
    </cfRule>
    <cfRule type="expression" dxfId="1" priority="34">
      <formula>AND(COUNTIF(G20:BE20,"&lt;&gt;" &amp; "")&gt;0,NOT(ISBLANK(E20)))</formula>
    </cfRule>
  </conditionalFormatting>
  <conditionalFormatting sqref="E200">
    <cfRule type="expression" dxfId="0" priority="349">
      <formula>COUNTIF(G200:BE200,"&lt;&gt;" &amp; "")&gt;0</formula>
    </cfRule>
    <cfRule type="expression" dxfId="1" priority="350">
      <formula>AND(COUNTIF(G200:BE200,"&lt;&gt;" &amp; "")&gt;0,NOT(ISBLANK(E200)))</formula>
    </cfRule>
  </conditionalFormatting>
  <conditionalFormatting sqref="E201">
    <cfRule type="expression" dxfId="0" priority="351">
      <formula>COUNTIF(G201:BE201,"&lt;&gt;" &amp; "")&gt;0</formula>
    </cfRule>
    <cfRule type="expression" dxfId="1" priority="352">
      <formula>AND(COUNTIF(G201:BE201,"&lt;&gt;" &amp; "")&gt;0,NOT(ISBLANK(E201)))</formula>
    </cfRule>
  </conditionalFormatting>
  <conditionalFormatting sqref="E202">
    <cfRule type="expression" dxfId="0" priority="353">
      <formula>COUNTIF(G202:BE202,"&lt;&gt;" &amp; "")&gt;0</formula>
    </cfRule>
    <cfRule type="expression" dxfId="1" priority="354">
      <formula>AND(COUNTIF(G202:BE202,"&lt;&gt;" &amp; "")&gt;0,NOT(ISBLANK(E202)))</formula>
    </cfRule>
  </conditionalFormatting>
  <conditionalFormatting sqref="E203">
    <cfRule type="expression" dxfId="0" priority="355">
      <formula>COUNTIF(G203:BE203,"&lt;&gt;" &amp; "")&gt;0</formula>
    </cfRule>
    <cfRule type="expression" dxfId="1" priority="356">
      <formula>AND(COUNTIF(G203:BE203,"&lt;&gt;" &amp; "")&gt;0,NOT(ISBLANK(E203)))</formula>
    </cfRule>
  </conditionalFormatting>
  <conditionalFormatting sqref="E204">
    <cfRule type="expression" dxfId="0" priority="357">
      <formula>COUNTIF(G204:BE204,"&lt;&gt;" &amp; "")&gt;0</formula>
    </cfRule>
    <cfRule type="expression" dxfId="1" priority="358">
      <formula>AND(COUNTIF(G204:BE204,"&lt;&gt;" &amp; "")&gt;0,NOT(ISBLANK(E204)))</formula>
    </cfRule>
  </conditionalFormatting>
  <conditionalFormatting sqref="E205">
    <cfRule type="expression" dxfId="0" priority="359">
      <formula>COUNTIF(G205:BE205,"&lt;&gt;" &amp; "")&gt;0</formula>
    </cfRule>
    <cfRule type="expression" dxfId="1" priority="360">
      <formula>AND(COUNTIF(G205:BE205,"&lt;&gt;" &amp; "")&gt;0,NOT(ISBLANK(E205)))</formula>
    </cfRule>
  </conditionalFormatting>
  <conditionalFormatting sqref="E206">
    <cfRule type="expression" dxfId="0" priority="361">
      <formula>COUNTIF(G206:BE206,"&lt;&gt;" &amp; "")&gt;0</formula>
    </cfRule>
    <cfRule type="expression" dxfId="1" priority="362">
      <formula>AND(COUNTIF(G206:BE206,"&lt;&gt;" &amp; "")&gt;0,NOT(ISBLANK(E206)))</formula>
    </cfRule>
  </conditionalFormatting>
  <conditionalFormatting sqref="E207">
    <cfRule type="expression" dxfId="0" priority="363">
      <formula>COUNTIF(G207:BE207,"&lt;&gt;" &amp; "")&gt;0</formula>
    </cfRule>
    <cfRule type="expression" dxfId="1" priority="364">
      <formula>AND(COUNTIF(G207:BE207,"&lt;&gt;" &amp; "")&gt;0,NOT(ISBLANK(E207)))</formula>
    </cfRule>
  </conditionalFormatting>
  <conditionalFormatting sqref="E21">
    <cfRule type="expression" dxfId="0" priority="35">
      <formula>COUNTIF(G21:BE21,"&lt;&gt;" &amp; "")&gt;0</formula>
    </cfRule>
    <cfRule type="expression" dxfId="1" priority="36">
      <formula>AND(COUNTIF(G21:BE21,"&lt;&gt;" &amp; "")&gt;0,NOT(ISBLANK(E21)))</formula>
    </cfRule>
  </conditionalFormatting>
  <conditionalFormatting sqref="E210">
    <cfRule type="expression" dxfId="0" priority="365">
      <formula>COUNTIF(G210:BE210,"&lt;&gt;" &amp; "")&gt;0</formula>
    </cfRule>
    <cfRule type="expression" dxfId="1" priority="366">
      <formula>AND(COUNTIF(G210:BE210,"&lt;&gt;" &amp; "")&gt;0,NOT(ISBLANK(E210)))</formula>
    </cfRule>
  </conditionalFormatting>
  <conditionalFormatting sqref="E211">
    <cfRule type="expression" dxfId="0" priority="367">
      <formula>COUNTIF(G211:BE211,"&lt;&gt;" &amp; "")&gt;0</formula>
    </cfRule>
    <cfRule type="expression" dxfId="1" priority="368">
      <formula>AND(COUNTIF(G211:BE211,"&lt;&gt;" &amp; "")&gt;0,NOT(ISBLANK(E211)))</formula>
    </cfRule>
  </conditionalFormatting>
  <conditionalFormatting sqref="E212">
    <cfRule type="expression" dxfId="0" priority="369">
      <formula>COUNTIF(G212:BE212,"&lt;&gt;" &amp; "")&gt;0</formula>
    </cfRule>
    <cfRule type="expression" dxfId="1" priority="370">
      <formula>AND(COUNTIF(G212:BE212,"&lt;&gt;" &amp; "")&gt;0,NOT(ISBLANK(E212)))</formula>
    </cfRule>
  </conditionalFormatting>
  <conditionalFormatting sqref="E213">
    <cfRule type="expression" dxfId="0" priority="371">
      <formula>COUNTIF(G213:BE213,"&lt;&gt;" &amp; "")&gt;0</formula>
    </cfRule>
    <cfRule type="expression" dxfId="1" priority="372">
      <formula>AND(COUNTIF(G213:BE213,"&lt;&gt;" &amp; "")&gt;0,NOT(ISBLANK(E213)))</formula>
    </cfRule>
  </conditionalFormatting>
  <conditionalFormatting sqref="E214">
    <cfRule type="expression" dxfId="0" priority="373">
      <formula>COUNTIF(G214:BE214,"&lt;&gt;" &amp; "")&gt;0</formula>
    </cfRule>
    <cfRule type="expression" dxfId="1" priority="374">
      <formula>AND(COUNTIF(G214:BE214,"&lt;&gt;" &amp; "")&gt;0,NOT(ISBLANK(E214)))</formula>
    </cfRule>
  </conditionalFormatting>
  <conditionalFormatting sqref="E215">
    <cfRule type="expression" dxfId="0" priority="375">
      <formula>COUNTIF(G215:BE215,"&lt;&gt;" &amp; "")&gt;0</formula>
    </cfRule>
    <cfRule type="expression" dxfId="1" priority="376">
      <formula>AND(COUNTIF(G215:BE215,"&lt;&gt;" &amp; "")&gt;0,NOT(ISBLANK(E215)))</formula>
    </cfRule>
  </conditionalFormatting>
  <conditionalFormatting sqref="E216">
    <cfRule type="expression" dxfId="0" priority="377">
      <formula>COUNTIF(G216:BE216,"&lt;&gt;" &amp; "")&gt;0</formula>
    </cfRule>
    <cfRule type="expression" dxfId="1" priority="378">
      <formula>AND(COUNTIF(G216:BE216,"&lt;&gt;" &amp; "")&gt;0,NOT(ISBLANK(E216)))</formula>
    </cfRule>
  </conditionalFormatting>
  <conditionalFormatting sqref="E217">
    <cfRule type="expression" dxfId="0" priority="379">
      <formula>COUNTIF(G217:BE217,"&lt;&gt;" &amp; "")&gt;0</formula>
    </cfRule>
    <cfRule type="expression" dxfId="1" priority="380">
      <formula>AND(COUNTIF(G217:BE217,"&lt;&gt;" &amp; "")&gt;0,NOT(ISBLANK(E217)))</formula>
    </cfRule>
  </conditionalFormatting>
  <conditionalFormatting sqref="E218">
    <cfRule type="expression" dxfId="0" priority="381">
      <formula>COUNTIF(G218:BE218,"&lt;&gt;" &amp; "")&gt;0</formula>
    </cfRule>
    <cfRule type="expression" dxfId="1" priority="382">
      <formula>AND(COUNTIF(G218:BE218,"&lt;&gt;" &amp; "")&gt;0,NOT(ISBLANK(E218)))</formula>
    </cfRule>
  </conditionalFormatting>
  <conditionalFormatting sqref="E219">
    <cfRule type="expression" dxfId="0" priority="383">
      <formula>COUNTIF(G219:BE219,"&lt;&gt;" &amp; "")&gt;0</formula>
    </cfRule>
    <cfRule type="expression" dxfId="1" priority="384">
      <formula>AND(COUNTIF(G219:BE219,"&lt;&gt;" &amp; "")&gt;0,NOT(ISBLANK(E219)))</formula>
    </cfRule>
  </conditionalFormatting>
  <conditionalFormatting sqref="E22">
    <cfRule type="expression" dxfId="0" priority="37">
      <formula>COUNTIF(G22:BE22,"&lt;&gt;" &amp; "")&gt;0</formula>
    </cfRule>
    <cfRule type="expression" dxfId="1" priority="38">
      <formula>AND(COUNTIF(G22:BE22,"&lt;&gt;" &amp; "")&gt;0,NOT(ISBLANK(E22)))</formula>
    </cfRule>
  </conditionalFormatting>
  <conditionalFormatting sqref="E220">
    <cfRule type="expression" dxfId="0" priority="385">
      <formula>COUNTIF(G220:BE220,"&lt;&gt;" &amp; "")&gt;0</formula>
    </cfRule>
    <cfRule type="expression" dxfId="1" priority="386">
      <formula>AND(COUNTIF(G220:BE220,"&lt;&gt;" &amp; "")&gt;0,NOT(ISBLANK(E220)))</formula>
    </cfRule>
  </conditionalFormatting>
  <conditionalFormatting sqref="E221">
    <cfRule type="expression" dxfId="0" priority="387">
      <formula>COUNTIF(G221:BE221,"&lt;&gt;" &amp; "")&gt;0</formula>
    </cfRule>
    <cfRule type="expression" dxfId="1" priority="388">
      <formula>AND(COUNTIF(G221:BE221,"&lt;&gt;" &amp; "")&gt;0,NOT(ISBLANK(E221)))</formula>
    </cfRule>
  </conditionalFormatting>
  <conditionalFormatting sqref="E222">
    <cfRule type="expression" dxfId="0" priority="389">
      <formula>COUNTIF(G222:BE222,"&lt;&gt;" &amp; "")&gt;0</formula>
    </cfRule>
    <cfRule type="expression" dxfId="1" priority="390">
      <formula>AND(COUNTIF(G222:BE222,"&lt;&gt;" &amp; "")&gt;0,NOT(ISBLANK(E222)))</formula>
    </cfRule>
  </conditionalFormatting>
  <conditionalFormatting sqref="E223">
    <cfRule type="expression" dxfId="0" priority="391">
      <formula>COUNTIF(G223:BE223,"&lt;&gt;" &amp; "")&gt;0</formula>
    </cfRule>
    <cfRule type="expression" dxfId="1" priority="392">
      <formula>AND(COUNTIF(G223:BE223,"&lt;&gt;" &amp; "")&gt;0,NOT(ISBLANK(E223)))</formula>
    </cfRule>
  </conditionalFormatting>
  <conditionalFormatting sqref="E226">
    <cfRule type="expression" dxfId="0" priority="393">
      <formula>COUNTIF(G226:BE226,"&lt;&gt;" &amp; "")&gt;0</formula>
    </cfRule>
    <cfRule type="expression" dxfId="1" priority="394">
      <formula>AND(COUNTIF(G226:BE226,"&lt;&gt;" &amp; "")&gt;0,NOT(ISBLANK(E226)))</formula>
    </cfRule>
  </conditionalFormatting>
  <conditionalFormatting sqref="E227">
    <cfRule type="expression" dxfId="0" priority="395">
      <formula>COUNTIF(G227:BE227,"&lt;&gt;" &amp; "")&gt;0</formula>
    </cfRule>
    <cfRule type="expression" dxfId="1" priority="396">
      <formula>AND(COUNTIF(G227:BE227,"&lt;&gt;" &amp; "")&gt;0,NOT(ISBLANK(E227)))</formula>
    </cfRule>
  </conditionalFormatting>
  <conditionalFormatting sqref="E228">
    <cfRule type="expression" dxfId="0" priority="397">
      <formula>COUNTIF(G228:BE228,"&lt;&gt;" &amp; "")&gt;0</formula>
    </cfRule>
    <cfRule type="expression" dxfId="1" priority="398">
      <formula>AND(COUNTIF(G228:BE228,"&lt;&gt;" &amp; "")&gt;0,NOT(ISBLANK(E228)))</formula>
    </cfRule>
  </conditionalFormatting>
  <conditionalFormatting sqref="E229">
    <cfRule type="expression" dxfId="0" priority="399">
      <formula>COUNTIF(G229:BE229,"&lt;&gt;" &amp; "")&gt;0</formula>
    </cfRule>
    <cfRule type="expression" dxfId="1" priority="400">
      <formula>AND(COUNTIF(G229:BE229,"&lt;&gt;" &amp; "")&gt;0,NOT(ISBLANK(E229)))</formula>
    </cfRule>
  </conditionalFormatting>
  <conditionalFormatting sqref="E23">
    <cfRule type="expression" dxfId="0" priority="39">
      <formula>COUNTIF(G23:BE23,"&lt;&gt;" &amp; "")&gt;0</formula>
    </cfRule>
    <cfRule type="expression" dxfId="1" priority="40">
      <formula>AND(COUNTIF(G23:BE23,"&lt;&gt;" &amp; "")&gt;0,NOT(ISBLANK(E23)))</formula>
    </cfRule>
  </conditionalFormatting>
  <conditionalFormatting sqref="E230">
    <cfRule type="expression" dxfId="0" priority="401">
      <formula>COUNTIF(G230:BE230,"&lt;&gt;" &amp; "")&gt;0</formula>
    </cfRule>
    <cfRule type="expression" dxfId="1" priority="402">
      <formula>AND(COUNTIF(G230:BE230,"&lt;&gt;" &amp; "")&gt;0,NOT(ISBLANK(E230)))</formula>
    </cfRule>
  </conditionalFormatting>
  <conditionalFormatting sqref="E231">
    <cfRule type="expression" dxfId="0" priority="403">
      <formula>COUNTIF(G231:BE231,"&lt;&gt;" &amp; "")&gt;0</formula>
    </cfRule>
    <cfRule type="expression" dxfId="1" priority="404">
      <formula>AND(COUNTIF(G231:BE231,"&lt;&gt;" &amp; "")&gt;0,NOT(ISBLANK(E231)))</formula>
    </cfRule>
  </conditionalFormatting>
  <conditionalFormatting sqref="E232">
    <cfRule type="expression" dxfId="0" priority="405">
      <formula>COUNTIF(G232:BE232,"&lt;&gt;" &amp; "")&gt;0</formula>
    </cfRule>
    <cfRule type="expression" dxfId="1" priority="406">
      <formula>AND(COUNTIF(G232:BE232,"&lt;&gt;" &amp; "")&gt;0,NOT(ISBLANK(E232)))</formula>
    </cfRule>
  </conditionalFormatting>
  <conditionalFormatting sqref="E233">
    <cfRule type="expression" dxfId="0" priority="407">
      <formula>COUNTIF(G233:BE233,"&lt;&gt;" &amp; "")&gt;0</formula>
    </cfRule>
    <cfRule type="expression" dxfId="1" priority="408">
      <formula>AND(COUNTIF(G233:BE233,"&lt;&gt;" &amp; "")&gt;0,NOT(ISBLANK(E233)))</formula>
    </cfRule>
  </conditionalFormatting>
  <conditionalFormatting sqref="E234">
    <cfRule type="expression" dxfId="0" priority="409">
      <formula>COUNTIF(G234:BE234,"&lt;&gt;" &amp; "")&gt;0</formula>
    </cfRule>
    <cfRule type="expression" dxfId="1" priority="410">
      <formula>AND(COUNTIF(G234:BE234,"&lt;&gt;" &amp; "")&gt;0,NOT(ISBLANK(E234)))</formula>
    </cfRule>
  </conditionalFormatting>
  <conditionalFormatting sqref="E235">
    <cfRule type="expression" dxfId="0" priority="411">
      <formula>COUNTIF(G235:BE235,"&lt;&gt;" &amp; "")&gt;0</formula>
    </cfRule>
    <cfRule type="expression" dxfId="1" priority="412">
      <formula>AND(COUNTIF(G235:BE235,"&lt;&gt;" &amp; "")&gt;0,NOT(ISBLANK(E235)))</formula>
    </cfRule>
  </conditionalFormatting>
  <conditionalFormatting sqref="E236">
    <cfRule type="expression" dxfId="0" priority="413">
      <formula>COUNTIF(G236:BE236,"&lt;&gt;" &amp; "")&gt;0</formula>
    </cfRule>
    <cfRule type="expression" dxfId="1" priority="414">
      <formula>AND(COUNTIF(G236:BE236,"&lt;&gt;" &amp; "")&gt;0,NOT(ISBLANK(E236)))</formula>
    </cfRule>
  </conditionalFormatting>
  <conditionalFormatting sqref="E237">
    <cfRule type="expression" dxfId="0" priority="415">
      <formula>COUNTIF(G237:BE237,"&lt;&gt;" &amp; "")&gt;0</formula>
    </cfRule>
    <cfRule type="expression" dxfId="1" priority="416">
      <formula>AND(COUNTIF(G237:BE237,"&lt;&gt;" &amp; "")&gt;0,NOT(ISBLANK(E237)))</formula>
    </cfRule>
  </conditionalFormatting>
  <conditionalFormatting sqref="E238">
    <cfRule type="expression" dxfId="0" priority="417">
      <formula>COUNTIF(G238:BE238,"&lt;&gt;" &amp; "")&gt;0</formula>
    </cfRule>
    <cfRule type="expression" dxfId="1" priority="418">
      <formula>AND(COUNTIF(G238:BE238,"&lt;&gt;" &amp; "")&gt;0,NOT(ISBLANK(E238)))</formula>
    </cfRule>
  </conditionalFormatting>
  <conditionalFormatting sqref="E239">
    <cfRule type="expression" dxfId="0" priority="419">
      <formula>COUNTIF(G239:BE239,"&lt;&gt;" &amp; "")&gt;0</formula>
    </cfRule>
    <cfRule type="expression" dxfId="1" priority="420">
      <formula>AND(COUNTIF(G239:BE239,"&lt;&gt;" &amp; "")&gt;0,NOT(ISBLANK(E239)))</formula>
    </cfRule>
  </conditionalFormatting>
  <conditionalFormatting sqref="E24">
    <cfRule type="expression" dxfId="0" priority="41">
      <formula>COUNTIF(G24:BE24,"&lt;&gt;" &amp; "")&gt;0</formula>
    </cfRule>
    <cfRule type="expression" dxfId="1" priority="42">
      <formula>AND(COUNTIF(G24:BE24,"&lt;&gt;" &amp; "")&gt;0,NOT(ISBLANK(E24)))</formula>
    </cfRule>
  </conditionalFormatting>
  <conditionalFormatting sqref="E242">
    <cfRule type="expression" dxfId="0" priority="421">
      <formula>COUNTIF(G242:BE242,"&lt;&gt;" &amp; "")&gt;0</formula>
    </cfRule>
    <cfRule type="expression" dxfId="1" priority="422">
      <formula>AND(COUNTIF(G242:BE242,"&lt;&gt;" &amp; "")&gt;0,NOT(ISBLANK(E242)))</formula>
    </cfRule>
  </conditionalFormatting>
  <conditionalFormatting sqref="E243">
    <cfRule type="expression" dxfId="0" priority="423">
      <formula>COUNTIF(G243:BE243,"&lt;&gt;" &amp; "")&gt;0</formula>
    </cfRule>
    <cfRule type="expression" dxfId="1" priority="424">
      <formula>AND(COUNTIF(G243:BE243,"&lt;&gt;" &amp; "")&gt;0,NOT(ISBLANK(E243)))</formula>
    </cfRule>
  </conditionalFormatting>
  <conditionalFormatting sqref="E244">
    <cfRule type="expression" dxfId="0" priority="425">
      <formula>COUNTIF(G244:BE244,"&lt;&gt;" &amp; "")&gt;0</formula>
    </cfRule>
    <cfRule type="expression" dxfId="1" priority="426">
      <formula>AND(COUNTIF(G244:BE244,"&lt;&gt;" &amp; "")&gt;0,NOT(ISBLANK(E244)))</formula>
    </cfRule>
  </conditionalFormatting>
  <conditionalFormatting sqref="E245">
    <cfRule type="expression" dxfId="0" priority="427">
      <formula>COUNTIF(G245:BE245,"&lt;&gt;" &amp; "")&gt;0</formula>
    </cfRule>
    <cfRule type="expression" dxfId="1" priority="428">
      <formula>AND(COUNTIF(G245:BE245,"&lt;&gt;" &amp; "")&gt;0,NOT(ISBLANK(E245)))</formula>
    </cfRule>
  </conditionalFormatting>
  <conditionalFormatting sqref="E246">
    <cfRule type="expression" dxfId="0" priority="429">
      <formula>COUNTIF(G246:BE246,"&lt;&gt;" &amp; "")&gt;0</formula>
    </cfRule>
    <cfRule type="expression" dxfId="1" priority="430">
      <formula>AND(COUNTIF(G246:BE246,"&lt;&gt;" &amp; "")&gt;0,NOT(ISBLANK(E246)))</formula>
    </cfRule>
  </conditionalFormatting>
  <conditionalFormatting sqref="E247">
    <cfRule type="expression" dxfId="0" priority="431">
      <formula>COUNTIF(G247:BE247,"&lt;&gt;" &amp; "")&gt;0</formula>
    </cfRule>
    <cfRule type="expression" dxfId="1" priority="432">
      <formula>AND(COUNTIF(G247:BE247,"&lt;&gt;" &amp; "")&gt;0,NOT(ISBLANK(E247)))</formula>
    </cfRule>
  </conditionalFormatting>
  <conditionalFormatting sqref="E248">
    <cfRule type="expression" dxfId="0" priority="433">
      <formula>COUNTIF(G248:BE248,"&lt;&gt;" &amp; "")&gt;0</formula>
    </cfRule>
    <cfRule type="expression" dxfId="1" priority="434">
      <formula>AND(COUNTIF(G248:BE248,"&lt;&gt;" &amp; "")&gt;0,NOT(ISBLANK(E248)))</formula>
    </cfRule>
  </conditionalFormatting>
  <conditionalFormatting sqref="E249">
    <cfRule type="expression" dxfId="0" priority="435">
      <formula>COUNTIF(G249:BE249,"&lt;&gt;" &amp; "")&gt;0</formula>
    </cfRule>
    <cfRule type="expression" dxfId="1" priority="436">
      <formula>AND(COUNTIF(G249:BE249,"&lt;&gt;" &amp; "")&gt;0,NOT(ISBLANK(E249)))</formula>
    </cfRule>
  </conditionalFormatting>
  <conditionalFormatting sqref="E25">
    <cfRule type="expression" dxfId="0" priority="43">
      <formula>COUNTIF(G25:BE25,"&lt;&gt;" &amp; "")&gt;0</formula>
    </cfRule>
    <cfRule type="expression" dxfId="1" priority="44">
      <formula>AND(COUNTIF(G25:BE25,"&lt;&gt;" &amp; "")&gt;0,NOT(ISBLANK(E25)))</formula>
    </cfRule>
  </conditionalFormatting>
  <conditionalFormatting sqref="E250">
    <cfRule type="expression" dxfId="0" priority="437">
      <formula>COUNTIF(G250:BE250,"&lt;&gt;" &amp; "")&gt;0</formula>
    </cfRule>
    <cfRule type="expression" dxfId="1" priority="438">
      <formula>AND(COUNTIF(G250:BE250,"&lt;&gt;" &amp; "")&gt;0,NOT(ISBLANK(E250)))</formula>
    </cfRule>
  </conditionalFormatting>
  <conditionalFormatting sqref="E251">
    <cfRule type="expression" dxfId="0" priority="439">
      <formula>COUNTIF(G251:BE251,"&lt;&gt;" &amp; "")&gt;0</formula>
    </cfRule>
    <cfRule type="expression" dxfId="1" priority="440">
      <formula>AND(COUNTIF(G251:BE251,"&lt;&gt;" &amp; "")&gt;0,NOT(ISBLANK(E251)))</formula>
    </cfRule>
  </conditionalFormatting>
  <conditionalFormatting sqref="E252">
    <cfRule type="expression" dxfId="0" priority="441">
      <formula>COUNTIF(G252:BE252,"&lt;&gt;" &amp; "")&gt;0</formula>
    </cfRule>
    <cfRule type="expression" dxfId="1" priority="442">
      <formula>AND(COUNTIF(G252:BE252,"&lt;&gt;" &amp; "")&gt;0,NOT(ISBLANK(E252)))</formula>
    </cfRule>
  </conditionalFormatting>
  <conditionalFormatting sqref="E253">
    <cfRule type="expression" dxfId="0" priority="443">
      <formula>COUNTIF(G253:BE253,"&lt;&gt;" &amp; "")&gt;0</formula>
    </cfRule>
    <cfRule type="expression" dxfId="1" priority="444">
      <formula>AND(COUNTIF(G253:BE253,"&lt;&gt;" &amp; "")&gt;0,NOT(ISBLANK(E253)))</formula>
    </cfRule>
  </conditionalFormatting>
  <conditionalFormatting sqref="E254">
    <cfRule type="expression" dxfId="0" priority="445">
      <formula>COUNTIF(G254:BE254,"&lt;&gt;" &amp; "")&gt;0</formula>
    </cfRule>
    <cfRule type="expression" dxfId="1" priority="446">
      <formula>AND(COUNTIF(G254:BE254,"&lt;&gt;" &amp; "")&gt;0,NOT(ISBLANK(E254)))</formula>
    </cfRule>
  </conditionalFormatting>
  <conditionalFormatting sqref="E255">
    <cfRule type="expression" dxfId="0" priority="447">
      <formula>COUNTIF(G255:BE255,"&lt;&gt;" &amp; "")&gt;0</formula>
    </cfRule>
    <cfRule type="expression" dxfId="1" priority="448">
      <formula>AND(COUNTIF(G255:BE255,"&lt;&gt;" &amp; "")&gt;0,NOT(ISBLANK(E255)))</formula>
    </cfRule>
  </conditionalFormatting>
  <conditionalFormatting sqref="E258">
    <cfRule type="expression" dxfId="0" priority="449">
      <formula>COUNTIF(G258:BE258,"&lt;&gt;" &amp; "")&gt;0</formula>
    </cfRule>
    <cfRule type="expression" dxfId="1" priority="450">
      <formula>AND(COUNTIF(G258:BE258,"&lt;&gt;" &amp; "")&gt;0,NOT(ISBLANK(E258)))</formula>
    </cfRule>
  </conditionalFormatting>
  <conditionalFormatting sqref="E259">
    <cfRule type="expression" dxfId="0" priority="451">
      <formula>COUNTIF(G259:BE259,"&lt;&gt;" &amp; "")&gt;0</formula>
    </cfRule>
    <cfRule type="expression" dxfId="1" priority="452">
      <formula>AND(COUNTIF(G259:BE259,"&lt;&gt;" &amp; "")&gt;0,NOT(ISBLANK(E259)))</formula>
    </cfRule>
  </conditionalFormatting>
  <conditionalFormatting sqref="E26">
    <cfRule type="expression" dxfId="0" priority="45">
      <formula>COUNTIF(G26:BE26,"&lt;&gt;" &amp; "")&gt;0</formula>
    </cfRule>
    <cfRule type="expression" dxfId="1" priority="46">
      <formula>AND(COUNTIF(G26:BE26,"&lt;&gt;" &amp; "")&gt;0,NOT(ISBLANK(E26)))</formula>
    </cfRule>
  </conditionalFormatting>
  <conditionalFormatting sqref="E260">
    <cfRule type="expression" dxfId="0" priority="453">
      <formula>COUNTIF(G260:BE260,"&lt;&gt;" &amp; "")&gt;0</formula>
    </cfRule>
    <cfRule type="expression" dxfId="1" priority="454">
      <formula>AND(COUNTIF(G260:BE260,"&lt;&gt;" &amp; "")&gt;0,NOT(ISBLANK(E260)))</formula>
    </cfRule>
  </conditionalFormatting>
  <conditionalFormatting sqref="E261">
    <cfRule type="expression" dxfId="0" priority="455">
      <formula>COUNTIF(G261:BE261,"&lt;&gt;" &amp; "")&gt;0</formula>
    </cfRule>
    <cfRule type="expression" dxfId="1" priority="456">
      <formula>AND(COUNTIF(G261:BE261,"&lt;&gt;" &amp; "")&gt;0,NOT(ISBLANK(E261)))</formula>
    </cfRule>
  </conditionalFormatting>
  <conditionalFormatting sqref="E262">
    <cfRule type="expression" dxfId="0" priority="457">
      <formula>COUNTIF(G262:BE262,"&lt;&gt;" &amp; "")&gt;0</formula>
    </cfRule>
    <cfRule type="expression" dxfId="1" priority="458">
      <formula>AND(COUNTIF(G262:BE262,"&lt;&gt;" &amp; "")&gt;0,NOT(ISBLANK(E262)))</formula>
    </cfRule>
  </conditionalFormatting>
  <conditionalFormatting sqref="E263">
    <cfRule type="expression" dxfId="0" priority="459">
      <formula>COUNTIF(G263:BE263,"&lt;&gt;" &amp; "")&gt;0</formula>
    </cfRule>
    <cfRule type="expression" dxfId="1" priority="460">
      <formula>AND(COUNTIF(G263:BE263,"&lt;&gt;" &amp; "")&gt;0,NOT(ISBLANK(E263)))</formula>
    </cfRule>
  </conditionalFormatting>
  <conditionalFormatting sqref="E264">
    <cfRule type="expression" dxfId="0" priority="461">
      <formula>COUNTIF(G264:BE264,"&lt;&gt;" &amp; "")&gt;0</formula>
    </cfRule>
    <cfRule type="expression" dxfId="1" priority="462">
      <formula>AND(COUNTIF(G264:BE264,"&lt;&gt;" &amp; "")&gt;0,NOT(ISBLANK(E264)))</formula>
    </cfRule>
  </conditionalFormatting>
  <conditionalFormatting sqref="E265">
    <cfRule type="expression" dxfId="0" priority="463">
      <formula>COUNTIF(G265:BE265,"&lt;&gt;" &amp; "")&gt;0</formula>
    </cfRule>
    <cfRule type="expression" dxfId="1" priority="464">
      <formula>AND(COUNTIF(G265:BE265,"&lt;&gt;" &amp; "")&gt;0,NOT(ISBLANK(E265)))</formula>
    </cfRule>
  </conditionalFormatting>
  <conditionalFormatting sqref="E266">
    <cfRule type="expression" dxfId="0" priority="465">
      <formula>COUNTIF(G266:BE266,"&lt;&gt;" &amp; "")&gt;0</formula>
    </cfRule>
    <cfRule type="expression" dxfId="1" priority="466">
      <formula>AND(COUNTIF(G266:BE266,"&lt;&gt;" &amp; "")&gt;0,NOT(ISBLANK(E266)))</formula>
    </cfRule>
  </conditionalFormatting>
  <conditionalFormatting sqref="E267">
    <cfRule type="expression" dxfId="0" priority="467">
      <formula>COUNTIF(G267:BE267,"&lt;&gt;" &amp; "")&gt;0</formula>
    </cfRule>
    <cfRule type="expression" dxfId="1" priority="468">
      <formula>AND(COUNTIF(G267:BE267,"&lt;&gt;" &amp; "")&gt;0,NOT(ISBLANK(E267)))</formula>
    </cfRule>
  </conditionalFormatting>
  <conditionalFormatting sqref="E268">
    <cfRule type="expression" dxfId="0" priority="469">
      <formula>COUNTIF(G268:BE268,"&lt;&gt;" &amp; "")&gt;0</formula>
    </cfRule>
    <cfRule type="expression" dxfId="1" priority="470">
      <formula>AND(COUNTIF(G268:BE268,"&lt;&gt;" &amp; "")&gt;0,NOT(ISBLANK(E268)))</formula>
    </cfRule>
  </conditionalFormatting>
  <conditionalFormatting sqref="E269">
    <cfRule type="expression" dxfId="0" priority="471">
      <formula>COUNTIF(G269:BE269,"&lt;&gt;" &amp; "")&gt;0</formula>
    </cfRule>
    <cfRule type="expression" dxfId="1" priority="472">
      <formula>AND(COUNTIF(G269:BE269,"&lt;&gt;" &amp; "")&gt;0,NOT(ISBLANK(E269)))</formula>
    </cfRule>
  </conditionalFormatting>
  <conditionalFormatting sqref="E27">
    <cfRule type="expression" dxfId="0" priority="47">
      <formula>COUNTIF(G27:BE27,"&lt;&gt;" &amp; "")&gt;0</formula>
    </cfRule>
    <cfRule type="expression" dxfId="1" priority="48">
      <formula>AND(COUNTIF(G27:BE27,"&lt;&gt;" &amp; "")&gt;0,NOT(ISBLANK(E27)))</formula>
    </cfRule>
  </conditionalFormatting>
  <conditionalFormatting sqref="E270">
    <cfRule type="expression" dxfId="0" priority="473">
      <formula>COUNTIF(G270:BE270,"&lt;&gt;" &amp; "")&gt;0</formula>
    </cfRule>
    <cfRule type="expression" dxfId="1" priority="474">
      <formula>AND(COUNTIF(G270:BE270,"&lt;&gt;" &amp; "")&gt;0,NOT(ISBLANK(E270)))</formula>
    </cfRule>
  </conditionalFormatting>
  <conditionalFormatting sqref="E271">
    <cfRule type="expression" dxfId="0" priority="475">
      <formula>COUNTIF(G271:BE271,"&lt;&gt;" &amp; "")&gt;0</formula>
    </cfRule>
    <cfRule type="expression" dxfId="1" priority="476">
      <formula>AND(COUNTIF(G271:BE271,"&lt;&gt;" &amp; "")&gt;0,NOT(ISBLANK(E271)))</formula>
    </cfRule>
  </conditionalFormatting>
  <conditionalFormatting sqref="E274">
    <cfRule type="expression" dxfId="0" priority="477">
      <formula>COUNTIF(G274:BE274,"&lt;&gt;" &amp; "")&gt;0</formula>
    </cfRule>
    <cfRule type="expression" dxfId="1" priority="478">
      <formula>AND(COUNTIF(G274:BE274,"&lt;&gt;" &amp; "")&gt;0,NOT(ISBLANK(E274)))</formula>
    </cfRule>
  </conditionalFormatting>
  <conditionalFormatting sqref="E275">
    <cfRule type="expression" dxfId="0" priority="479">
      <formula>COUNTIF(G275:BE275,"&lt;&gt;" &amp; "")&gt;0</formula>
    </cfRule>
    <cfRule type="expression" dxfId="1" priority="480">
      <formula>AND(COUNTIF(G275:BE275,"&lt;&gt;" &amp; "")&gt;0,NOT(ISBLANK(E275)))</formula>
    </cfRule>
  </conditionalFormatting>
  <conditionalFormatting sqref="E276">
    <cfRule type="expression" dxfId="0" priority="481">
      <formula>COUNTIF(G276:BE276,"&lt;&gt;" &amp; "")&gt;0</formula>
    </cfRule>
    <cfRule type="expression" dxfId="1" priority="482">
      <formula>AND(COUNTIF(G276:BE276,"&lt;&gt;" &amp; "")&gt;0,NOT(ISBLANK(E276)))</formula>
    </cfRule>
  </conditionalFormatting>
  <conditionalFormatting sqref="E277">
    <cfRule type="expression" dxfId="0" priority="483">
      <formula>COUNTIF(G277:BE277,"&lt;&gt;" &amp; "")&gt;0</formula>
    </cfRule>
    <cfRule type="expression" dxfId="1" priority="484">
      <formula>AND(COUNTIF(G277:BE277,"&lt;&gt;" &amp; "")&gt;0,NOT(ISBLANK(E277)))</formula>
    </cfRule>
  </conditionalFormatting>
  <conditionalFormatting sqref="E278">
    <cfRule type="expression" dxfId="0" priority="485">
      <formula>COUNTIF(G278:BE278,"&lt;&gt;" &amp; "")&gt;0</formula>
    </cfRule>
    <cfRule type="expression" dxfId="1" priority="486">
      <formula>AND(COUNTIF(G278:BE278,"&lt;&gt;" &amp; "")&gt;0,NOT(ISBLANK(E278)))</formula>
    </cfRule>
  </conditionalFormatting>
  <conditionalFormatting sqref="E279">
    <cfRule type="expression" dxfId="0" priority="487">
      <formula>COUNTIF(G279:BE279,"&lt;&gt;" &amp; "")&gt;0</formula>
    </cfRule>
    <cfRule type="expression" dxfId="1" priority="488">
      <formula>AND(COUNTIF(G279:BE279,"&lt;&gt;" &amp; "")&gt;0,NOT(ISBLANK(E279)))</formula>
    </cfRule>
  </conditionalFormatting>
  <conditionalFormatting sqref="E28">
    <cfRule type="expression" dxfId="0" priority="49">
      <formula>COUNTIF(G28:BE28,"&lt;&gt;" &amp; "")&gt;0</formula>
    </cfRule>
    <cfRule type="expression" dxfId="1" priority="50">
      <formula>AND(COUNTIF(G28:BE28,"&lt;&gt;" &amp; "")&gt;0,NOT(ISBLANK(E28)))</formula>
    </cfRule>
  </conditionalFormatting>
  <conditionalFormatting sqref="E280">
    <cfRule type="expression" dxfId="0" priority="489">
      <formula>COUNTIF(G280:BE280,"&lt;&gt;" &amp; "")&gt;0</formula>
    </cfRule>
    <cfRule type="expression" dxfId="1" priority="490">
      <formula>AND(COUNTIF(G280:BE280,"&lt;&gt;" &amp; "")&gt;0,NOT(ISBLANK(E280)))</formula>
    </cfRule>
  </conditionalFormatting>
  <conditionalFormatting sqref="E281">
    <cfRule type="expression" dxfId="0" priority="491">
      <formula>COUNTIF(G281:BE281,"&lt;&gt;" &amp; "")&gt;0</formula>
    </cfRule>
    <cfRule type="expression" dxfId="1" priority="492">
      <formula>AND(COUNTIF(G281:BE281,"&lt;&gt;" &amp; "")&gt;0,NOT(ISBLANK(E281)))</formula>
    </cfRule>
  </conditionalFormatting>
  <conditionalFormatting sqref="E282">
    <cfRule type="expression" dxfId="0" priority="493">
      <formula>COUNTIF(G282:BE282,"&lt;&gt;" &amp; "")&gt;0</formula>
    </cfRule>
    <cfRule type="expression" dxfId="1" priority="494">
      <formula>AND(COUNTIF(G282:BE282,"&lt;&gt;" &amp; "")&gt;0,NOT(ISBLANK(E282)))</formula>
    </cfRule>
  </conditionalFormatting>
  <conditionalFormatting sqref="E283">
    <cfRule type="expression" dxfId="0" priority="495">
      <formula>COUNTIF(G283:BE283,"&lt;&gt;" &amp; "")&gt;0</formula>
    </cfRule>
    <cfRule type="expression" dxfId="1" priority="496">
      <formula>AND(COUNTIF(G283:BE283,"&lt;&gt;" &amp; "")&gt;0,NOT(ISBLANK(E283)))</formula>
    </cfRule>
  </conditionalFormatting>
  <conditionalFormatting sqref="E284">
    <cfRule type="expression" dxfId="0" priority="497">
      <formula>COUNTIF(G284:BE284,"&lt;&gt;" &amp; "")&gt;0</formula>
    </cfRule>
    <cfRule type="expression" dxfId="1" priority="498">
      <formula>AND(COUNTIF(G284:BE284,"&lt;&gt;" &amp; "")&gt;0,NOT(ISBLANK(E284)))</formula>
    </cfRule>
  </conditionalFormatting>
  <conditionalFormatting sqref="E285">
    <cfRule type="expression" dxfId="0" priority="499">
      <formula>COUNTIF(G285:BE285,"&lt;&gt;" &amp; "")&gt;0</formula>
    </cfRule>
    <cfRule type="expression" dxfId="1" priority="500">
      <formula>AND(COUNTIF(G285:BE285,"&lt;&gt;" &amp; "")&gt;0,NOT(ISBLANK(E285)))</formula>
    </cfRule>
  </conditionalFormatting>
  <conditionalFormatting sqref="E286">
    <cfRule type="expression" dxfId="0" priority="501">
      <formula>COUNTIF(G286:BE286,"&lt;&gt;" &amp; "")&gt;0</formula>
    </cfRule>
    <cfRule type="expression" dxfId="1" priority="502">
      <formula>AND(COUNTIF(G286:BE286,"&lt;&gt;" &amp; "")&gt;0,NOT(ISBLANK(E286)))</formula>
    </cfRule>
  </conditionalFormatting>
  <conditionalFormatting sqref="E287">
    <cfRule type="expression" dxfId="0" priority="503">
      <formula>COUNTIF(G287:BE287,"&lt;&gt;" &amp; "")&gt;0</formula>
    </cfRule>
    <cfRule type="expression" dxfId="1" priority="504">
      <formula>AND(COUNTIF(G287:BE287,"&lt;&gt;" &amp; "")&gt;0,NOT(ISBLANK(E287)))</formula>
    </cfRule>
  </conditionalFormatting>
  <conditionalFormatting sqref="E29">
    <cfRule type="expression" dxfId="0" priority="51">
      <formula>COUNTIF(G29:BE29,"&lt;&gt;" &amp; "")&gt;0</formula>
    </cfRule>
    <cfRule type="expression" dxfId="1" priority="52">
      <formula>AND(COUNTIF(G29:BE29,"&lt;&gt;" &amp; "")&gt;0,NOT(ISBLANK(E29)))</formula>
    </cfRule>
  </conditionalFormatting>
  <conditionalFormatting sqref="E3">
    <cfRule type="expression" dxfId="0" priority="3">
      <formula>COUNTIF(G3:BE3,"&lt;&gt;" &amp; "")&gt;0</formula>
    </cfRule>
    <cfRule type="expression" dxfId="1" priority="4">
      <formula>AND(COUNTIF(G3:BE3,"&lt;&gt;" &amp; "")&gt;0,NOT(ISBLANK(E3)))</formula>
    </cfRule>
  </conditionalFormatting>
  <conditionalFormatting sqref="E30">
    <cfRule type="expression" dxfId="0" priority="53">
      <formula>COUNTIF(G30:BE30,"&lt;&gt;" &amp; "")&gt;0</formula>
    </cfRule>
    <cfRule type="expression" dxfId="1" priority="54">
      <formula>AND(COUNTIF(G30:BE30,"&lt;&gt;" &amp; "")&gt;0,NOT(ISBLANK(E30)))</formula>
    </cfRule>
  </conditionalFormatting>
  <conditionalFormatting sqref="E31">
    <cfRule type="expression" dxfId="0" priority="55">
      <formula>COUNTIF(G31:BE31,"&lt;&gt;" &amp; "")&gt;0</formula>
    </cfRule>
    <cfRule type="expression" dxfId="1" priority="56">
      <formula>AND(COUNTIF(G31:BE31,"&lt;&gt;" &amp; "")&gt;0,NOT(ISBLANK(E31)))</formula>
    </cfRule>
  </conditionalFormatting>
  <conditionalFormatting sqref="E34">
    <cfRule type="expression" dxfId="0" priority="57">
      <formula>COUNTIF(G34:BE34,"&lt;&gt;" &amp; "")&gt;0</formula>
    </cfRule>
    <cfRule type="expression" dxfId="1" priority="58">
      <formula>AND(COUNTIF(G34:BE34,"&lt;&gt;" &amp; "")&gt;0,NOT(ISBLANK(E34)))</formula>
    </cfRule>
  </conditionalFormatting>
  <conditionalFormatting sqref="E35">
    <cfRule type="expression" dxfId="0" priority="59">
      <formula>COUNTIF(G35:BE35,"&lt;&gt;" &amp; "")&gt;0</formula>
    </cfRule>
    <cfRule type="expression" dxfId="1" priority="60">
      <formula>AND(COUNTIF(G35:BE35,"&lt;&gt;" &amp; "")&gt;0,NOT(ISBLANK(E35)))</formula>
    </cfRule>
  </conditionalFormatting>
  <conditionalFormatting sqref="E36">
    <cfRule type="expression" dxfId="0" priority="61">
      <formula>COUNTIF(G36:BE36,"&lt;&gt;" &amp; "")&gt;0</formula>
    </cfRule>
    <cfRule type="expression" dxfId="1" priority="62">
      <formula>AND(COUNTIF(G36:BE36,"&lt;&gt;" &amp; "")&gt;0,NOT(ISBLANK(E36)))</formula>
    </cfRule>
  </conditionalFormatting>
  <conditionalFormatting sqref="E37">
    <cfRule type="expression" dxfId="0" priority="63">
      <formula>COUNTIF(G37:BE37,"&lt;&gt;" &amp; "")&gt;0</formula>
    </cfRule>
    <cfRule type="expression" dxfId="1" priority="64">
      <formula>AND(COUNTIF(G37:BE37,"&lt;&gt;" &amp; "")&gt;0,NOT(ISBLANK(E37)))</formula>
    </cfRule>
  </conditionalFormatting>
  <conditionalFormatting sqref="E38">
    <cfRule type="expression" dxfId="0" priority="65">
      <formula>COUNTIF(G38:BE38,"&lt;&gt;" &amp; "")&gt;0</formula>
    </cfRule>
    <cfRule type="expression" dxfId="1" priority="66">
      <formula>AND(COUNTIF(G38:BE38,"&lt;&gt;" &amp; "")&gt;0,NOT(ISBLANK(E38)))</formula>
    </cfRule>
  </conditionalFormatting>
  <conditionalFormatting sqref="E39">
    <cfRule type="expression" dxfId="0" priority="67">
      <formula>COUNTIF(G39:BE39,"&lt;&gt;" &amp; "")&gt;0</formula>
    </cfRule>
    <cfRule type="expression" dxfId="1" priority="68">
      <formula>AND(COUNTIF(G39:BE39,"&lt;&gt;" &amp; "")&gt;0,NOT(ISBLANK(E39)))</formula>
    </cfRule>
  </conditionalFormatting>
  <conditionalFormatting sqref="E4">
    <cfRule type="expression" dxfId="0" priority="5">
      <formula>COUNTIF(G4:BE4,"&lt;&gt;" &amp; "")&gt;0</formula>
    </cfRule>
    <cfRule type="expression" dxfId="1" priority="6">
      <formula>AND(COUNTIF(G4:BE4,"&lt;&gt;" &amp; "")&gt;0,NOT(ISBLANK(E4)))</formula>
    </cfRule>
  </conditionalFormatting>
  <conditionalFormatting sqref="E40">
    <cfRule type="expression" dxfId="0" priority="69">
      <formula>COUNTIF(G40:BE40,"&lt;&gt;" &amp; "")&gt;0</formula>
    </cfRule>
    <cfRule type="expression" dxfId="1" priority="70">
      <formula>AND(COUNTIF(G40:BE40,"&lt;&gt;" &amp; "")&gt;0,NOT(ISBLANK(E40)))</formula>
    </cfRule>
  </conditionalFormatting>
  <conditionalFormatting sqref="E41">
    <cfRule type="expression" dxfId="0" priority="71">
      <formula>COUNTIF(G41:BE41,"&lt;&gt;" &amp; "")&gt;0</formula>
    </cfRule>
    <cfRule type="expression" dxfId="1" priority="72">
      <formula>AND(COUNTIF(G41:BE41,"&lt;&gt;" &amp; "")&gt;0,NOT(ISBLANK(E41)))</formula>
    </cfRule>
  </conditionalFormatting>
  <conditionalFormatting sqref="E42">
    <cfRule type="expression" dxfId="0" priority="73">
      <formula>COUNTIF(G42:BE42,"&lt;&gt;" &amp; "")&gt;0</formula>
    </cfRule>
    <cfRule type="expression" dxfId="1" priority="74">
      <formula>AND(COUNTIF(G42:BE42,"&lt;&gt;" &amp; "")&gt;0,NOT(ISBLANK(E42)))</formula>
    </cfRule>
  </conditionalFormatting>
  <conditionalFormatting sqref="E43">
    <cfRule type="expression" dxfId="0" priority="75">
      <formula>COUNTIF(G43:BE43,"&lt;&gt;" &amp; "")&gt;0</formula>
    </cfRule>
    <cfRule type="expression" dxfId="1" priority="76">
      <formula>AND(COUNTIF(G43:BE43,"&lt;&gt;" &amp; "")&gt;0,NOT(ISBLANK(E43)))</formula>
    </cfRule>
  </conditionalFormatting>
  <conditionalFormatting sqref="E44">
    <cfRule type="expression" dxfId="0" priority="77">
      <formula>COUNTIF(G44:BE44,"&lt;&gt;" &amp; "")&gt;0</formula>
    </cfRule>
    <cfRule type="expression" dxfId="1" priority="78">
      <formula>AND(COUNTIF(G44:BE44,"&lt;&gt;" &amp; "")&gt;0,NOT(ISBLANK(E44)))</formula>
    </cfRule>
  </conditionalFormatting>
  <conditionalFormatting sqref="E45">
    <cfRule type="expression" dxfId="0" priority="79">
      <formula>COUNTIF(G45:BE45,"&lt;&gt;" &amp; "")&gt;0</formula>
    </cfRule>
    <cfRule type="expression" dxfId="1" priority="80">
      <formula>AND(COUNTIF(G45:BE45,"&lt;&gt;" &amp; "")&gt;0,NOT(ISBLANK(E45)))</formula>
    </cfRule>
  </conditionalFormatting>
  <conditionalFormatting sqref="E46">
    <cfRule type="expression" dxfId="0" priority="81">
      <formula>COUNTIF(G46:BE46,"&lt;&gt;" &amp; "")&gt;0</formula>
    </cfRule>
    <cfRule type="expression" dxfId="1" priority="82">
      <formula>AND(COUNTIF(G46:BE46,"&lt;&gt;" &amp; "")&gt;0,NOT(ISBLANK(E46)))</formula>
    </cfRule>
  </conditionalFormatting>
  <conditionalFormatting sqref="E47">
    <cfRule type="expression" dxfId="0" priority="83">
      <formula>COUNTIF(G47:BE47,"&lt;&gt;" &amp; "")&gt;0</formula>
    </cfRule>
    <cfRule type="expression" dxfId="1" priority="84">
      <formula>AND(COUNTIF(G47:BE47,"&lt;&gt;" &amp; "")&gt;0,NOT(ISBLANK(E47)))</formula>
    </cfRule>
  </conditionalFormatting>
  <conditionalFormatting sqref="E5">
    <cfRule type="expression" dxfId="0" priority="7">
      <formula>COUNTIF(G5:BE5,"&lt;&gt;" &amp; "")&gt;0</formula>
    </cfRule>
    <cfRule type="expression" dxfId="1" priority="8">
      <formula>AND(COUNTIF(G5:BE5,"&lt;&gt;" &amp; "")&gt;0,NOT(ISBLANK(E5)))</formula>
    </cfRule>
  </conditionalFormatting>
  <conditionalFormatting sqref="E50">
    <cfRule type="expression" dxfId="0" priority="85">
      <formula>COUNTIF(G50:BE50,"&lt;&gt;" &amp; "")&gt;0</formula>
    </cfRule>
    <cfRule type="expression" dxfId="1" priority="86">
      <formula>AND(COUNTIF(G50:BE50,"&lt;&gt;" &amp; "")&gt;0,NOT(ISBLANK(E50)))</formula>
    </cfRule>
  </conditionalFormatting>
  <conditionalFormatting sqref="E51">
    <cfRule type="expression" dxfId="0" priority="87">
      <formula>COUNTIF(G51:BE51,"&lt;&gt;" &amp; "")&gt;0</formula>
    </cfRule>
    <cfRule type="expression" dxfId="1" priority="88">
      <formula>AND(COUNTIF(G51:BE51,"&lt;&gt;" &amp; "")&gt;0,NOT(ISBLANK(E51)))</formula>
    </cfRule>
  </conditionalFormatting>
  <conditionalFormatting sqref="E52">
    <cfRule type="expression" dxfId="0" priority="89">
      <formula>COUNTIF(G52:BE52,"&lt;&gt;" &amp; "")&gt;0</formula>
    </cfRule>
    <cfRule type="expression" dxfId="1" priority="90">
      <formula>AND(COUNTIF(G52:BE52,"&lt;&gt;" &amp; "")&gt;0,NOT(ISBLANK(E52)))</formula>
    </cfRule>
  </conditionalFormatting>
  <conditionalFormatting sqref="E53">
    <cfRule type="expression" dxfId="0" priority="91">
      <formula>COUNTIF(G53:BE53,"&lt;&gt;" &amp; "")&gt;0</formula>
    </cfRule>
    <cfRule type="expression" dxfId="1" priority="92">
      <formula>AND(COUNTIF(G53:BE53,"&lt;&gt;" &amp; "")&gt;0,NOT(ISBLANK(E53)))</formula>
    </cfRule>
  </conditionalFormatting>
  <conditionalFormatting sqref="E54">
    <cfRule type="expression" dxfId="0" priority="93">
      <formula>COUNTIF(G54:BE54,"&lt;&gt;" &amp; "")&gt;0</formula>
    </cfRule>
    <cfRule type="expression" dxfId="1" priority="94">
      <formula>AND(COUNTIF(G54:BE54,"&lt;&gt;" &amp; "")&gt;0,NOT(ISBLANK(E54)))</formula>
    </cfRule>
  </conditionalFormatting>
  <conditionalFormatting sqref="E55">
    <cfRule type="expression" dxfId="0" priority="95">
      <formula>COUNTIF(G55:BE55,"&lt;&gt;" &amp; "")&gt;0</formula>
    </cfRule>
    <cfRule type="expression" dxfId="1" priority="96">
      <formula>AND(COUNTIF(G55:BE55,"&lt;&gt;" &amp; "")&gt;0,NOT(ISBLANK(E55)))</formula>
    </cfRule>
  </conditionalFormatting>
  <conditionalFormatting sqref="E56">
    <cfRule type="expression" dxfId="0" priority="97">
      <formula>COUNTIF(G56:BE56,"&lt;&gt;" &amp; "")&gt;0</formula>
    </cfRule>
    <cfRule type="expression" dxfId="1" priority="98">
      <formula>AND(COUNTIF(G56:BE56,"&lt;&gt;" &amp; "")&gt;0,NOT(ISBLANK(E56)))</formula>
    </cfRule>
  </conditionalFormatting>
  <conditionalFormatting sqref="E57">
    <cfRule type="expression" dxfId="0" priority="99">
      <formula>COUNTIF(G57:BE57,"&lt;&gt;" &amp; "")&gt;0</formula>
    </cfRule>
    <cfRule type="expression" dxfId="1" priority="100">
      <formula>AND(COUNTIF(G57:BE57,"&lt;&gt;" &amp; "")&gt;0,NOT(ISBLANK(E57)))</formula>
    </cfRule>
  </conditionalFormatting>
  <conditionalFormatting sqref="E58">
    <cfRule type="expression" dxfId="0" priority="101">
      <formula>COUNTIF(G58:BE58,"&lt;&gt;" &amp; "")&gt;0</formula>
    </cfRule>
    <cfRule type="expression" dxfId="1" priority="102">
      <formula>AND(COUNTIF(G58:BE58,"&lt;&gt;" &amp; "")&gt;0,NOT(ISBLANK(E58)))</formula>
    </cfRule>
  </conditionalFormatting>
  <conditionalFormatting sqref="E59">
    <cfRule type="expression" dxfId="0" priority="103">
      <formula>COUNTIF(G59:BE59,"&lt;&gt;" &amp; "")&gt;0</formula>
    </cfRule>
    <cfRule type="expression" dxfId="1" priority="104">
      <formula>AND(COUNTIF(G59:BE59,"&lt;&gt;" &amp; "")&gt;0,NOT(ISBLANK(E59)))</formula>
    </cfRule>
  </conditionalFormatting>
  <conditionalFormatting sqref="E6">
    <cfRule type="expression" dxfId="0" priority="9">
      <formula>COUNTIF(G6:BE6,"&lt;&gt;" &amp; "")&gt;0</formula>
    </cfRule>
    <cfRule type="expression" dxfId="1" priority="10">
      <formula>AND(COUNTIF(G6:BE6,"&lt;&gt;" &amp; "")&gt;0,NOT(ISBLANK(E6)))</formula>
    </cfRule>
  </conditionalFormatting>
  <conditionalFormatting sqref="E60">
    <cfRule type="expression" dxfId="0" priority="105">
      <formula>COUNTIF(G60:BE60,"&lt;&gt;" &amp; "")&gt;0</formula>
    </cfRule>
    <cfRule type="expression" dxfId="1" priority="106">
      <formula>AND(COUNTIF(G60:BE60,"&lt;&gt;" &amp; "")&gt;0,NOT(ISBLANK(E60)))</formula>
    </cfRule>
  </conditionalFormatting>
  <conditionalFormatting sqref="E61">
    <cfRule type="expression" dxfId="0" priority="107">
      <formula>COUNTIF(G61:BE61,"&lt;&gt;" &amp; "")&gt;0</formula>
    </cfRule>
    <cfRule type="expression" dxfId="1" priority="108">
      <formula>AND(COUNTIF(G61:BE61,"&lt;&gt;" &amp; "")&gt;0,NOT(ISBLANK(E61)))</formula>
    </cfRule>
  </conditionalFormatting>
  <conditionalFormatting sqref="E62">
    <cfRule type="expression" dxfId="0" priority="109">
      <formula>COUNTIF(G62:BE62,"&lt;&gt;" &amp; "")&gt;0</formula>
    </cfRule>
    <cfRule type="expression" dxfId="1" priority="110">
      <formula>AND(COUNTIF(G62:BE62,"&lt;&gt;" &amp; "")&gt;0,NOT(ISBLANK(E62)))</formula>
    </cfRule>
  </conditionalFormatting>
  <conditionalFormatting sqref="E63">
    <cfRule type="expression" dxfId="0" priority="111">
      <formula>COUNTIF(G63:BE63,"&lt;&gt;" &amp; "")&gt;0</formula>
    </cfRule>
    <cfRule type="expression" dxfId="1" priority="112">
      <formula>AND(COUNTIF(G63:BE63,"&lt;&gt;" &amp; "")&gt;0,NOT(ISBLANK(E63)))</formula>
    </cfRule>
  </conditionalFormatting>
  <conditionalFormatting sqref="E66">
    <cfRule type="expression" dxfId="0" priority="113">
      <formula>COUNTIF(G66:BE66,"&lt;&gt;" &amp; "")&gt;0</formula>
    </cfRule>
    <cfRule type="expression" dxfId="1" priority="114">
      <formula>AND(COUNTIF(G66:BE66,"&lt;&gt;" &amp; "")&gt;0,NOT(ISBLANK(E66)))</formula>
    </cfRule>
  </conditionalFormatting>
  <conditionalFormatting sqref="E67">
    <cfRule type="expression" dxfId="0" priority="115">
      <formula>COUNTIF(G67:BE67,"&lt;&gt;" &amp; "")&gt;0</formula>
    </cfRule>
    <cfRule type="expression" dxfId="1" priority="116">
      <formula>AND(COUNTIF(G67:BE67,"&lt;&gt;" &amp; "")&gt;0,NOT(ISBLANK(E67)))</formula>
    </cfRule>
  </conditionalFormatting>
  <conditionalFormatting sqref="E68">
    <cfRule type="expression" dxfId="0" priority="117">
      <formula>COUNTIF(G68:BE68,"&lt;&gt;" &amp; "")&gt;0</formula>
    </cfRule>
    <cfRule type="expression" dxfId="1" priority="118">
      <formula>AND(COUNTIF(G68:BE68,"&lt;&gt;" &amp; "")&gt;0,NOT(ISBLANK(E68)))</formula>
    </cfRule>
  </conditionalFormatting>
  <conditionalFormatting sqref="E69">
    <cfRule type="expression" dxfId="0" priority="119">
      <formula>COUNTIF(G69:BE69,"&lt;&gt;" &amp; "")&gt;0</formula>
    </cfRule>
    <cfRule type="expression" dxfId="1" priority="120">
      <formula>AND(COUNTIF(G69:BE69,"&lt;&gt;" &amp; "")&gt;0,NOT(ISBLANK(E69)))</formula>
    </cfRule>
  </conditionalFormatting>
  <conditionalFormatting sqref="E7">
    <cfRule type="expression" dxfId="0" priority="11">
      <formula>COUNTIF(G7:BE7,"&lt;&gt;" &amp; "")&gt;0</formula>
    </cfRule>
    <cfRule type="expression" dxfId="1" priority="12">
      <formula>AND(COUNTIF(G7:BE7,"&lt;&gt;" &amp; "")&gt;0,NOT(ISBLANK(E7)))</formula>
    </cfRule>
  </conditionalFormatting>
  <conditionalFormatting sqref="E70">
    <cfRule type="expression" dxfId="0" priority="121">
      <formula>COUNTIF(G70:BE70,"&lt;&gt;" &amp; "")&gt;0</formula>
    </cfRule>
    <cfRule type="expression" dxfId="1" priority="122">
      <formula>AND(COUNTIF(G70:BE70,"&lt;&gt;" &amp; "")&gt;0,NOT(ISBLANK(E70)))</formula>
    </cfRule>
  </conditionalFormatting>
  <conditionalFormatting sqref="E71">
    <cfRule type="expression" dxfId="0" priority="123">
      <formula>COUNTIF(G71:BE71,"&lt;&gt;" &amp; "")&gt;0</formula>
    </cfRule>
    <cfRule type="expression" dxfId="1" priority="124">
      <formula>AND(COUNTIF(G71:BE71,"&lt;&gt;" &amp; "")&gt;0,NOT(ISBLANK(E71)))</formula>
    </cfRule>
  </conditionalFormatting>
  <conditionalFormatting sqref="E72">
    <cfRule type="expression" dxfId="0" priority="125">
      <formula>COUNTIF(G72:BE72,"&lt;&gt;" &amp; "")&gt;0</formula>
    </cfRule>
    <cfRule type="expression" dxfId="1" priority="126">
      <formula>AND(COUNTIF(G72:BE72,"&lt;&gt;" &amp; "")&gt;0,NOT(ISBLANK(E72)))</formula>
    </cfRule>
  </conditionalFormatting>
  <conditionalFormatting sqref="E73">
    <cfRule type="expression" dxfId="0" priority="127">
      <formula>COUNTIF(G73:BE73,"&lt;&gt;" &amp; "")&gt;0</formula>
    </cfRule>
    <cfRule type="expression" dxfId="1" priority="128">
      <formula>AND(COUNTIF(G73:BE73,"&lt;&gt;" &amp; "")&gt;0,NOT(ISBLANK(E73)))</formula>
    </cfRule>
  </conditionalFormatting>
  <conditionalFormatting sqref="E74">
    <cfRule type="expression" dxfId="0" priority="129">
      <formula>COUNTIF(G74:BE74,"&lt;&gt;" &amp; "")&gt;0</formula>
    </cfRule>
    <cfRule type="expression" dxfId="1" priority="130">
      <formula>AND(COUNTIF(G74:BE74,"&lt;&gt;" &amp; "")&gt;0,NOT(ISBLANK(E74)))</formula>
    </cfRule>
  </conditionalFormatting>
  <conditionalFormatting sqref="E75">
    <cfRule type="expression" dxfId="0" priority="131">
      <formula>COUNTIF(G75:BE75,"&lt;&gt;" &amp; "")&gt;0</formula>
    </cfRule>
    <cfRule type="expression" dxfId="1" priority="132">
      <formula>AND(COUNTIF(G75:BE75,"&lt;&gt;" &amp; "")&gt;0,NOT(ISBLANK(E75)))</formula>
    </cfRule>
  </conditionalFormatting>
  <conditionalFormatting sqref="E76">
    <cfRule type="expression" dxfId="0" priority="133">
      <formula>COUNTIF(G76:BE76,"&lt;&gt;" &amp; "")&gt;0</formula>
    </cfRule>
    <cfRule type="expression" dxfId="1" priority="134">
      <formula>AND(COUNTIF(G76:BE76,"&lt;&gt;" &amp; "")&gt;0,NOT(ISBLANK(E76)))</formula>
    </cfRule>
  </conditionalFormatting>
  <conditionalFormatting sqref="E77">
    <cfRule type="expression" dxfId="0" priority="135">
      <formula>COUNTIF(G77:BE77,"&lt;&gt;" &amp; "")&gt;0</formula>
    </cfRule>
    <cfRule type="expression" dxfId="1" priority="136">
      <formula>AND(COUNTIF(G77:BE77,"&lt;&gt;" &amp; "")&gt;0,NOT(ISBLANK(E77)))</formula>
    </cfRule>
  </conditionalFormatting>
  <conditionalFormatting sqref="E78">
    <cfRule type="expression" dxfId="0" priority="137">
      <formula>COUNTIF(G78:BE78,"&lt;&gt;" &amp; "")&gt;0</formula>
    </cfRule>
    <cfRule type="expression" dxfId="1" priority="138">
      <formula>AND(COUNTIF(G78:BE78,"&lt;&gt;" &amp; "")&gt;0,NOT(ISBLANK(E78)))</formula>
    </cfRule>
  </conditionalFormatting>
  <conditionalFormatting sqref="E79">
    <cfRule type="expression" dxfId="0" priority="139">
      <formula>COUNTIF(G79:BE79,"&lt;&gt;" &amp; "")&gt;0</formula>
    </cfRule>
    <cfRule type="expression" dxfId="1" priority="140">
      <formula>AND(COUNTIF(G79:BE79,"&lt;&gt;" &amp; "")&gt;0,NOT(ISBLANK(E79)))</formula>
    </cfRule>
  </conditionalFormatting>
  <conditionalFormatting sqref="E8">
    <cfRule type="expression" dxfId="0" priority="13">
      <formula>COUNTIF(G8:BE8,"&lt;&gt;" &amp; "")&gt;0</formula>
    </cfRule>
    <cfRule type="expression" dxfId="1" priority="14">
      <formula>AND(COUNTIF(G8:BE8,"&lt;&gt;" &amp; "")&gt;0,NOT(ISBLANK(E8)))</formula>
    </cfRule>
  </conditionalFormatting>
  <conditionalFormatting sqref="E82">
    <cfRule type="expression" dxfId="0" priority="141">
      <formula>COUNTIF(G82:BE82,"&lt;&gt;" &amp; "")&gt;0</formula>
    </cfRule>
    <cfRule type="expression" dxfId="1" priority="142">
      <formula>AND(COUNTIF(G82:BE82,"&lt;&gt;" &amp; "")&gt;0,NOT(ISBLANK(E82)))</formula>
    </cfRule>
  </conditionalFormatting>
  <conditionalFormatting sqref="E83">
    <cfRule type="expression" dxfId="0" priority="143">
      <formula>COUNTIF(G83:BE83,"&lt;&gt;" &amp; "")&gt;0</formula>
    </cfRule>
    <cfRule type="expression" dxfId="1" priority="144">
      <formula>AND(COUNTIF(G83:BE83,"&lt;&gt;" &amp; "")&gt;0,NOT(ISBLANK(E83)))</formula>
    </cfRule>
  </conditionalFormatting>
  <conditionalFormatting sqref="E84">
    <cfRule type="expression" dxfId="0" priority="145">
      <formula>COUNTIF(G84:BE84,"&lt;&gt;" &amp; "")&gt;0</formula>
    </cfRule>
    <cfRule type="expression" dxfId="1" priority="146">
      <formula>AND(COUNTIF(G84:BE84,"&lt;&gt;" &amp; "")&gt;0,NOT(ISBLANK(E84)))</formula>
    </cfRule>
  </conditionalFormatting>
  <conditionalFormatting sqref="E85">
    <cfRule type="expression" dxfId="0" priority="147">
      <formula>COUNTIF(G85:BE85,"&lt;&gt;" &amp; "")&gt;0</formula>
    </cfRule>
    <cfRule type="expression" dxfId="1" priority="148">
      <formula>AND(COUNTIF(G85:BE85,"&lt;&gt;" &amp; "")&gt;0,NOT(ISBLANK(E85)))</formula>
    </cfRule>
  </conditionalFormatting>
  <conditionalFormatting sqref="E86">
    <cfRule type="expression" dxfId="0" priority="149">
      <formula>COUNTIF(G86:BE86,"&lt;&gt;" &amp; "")&gt;0</formula>
    </cfRule>
    <cfRule type="expression" dxfId="1" priority="150">
      <formula>AND(COUNTIF(G86:BE86,"&lt;&gt;" &amp; "")&gt;0,NOT(ISBLANK(E86)))</formula>
    </cfRule>
  </conditionalFormatting>
  <conditionalFormatting sqref="E87">
    <cfRule type="expression" dxfId="0" priority="151">
      <formula>COUNTIF(G87:BE87,"&lt;&gt;" &amp; "")&gt;0</formula>
    </cfRule>
    <cfRule type="expression" dxfId="1" priority="152">
      <formula>AND(COUNTIF(G87:BE87,"&lt;&gt;" &amp; "")&gt;0,NOT(ISBLANK(E87)))</formula>
    </cfRule>
  </conditionalFormatting>
  <conditionalFormatting sqref="E88">
    <cfRule type="expression" dxfId="0" priority="153">
      <formula>COUNTIF(G88:BE88,"&lt;&gt;" &amp; "")&gt;0</formula>
    </cfRule>
    <cfRule type="expression" dxfId="1" priority="154">
      <formula>AND(COUNTIF(G88:BE88,"&lt;&gt;" &amp; "")&gt;0,NOT(ISBLANK(E88)))</formula>
    </cfRule>
  </conditionalFormatting>
  <conditionalFormatting sqref="E89">
    <cfRule type="expression" dxfId="0" priority="155">
      <formula>COUNTIF(G89:BE89,"&lt;&gt;" &amp; "")&gt;0</formula>
    </cfRule>
    <cfRule type="expression" dxfId="1" priority="156">
      <formula>AND(COUNTIF(G89:BE89,"&lt;&gt;" &amp; "")&gt;0,NOT(ISBLANK(E89)))</formula>
    </cfRule>
  </conditionalFormatting>
  <conditionalFormatting sqref="E9">
    <cfRule type="expression" dxfId="0" priority="15">
      <formula>COUNTIF(G9:BE9,"&lt;&gt;" &amp; "")&gt;0</formula>
    </cfRule>
    <cfRule type="expression" dxfId="1" priority="16">
      <formula>AND(COUNTIF(G9:BE9,"&lt;&gt;" &amp; "")&gt;0,NOT(ISBLANK(E9)))</formula>
    </cfRule>
  </conditionalFormatting>
  <conditionalFormatting sqref="E90">
    <cfRule type="expression" dxfId="0" priority="157">
      <formula>COUNTIF(G90:BE90,"&lt;&gt;" &amp; "")&gt;0</formula>
    </cfRule>
    <cfRule type="expression" dxfId="1" priority="158">
      <formula>AND(COUNTIF(G90:BE90,"&lt;&gt;" &amp; "")&gt;0,NOT(ISBLANK(E90)))</formula>
    </cfRule>
  </conditionalFormatting>
  <conditionalFormatting sqref="E91">
    <cfRule type="expression" dxfId="0" priority="159">
      <formula>COUNTIF(G91:BE91,"&lt;&gt;" &amp; "")&gt;0</formula>
    </cfRule>
    <cfRule type="expression" dxfId="1" priority="160">
      <formula>AND(COUNTIF(G91:BE91,"&lt;&gt;" &amp; "")&gt;0,NOT(ISBLANK(E91)))</formula>
    </cfRule>
  </conditionalFormatting>
  <conditionalFormatting sqref="E92">
    <cfRule type="expression" dxfId="0" priority="161">
      <formula>COUNTIF(G92:BE92,"&lt;&gt;" &amp; "")&gt;0</formula>
    </cfRule>
    <cfRule type="expression" dxfId="1" priority="162">
      <formula>AND(COUNTIF(G92:BE92,"&lt;&gt;" &amp; "")&gt;0,NOT(ISBLANK(E92)))</formula>
    </cfRule>
  </conditionalFormatting>
  <conditionalFormatting sqref="E93">
    <cfRule type="expression" dxfId="0" priority="163">
      <formula>COUNTIF(G93:BE93,"&lt;&gt;" &amp; "")&gt;0</formula>
    </cfRule>
    <cfRule type="expression" dxfId="1" priority="164">
      <formula>AND(COUNTIF(G93:BE93,"&lt;&gt;" &amp; "")&gt;0,NOT(ISBLANK(E93)))</formula>
    </cfRule>
  </conditionalFormatting>
  <conditionalFormatting sqref="E94">
    <cfRule type="expression" dxfId="0" priority="165">
      <formula>COUNTIF(G94:BE94,"&lt;&gt;" &amp; "")&gt;0</formula>
    </cfRule>
    <cfRule type="expression" dxfId="1" priority="166">
      <formula>AND(COUNTIF(G94:BE94,"&lt;&gt;" &amp; "")&gt;0,NOT(ISBLANK(E94)))</formula>
    </cfRule>
  </conditionalFormatting>
  <conditionalFormatting sqref="E95">
    <cfRule type="expression" dxfId="0" priority="167">
      <formula>COUNTIF(G95:BE95,"&lt;&gt;" &amp; "")&gt;0</formula>
    </cfRule>
    <cfRule type="expression" dxfId="1" priority="168">
      <formula>AND(COUNTIF(G95:BE95,"&lt;&gt;" &amp; "")&gt;0,NOT(ISBLANK(E95)))</formula>
    </cfRule>
  </conditionalFormatting>
  <conditionalFormatting sqref="E98">
    <cfRule type="expression" dxfId="0" priority="169">
      <formula>COUNTIF(G98:BE98,"&lt;&gt;" &amp; "")&gt;0</formula>
    </cfRule>
    <cfRule type="expression" dxfId="1" priority="170">
      <formula>AND(COUNTIF(G98:BE98,"&lt;&gt;" &amp; "")&gt;0,NOT(ISBLANK(E98)))</formula>
    </cfRule>
  </conditionalFormatting>
  <conditionalFormatting sqref="E99">
    <cfRule type="expression" dxfId="0" priority="171">
      <formula>COUNTIF(G99:BE99,"&lt;&gt;" &amp; "")&gt;0</formula>
    </cfRule>
    <cfRule type="expression" dxfId="1" priority="172">
      <formula>AND(COUNTIF(G99:BE99,"&lt;&gt;" &amp; "")&gt;0,NOT(ISBLANK(E99)))</formula>
    </cfRule>
  </conditionalFormatting>
  <dataValidations count="252">
    <dataValidation type="list" allowBlank="1" showInputMessage="1" showErrorMessage="1" sqref="C2">
      <formula1>"Proportion"</formula1>
    </dataValidation>
    <dataValidation type="list" allowBlank="1" showInputMessage="1" showErrorMessage="1" sqref="C3">
      <formula1>"Proportion"</formula1>
    </dataValidation>
    <dataValidation type="list" allowBlank="1" showInputMessage="1" showErrorMessage="1" sqref="C4">
      <formula1>"Proportion"</formula1>
    </dataValidation>
    <dataValidation type="list" allowBlank="1" showInputMessage="1" showErrorMessage="1" sqref="C5">
      <formula1>"Proportion"</formula1>
    </dataValidation>
    <dataValidation type="list" allowBlank="1" showInputMessage="1" showErrorMessage="1" sqref="C6">
      <formula1>"Proportion"</formula1>
    </dataValidation>
    <dataValidation type="list" allowBlank="1" showInputMessage="1" showErrorMessage="1" sqref="C7">
      <formula1>"Proportion"</formula1>
    </dataValidation>
    <dataValidation type="list" allowBlank="1" showInputMessage="1" showErrorMessage="1" sqref="C8">
      <formula1>"Proportion"</formula1>
    </dataValidation>
    <dataValidation type="list" allowBlank="1" showInputMessage="1" showErrorMessage="1" sqref="C9">
      <formula1>"Proportion"</formula1>
    </dataValidation>
    <dataValidation type="list" allowBlank="1" showInputMessage="1" showErrorMessage="1" sqref="C10">
      <formula1>"Proportion"</formula1>
    </dataValidation>
    <dataValidation type="list" allowBlank="1" showInputMessage="1" showErrorMessage="1" sqref="C11">
      <formula1>"Proportion"</formula1>
    </dataValidation>
    <dataValidation type="list" allowBlank="1" showInputMessage="1" showErrorMessage="1" sqref="C12">
      <formula1>"Proportion"</formula1>
    </dataValidation>
    <dataValidation type="list" allowBlank="1" showInputMessage="1" showErrorMessage="1" sqref="C13">
      <formula1>"Proportion"</formula1>
    </dataValidation>
    <dataValidation type="list" allowBlank="1" showInputMessage="1" showErrorMessage="1" sqref="C14">
      <formula1>"Proportion"</formula1>
    </dataValidation>
    <dataValidation type="list" allowBlank="1" showInputMessage="1" showErrorMessage="1" sqref="C15">
      <formula1>"Proportion"</formula1>
    </dataValidation>
    <dataValidation type="list" allowBlank="1" showInputMessage="1" showErrorMessage="1" sqref="C18">
      <formula1>"Duration (years)"</formula1>
    </dataValidation>
    <dataValidation type="list" allowBlank="1" showInputMessage="1" showErrorMessage="1" sqref="C19">
      <formula1>"Duration (years)"</formula1>
    </dataValidation>
    <dataValidation type="list" allowBlank="1" showInputMessage="1" showErrorMessage="1" sqref="C20">
      <formula1>"Duration (years)"</formula1>
    </dataValidation>
    <dataValidation type="list" allowBlank="1" showInputMessage="1" showErrorMessage="1" sqref="C21">
      <formula1>"Duration (years)"</formula1>
    </dataValidation>
    <dataValidation type="list" allowBlank="1" showInputMessage="1" showErrorMessage="1" sqref="C22">
      <formula1>"Duration (years)"</formula1>
    </dataValidation>
    <dataValidation type="list" allowBlank="1" showInputMessage="1" showErrorMessage="1" sqref="C23">
      <formula1>"Duration (years)"</formula1>
    </dataValidation>
    <dataValidation type="list" allowBlank="1" showInputMessage="1" showErrorMessage="1" sqref="C24">
      <formula1>"Duration (years)"</formula1>
    </dataValidation>
    <dataValidation type="list" allowBlank="1" showInputMessage="1" showErrorMessage="1" sqref="C25">
      <formula1>"Duration (years)"</formula1>
    </dataValidation>
    <dataValidation type="list" allowBlank="1" showInputMessage="1" showErrorMessage="1" sqref="C26">
      <formula1>"Duration (years)"</formula1>
    </dataValidation>
    <dataValidation type="list" allowBlank="1" showInputMessage="1" showErrorMessage="1" sqref="C27">
      <formula1>"Duration (years)"</formula1>
    </dataValidation>
    <dataValidation type="list" allowBlank="1" showInputMessage="1" showErrorMessage="1" sqref="C28">
      <formula1>"Duration (years)"</formula1>
    </dataValidation>
    <dataValidation type="list" allowBlank="1" showInputMessage="1" showErrorMessage="1" sqref="C29">
      <formula1>"Duration (years)"</formula1>
    </dataValidation>
    <dataValidation type="list" allowBlank="1" showInputMessage="1" showErrorMessage="1" sqref="C30">
      <formula1>"Duration (years)"</formula1>
    </dataValidation>
    <dataValidation type="list" allowBlank="1" showInputMessage="1" showErrorMessage="1" sqref="C31">
      <formula1>"Duration (years)"</formula1>
    </dataValidation>
    <dataValidation type="list" allowBlank="1" showInputMessage="1" showErrorMessage="1" sqref="C34">
      <formula1>"Rate (per year)"</formula1>
    </dataValidation>
    <dataValidation type="list" allowBlank="1" showInputMessage="1" showErrorMessage="1" sqref="C35">
      <formula1>"Rate (per year)"</formula1>
    </dataValidation>
    <dataValidation type="list" allowBlank="1" showInputMessage="1" showErrorMessage="1" sqref="C36">
      <formula1>"Rate (per year)"</formula1>
    </dataValidation>
    <dataValidation type="list" allowBlank="1" showInputMessage="1" showErrorMessage="1" sqref="C37">
      <formula1>"Rate (per year)"</formula1>
    </dataValidation>
    <dataValidation type="list" allowBlank="1" showInputMessage="1" showErrorMessage="1" sqref="C38">
      <formula1>"Rate (per year)"</formula1>
    </dataValidation>
    <dataValidation type="list" allowBlank="1" showInputMessage="1" showErrorMessage="1" sqref="C39">
      <formula1>"Rate (per year)"</formula1>
    </dataValidation>
    <dataValidation type="list" allowBlank="1" showInputMessage="1" showErrorMessage="1" sqref="C40">
      <formula1>"Rate (per year)"</formula1>
    </dataValidation>
    <dataValidation type="list" allowBlank="1" showInputMessage="1" showErrorMessage="1" sqref="C41">
      <formula1>"Rate (per year)"</formula1>
    </dataValidation>
    <dataValidation type="list" allowBlank="1" showInputMessage="1" showErrorMessage="1" sqref="C42">
      <formula1>"Rate (per year)"</formula1>
    </dataValidation>
    <dataValidation type="list" allowBlank="1" showInputMessage="1" showErrorMessage="1" sqref="C43">
      <formula1>"Rate (per year)"</formula1>
    </dataValidation>
    <dataValidation type="list" allowBlank="1" showInputMessage="1" showErrorMessage="1" sqref="C44">
      <formula1>"Rate (per year)"</formula1>
    </dataValidation>
    <dataValidation type="list" allowBlank="1" showInputMessage="1" showErrorMessage="1" sqref="C45">
      <formula1>"Rate (per year)"</formula1>
    </dataValidation>
    <dataValidation type="list" allowBlank="1" showInputMessage="1" showErrorMessage="1" sqref="C46">
      <formula1>"Rate (per year)"</formula1>
    </dataValidation>
    <dataValidation type="list" allowBlank="1" showInputMessage="1" showErrorMessage="1" sqref="C47">
      <formula1>"Rate (per year)"</formula1>
    </dataValidation>
    <dataValidation type="list" allowBlank="1" showInputMessage="1" showErrorMessage="1" sqref="C50">
      <formula1>"Rate (per year)"</formula1>
    </dataValidation>
    <dataValidation type="list" allowBlank="1" showInputMessage="1" showErrorMessage="1" sqref="C51">
      <formula1>"Rate (per year)"</formula1>
    </dataValidation>
    <dataValidation type="list" allowBlank="1" showInputMessage="1" showErrorMessage="1" sqref="C52">
      <formula1>"Rate (per year)"</formula1>
    </dataValidation>
    <dataValidation type="list" allowBlank="1" showInputMessage="1" showErrorMessage="1" sqref="C53">
      <formula1>"Rate (per year)"</formula1>
    </dataValidation>
    <dataValidation type="list" allowBlank="1" showInputMessage="1" showErrorMessage="1" sqref="C54">
      <formula1>"Rate (per year)"</formula1>
    </dataValidation>
    <dataValidation type="list" allowBlank="1" showInputMessage="1" showErrorMessage="1" sqref="C55">
      <formula1>"Rate (per year)"</formula1>
    </dataValidation>
    <dataValidation type="list" allowBlank="1" showInputMessage="1" showErrorMessage="1" sqref="C56">
      <formula1>"Rate (per year)"</formula1>
    </dataValidation>
    <dataValidation type="list" allowBlank="1" showInputMessage="1" showErrorMessage="1" sqref="C57">
      <formula1>"Rate (per year)"</formula1>
    </dataValidation>
    <dataValidation type="list" allowBlank="1" showInputMessage="1" showErrorMessage="1" sqref="C58">
      <formula1>"Rate (per year)"</formula1>
    </dataValidation>
    <dataValidation type="list" allowBlank="1" showInputMessage="1" showErrorMessage="1" sqref="C59">
      <formula1>"Rate (per year)"</formula1>
    </dataValidation>
    <dataValidation type="list" allowBlank="1" showInputMessage="1" showErrorMessage="1" sqref="C60">
      <formula1>"Rate (per year)"</formula1>
    </dataValidation>
    <dataValidation type="list" allowBlank="1" showInputMessage="1" showErrorMessage="1" sqref="C61">
      <formula1>"Rate (per year)"</formula1>
    </dataValidation>
    <dataValidation type="list" allowBlank="1" showInputMessage="1" showErrorMessage="1" sqref="C62">
      <formula1>"Rate (per year)"</formula1>
    </dataValidation>
    <dataValidation type="list" allowBlank="1" showInputMessage="1" showErrorMessage="1" sqref="C63">
      <formula1>"Rate (per year)"</formula1>
    </dataValidation>
    <dataValidation type="list" allowBlank="1" showInputMessage="1" showErrorMessage="1" sqref="C66">
      <formula1>"Rate (per year)"</formula1>
    </dataValidation>
    <dataValidation type="list" allowBlank="1" showInputMessage="1" showErrorMessage="1" sqref="C67">
      <formula1>"Rate (per year)"</formula1>
    </dataValidation>
    <dataValidation type="list" allowBlank="1" showInputMessage="1" showErrorMessage="1" sqref="C68">
      <formula1>"Rate (per year)"</formula1>
    </dataValidation>
    <dataValidation type="list" allowBlank="1" showInputMessage="1" showErrorMessage="1" sqref="C69">
      <formula1>"Rate (per year)"</formula1>
    </dataValidation>
    <dataValidation type="list" allowBlank="1" showInputMessage="1" showErrorMessage="1" sqref="C70">
      <formula1>"Rate (per year)"</formula1>
    </dataValidation>
    <dataValidation type="list" allowBlank="1" showInputMessage="1" showErrorMessage="1" sqref="C71">
      <formula1>"Rate (per year)"</formula1>
    </dataValidation>
    <dataValidation type="list" allowBlank="1" showInputMessage="1" showErrorMessage="1" sqref="C72">
      <formula1>"Rate (per year)"</formula1>
    </dataValidation>
    <dataValidation type="list" allowBlank="1" showInputMessage="1" showErrorMessage="1" sqref="C73">
      <formula1>"Rate (per year)"</formula1>
    </dataValidation>
    <dataValidation type="list" allowBlank="1" showInputMessage="1" showErrorMessage="1" sqref="C74">
      <formula1>"Rate (per year)"</formula1>
    </dataValidation>
    <dataValidation type="list" allowBlank="1" showInputMessage="1" showErrorMessage="1" sqref="C75">
      <formula1>"Rate (per year)"</formula1>
    </dataValidation>
    <dataValidation type="list" allowBlank="1" showInputMessage="1" showErrorMessage="1" sqref="C76">
      <formula1>"Rate (per year)"</formula1>
    </dataValidation>
    <dataValidation type="list" allowBlank="1" showInputMessage="1" showErrorMessage="1" sqref="C77">
      <formula1>"Rate (per year)"</formula1>
    </dataValidation>
    <dataValidation type="list" allowBlank="1" showInputMessage="1" showErrorMessage="1" sqref="C78">
      <formula1>"Rate (per year)"</formula1>
    </dataValidation>
    <dataValidation type="list" allowBlank="1" showInputMessage="1" showErrorMessage="1" sqref="C79">
      <formula1>"Rate (per year)"</formula1>
    </dataValidation>
    <dataValidation type="list" allowBlank="1" showInputMessage="1" showErrorMessage="1" sqref="C82">
      <formula1>"Rate (per year)"</formula1>
    </dataValidation>
    <dataValidation type="list" allowBlank="1" showInputMessage="1" showErrorMessage="1" sqref="C83">
      <formula1>"Rate (per year)"</formula1>
    </dataValidation>
    <dataValidation type="list" allowBlank="1" showInputMessage="1" showErrorMessage="1" sqref="C84">
      <formula1>"Rate (per year)"</formula1>
    </dataValidation>
    <dataValidation type="list" allowBlank="1" showInputMessage="1" showErrorMessage="1" sqref="C85">
      <formula1>"Rate (per year)"</formula1>
    </dataValidation>
    <dataValidation type="list" allowBlank="1" showInputMessage="1" showErrorMessage="1" sqref="C86">
      <formula1>"Rate (per year)"</formula1>
    </dataValidation>
    <dataValidation type="list" allowBlank="1" showInputMessage="1" showErrorMessage="1" sqref="C87">
      <formula1>"Rate (per year)"</formula1>
    </dataValidation>
    <dataValidation type="list" allowBlank="1" showInputMessage="1" showErrorMessage="1" sqref="C88">
      <formula1>"Rate (per year)"</formula1>
    </dataValidation>
    <dataValidation type="list" allowBlank="1" showInputMessage="1" showErrorMessage="1" sqref="C89">
      <formula1>"Rate (per year)"</formula1>
    </dataValidation>
    <dataValidation type="list" allowBlank="1" showInputMessage="1" showErrorMessage="1" sqref="C90">
      <formula1>"Rate (per year)"</formula1>
    </dataValidation>
    <dataValidation type="list" allowBlank="1" showInputMessage="1" showErrorMessage="1" sqref="C91">
      <formula1>"Rate (per year)"</formula1>
    </dataValidation>
    <dataValidation type="list" allowBlank="1" showInputMessage="1" showErrorMessage="1" sqref="C92">
      <formula1>"Rate (per year)"</formula1>
    </dataValidation>
    <dataValidation type="list" allowBlank="1" showInputMessage="1" showErrorMessage="1" sqref="C93">
      <formula1>"Rate (per year)"</formula1>
    </dataValidation>
    <dataValidation type="list" allowBlank="1" showInputMessage="1" showErrorMessage="1" sqref="C94">
      <formula1>"Rate (per year)"</formula1>
    </dataValidation>
    <dataValidation type="list" allowBlank="1" showInputMessage="1" showErrorMessage="1" sqref="C95">
      <formula1>"Rate (per year)"</formula1>
    </dataValidation>
    <dataValidation type="list" allowBlank="1" showInputMessage="1" showErrorMessage="1" sqref="C98">
      <formula1>"Rate (per year)"</formula1>
    </dataValidation>
    <dataValidation type="list" allowBlank="1" showInputMessage="1" showErrorMessage="1" sqref="C99">
      <formula1>"Rate (per year)"</formula1>
    </dataValidation>
    <dataValidation type="list" allowBlank="1" showInputMessage="1" showErrorMessage="1" sqref="C100">
      <formula1>"Rate (per year)"</formula1>
    </dataValidation>
    <dataValidation type="list" allowBlank="1" showInputMessage="1" showErrorMessage="1" sqref="C101">
      <formula1>"Rate (per year)"</formula1>
    </dataValidation>
    <dataValidation type="list" allowBlank="1" showInputMessage="1" showErrorMessage="1" sqref="C102">
      <formula1>"Rate (per year)"</formula1>
    </dataValidation>
    <dataValidation type="list" allowBlank="1" showInputMessage="1" showErrorMessage="1" sqref="C103">
      <formula1>"Rate (per year)"</formula1>
    </dataValidation>
    <dataValidation type="list" allowBlank="1" showInputMessage="1" showErrorMessage="1" sqref="C104">
      <formula1>"Rate (per year)"</formula1>
    </dataValidation>
    <dataValidation type="list" allowBlank="1" showInputMessage="1" showErrorMessage="1" sqref="C105">
      <formula1>"Rate (per year)"</formula1>
    </dataValidation>
    <dataValidation type="list" allowBlank="1" showInputMessage="1" showErrorMessage="1" sqref="C106">
      <formula1>"Rate (per year)"</formula1>
    </dataValidation>
    <dataValidation type="list" allowBlank="1" showInputMessage="1" showErrorMessage="1" sqref="C107">
      <formula1>"Rate (per year)"</formula1>
    </dataValidation>
    <dataValidation type="list" allowBlank="1" showInputMessage="1" showErrorMessage="1" sqref="C108">
      <formula1>"Rate (per year)"</formula1>
    </dataValidation>
    <dataValidation type="list" allowBlank="1" showInputMessage="1" showErrorMessage="1" sqref="C109">
      <formula1>"Rate (per year)"</formula1>
    </dataValidation>
    <dataValidation type="list" allowBlank="1" showInputMessage="1" showErrorMessage="1" sqref="C110">
      <formula1>"Rate (per year)"</formula1>
    </dataValidation>
    <dataValidation type="list" allowBlank="1" showInputMessage="1" showErrorMessage="1" sqref="C111">
      <formula1>"Rate (per year)"</formula1>
    </dataValidation>
    <dataValidation type="list" allowBlank="1" showInputMessage="1" showErrorMessage="1" sqref="C114">
      <formula1>"Rate (per year)"</formula1>
    </dataValidation>
    <dataValidation type="list" allowBlank="1" showInputMessage="1" showErrorMessage="1" sqref="C115">
      <formula1>"Rate (per year)"</formula1>
    </dataValidation>
    <dataValidation type="list" allowBlank="1" showInputMessage="1" showErrorMessage="1" sqref="C116">
      <formula1>"Rate (per year)"</formula1>
    </dataValidation>
    <dataValidation type="list" allowBlank="1" showInputMessage="1" showErrorMessage="1" sqref="C117">
      <formula1>"Rate (per year)"</formula1>
    </dataValidation>
    <dataValidation type="list" allowBlank="1" showInputMessage="1" showErrorMessage="1" sqref="C118">
      <formula1>"Rate (per year)"</formula1>
    </dataValidation>
    <dataValidation type="list" allowBlank="1" showInputMessage="1" showErrorMessage="1" sqref="C119">
      <formula1>"Rate (per year)"</formula1>
    </dataValidation>
    <dataValidation type="list" allowBlank="1" showInputMessage="1" showErrorMessage="1" sqref="C120">
      <formula1>"Rate (per year)"</formula1>
    </dataValidation>
    <dataValidation type="list" allowBlank="1" showInputMessage="1" showErrorMessage="1" sqref="C121">
      <formula1>"Rate (per year)"</formula1>
    </dataValidation>
    <dataValidation type="list" allowBlank="1" showInputMessage="1" showErrorMessage="1" sqref="C122">
      <formula1>"Rate (per year)"</formula1>
    </dataValidation>
    <dataValidation type="list" allowBlank="1" showInputMessage="1" showErrorMessage="1" sqref="C123">
      <formula1>"Rate (per year)"</formula1>
    </dataValidation>
    <dataValidation type="list" allowBlank="1" showInputMessage="1" showErrorMessage="1" sqref="C124">
      <formula1>"Rate (per year)"</formula1>
    </dataValidation>
    <dataValidation type="list" allowBlank="1" showInputMessage="1" showErrorMessage="1" sqref="C125">
      <formula1>"Rate (per year)"</formula1>
    </dataValidation>
    <dataValidation type="list" allowBlank="1" showInputMessage="1" showErrorMessage="1" sqref="C126">
      <formula1>"Rate (per year)"</formula1>
    </dataValidation>
    <dataValidation type="list" allowBlank="1" showInputMessage="1" showErrorMessage="1" sqref="C127">
      <formula1>"Rate (per year)"</formula1>
    </dataValidation>
    <dataValidation type="list" allowBlank="1" showInputMessage="1" showErrorMessage="1" sqref="C130">
      <formula1>"Rate (per year)"</formula1>
    </dataValidation>
    <dataValidation type="list" allowBlank="1" showInputMessage="1" showErrorMessage="1" sqref="C131">
      <formula1>"Rate (per year)"</formula1>
    </dataValidation>
    <dataValidation type="list" allowBlank="1" showInputMessage="1" showErrorMessage="1" sqref="C132">
      <formula1>"Rate (per year)"</formula1>
    </dataValidation>
    <dataValidation type="list" allowBlank="1" showInputMessage="1" showErrorMessage="1" sqref="C133">
      <formula1>"Rate (per year)"</formula1>
    </dataValidation>
    <dataValidation type="list" allowBlank="1" showInputMessage="1" showErrorMessage="1" sqref="C134">
      <formula1>"Rate (per year)"</formula1>
    </dataValidation>
    <dataValidation type="list" allowBlank="1" showInputMessage="1" showErrorMessage="1" sqref="C135">
      <formula1>"Rate (per year)"</formula1>
    </dataValidation>
    <dataValidation type="list" allowBlank="1" showInputMessage="1" showErrorMessage="1" sqref="C136">
      <formula1>"Rate (per year)"</formula1>
    </dataValidation>
    <dataValidation type="list" allowBlank="1" showInputMessage="1" showErrorMessage="1" sqref="C137">
      <formula1>"Rate (per year)"</formula1>
    </dataValidation>
    <dataValidation type="list" allowBlank="1" showInputMessage="1" showErrorMessage="1" sqref="C138">
      <formula1>"Rate (per year)"</formula1>
    </dataValidation>
    <dataValidation type="list" allowBlank="1" showInputMessage="1" showErrorMessage="1" sqref="C139">
      <formula1>"Rate (per year)"</formula1>
    </dataValidation>
    <dataValidation type="list" allowBlank="1" showInputMessage="1" showErrorMessage="1" sqref="C140">
      <formula1>"Rate (per year)"</formula1>
    </dataValidation>
    <dataValidation type="list" allowBlank="1" showInputMessage="1" showErrorMessage="1" sqref="C141">
      <formula1>"Rate (per year)"</formula1>
    </dataValidation>
    <dataValidation type="list" allowBlank="1" showInputMessage="1" showErrorMessage="1" sqref="C142">
      <formula1>"Rate (per year)"</formula1>
    </dataValidation>
    <dataValidation type="list" allowBlank="1" showInputMessage="1" showErrorMessage="1" sqref="C143">
      <formula1>"Rate (per year)"</formula1>
    </dataValidation>
    <dataValidation type="list" allowBlank="1" showInputMessage="1" showErrorMessage="1" sqref="C146">
      <formula1>"Rate (per year)"</formula1>
    </dataValidation>
    <dataValidation type="list" allowBlank="1" showInputMessage="1" showErrorMessage="1" sqref="C147">
      <formula1>"Rate (per year)"</formula1>
    </dataValidation>
    <dataValidation type="list" allowBlank="1" showInputMessage="1" showErrorMessage="1" sqref="C148">
      <formula1>"Rate (per year)"</formula1>
    </dataValidation>
    <dataValidation type="list" allowBlank="1" showInputMessage="1" showErrorMessage="1" sqref="C149">
      <formula1>"Rate (per year)"</formula1>
    </dataValidation>
    <dataValidation type="list" allowBlank="1" showInputMessage="1" showErrorMessage="1" sqref="C150">
      <formula1>"Rate (per year)"</formula1>
    </dataValidation>
    <dataValidation type="list" allowBlank="1" showInputMessage="1" showErrorMessage="1" sqref="C151">
      <formula1>"Rate (per year)"</formula1>
    </dataValidation>
    <dataValidation type="list" allowBlank="1" showInputMessage="1" showErrorMessage="1" sqref="C152">
      <formula1>"Rate (per year)"</formula1>
    </dataValidation>
    <dataValidation type="list" allowBlank="1" showInputMessage="1" showErrorMessage="1" sqref="C153">
      <formula1>"Rate (per year)"</formula1>
    </dataValidation>
    <dataValidation type="list" allowBlank="1" showInputMessage="1" showErrorMessage="1" sqref="C154">
      <formula1>"Rate (per year)"</formula1>
    </dataValidation>
    <dataValidation type="list" allowBlank="1" showInputMessage="1" showErrorMessage="1" sqref="C155">
      <formula1>"Rate (per year)"</formula1>
    </dataValidation>
    <dataValidation type="list" allowBlank="1" showInputMessage="1" showErrorMessage="1" sqref="C156">
      <formula1>"Rate (per year)"</formula1>
    </dataValidation>
    <dataValidation type="list" allowBlank="1" showInputMessage="1" showErrorMessage="1" sqref="C157">
      <formula1>"Rate (per year)"</formula1>
    </dataValidation>
    <dataValidation type="list" allowBlank="1" showInputMessage="1" showErrorMessage="1" sqref="C158">
      <formula1>"Rate (per year)"</formula1>
    </dataValidation>
    <dataValidation type="list" allowBlank="1" showInputMessage="1" showErrorMessage="1" sqref="C159">
      <formula1>"Rate (per year)"</formula1>
    </dataValidation>
    <dataValidation type="list" allowBlank="1" showInputMessage="1" showErrorMessage="1" sqref="C162">
      <formula1>"Rate (per year)"</formula1>
    </dataValidation>
    <dataValidation type="list" allowBlank="1" showInputMessage="1" showErrorMessage="1" sqref="C163">
      <formula1>"Rate (per year)"</formula1>
    </dataValidation>
    <dataValidation type="list" allowBlank="1" showInputMessage="1" showErrorMessage="1" sqref="C164">
      <formula1>"Rate (per year)"</formula1>
    </dataValidation>
    <dataValidation type="list" allowBlank="1" showInputMessage="1" showErrorMessage="1" sqref="C165">
      <formula1>"Rate (per year)"</formula1>
    </dataValidation>
    <dataValidation type="list" allowBlank="1" showInputMessage="1" showErrorMessage="1" sqref="C166">
      <formula1>"Rate (per year)"</formula1>
    </dataValidation>
    <dataValidation type="list" allowBlank="1" showInputMessage="1" showErrorMessage="1" sqref="C167">
      <formula1>"Rate (per year)"</formula1>
    </dataValidation>
    <dataValidation type="list" allowBlank="1" showInputMessage="1" showErrorMessage="1" sqref="C168">
      <formula1>"Rate (per year)"</formula1>
    </dataValidation>
    <dataValidation type="list" allowBlank="1" showInputMessage="1" showErrorMessage="1" sqref="C169">
      <formula1>"Rate (per year)"</formula1>
    </dataValidation>
    <dataValidation type="list" allowBlank="1" showInputMessage="1" showErrorMessage="1" sqref="C170">
      <formula1>"Rate (per year)"</formula1>
    </dataValidation>
    <dataValidation type="list" allowBlank="1" showInputMessage="1" showErrorMessage="1" sqref="C171">
      <formula1>"Rate (per year)"</formula1>
    </dataValidation>
    <dataValidation type="list" allowBlank="1" showInputMessage="1" showErrorMessage="1" sqref="C172">
      <formula1>"Rate (per year)"</formula1>
    </dataValidation>
    <dataValidation type="list" allowBlank="1" showInputMessage="1" showErrorMessage="1" sqref="C173">
      <formula1>"Rate (per year)"</formula1>
    </dataValidation>
    <dataValidation type="list" allowBlank="1" showInputMessage="1" showErrorMessage="1" sqref="C174">
      <formula1>"Rate (per year)"</formula1>
    </dataValidation>
    <dataValidation type="list" allowBlank="1" showInputMessage="1" showErrorMessage="1" sqref="C175">
      <formula1>"Rate (per year)"</formula1>
    </dataValidation>
    <dataValidation type="list" allowBlank="1" showInputMessage="1" showErrorMessage="1" sqref="C178">
      <formula1>"Rate (per year)"</formula1>
    </dataValidation>
    <dataValidation type="list" allowBlank="1" showInputMessage="1" showErrorMessage="1" sqref="C179">
      <formula1>"Rate (per year)"</formula1>
    </dataValidation>
    <dataValidation type="list" allowBlank="1" showInputMessage="1" showErrorMessage="1" sqref="C180">
      <formula1>"Rate (per year)"</formula1>
    </dataValidation>
    <dataValidation type="list" allowBlank="1" showInputMessage="1" showErrorMessage="1" sqref="C181">
      <formula1>"Rate (per year)"</formula1>
    </dataValidation>
    <dataValidation type="list" allowBlank="1" showInputMessage="1" showErrorMessage="1" sqref="C182">
      <formula1>"Rate (per year)"</formula1>
    </dataValidation>
    <dataValidation type="list" allowBlank="1" showInputMessage="1" showErrorMessage="1" sqref="C183">
      <formula1>"Rate (per year)"</formula1>
    </dataValidation>
    <dataValidation type="list" allowBlank="1" showInputMessage="1" showErrorMessage="1" sqref="C184">
      <formula1>"Rate (per year)"</formula1>
    </dataValidation>
    <dataValidation type="list" allowBlank="1" showInputMessage="1" showErrorMessage="1" sqref="C185">
      <formula1>"Rate (per year)"</formula1>
    </dataValidation>
    <dataValidation type="list" allowBlank="1" showInputMessage="1" showErrorMessage="1" sqref="C186">
      <formula1>"Rate (per year)"</formula1>
    </dataValidation>
    <dataValidation type="list" allowBlank="1" showInputMessage="1" showErrorMessage="1" sqref="C187">
      <formula1>"Rate (per year)"</formula1>
    </dataValidation>
    <dataValidation type="list" allowBlank="1" showInputMessage="1" showErrorMessage="1" sqref="C188">
      <formula1>"Rate (per year)"</formula1>
    </dataValidation>
    <dataValidation type="list" allowBlank="1" showInputMessage="1" showErrorMessage="1" sqref="C189">
      <formula1>"Rate (per year)"</formula1>
    </dataValidation>
    <dataValidation type="list" allowBlank="1" showInputMessage="1" showErrorMessage="1" sqref="C190">
      <formula1>"Rate (per year)"</formula1>
    </dataValidation>
    <dataValidation type="list" allowBlank="1" showInputMessage="1" showErrorMessage="1" sqref="C191">
      <formula1>"Rate (per year)"</formula1>
    </dataValidation>
    <dataValidation type="list" allowBlank="1" showInputMessage="1" showErrorMessage="1" sqref="C194">
      <formula1>"Rate (per year)"</formula1>
    </dataValidation>
    <dataValidation type="list" allowBlank="1" showInputMessage="1" showErrorMessage="1" sqref="C195">
      <formula1>"Rate (per year)"</formula1>
    </dataValidation>
    <dataValidation type="list" allowBlank="1" showInputMessage="1" showErrorMessage="1" sqref="C196">
      <formula1>"Rate (per year)"</formula1>
    </dataValidation>
    <dataValidation type="list" allowBlank="1" showInputMessage="1" showErrorMessage="1" sqref="C197">
      <formula1>"Rate (per year)"</formula1>
    </dataValidation>
    <dataValidation type="list" allowBlank="1" showInputMessage="1" showErrorMessage="1" sqref="C198">
      <formula1>"Rate (per year)"</formula1>
    </dataValidation>
    <dataValidation type="list" allowBlank="1" showInputMessage="1" showErrorMessage="1" sqref="C199">
      <formula1>"Rate (per year)"</formula1>
    </dataValidation>
    <dataValidation type="list" allowBlank="1" showInputMessage="1" showErrorMessage="1" sqref="C200">
      <formula1>"Rate (per year)"</formula1>
    </dataValidation>
    <dataValidation type="list" allowBlank="1" showInputMessage="1" showErrorMessage="1" sqref="C201">
      <formula1>"Rate (per year)"</formula1>
    </dataValidation>
    <dataValidation type="list" allowBlank="1" showInputMessage="1" showErrorMessage="1" sqref="C202">
      <formula1>"Rate (per year)"</formula1>
    </dataValidation>
    <dataValidation type="list" allowBlank="1" showInputMessage="1" showErrorMessage="1" sqref="C203">
      <formula1>"Rate (per year)"</formula1>
    </dataValidation>
    <dataValidation type="list" allowBlank="1" showInputMessage="1" showErrorMessage="1" sqref="C204">
      <formula1>"Rate (per year)"</formula1>
    </dataValidation>
    <dataValidation type="list" allowBlank="1" showInputMessage="1" showErrorMessage="1" sqref="C205">
      <formula1>"Rate (per year)"</formula1>
    </dataValidation>
    <dataValidation type="list" allowBlank="1" showInputMessage="1" showErrorMessage="1" sqref="C206">
      <formula1>"Rate (per year)"</formula1>
    </dataValidation>
    <dataValidation type="list" allowBlank="1" showInputMessage="1" showErrorMessage="1" sqref="C207">
      <formula1>"Rate (per year)"</formula1>
    </dataValidation>
    <dataValidation type="list" allowBlank="1" showInputMessage="1" showErrorMessage="1" sqref="C210">
      <formula1>"Rate (per year)"</formula1>
    </dataValidation>
    <dataValidation type="list" allowBlank="1" showInputMessage="1" showErrorMessage="1" sqref="C211">
      <formula1>"Rate (per year)"</formula1>
    </dataValidation>
    <dataValidation type="list" allowBlank="1" showInputMessage="1" showErrorMessage="1" sqref="C212">
      <formula1>"Rate (per year)"</formula1>
    </dataValidation>
    <dataValidation type="list" allowBlank="1" showInputMessage="1" showErrorMessage="1" sqref="C213">
      <formula1>"Rate (per year)"</formula1>
    </dataValidation>
    <dataValidation type="list" allowBlank="1" showInputMessage="1" showErrorMessage="1" sqref="C214">
      <formula1>"Rate (per year)"</formula1>
    </dataValidation>
    <dataValidation type="list" allowBlank="1" showInputMessage="1" showErrorMessage="1" sqref="C215">
      <formula1>"Rate (per year)"</formula1>
    </dataValidation>
    <dataValidation type="list" allowBlank="1" showInputMessage="1" showErrorMessage="1" sqref="C216">
      <formula1>"Rate (per year)"</formula1>
    </dataValidation>
    <dataValidation type="list" allowBlank="1" showInputMessage="1" showErrorMessage="1" sqref="C217">
      <formula1>"Rate (per year)"</formula1>
    </dataValidation>
    <dataValidation type="list" allowBlank="1" showInputMessage="1" showErrorMessage="1" sqref="C218">
      <formula1>"Rate (per year)"</formula1>
    </dataValidation>
    <dataValidation type="list" allowBlank="1" showInputMessage="1" showErrorMessage="1" sqref="C219">
      <formula1>"Rate (per year)"</formula1>
    </dataValidation>
    <dataValidation type="list" allowBlank="1" showInputMessage="1" showErrorMessage="1" sqref="C220">
      <formula1>"Rate (per year)"</formula1>
    </dataValidation>
    <dataValidation type="list" allowBlank="1" showInputMessage="1" showErrorMessage="1" sqref="C221">
      <formula1>"Rate (per year)"</formula1>
    </dataValidation>
    <dataValidation type="list" allowBlank="1" showInputMessage="1" showErrorMessage="1" sqref="C222">
      <formula1>"Rate (per year)"</formula1>
    </dataValidation>
    <dataValidation type="list" allowBlank="1" showInputMessage="1" showErrorMessage="1" sqref="C223">
      <formula1>"Rate (per year)"</formula1>
    </dataValidation>
    <dataValidation type="list" allowBlank="1" showInputMessage="1" showErrorMessage="1" sqref="C226">
      <formula1>"Rate (per year)"</formula1>
    </dataValidation>
    <dataValidation type="list" allowBlank="1" showInputMessage="1" showErrorMessage="1" sqref="C227">
      <formula1>"Rate (per year)"</formula1>
    </dataValidation>
    <dataValidation type="list" allowBlank="1" showInputMessage="1" showErrorMessage="1" sqref="C228">
      <formula1>"Rate (per year)"</formula1>
    </dataValidation>
    <dataValidation type="list" allowBlank="1" showInputMessage="1" showErrorMessage="1" sqref="C229">
      <formula1>"Rate (per year)"</formula1>
    </dataValidation>
    <dataValidation type="list" allowBlank="1" showInputMessage="1" showErrorMessage="1" sqref="C230">
      <formula1>"Rate (per year)"</formula1>
    </dataValidation>
    <dataValidation type="list" allowBlank="1" showInputMessage="1" showErrorMessage="1" sqref="C231">
      <formula1>"Rate (per year)"</formula1>
    </dataValidation>
    <dataValidation type="list" allowBlank="1" showInputMessage="1" showErrorMessage="1" sqref="C232">
      <formula1>"Rate (per year)"</formula1>
    </dataValidation>
    <dataValidation type="list" allowBlank="1" showInputMessage="1" showErrorMessage="1" sqref="C233">
      <formula1>"Rate (per year)"</formula1>
    </dataValidation>
    <dataValidation type="list" allowBlank="1" showInputMessage="1" showErrorMessage="1" sqref="C234">
      <formula1>"Rate (per year)"</formula1>
    </dataValidation>
    <dataValidation type="list" allowBlank="1" showInputMessage="1" showErrorMessage="1" sqref="C235">
      <formula1>"Rate (per year)"</formula1>
    </dataValidation>
    <dataValidation type="list" allowBlank="1" showInputMessage="1" showErrorMessage="1" sqref="C236">
      <formula1>"Rate (per year)"</formula1>
    </dataValidation>
    <dataValidation type="list" allowBlank="1" showInputMessage="1" showErrorMessage="1" sqref="C237">
      <formula1>"Rate (per year)"</formula1>
    </dataValidation>
    <dataValidation type="list" allowBlank="1" showInputMessage="1" showErrorMessage="1" sqref="C238">
      <formula1>"Rate (per year)"</formula1>
    </dataValidation>
    <dataValidation type="list" allowBlank="1" showInputMessage="1" showErrorMessage="1" sqref="C239">
      <formula1>"Rate (per year)"</formula1>
    </dataValidation>
    <dataValidation type="list" allowBlank="1" showInputMessage="1" showErrorMessage="1" sqref="C242">
      <formula1>"Rate (per year)"</formula1>
    </dataValidation>
    <dataValidation type="list" allowBlank="1" showInputMessage="1" showErrorMessage="1" sqref="C243">
      <formula1>"Rate (per year)"</formula1>
    </dataValidation>
    <dataValidation type="list" allowBlank="1" showInputMessage="1" showErrorMessage="1" sqref="C244">
      <formula1>"Rate (per year)"</formula1>
    </dataValidation>
    <dataValidation type="list" allowBlank="1" showInputMessage="1" showErrorMessage="1" sqref="C245">
      <formula1>"Rate (per year)"</formula1>
    </dataValidation>
    <dataValidation type="list" allowBlank="1" showInputMessage="1" showErrorMessage="1" sqref="C246">
      <formula1>"Rate (per year)"</formula1>
    </dataValidation>
    <dataValidation type="list" allowBlank="1" showInputMessage="1" showErrorMessage="1" sqref="C247">
      <formula1>"Rate (per year)"</formula1>
    </dataValidation>
    <dataValidation type="list" allowBlank="1" showInputMessage="1" showErrorMessage="1" sqref="C248">
      <formula1>"Rate (per year)"</formula1>
    </dataValidation>
    <dataValidation type="list" allowBlank="1" showInputMessage="1" showErrorMessage="1" sqref="C249">
      <formula1>"Rate (per year)"</formula1>
    </dataValidation>
    <dataValidation type="list" allowBlank="1" showInputMessage="1" showErrorMessage="1" sqref="C250">
      <formula1>"Rate (per year)"</formula1>
    </dataValidation>
    <dataValidation type="list" allowBlank="1" showInputMessage="1" showErrorMessage="1" sqref="C251">
      <formula1>"Rate (per year)"</formula1>
    </dataValidation>
    <dataValidation type="list" allowBlank="1" showInputMessage="1" showErrorMessage="1" sqref="C252">
      <formula1>"Rate (per year)"</formula1>
    </dataValidation>
    <dataValidation type="list" allowBlank="1" showInputMessage="1" showErrorMessage="1" sqref="C253">
      <formula1>"Rate (per year)"</formula1>
    </dataValidation>
    <dataValidation type="list" allowBlank="1" showInputMessage="1" showErrorMessage="1" sqref="C254">
      <formula1>"Rate (per year)"</formula1>
    </dataValidation>
    <dataValidation type="list" allowBlank="1" showInputMessage="1" showErrorMessage="1" sqref="C255">
      <formula1>"Rate (per year)"</formula1>
    </dataValidation>
    <dataValidation type="list" allowBlank="1" showInputMessage="1" showErrorMessage="1" sqref="C258">
      <formula1>"N.A."</formula1>
    </dataValidation>
    <dataValidation type="list" allowBlank="1" showInputMessage="1" showErrorMessage="1" sqref="C259">
      <formula1>"N.A."</formula1>
    </dataValidation>
    <dataValidation type="list" allowBlank="1" showInputMessage="1" showErrorMessage="1" sqref="C260">
      <formula1>"N.A."</formula1>
    </dataValidation>
    <dataValidation type="list" allowBlank="1" showInputMessage="1" showErrorMessage="1" sqref="C261">
      <formula1>"N.A."</formula1>
    </dataValidation>
    <dataValidation type="list" allowBlank="1" showInputMessage="1" showErrorMessage="1" sqref="C262">
      <formula1>"N.A."</formula1>
    </dataValidation>
    <dataValidation type="list" allowBlank="1" showInputMessage="1" showErrorMessage="1" sqref="C263">
      <formula1>"N.A."</formula1>
    </dataValidation>
    <dataValidation type="list" allowBlank="1" showInputMessage="1" showErrorMessage="1" sqref="C264">
      <formula1>"N.A."</formula1>
    </dataValidation>
    <dataValidation type="list" allowBlank="1" showInputMessage="1" showErrorMessage="1" sqref="C265">
      <formula1>"N.A."</formula1>
    </dataValidation>
    <dataValidation type="list" allowBlank="1" showInputMessage="1" showErrorMessage="1" sqref="C266">
      <formula1>"N.A."</formula1>
    </dataValidation>
    <dataValidation type="list" allowBlank="1" showInputMessage="1" showErrorMessage="1" sqref="C267">
      <formula1>"N.A."</formula1>
    </dataValidation>
    <dataValidation type="list" allowBlank="1" showInputMessage="1" showErrorMessage="1" sqref="C268">
      <formula1>"N.A."</formula1>
    </dataValidation>
    <dataValidation type="list" allowBlank="1" showInputMessage="1" showErrorMessage="1" sqref="C269">
      <formula1>"N.A."</formula1>
    </dataValidation>
    <dataValidation type="list" allowBlank="1" showInputMessage="1" showErrorMessage="1" sqref="C270">
      <formula1>"N.A."</formula1>
    </dataValidation>
    <dataValidation type="list" allowBlank="1" showInputMessage="1" showErrorMessage="1" sqref="C271">
      <formula1>"N.A."</formula1>
    </dataValidation>
    <dataValidation type="list" allowBlank="1" showInputMessage="1" showErrorMessage="1" sqref="C274">
      <formula1>"N.A."</formula1>
    </dataValidation>
    <dataValidation type="list" allowBlank="1" showInputMessage="1" showErrorMessage="1" sqref="C275">
      <formula1>"N.A."</formula1>
    </dataValidation>
    <dataValidation type="list" allowBlank="1" showInputMessage="1" showErrorMessage="1" sqref="C276">
      <formula1>"N.A."</formula1>
    </dataValidation>
    <dataValidation type="list" allowBlank="1" showInputMessage="1" showErrorMessage="1" sqref="C277">
      <formula1>"N.A."</formula1>
    </dataValidation>
    <dataValidation type="list" allowBlank="1" showInputMessage="1" showErrorMessage="1" sqref="C278">
      <formula1>"N.A."</formula1>
    </dataValidation>
    <dataValidation type="list" allowBlank="1" showInputMessage="1" showErrorMessage="1" sqref="C279">
      <formula1>"N.A."</formula1>
    </dataValidation>
    <dataValidation type="list" allowBlank="1" showInputMessage="1" showErrorMessage="1" sqref="C280">
      <formula1>"N.A."</formula1>
    </dataValidation>
    <dataValidation type="list" allowBlank="1" showInputMessage="1" showErrorMessage="1" sqref="C281">
      <formula1>"N.A."</formula1>
    </dataValidation>
    <dataValidation type="list" allowBlank="1" showInputMessage="1" showErrorMessage="1" sqref="C282">
      <formula1>"N.A."</formula1>
    </dataValidation>
    <dataValidation type="list" allowBlank="1" showInputMessage="1" showErrorMessage="1" sqref="C283">
      <formula1>"N.A."</formula1>
    </dataValidation>
    <dataValidation type="list" allowBlank="1" showInputMessage="1" showErrorMessage="1" sqref="C284">
      <formula1>"N.A."</formula1>
    </dataValidation>
    <dataValidation type="list" allowBlank="1" showInputMessage="1" showErrorMessage="1" sqref="C285">
      <formula1>"N.A."</formula1>
    </dataValidation>
    <dataValidation type="list" allowBlank="1" showInputMessage="1" showErrorMessage="1" sqref="C286">
      <formula1>"N.A."</formula1>
    </dataValidation>
    <dataValidation type="list" allowBlank="1" showInputMessage="1" showErrorMessage="1" sqref="C287">
      <formula1>"N.A."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sheetPr>
    <tabColor rgb="FF808080"/>
  </sheetPr>
  <dimension ref="A1:BE63"/>
  <sheetViews>
    <sheetView workbookViewId="0"/>
  </sheetViews>
  <sheetFormatPr defaultRowHeight="15"/>
  <cols>
    <col min="1" max="1" width="80.85546875" customWidth="1"/>
    <col min="2" max="2" width="12.7109375" customWidth="1"/>
    <col min="3" max="3" width="18.28515625" customWidth="1"/>
    <col min="4" max="4" width="13.85546875" customWidth="1"/>
    <col min="5" max="5" width="10.5703125" customWidth="1"/>
    <col min="6" max="6" width="3.85546875" customWidth="1"/>
    <col min="7" max="57" width="9.42578125" customWidth="1"/>
  </cols>
  <sheetData>
    <row r="1" spans="1:57">
      <c r="A1" s="1" t="s">
        <v>80</v>
      </c>
      <c r="B1" s="1" t="s">
        <v>31</v>
      </c>
      <c r="C1" s="1" t="s">
        <v>32</v>
      </c>
      <c r="D1" s="1" t="s">
        <v>33</v>
      </c>
      <c r="E1" s="1" t="s">
        <v>38</v>
      </c>
      <c r="F1" s="1"/>
      <c r="G1" s="1">
        <v>2000</v>
      </c>
      <c r="H1" s="1">
        <v>2001</v>
      </c>
      <c r="I1" s="1">
        <v>2002</v>
      </c>
      <c r="J1" s="1">
        <v>2003</v>
      </c>
      <c r="K1" s="1">
        <v>2004</v>
      </c>
      <c r="L1" s="1">
        <v>2005</v>
      </c>
      <c r="M1" s="1">
        <v>2006</v>
      </c>
      <c r="N1" s="1">
        <v>2007</v>
      </c>
      <c r="O1" s="1">
        <v>2008</v>
      </c>
      <c r="P1" s="1">
        <v>2009</v>
      </c>
      <c r="Q1" s="1">
        <v>2010</v>
      </c>
      <c r="R1" s="1">
        <v>2011</v>
      </c>
      <c r="S1" s="1">
        <v>2012</v>
      </c>
      <c r="T1" s="1">
        <v>2013</v>
      </c>
      <c r="U1" s="1">
        <v>2014</v>
      </c>
      <c r="V1" s="1">
        <v>2015</v>
      </c>
      <c r="W1" s="1">
        <v>2016</v>
      </c>
      <c r="X1" s="1">
        <v>2017</v>
      </c>
      <c r="Y1" s="1">
        <v>2018</v>
      </c>
      <c r="Z1" s="1">
        <v>2019</v>
      </c>
      <c r="AA1" s="1">
        <v>2020</v>
      </c>
      <c r="AB1" s="1">
        <v>2021</v>
      </c>
      <c r="AC1" s="1">
        <v>2022</v>
      </c>
      <c r="AD1" s="1">
        <v>2023</v>
      </c>
      <c r="AE1" s="1">
        <v>2024</v>
      </c>
      <c r="AF1" s="1">
        <v>2025</v>
      </c>
      <c r="AG1" s="1">
        <v>2026</v>
      </c>
      <c r="AH1" s="1">
        <v>2027</v>
      </c>
      <c r="AI1" s="1">
        <v>2028</v>
      </c>
      <c r="AJ1" s="1">
        <v>2029</v>
      </c>
      <c r="AK1" s="1">
        <v>2030</v>
      </c>
      <c r="AL1" s="1">
        <v>2031</v>
      </c>
      <c r="AM1" s="1">
        <v>2032</v>
      </c>
      <c r="AN1" s="1">
        <v>2033</v>
      </c>
      <c r="AO1" s="1">
        <v>2034</v>
      </c>
      <c r="AP1" s="1">
        <v>2035</v>
      </c>
      <c r="AQ1" s="1">
        <v>2036</v>
      </c>
      <c r="AR1" s="1">
        <v>2037</v>
      </c>
      <c r="AS1" s="1">
        <v>2038</v>
      </c>
      <c r="AT1" s="1">
        <v>2039</v>
      </c>
      <c r="AU1" s="1">
        <v>2040</v>
      </c>
      <c r="AV1" s="1">
        <v>2041</v>
      </c>
      <c r="AW1" s="1">
        <v>2042</v>
      </c>
      <c r="AX1" s="1">
        <v>2043</v>
      </c>
      <c r="AY1" s="1">
        <v>2044</v>
      </c>
      <c r="AZ1" s="1">
        <v>2045</v>
      </c>
      <c r="BA1" s="1">
        <v>2046</v>
      </c>
      <c r="BB1" s="1">
        <v>2047</v>
      </c>
      <c r="BC1" s="1">
        <v>2048</v>
      </c>
      <c r="BD1" s="1">
        <v>2049</v>
      </c>
      <c r="BE1" s="1">
        <v>2050</v>
      </c>
    </row>
    <row r="2" spans="1:57">
      <c r="A2" s="1" t="str">
        <f>'Population Definitions'!$A$2</f>
        <v>PWID_males</v>
      </c>
      <c r="C2" t="s">
        <v>55</v>
      </c>
      <c r="D2" s="3">
        <v>0.02576530612244899</v>
      </c>
      <c r="E2" s="3"/>
      <c r="F2" s="4" t="s">
        <v>39</v>
      </c>
      <c r="G2" s="3">
        <v>0.00475</v>
      </c>
      <c r="H2" s="3"/>
      <c r="I2" s="3"/>
      <c r="J2" s="3"/>
      <c r="K2" s="3"/>
      <c r="L2" s="3"/>
      <c r="M2" s="3"/>
      <c r="N2" s="3"/>
      <c r="O2" s="3"/>
      <c r="P2" s="3"/>
      <c r="Q2" s="3"/>
      <c r="R2" s="3">
        <v>0.0095</v>
      </c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</row>
    <row r="3" spans="1:57">
      <c r="A3" s="1" t="str">
        <f>'Population Definitions'!$A$3</f>
        <v>PWID_females</v>
      </c>
      <c r="C3" t="s">
        <v>55</v>
      </c>
      <c r="D3" s="3">
        <v>0.02576530612244899</v>
      </c>
      <c r="E3" s="3"/>
      <c r="F3" s="4" t="s">
        <v>39</v>
      </c>
      <c r="G3" s="3">
        <v>0.00475</v>
      </c>
      <c r="H3" s="3"/>
      <c r="I3" s="3"/>
      <c r="J3" s="3"/>
      <c r="K3" s="3"/>
      <c r="L3" s="3"/>
      <c r="M3" s="3"/>
      <c r="N3" s="3"/>
      <c r="O3" s="3"/>
      <c r="P3" s="3"/>
      <c r="Q3" s="3"/>
      <c r="R3" s="3">
        <v>0.0095</v>
      </c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</row>
    <row r="4" spans="1:57">
      <c r="A4" s="1" t="str">
        <f>'Population Definitions'!$A$4</f>
        <v>0-9_males</v>
      </c>
      <c r="C4" t="s">
        <v>55</v>
      </c>
      <c r="D4" s="3"/>
      <c r="E4" s="3">
        <v>0.01</v>
      </c>
      <c r="F4" s="4" t="s">
        <v>39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</row>
    <row r="5" spans="1:57">
      <c r="A5" s="1" t="str">
        <f>'Population Definitions'!$A$5</f>
        <v>0-9_females</v>
      </c>
      <c r="C5" t="s">
        <v>55</v>
      </c>
      <c r="D5" s="3"/>
      <c r="E5" s="3">
        <v>0.01</v>
      </c>
      <c r="F5" s="4" t="s">
        <v>39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</row>
    <row r="6" spans="1:57">
      <c r="A6" s="1" t="str">
        <f>'Population Definitions'!$A$6</f>
        <v>10-17_males</v>
      </c>
      <c r="C6" t="s">
        <v>55</v>
      </c>
      <c r="D6" s="3"/>
      <c r="E6" s="3">
        <v>0.01</v>
      </c>
      <c r="F6" s="4" t="s">
        <v>39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</row>
    <row r="7" spans="1:57">
      <c r="A7" s="1" t="str">
        <f>'Population Definitions'!$A$7</f>
        <v>10-17_females</v>
      </c>
      <c r="C7" t="s">
        <v>55</v>
      </c>
      <c r="D7" s="3"/>
      <c r="E7" s="3">
        <v>0.01</v>
      </c>
      <c r="F7" s="4" t="s">
        <v>39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</row>
    <row r="8" spans="1:57">
      <c r="A8" s="1" t="str">
        <f>'Population Definitions'!$A$8</f>
        <v>18-64_males</v>
      </c>
      <c r="C8" t="s">
        <v>55</v>
      </c>
      <c r="D8" s="3"/>
      <c r="E8" s="3">
        <v>0.05</v>
      </c>
      <c r="F8" s="4" t="s">
        <v>39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</row>
    <row r="9" spans="1:57">
      <c r="A9" s="1" t="str">
        <f>'Population Definitions'!$A$9</f>
        <v>18-64_females</v>
      </c>
      <c r="C9" t="s">
        <v>55</v>
      </c>
      <c r="D9" s="3"/>
      <c r="E9" s="3">
        <v>0.05</v>
      </c>
      <c r="F9" s="4" t="s">
        <v>39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</row>
    <row r="10" spans="1:57">
      <c r="A10" s="1" t="str">
        <f>'Population Definitions'!$A$10</f>
        <v>65+_males</v>
      </c>
      <c r="C10" t="s">
        <v>55</v>
      </c>
      <c r="D10" s="3"/>
      <c r="E10" s="3">
        <v>0.05</v>
      </c>
      <c r="F10" s="4" t="s">
        <v>39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</row>
    <row r="11" spans="1:57">
      <c r="A11" s="1" t="str">
        <f>'Population Definitions'!$A$11</f>
        <v>65+_females</v>
      </c>
      <c r="C11" t="s">
        <v>55</v>
      </c>
      <c r="D11" s="3"/>
      <c r="E11" s="3">
        <v>0.05</v>
      </c>
      <c r="F11" s="4" t="s">
        <v>39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</row>
    <row r="12" spans="1:57">
      <c r="A12" s="1" t="str">
        <f>'Population Definitions'!$A$12</f>
        <v>Prisoners_males</v>
      </c>
      <c r="C12" t="s">
        <v>55</v>
      </c>
      <c r="D12" s="3"/>
      <c r="E12" s="3"/>
      <c r="F12" s="4" t="s">
        <v>39</v>
      </c>
      <c r="G12" s="3">
        <v>0.00475</v>
      </c>
      <c r="H12" s="3"/>
      <c r="I12" s="3"/>
      <c r="J12" s="3"/>
      <c r="K12" s="3"/>
      <c r="L12" s="3"/>
      <c r="M12" s="3"/>
      <c r="N12" s="3"/>
      <c r="O12" s="3"/>
      <c r="P12" s="3"/>
      <c r="Q12" s="3"/>
      <c r="R12" s="3">
        <v>0.0095</v>
      </c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</row>
    <row r="13" spans="1:57">
      <c r="A13" s="1" t="str">
        <f>'Population Definitions'!$A$13</f>
        <v>Prisoners_females</v>
      </c>
      <c r="C13" t="s">
        <v>55</v>
      </c>
      <c r="D13" s="3"/>
      <c r="E13" s="3"/>
      <c r="F13" s="4" t="s">
        <v>39</v>
      </c>
      <c r="G13" s="3">
        <v>0.00475</v>
      </c>
      <c r="H13" s="3"/>
      <c r="I13" s="3"/>
      <c r="J13" s="3"/>
      <c r="K13" s="3"/>
      <c r="L13" s="3"/>
      <c r="M13" s="3"/>
      <c r="N13" s="3"/>
      <c r="O13" s="3"/>
      <c r="P13" s="3"/>
      <c r="Q13" s="3"/>
      <c r="R13" s="3">
        <v>0.0095</v>
      </c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</row>
    <row r="14" spans="1:57">
      <c r="A14" s="1" t="str">
        <f>'Population Definitions'!$A$14</f>
        <v>Prisoners_PWID_males</v>
      </c>
      <c r="C14" t="s">
        <v>55</v>
      </c>
      <c r="D14" s="3"/>
      <c r="E14" s="3"/>
      <c r="F14" s="4" t="s">
        <v>39</v>
      </c>
      <c r="G14" s="3">
        <v>0.00475</v>
      </c>
      <c r="H14" s="3"/>
      <c r="I14" s="3"/>
      <c r="J14" s="3"/>
      <c r="K14" s="3"/>
      <c r="L14" s="3"/>
      <c r="M14" s="3"/>
      <c r="N14" s="3"/>
      <c r="O14" s="3"/>
      <c r="P14" s="3"/>
      <c r="Q14" s="3"/>
      <c r="R14" s="3">
        <v>0.0095</v>
      </c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</row>
    <row r="15" spans="1:57">
      <c r="A15" s="1" t="str">
        <f>'Population Definitions'!$A$15</f>
        <v>Prisoners_PWID_females</v>
      </c>
      <c r="C15" t="s">
        <v>55</v>
      </c>
      <c r="D15" s="3"/>
      <c r="E15" s="3"/>
      <c r="F15" s="4" t="s">
        <v>39</v>
      </c>
      <c r="G15" s="3">
        <v>0.00475</v>
      </c>
      <c r="H15" s="3"/>
      <c r="I15" s="3"/>
      <c r="J15" s="3"/>
      <c r="K15" s="3"/>
      <c r="L15" s="3"/>
      <c r="M15" s="3"/>
      <c r="N15" s="3"/>
      <c r="O15" s="3"/>
      <c r="P15" s="3"/>
      <c r="Q15" s="3"/>
      <c r="R15" s="3">
        <v>0.0095</v>
      </c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</row>
    <row r="17" spans="1:57">
      <c r="A17" s="1" t="s">
        <v>81</v>
      </c>
      <c r="B17" s="1" t="s">
        <v>31</v>
      </c>
      <c r="C17" s="1" t="s">
        <v>32</v>
      </c>
      <c r="D17" s="1" t="s">
        <v>33</v>
      </c>
      <c r="E17" s="1" t="s">
        <v>38</v>
      </c>
      <c r="F17" s="1"/>
      <c r="G17" s="1">
        <v>2000</v>
      </c>
      <c r="H17" s="1">
        <v>2001</v>
      </c>
      <c r="I17" s="1">
        <v>2002</v>
      </c>
      <c r="J17" s="1">
        <v>2003</v>
      </c>
      <c r="K17" s="1">
        <v>2004</v>
      </c>
      <c r="L17" s="1">
        <v>2005</v>
      </c>
      <c r="M17" s="1">
        <v>2006</v>
      </c>
      <c r="N17" s="1">
        <v>2007</v>
      </c>
      <c r="O17" s="1">
        <v>2008</v>
      </c>
      <c r="P17" s="1">
        <v>2009</v>
      </c>
      <c r="Q17" s="1">
        <v>2010</v>
      </c>
      <c r="R17" s="1">
        <v>2011</v>
      </c>
      <c r="S17" s="1">
        <v>2012</v>
      </c>
      <c r="T17" s="1">
        <v>2013</v>
      </c>
      <c r="U17" s="1">
        <v>2014</v>
      </c>
      <c r="V17" s="1">
        <v>2015</v>
      </c>
      <c r="W17" s="1">
        <v>2016</v>
      </c>
      <c r="X17" s="1">
        <v>2017</v>
      </c>
      <c r="Y17" s="1">
        <v>2018</v>
      </c>
      <c r="Z17" s="1">
        <v>2019</v>
      </c>
      <c r="AA17" s="1">
        <v>2020</v>
      </c>
      <c r="AB17" s="1">
        <v>2021</v>
      </c>
      <c r="AC17" s="1">
        <v>2022</v>
      </c>
      <c r="AD17" s="1">
        <v>2023</v>
      </c>
      <c r="AE17" s="1">
        <v>2024</v>
      </c>
      <c r="AF17" s="1">
        <v>2025</v>
      </c>
      <c r="AG17" s="1">
        <v>2026</v>
      </c>
      <c r="AH17" s="1">
        <v>2027</v>
      </c>
      <c r="AI17" s="1">
        <v>2028</v>
      </c>
      <c r="AJ17" s="1">
        <v>2029</v>
      </c>
      <c r="AK17" s="1">
        <v>2030</v>
      </c>
      <c r="AL17" s="1">
        <v>2031</v>
      </c>
      <c r="AM17" s="1">
        <v>2032</v>
      </c>
      <c r="AN17" s="1">
        <v>2033</v>
      </c>
      <c r="AO17" s="1">
        <v>2034</v>
      </c>
      <c r="AP17" s="1">
        <v>2035</v>
      </c>
      <c r="AQ17" s="1">
        <v>2036</v>
      </c>
      <c r="AR17" s="1">
        <v>2037</v>
      </c>
      <c r="AS17" s="1">
        <v>2038</v>
      </c>
      <c r="AT17" s="1">
        <v>2039</v>
      </c>
      <c r="AU17" s="1">
        <v>2040</v>
      </c>
      <c r="AV17" s="1">
        <v>2041</v>
      </c>
      <c r="AW17" s="1">
        <v>2042</v>
      </c>
      <c r="AX17" s="1">
        <v>2043</v>
      </c>
      <c r="AY17" s="1">
        <v>2044</v>
      </c>
      <c r="AZ17" s="1">
        <v>2045</v>
      </c>
      <c r="BA17" s="1">
        <v>2046</v>
      </c>
      <c r="BB17" s="1">
        <v>2047</v>
      </c>
      <c r="BC17" s="1">
        <v>2048</v>
      </c>
      <c r="BD17" s="1">
        <v>2049</v>
      </c>
      <c r="BE17" s="1">
        <v>2050</v>
      </c>
    </row>
    <row r="18" spans="1:57">
      <c r="A18" s="1" t="str">
        <f>'Population Definitions'!$A$2</f>
        <v>PWID_males</v>
      </c>
      <c r="C18" t="s">
        <v>55</v>
      </c>
      <c r="D18" s="3">
        <v>0.02576530612244899</v>
      </c>
      <c r="E18" s="3"/>
      <c r="F18" s="4" t="s">
        <v>39</v>
      </c>
      <c r="G18" s="3">
        <v>0.00475</v>
      </c>
      <c r="H18" s="3"/>
      <c r="I18" s="3"/>
      <c r="J18" s="3"/>
      <c r="K18" s="3"/>
      <c r="L18" s="3"/>
      <c r="M18" s="3"/>
      <c r="N18" s="3"/>
      <c r="O18" s="3"/>
      <c r="P18" s="3"/>
      <c r="Q18" s="3"/>
      <c r="R18" s="3">
        <v>0.0095</v>
      </c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</row>
    <row r="19" spans="1:57">
      <c r="A19" s="1" t="str">
        <f>'Population Definitions'!$A$3</f>
        <v>PWID_females</v>
      </c>
      <c r="C19" t="s">
        <v>55</v>
      </c>
      <c r="D19" s="3">
        <v>0.02576530612244899</v>
      </c>
      <c r="E19" s="3"/>
      <c r="F19" s="4" t="s">
        <v>39</v>
      </c>
      <c r="G19" s="3">
        <v>0.00475</v>
      </c>
      <c r="H19" s="3"/>
      <c r="I19" s="3"/>
      <c r="J19" s="3"/>
      <c r="K19" s="3"/>
      <c r="L19" s="3"/>
      <c r="M19" s="3"/>
      <c r="N19" s="3"/>
      <c r="O19" s="3"/>
      <c r="P19" s="3"/>
      <c r="Q19" s="3"/>
      <c r="R19" s="3">
        <v>0.0095</v>
      </c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</row>
    <row r="20" spans="1:57">
      <c r="A20" s="1" t="str">
        <f>'Population Definitions'!$A$4</f>
        <v>0-9_males</v>
      </c>
      <c r="C20" t="s">
        <v>55</v>
      </c>
      <c r="D20" s="3"/>
      <c r="E20" s="3">
        <v>0.01</v>
      </c>
      <c r="F20" s="4" t="s">
        <v>39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</row>
    <row r="21" spans="1:57">
      <c r="A21" s="1" t="str">
        <f>'Population Definitions'!$A$5</f>
        <v>0-9_females</v>
      </c>
      <c r="C21" t="s">
        <v>55</v>
      </c>
      <c r="D21" s="3"/>
      <c r="E21" s="3">
        <v>0.01</v>
      </c>
      <c r="F21" s="4" t="s">
        <v>39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</row>
    <row r="22" spans="1:57">
      <c r="A22" s="1" t="str">
        <f>'Population Definitions'!$A$6</f>
        <v>10-17_males</v>
      </c>
      <c r="C22" t="s">
        <v>55</v>
      </c>
      <c r="D22" s="3"/>
      <c r="E22" s="3">
        <v>0.01</v>
      </c>
      <c r="F22" s="4" t="s">
        <v>39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</row>
    <row r="23" spans="1:57">
      <c r="A23" s="1" t="str">
        <f>'Population Definitions'!$A$7</f>
        <v>10-17_females</v>
      </c>
      <c r="C23" t="s">
        <v>55</v>
      </c>
      <c r="D23" s="3"/>
      <c r="E23" s="3">
        <v>0.01</v>
      </c>
      <c r="F23" s="4" t="s">
        <v>39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</row>
    <row r="24" spans="1:57">
      <c r="A24" s="1" t="str">
        <f>'Population Definitions'!$A$8</f>
        <v>18-64_males</v>
      </c>
      <c r="C24" t="s">
        <v>55</v>
      </c>
      <c r="D24" s="3"/>
      <c r="E24" s="3">
        <v>0.05</v>
      </c>
      <c r="F24" s="4" t="s">
        <v>39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</row>
    <row r="25" spans="1:57">
      <c r="A25" s="1" t="str">
        <f>'Population Definitions'!$A$9</f>
        <v>18-64_females</v>
      </c>
      <c r="C25" t="s">
        <v>55</v>
      </c>
      <c r="D25" s="3"/>
      <c r="E25" s="3">
        <v>0.05</v>
      </c>
      <c r="F25" s="4" t="s">
        <v>39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</row>
    <row r="26" spans="1:57">
      <c r="A26" s="1" t="str">
        <f>'Population Definitions'!$A$10</f>
        <v>65+_males</v>
      </c>
      <c r="C26" t="s">
        <v>55</v>
      </c>
      <c r="D26" s="3"/>
      <c r="E26" s="3">
        <v>0.05</v>
      </c>
      <c r="F26" s="4" t="s">
        <v>39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</row>
    <row r="27" spans="1:57">
      <c r="A27" s="1" t="str">
        <f>'Population Definitions'!$A$11</f>
        <v>65+_females</v>
      </c>
      <c r="C27" t="s">
        <v>55</v>
      </c>
      <c r="D27" s="3"/>
      <c r="E27" s="3">
        <v>0.05</v>
      </c>
      <c r="F27" s="4" t="s">
        <v>39</v>
      </c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</row>
    <row r="28" spans="1:57">
      <c r="A28" s="1" t="str">
        <f>'Population Definitions'!$A$12</f>
        <v>Prisoners_males</v>
      </c>
      <c r="C28" t="s">
        <v>55</v>
      </c>
      <c r="D28" s="3"/>
      <c r="E28" s="3"/>
      <c r="F28" s="4" t="s">
        <v>39</v>
      </c>
      <c r="G28" s="3">
        <v>0.00475</v>
      </c>
      <c r="H28" s="3"/>
      <c r="I28" s="3"/>
      <c r="J28" s="3"/>
      <c r="K28" s="3"/>
      <c r="L28" s="3"/>
      <c r="M28" s="3"/>
      <c r="N28" s="3"/>
      <c r="O28" s="3"/>
      <c r="P28" s="3"/>
      <c r="Q28" s="3"/>
      <c r="R28" s="3">
        <v>0.0095</v>
      </c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</row>
    <row r="29" spans="1:57">
      <c r="A29" s="1" t="str">
        <f>'Population Definitions'!$A$13</f>
        <v>Prisoners_females</v>
      </c>
      <c r="C29" t="s">
        <v>55</v>
      </c>
      <c r="D29" s="3"/>
      <c r="E29" s="3"/>
      <c r="F29" s="4" t="s">
        <v>39</v>
      </c>
      <c r="G29" s="3">
        <v>0.00475</v>
      </c>
      <c r="H29" s="3"/>
      <c r="I29" s="3"/>
      <c r="J29" s="3"/>
      <c r="K29" s="3"/>
      <c r="L29" s="3"/>
      <c r="M29" s="3"/>
      <c r="N29" s="3"/>
      <c r="O29" s="3"/>
      <c r="P29" s="3"/>
      <c r="Q29" s="3"/>
      <c r="R29" s="3">
        <v>0.0095</v>
      </c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</row>
    <row r="30" spans="1:57">
      <c r="A30" s="1" t="str">
        <f>'Population Definitions'!$A$14</f>
        <v>Prisoners_PWID_males</v>
      </c>
      <c r="C30" t="s">
        <v>55</v>
      </c>
      <c r="D30" s="3"/>
      <c r="E30" s="3"/>
      <c r="F30" s="4" t="s">
        <v>39</v>
      </c>
      <c r="G30" s="3">
        <v>0.00475</v>
      </c>
      <c r="H30" s="3"/>
      <c r="I30" s="3"/>
      <c r="J30" s="3"/>
      <c r="K30" s="3"/>
      <c r="L30" s="3"/>
      <c r="M30" s="3"/>
      <c r="N30" s="3"/>
      <c r="O30" s="3"/>
      <c r="P30" s="3"/>
      <c r="Q30" s="3"/>
      <c r="R30" s="3">
        <v>0.0095</v>
      </c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</row>
    <row r="31" spans="1:57">
      <c r="A31" s="1" t="str">
        <f>'Population Definitions'!$A$15</f>
        <v>Prisoners_PWID_females</v>
      </c>
      <c r="C31" t="s">
        <v>55</v>
      </c>
      <c r="D31" s="3"/>
      <c r="E31" s="3"/>
      <c r="F31" s="4" t="s">
        <v>39</v>
      </c>
      <c r="G31" s="3">
        <v>0.00475</v>
      </c>
      <c r="H31" s="3"/>
      <c r="I31" s="3"/>
      <c r="J31" s="3"/>
      <c r="K31" s="3"/>
      <c r="L31" s="3"/>
      <c r="M31" s="3"/>
      <c r="N31" s="3"/>
      <c r="O31" s="3"/>
      <c r="P31" s="3"/>
      <c r="Q31" s="3"/>
      <c r="R31" s="3">
        <v>0.0095</v>
      </c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</row>
    <row r="33" spans="1:57">
      <c r="A33" s="1" t="s">
        <v>82</v>
      </c>
      <c r="B33" s="1" t="s">
        <v>31</v>
      </c>
      <c r="C33" s="1" t="s">
        <v>32</v>
      </c>
      <c r="D33" s="1" t="s">
        <v>33</v>
      </c>
      <c r="E33" s="1" t="s">
        <v>38</v>
      </c>
      <c r="F33" s="1"/>
      <c r="G33" s="1">
        <v>2000</v>
      </c>
      <c r="H33" s="1">
        <v>2001</v>
      </c>
      <c r="I33" s="1">
        <v>2002</v>
      </c>
      <c r="J33" s="1">
        <v>2003</v>
      </c>
      <c r="K33" s="1">
        <v>2004</v>
      </c>
      <c r="L33" s="1">
        <v>2005</v>
      </c>
      <c r="M33" s="1">
        <v>2006</v>
      </c>
      <c r="N33" s="1">
        <v>2007</v>
      </c>
      <c r="O33" s="1">
        <v>2008</v>
      </c>
      <c r="P33" s="1">
        <v>2009</v>
      </c>
      <c r="Q33" s="1">
        <v>2010</v>
      </c>
      <c r="R33" s="1">
        <v>2011</v>
      </c>
      <c r="S33" s="1">
        <v>2012</v>
      </c>
      <c r="T33" s="1">
        <v>2013</v>
      </c>
      <c r="U33" s="1">
        <v>2014</v>
      </c>
      <c r="V33" s="1">
        <v>2015</v>
      </c>
      <c r="W33" s="1">
        <v>2016</v>
      </c>
      <c r="X33" s="1">
        <v>2017</v>
      </c>
      <c r="Y33" s="1">
        <v>2018</v>
      </c>
      <c r="Z33" s="1">
        <v>2019</v>
      </c>
      <c r="AA33" s="1">
        <v>2020</v>
      </c>
      <c r="AB33" s="1">
        <v>2021</v>
      </c>
      <c r="AC33" s="1">
        <v>2022</v>
      </c>
      <c r="AD33" s="1">
        <v>2023</v>
      </c>
      <c r="AE33" s="1">
        <v>2024</v>
      </c>
      <c r="AF33" s="1">
        <v>2025</v>
      </c>
      <c r="AG33" s="1">
        <v>2026</v>
      </c>
      <c r="AH33" s="1">
        <v>2027</v>
      </c>
      <c r="AI33" s="1">
        <v>2028</v>
      </c>
      <c r="AJ33" s="1">
        <v>2029</v>
      </c>
      <c r="AK33" s="1">
        <v>2030</v>
      </c>
      <c r="AL33" s="1">
        <v>2031</v>
      </c>
      <c r="AM33" s="1">
        <v>2032</v>
      </c>
      <c r="AN33" s="1">
        <v>2033</v>
      </c>
      <c r="AO33" s="1">
        <v>2034</v>
      </c>
      <c r="AP33" s="1">
        <v>2035</v>
      </c>
      <c r="AQ33" s="1">
        <v>2036</v>
      </c>
      <c r="AR33" s="1">
        <v>2037</v>
      </c>
      <c r="AS33" s="1">
        <v>2038</v>
      </c>
      <c r="AT33" s="1">
        <v>2039</v>
      </c>
      <c r="AU33" s="1">
        <v>2040</v>
      </c>
      <c r="AV33" s="1">
        <v>2041</v>
      </c>
      <c r="AW33" s="1">
        <v>2042</v>
      </c>
      <c r="AX33" s="1">
        <v>2043</v>
      </c>
      <c r="AY33" s="1">
        <v>2044</v>
      </c>
      <c r="AZ33" s="1">
        <v>2045</v>
      </c>
      <c r="BA33" s="1">
        <v>2046</v>
      </c>
      <c r="BB33" s="1">
        <v>2047</v>
      </c>
      <c r="BC33" s="1">
        <v>2048</v>
      </c>
      <c r="BD33" s="1">
        <v>2049</v>
      </c>
      <c r="BE33" s="1">
        <v>2050</v>
      </c>
    </row>
    <row r="34" spans="1:57">
      <c r="A34" s="1" t="str">
        <f>'Population Definitions'!$A$2</f>
        <v>PWID_males</v>
      </c>
      <c r="C34" t="s">
        <v>55</v>
      </c>
      <c r="D34" s="3"/>
      <c r="E34" s="3">
        <v>0.4</v>
      </c>
      <c r="F34" s="4" t="s">
        <v>39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</row>
    <row r="35" spans="1:57">
      <c r="A35" s="1" t="str">
        <f>'Population Definitions'!$A$3</f>
        <v>PWID_females</v>
      </c>
      <c r="C35" t="s">
        <v>55</v>
      </c>
      <c r="D35" s="3"/>
      <c r="E35" s="3">
        <v>0.4</v>
      </c>
      <c r="F35" s="4" t="s">
        <v>39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</row>
    <row r="36" spans="1:57">
      <c r="A36" s="1" t="str">
        <f>'Population Definitions'!$A$4</f>
        <v>0-9_males</v>
      </c>
      <c r="C36" t="s">
        <v>55</v>
      </c>
      <c r="D36" s="3"/>
      <c r="E36" s="3">
        <v>0.4</v>
      </c>
      <c r="F36" s="4" t="s">
        <v>39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</row>
    <row r="37" spans="1:57">
      <c r="A37" s="1" t="str">
        <f>'Population Definitions'!$A$5</f>
        <v>0-9_females</v>
      </c>
      <c r="C37" t="s">
        <v>55</v>
      </c>
      <c r="D37" s="3"/>
      <c r="E37" s="3">
        <v>0.4</v>
      </c>
      <c r="F37" s="4" t="s">
        <v>39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</row>
    <row r="38" spans="1:57">
      <c r="A38" s="1" t="str">
        <f>'Population Definitions'!$A$6</f>
        <v>10-17_males</v>
      </c>
      <c r="C38" t="s">
        <v>55</v>
      </c>
      <c r="D38" s="3"/>
      <c r="E38" s="3">
        <v>0.4</v>
      </c>
      <c r="F38" s="4" t="s">
        <v>39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</row>
    <row r="39" spans="1:57">
      <c r="A39" s="1" t="str">
        <f>'Population Definitions'!$A$7</f>
        <v>10-17_females</v>
      </c>
      <c r="C39" t="s">
        <v>55</v>
      </c>
      <c r="D39" s="3"/>
      <c r="E39" s="3">
        <v>0.4</v>
      </c>
      <c r="F39" s="4" t="s">
        <v>39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</row>
    <row r="40" spans="1:57">
      <c r="A40" s="1" t="str">
        <f>'Population Definitions'!$A$8</f>
        <v>18-64_males</v>
      </c>
      <c r="C40" t="s">
        <v>55</v>
      </c>
      <c r="D40" s="3"/>
      <c r="E40" s="3">
        <v>0.4</v>
      </c>
      <c r="F40" s="4" t="s">
        <v>39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</row>
    <row r="41" spans="1:57">
      <c r="A41" s="1" t="str">
        <f>'Population Definitions'!$A$9</f>
        <v>18-64_females</v>
      </c>
      <c r="C41" t="s">
        <v>55</v>
      </c>
      <c r="D41" s="3"/>
      <c r="E41" s="3">
        <v>0.4</v>
      </c>
      <c r="F41" s="4" t="s">
        <v>39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</row>
    <row r="42" spans="1:57">
      <c r="A42" s="1" t="str">
        <f>'Population Definitions'!$A$10</f>
        <v>65+_males</v>
      </c>
      <c r="C42" t="s">
        <v>55</v>
      </c>
      <c r="D42" s="3"/>
      <c r="E42" s="3">
        <v>0.4</v>
      </c>
      <c r="F42" s="4" t="s">
        <v>39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</row>
    <row r="43" spans="1:57">
      <c r="A43" s="1" t="str">
        <f>'Population Definitions'!$A$11</f>
        <v>65+_females</v>
      </c>
      <c r="C43" t="s">
        <v>55</v>
      </c>
      <c r="D43" s="3"/>
      <c r="E43" s="3">
        <v>0.4</v>
      </c>
      <c r="F43" s="4" t="s">
        <v>39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</row>
    <row r="44" spans="1:57">
      <c r="A44" s="1" t="str">
        <f>'Population Definitions'!$A$12</f>
        <v>Prisoners_males</v>
      </c>
      <c r="C44" t="s">
        <v>55</v>
      </c>
      <c r="D44" s="3"/>
      <c r="E44" s="3">
        <v>0.4</v>
      </c>
      <c r="F44" s="4" t="s">
        <v>39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</row>
    <row r="45" spans="1:57">
      <c r="A45" s="1" t="str">
        <f>'Population Definitions'!$A$13</f>
        <v>Prisoners_females</v>
      </c>
      <c r="C45" t="s">
        <v>55</v>
      </c>
      <c r="D45" s="3"/>
      <c r="E45" s="3">
        <v>0.4</v>
      </c>
      <c r="F45" s="4" t="s">
        <v>39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</row>
    <row r="46" spans="1:57">
      <c r="A46" s="1" t="str">
        <f>'Population Definitions'!$A$14</f>
        <v>Prisoners_PWID_males</v>
      </c>
      <c r="C46" t="s">
        <v>55</v>
      </c>
      <c r="D46" s="3"/>
      <c r="E46" s="3">
        <v>0.4</v>
      </c>
      <c r="F46" s="4" t="s">
        <v>39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</row>
    <row r="47" spans="1:57">
      <c r="A47" s="1" t="str">
        <f>'Population Definitions'!$A$15</f>
        <v>Prisoners_PWID_females</v>
      </c>
      <c r="C47" t="s">
        <v>55</v>
      </c>
      <c r="D47" s="3"/>
      <c r="E47" s="3">
        <v>0.4</v>
      </c>
      <c r="F47" s="4" t="s">
        <v>39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</row>
    <row r="49" spans="1:57">
      <c r="A49" s="1" t="s">
        <v>83</v>
      </c>
      <c r="B49" s="1" t="s">
        <v>31</v>
      </c>
      <c r="C49" s="1" t="s">
        <v>32</v>
      </c>
      <c r="D49" s="1" t="s">
        <v>33</v>
      </c>
      <c r="E49" s="1" t="s">
        <v>38</v>
      </c>
      <c r="F49" s="1"/>
      <c r="G49" s="1">
        <v>2000</v>
      </c>
      <c r="H49" s="1">
        <v>2001</v>
      </c>
      <c r="I49" s="1">
        <v>2002</v>
      </c>
      <c r="J49" s="1">
        <v>2003</v>
      </c>
      <c r="K49" s="1">
        <v>2004</v>
      </c>
      <c r="L49" s="1">
        <v>2005</v>
      </c>
      <c r="M49" s="1">
        <v>2006</v>
      </c>
      <c r="N49" s="1">
        <v>2007</v>
      </c>
      <c r="O49" s="1">
        <v>2008</v>
      </c>
      <c r="P49" s="1">
        <v>2009</v>
      </c>
      <c r="Q49" s="1">
        <v>2010</v>
      </c>
      <c r="R49" s="1">
        <v>2011</v>
      </c>
      <c r="S49" s="1">
        <v>2012</v>
      </c>
      <c r="T49" s="1">
        <v>2013</v>
      </c>
      <c r="U49" s="1">
        <v>2014</v>
      </c>
      <c r="V49" s="1">
        <v>2015</v>
      </c>
      <c r="W49" s="1">
        <v>2016</v>
      </c>
      <c r="X49" s="1">
        <v>2017</v>
      </c>
      <c r="Y49" s="1">
        <v>2018</v>
      </c>
      <c r="Z49" s="1">
        <v>2019</v>
      </c>
      <c r="AA49" s="1">
        <v>2020</v>
      </c>
      <c r="AB49" s="1">
        <v>2021</v>
      </c>
      <c r="AC49" s="1">
        <v>2022</v>
      </c>
      <c r="AD49" s="1">
        <v>2023</v>
      </c>
      <c r="AE49" s="1">
        <v>2024</v>
      </c>
      <c r="AF49" s="1">
        <v>2025</v>
      </c>
      <c r="AG49" s="1">
        <v>2026</v>
      </c>
      <c r="AH49" s="1">
        <v>2027</v>
      </c>
      <c r="AI49" s="1">
        <v>2028</v>
      </c>
      <c r="AJ49" s="1">
        <v>2029</v>
      </c>
      <c r="AK49" s="1">
        <v>2030</v>
      </c>
      <c r="AL49" s="1">
        <v>2031</v>
      </c>
      <c r="AM49" s="1">
        <v>2032</v>
      </c>
      <c r="AN49" s="1">
        <v>2033</v>
      </c>
      <c r="AO49" s="1">
        <v>2034</v>
      </c>
      <c r="AP49" s="1">
        <v>2035</v>
      </c>
      <c r="AQ49" s="1">
        <v>2036</v>
      </c>
      <c r="AR49" s="1">
        <v>2037</v>
      </c>
      <c r="AS49" s="1">
        <v>2038</v>
      </c>
      <c r="AT49" s="1">
        <v>2039</v>
      </c>
      <c r="AU49" s="1">
        <v>2040</v>
      </c>
      <c r="AV49" s="1">
        <v>2041</v>
      </c>
      <c r="AW49" s="1">
        <v>2042</v>
      </c>
      <c r="AX49" s="1">
        <v>2043</v>
      </c>
      <c r="AY49" s="1">
        <v>2044</v>
      </c>
      <c r="AZ49" s="1">
        <v>2045</v>
      </c>
      <c r="BA49" s="1">
        <v>2046</v>
      </c>
      <c r="BB49" s="1">
        <v>2047</v>
      </c>
      <c r="BC49" s="1">
        <v>2048</v>
      </c>
      <c r="BD49" s="1">
        <v>2049</v>
      </c>
      <c r="BE49" s="1">
        <v>2050</v>
      </c>
    </row>
    <row r="50" spans="1:57">
      <c r="A50" s="1" t="str">
        <f>'Population Definitions'!$A$2</f>
        <v>PWID_males</v>
      </c>
      <c r="C50" t="s">
        <v>55</v>
      </c>
      <c r="D50" s="3"/>
      <c r="E50" s="3">
        <v>0.4</v>
      </c>
      <c r="F50" s="4" t="s">
        <v>39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</row>
    <row r="51" spans="1:57">
      <c r="A51" s="1" t="str">
        <f>'Population Definitions'!$A$3</f>
        <v>PWID_females</v>
      </c>
      <c r="C51" t="s">
        <v>55</v>
      </c>
      <c r="D51" s="3"/>
      <c r="E51" s="3">
        <v>0.4</v>
      </c>
      <c r="F51" s="4" t="s">
        <v>39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</row>
    <row r="52" spans="1:57">
      <c r="A52" s="1" t="str">
        <f>'Population Definitions'!$A$4</f>
        <v>0-9_males</v>
      </c>
      <c r="C52" t="s">
        <v>55</v>
      </c>
      <c r="D52" s="3"/>
      <c r="E52" s="3">
        <v>0.4</v>
      </c>
      <c r="F52" s="4" t="s">
        <v>39</v>
      </c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</row>
    <row r="53" spans="1:57">
      <c r="A53" s="1" t="str">
        <f>'Population Definitions'!$A$5</f>
        <v>0-9_females</v>
      </c>
      <c r="C53" t="s">
        <v>55</v>
      </c>
      <c r="D53" s="3"/>
      <c r="E53" s="3">
        <v>0.4</v>
      </c>
      <c r="F53" s="4" t="s">
        <v>39</v>
      </c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</row>
    <row r="54" spans="1:57">
      <c r="A54" s="1" t="str">
        <f>'Population Definitions'!$A$6</f>
        <v>10-17_males</v>
      </c>
      <c r="C54" t="s">
        <v>55</v>
      </c>
      <c r="D54" s="3"/>
      <c r="E54" s="3">
        <v>0.4</v>
      </c>
      <c r="F54" s="4" t="s">
        <v>39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</row>
    <row r="55" spans="1:57">
      <c r="A55" s="1" t="str">
        <f>'Population Definitions'!$A$7</f>
        <v>10-17_females</v>
      </c>
      <c r="C55" t="s">
        <v>55</v>
      </c>
      <c r="D55" s="3"/>
      <c r="E55" s="3">
        <v>0.4</v>
      </c>
      <c r="F55" s="4" t="s">
        <v>39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</row>
    <row r="56" spans="1:57">
      <c r="A56" s="1" t="str">
        <f>'Population Definitions'!$A$8</f>
        <v>18-64_males</v>
      </c>
      <c r="C56" t="s">
        <v>55</v>
      </c>
      <c r="D56" s="3"/>
      <c r="E56" s="3">
        <v>0.4</v>
      </c>
      <c r="F56" s="4" t="s">
        <v>39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</row>
    <row r="57" spans="1:57">
      <c r="A57" s="1" t="str">
        <f>'Population Definitions'!$A$9</f>
        <v>18-64_females</v>
      </c>
      <c r="C57" t="s">
        <v>55</v>
      </c>
      <c r="D57" s="3"/>
      <c r="E57" s="3">
        <v>0.4</v>
      </c>
      <c r="F57" s="4" t="s">
        <v>39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</row>
    <row r="58" spans="1:57">
      <c r="A58" s="1" t="str">
        <f>'Population Definitions'!$A$10</f>
        <v>65+_males</v>
      </c>
      <c r="C58" t="s">
        <v>55</v>
      </c>
      <c r="D58" s="3"/>
      <c r="E58" s="3">
        <v>0.4</v>
      </c>
      <c r="F58" s="4" t="s">
        <v>39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</row>
    <row r="59" spans="1:57">
      <c r="A59" s="1" t="str">
        <f>'Population Definitions'!$A$11</f>
        <v>65+_females</v>
      </c>
      <c r="C59" t="s">
        <v>55</v>
      </c>
      <c r="D59" s="3"/>
      <c r="E59" s="3">
        <v>0.4</v>
      </c>
      <c r="F59" s="4" t="s">
        <v>39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</row>
    <row r="60" spans="1:57">
      <c r="A60" s="1" t="str">
        <f>'Population Definitions'!$A$12</f>
        <v>Prisoners_males</v>
      </c>
      <c r="C60" t="s">
        <v>55</v>
      </c>
      <c r="D60" s="3"/>
      <c r="E60" s="3">
        <v>0.4</v>
      </c>
      <c r="F60" s="4" t="s">
        <v>39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</row>
    <row r="61" spans="1:57">
      <c r="A61" s="1" t="str">
        <f>'Population Definitions'!$A$13</f>
        <v>Prisoners_females</v>
      </c>
      <c r="C61" t="s">
        <v>55</v>
      </c>
      <c r="D61" s="3"/>
      <c r="E61" s="3">
        <v>0.4</v>
      </c>
      <c r="F61" s="4" t="s">
        <v>39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</row>
    <row r="62" spans="1:57">
      <c r="A62" s="1" t="str">
        <f>'Population Definitions'!$A$14</f>
        <v>Prisoners_PWID_males</v>
      </c>
      <c r="C62" t="s">
        <v>55</v>
      </c>
      <c r="D62" s="3"/>
      <c r="E62" s="3">
        <v>0.4</v>
      </c>
      <c r="F62" s="4" t="s">
        <v>39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</row>
    <row r="63" spans="1:57">
      <c r="A63" s="1" t="str">
        <f>'Population Definitions'!$A$15</f>
        <v>Prisoners_PWID_females</v>
      </c>
      <c r="C63" t="s">
        <v>55</v>
      </c>
      <c r="D63" s="3"/>
      <c r="E63" s="3">
        <v>0.4</v>
      </c>
      <c r="F63" s="4" t="s">
        <v>39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</row>
  </sheetData>
  <conditionalFormatting sqref="E10">
    <cfRule type="expression" dxfId="0" priority="17">
      <formula>COUNTIF(G10:BE10,"&lt;&gt;" &amp; "")&gt;0</formula>
    </cfRule>
    <cfRule type="expression" dxfId="1" priority="18">
      <formula>AND(COUNTIF(G10:BE10,"&lt;&gt;" &amp; "")&gt;0,NOT(ISBLANK(E10)))</formula>
    </cfRule>
  </conditionalFormatting>
  <conditionalFormatting sqref="E11">
    <cfRule type="expression" dxfId="0" priority="19">
      <formula>COUNTIF(G11:BE11,"&lt;&gt;" &amp; "")&gt;0</formula>
    </cfRule>
    <cfRule type="expression" dxfId="1" priority="20">
      <formula>AND(COUNTIF(G11:BE11,"&lt;&gt;" &amp; "")&gt;0,NOT(ISBLANK(E11)))</formula>
    </cfRule>
  </conditionalFormatting>
  <conditionalFormatting sqref="E12">
    <cfRule type="expression" dxfId="0" priority="21">
      <formula>COUNTIF(G12:BE12,"&lt;&gt;" &amp; "")&gt;0</formula>
    </cfRule>
    <cfRule type="expression" dxfId="1" priority="22">
      <formula>AND(COUNTIF(G12:BE12,"&lt;&gt;" &amp; "")&gt;0,NOT(ISBLANK(E12)))</formula>
    </cfRule>
  </conditionalFormatting>
  <conditionalFormatting sqref="E13">
    <cfRule type="expression" dxfId="0" priority="23">
      <formula>COUNTIF(G13:BE13,"&lt;&gt;" &amp; "")&gt;0</formula>
    </cfRule>
    <cfRule type="expression" dxfId="1" priority="24">
      <formula>AND(COUNTIF(G13:BE13,"&lt;&gt;" &amp; "")&gt;0,NOT(ISBLANK(E13)))</formula>
    </cfRule>
  </conditionalFormatting>
  <conditionalFormatting sqref="E14">
    <cfRule type="expression" dxfId="0" priority="25">
      <formula>COUNTIF(G14:BE14,"&lt;&gt;" &amp; "")&gt;0</formula>
    </cfRule>
    <cfRule type="expression" dxfId="1" priority="26">
      <formula>AND(COUNTIF(G14:BE14,"&lt;&gt;" &amp; "")&gt;0,NOT(ISBLANK(E14)))</formula>
    </cfRule>
  </conditionalFormatting>
  <conditionalFormatting sqref="E15">
    <cfRule type="expression" dxfId="0" priority="27">
      <formula>COUNTIF(G15:BE15,"&lt;&gt;" &amp; "")&gt;0</formula>
    </cfRule>
    <cfRule type="expression" dxfId="1" priority="28">
      <formula>AND(COUNTIF(G15:BE15,"&lt;&gt;" &amp; "")&gt;0,NOT(ISBLANK(E15)))</formula>
    </cfRule>
  </conditionalFormatting>
  <conditionalFormatting sqref="E18">
    <cfRule type="expression" dxfId="0" priority="29">
      <formula>COUNTIF(G18:BE18,"&lt;&gt;" &amp; "")&gt;0</formula>
    </cfRule>
    <cfRule type="expression" dxfId="1" priority="30">
      <formula>AND(COUNTIF(G18:BE18,"&lt;&gt;" &amp; "")&gt;0,NOT(ISBLANK(E18)))</formula>
    </cfRule>
  </conditionalFormatting>
  <conditionalFormatting sqref="E19">
    <cfRule type="expression" dxfId="0" priority="31">
      <formula>COUNTIF(G19:BE19,"&lt;&gt;" &amp; "")&gt;0</formula>
    </cfRule>
    <cfRule type="expression" dxfId="1" priority="32">
      <formula>AND(COUNTIF(G19:BE19,"&lt;&gt;" &amp; "")&gt;0,NOT(ISBLANK(E19)))</formula>
    </cfRule>
  </conditionalFormatting>
  <conditionalFormatting sqref="E2">
    <cfRule type="expression" dxfId="0" priority="1">
      <formula>COUNTIF(G2:BE2,"&lt;&gt;" &amp; "")&gt;0</formula>
    </cfRule>
    <cfRule type="expression" dxfId="1" priority="2">
      <formula>AND(COUNTIF(G2:BE2,"&lt;&gt;" &amp; "")&gt;0,NOT(ISBLANK(E2)))</formula>
    </cfRule>
  </conditionalFormatting>
  <conditionalFormatting sqref="E20">
    <cfRule type="expression" dxfId="0" priority="33">
      <formula>COUNTIF(G20:BE20,"&lt;&gt;" &amp; "")&gt;0</formula>
    </cfRule>
    <cfRule type="expression" dxfId="1" priority="34">
      <formula>AND(COUNTIF(G20:BE20,"&lt;&gt;" &amp; "")&gt;0,NOT(ISBLANK(E20)))</formula>
    </cfRule>
  </conditionalFormatting>
  <conditionalFormatting sqref="E21">
    <cfRule type="expression" dxfId="0" priority="35">
      <formula>COUNTIF(G21:BE21,"&lt;&gt;" &amp; "")&gt;0</formula>
    </cfRule>
    <cfRule type="expression" dxfId="1" priority="36">
      <formula>AND(COUNTIF(G21:BE21,"&lt;&gt;" &amp; "")&gt;0,NOT(ISBLANK(E21)))</formula>
    </cfRule>
  </conditionalFormatting>
  <conditionalFormatting sqref="E22">
    <cfRule type="expression" dxfId="0" priority="37">
      <formula>COUNTIF(G22:BE22,"&lt;&gt;" &amp; "")&gt;0</formula>
    </cfRule>
    <cfRule type="expression" dxfId="1" priority="38">
      <formula>AND(COUNTIF(G22:BE22,"&lt;&gt;" &amp; "")&gt;0,NOT(ISBLANK(E22)))</formula>
    </cfRule>
  </conditionalFormatting>
  <conditionalFormatting sqref="E23">
    <cfRule type="expression" dxfId="0" priority="39">
      <formula>COUNTIF(G23:BE23,"&lt;&gt;" &amp; "")&gt;0</formula>
    </cfRule>
    <cfRule type="expression" dxfId="1" priority="40">
      <formula>AND(COUNTIF(G23:BE23,"&lt;&gt;" &amp; "")&gt;0,NOT(ISBLANK(E23)))</formula>
    </cfRule>
  </conditionalFormatting>
  <conditionalFormatting sqref="E24">
    <cfRule type="expression" dxfId="0" priority="41">
      <formula>COUNTIF(G24:BE24,"&lt;&gt;" &amp; "")&gt;0</formula>
    </cfRule>
    <cfRule type="expression" dxfId="1" priority="42">
      <formula>AND(COUNTIF(G24:BE24,"&lt;&gt;" &amp; "")&gt;0,NOT(ISBLANK(E24)))</formula>
    </cfRule>
  </conditionalFormatting>
  <conditionalFormatting sqref="E25">
    <cfRule type="expression" dxfId="0" priority="43">
      <formula>COUNTIF(G25:BE25,"&lt;&gt;" &amp; "")&gt;0</formula>
    </cfRule>
    <cfRule type="expression" dxfId="1" priority="44">
      <formula>AND(COUNTIF(G25:BE25,"&lt;&gt;" &amp; "")&gt;0,NOT(ISBLANK(E25)))</formula>
    </cfRule>
  </conditionalFormatting>
  <conditionalFormatting sqref="E26">
    <cfRule type="expression" dxfId="0" priority="45">
      <formula>COUNTIF(G26:BE26,"&lt;&gt;" &amp; "")&gt;0</formula>
    </cfRule>
    <cfRule type="expression" dxfId="1" priority="46">
      <formula>AND(COUNTIF(G26:BE26,"&lt;&gt;" &amp; "")&gt;0,NOT(ISBLANK(E26)))</formula>
    </cfRule>
  </conditionalFormatting>
  <conditionalFormatting sqref="E27">
    <cfRule type="expression" dxfId="0" priority="47">
      <formula>COUNTIF(G27:BE27,"&lt;&gt;" &amp; "")&gt;0</formula>
    </cfRule>
    <cfRule type="expression" dxfId="1" priority="48">
      <formula>AND(COUNTIF(G27:BE27,"&lt;&gt;" &amp; "")&gt;0,NOT(ISBLANK(E27)))</formula>
    </cfRule>
  </conditionalFormatting>
  <conditionalFormatting sqref="E28">
    <cfRule type="expression" dxfId="0" priority="49">
      <formula>COUNTIF(G28:BE28,"&lt;&gt;" &amp; "")&gt;0</formula>
    </cfRule>
    <cfRule type="expression" dxfId="1" priority="50">
      <formula>AND(COUNTIF(G28:BE28,"&lt;&gt;" &amp; "")&gt;0,NOT(ISBLANK(E28)))</formula>
    </cfRule>
  </conditionalFormatting>
  <conditionalFormatting sqref="E29">
    <cfRule type="expression" dxfId="0" priority="51">
      <formula>COUNTIF(G29:BE29,"&lt;&gt;" &amp; "")&gt;0</formula>
    </cfRule>
    <cfRule type="expression" dxfId="1" priority="52">
      <formula>AND(COUNTIF(G29:BE29,"&lt;&gt;" &amp; "")&gt;0,NOT(ISBLANK(E29)))</formula>
    </cfRule>
  </conditionalFormatting>
  <conditionalFormatting sqref="E3">
    <cfRule type="expression" dxfId="0" priority="3">
      <formula>COUNTIF(G3:BE3,"&lt;&gt;" &amp; "")&gt;0</formula>
    </cfRule>
    <cfRule type="expression" dxfId="1" priority="4">
      <formula>AND(COUNTIF(G3:BE3,"&lt;&gt;" &amp; "")&gt;0,NOT(ISBLANK(E3)))</formula>
    </cfRule>
  </conditionalFormatting>
  <conditionalFormatting sqref="E30">
    <cfRule type="expression" dxfId="0" priority="53">
      <formula>COUNTIF(G30:BE30,"&lt;&gt;" &amp; "")&gt;0</formula>
    </cfRule>
    <cfRule type="expression" dxfId="1" priority="54">
      <formula>AND(COUNTIF(G30:BE30,"&lt;&gt;" &amp; "")&gt;0,NOT(ISBLANK(E30)))</formula>
    </cfRule>
  </conditionalFormatting>
  <conditionalFormatting sqref="E31">
    <cfRule type="expression" dxfId="0" priority="55">
      <formula>COUNTIF(G31:BE31,"&lt;&gt;" &amp; "")&gt;0</formula>
    </cfRule>
    <cfRule type="expression" dxfId="1" priority="56">
      <formula>AND(COUNTIF(G31:BE31,"&lt;&gt;" &amp; "")&gt;0,NOT(ISBLANK(E31)))</formula>
    </cfRule>
  </conditionalFormatting>
  <conditionalFormatting sqref="E34">
    <cfRule type="expression" dxfId="0" priority="57">
      <formula>COUNTIF(G34:BE34,"&lt;&gt;" &amp; "")&gt;0</formula>
    </cfRule>
    <cfRule type="expression" dxfId="1" priority="58">
      <formula>AND(COUNTIF(G34:BE34,"&lt;&gt;" &amp; "")&gt;0,NOT(ISBLANK(E34)))</formula>
    </cfRule>
  </conditionalFormatting>
  <conditionalFormatting sqref="E35">
    <cfRule type="expression" dxfId="0" priority="59">
      <formula>COUNTIF(G35:BE35,"&lt;&gt;" &amp; "")&gt;0</formula>
    </cfRule>
    <cfRule type="expression" dxfId="1" priority="60">
      <formula>AND(COUNTIF(G35:BE35,"&lt;&gt;" &amp; "")&gt;0,NOT(ISBLANK(E35)))</formula>
    </cfRule>
  </conditionalFormatting>
  <conditionalFormatting sqref="E36">
    <cfRule type="expression" dxfId="0" priority="61">
      <formula>COUNTIF(G36:BE36,"&lt;&gt;" &amp; "")&gt;0</formula>
    </cfRule>
    <cfRule type="expression" dxfId="1" priority="62">
      <formula>AND(COUNTIF(G36:BE36,"&lt;&gt;" &amp; "")&gt;0,NOT(ISBLANK(E36)))</formula>
    </cfRule>
  </conditionalFormatting>
  <conditionalFormatting sqref="E37">
    <cfRule type="expression" dxfId="0" priority="63">
      <formula>COUNTIF(G37:BE37,"&lt;&gt;" &amp; "")&gt;0</formula>
    </cfRule>
    <cfRule type="expression" dxfId="1" priority="64">
      <formula>AND(COUNTIF(G37:BE37,"&lt;&gt;" &amp; "")&gt;0,NOT(ISBLANK(E37)))</formula>
    </cfRule>
  </conditionalFormatting>
  <conditionalFormatting sqref="E38">
    <cfRule type="expression" dxfId="0" priority="65">
      <formula>COUNTIF(G38:BE38,"&lt;&gt;" &amp; "")&gt;0</formula>
    </cfRule>
    <cfRule type="expression" dxfId="1" priority="66">
      <formula>AND(COUNTIF(G38:BE38,"&lt;&gt;" &amp; "")&gt;0,NOT(ISBLANK(E38)))</formula>
    </cfRule>
  </conditionalFormatting>
  <conditionalFormatting sqref="E39">
    <cfRule type="expression" dxfId="0" priority="67">
      <formula>COUNTIF(G39:BE39,"&lt;&gt;" &amp; "")&gt;0</formula>
    </cfRule>
    <cfRule type="expression" dxfId="1" priority="68">
      <formula>AND(COUNTIF(G39:BE39,"&lt;&gt;" &amp; "")&gt;0,NOT(ISBLANK(E39)))</formula>
    </cfRule>
  </conditionalFormatting>
  <conditionalFormatting sqref="E4">
    <cfRule type="expression" dxfId="0" priority="5">
      <formula>COUNTIF(G4:BE4,"&lt;&gt;" &amp; "")&gt;0</formula>
    </cfRule>
    <cfRule type="expression" dxfId="1" priority="6">
      <formula>AND(COUNTIF(G4:BE4,"&lt;&gt;" &amp; "")&gt;0,NOT(ISBLANK(E4)))</formula>
    </cfRule>
  </conditionalFormatting>
  <conditionalFormatting sqref="E40">
    <cfRule type="expression" dxfId="0" priority="69">
      <formula>COUNTIF(G40:BE40,"&lt;&gt;" &amp; "")&gt;0</formula>
    </cfRule>
    <cfRule type="expression" dxfId="1" priority="70">
      <formula>AND(COUNTIF(G40:BE40,"&lt;&gt;" &amp; "")&gt;0,NOT(ISBLANK(E40)))</formula>
    </cfRule>
  </conditionalFormatting>
  <conditionalFormatting sqref="E41">
    <cfRule type="expression" dxfId="0" priority="71">
      <formula>COUNTIF(G41:BE41,"&lt;&gt;" &amp; "")&gt;0</formula>
    </cfRule>
    <cfRule type="expression" dxfId="1" priority="72">
      <formula>AND(COUNTIF(G41:BE41,"&lt;&gt;" &amp; "")&gt;0,NOT(ISBLANK(E41)))</formula>
    </cfRule>
  </conditionalFormatting>
  <conditionalFormatting sqref="E42">
    <cfRule type="expression" dxfId="0" priority="73">
      <formula>COUNTIF(G42:BE42,"&lt;&gt;" &amp; "")&gt;0</formula>
    </cfRule>
    <cfRule type="expression" dxfId="1" priority="74">
      <formula>AND(COUNTIF(G42:BE42,"&lt;&gt;" &amp; "")&gt;0,NOT(ISBLANK(E42)))</formula>
    </cfRule>
  </conditionalFormatting>
  <conditionalFormatting sqref="E43">
    <cfRule type="expression" dxfId="0" priority="75">
      <formula>COUNTIF(G43:BE43,"&lt;&gt;" &amp; "")&gt;0</formula>
    </cfRule>
    <cfRule type="expression" dxfId="1" priority="76">
      <formula>AND(COUNTIF(G43:BE43,"&lt;&gt;" &amp; "")&gt;0,NOT(ISBLANK(E43)))</formula>
    </cfRule>
  </conditionalFormatting>
  <conditionalFormatting sqref="E44">
    <cfRule type="expression" dxfId="0" priority="77">
      <formula>COUNTIF(G44:BE44,"&lt;&gt;" &amp; "")&gt;0</formula>
    </cfRule>
    <cfRule type="expression" dxfId="1" priority="78">
      <formula>AND(COUNTIF(G44:BE44,"&lt;&gt;" &amp; "")&gt;0,NOT(ISBLANK(E44)))</formula>
    </cfRule>
  </conditionalFormatting>
  <conditionalFormatting sqref="E45">
    <cfRule type="expression" dxfId="0" priority="79">
      <formula>COUNTIF(G45:BE45,"&lt;&gt;" &amp; "")&gt;0</formula>
    </cfRule>
    <cfRule type="expression" dxfId="1" priority="80">
      <formula>AND(COUNTIF(G45:BE45,"&lt;&gt;" &amp; "")&gt;0,NOT(ISBLANK(E45)))</formula>
    </cfRule>
  </conditionalFormatting>
  <conditionalFormatting sqref="E46">
    <cfRule type="expression" dxfId="0" priority="81">
      <formula>COUNTIF(G46:BE46,"&lt;&gt;" &amp; "")&gt;0</formula>
    </cfRule>
    <cfRule type="expression" dxfId="1" priority="82">
      <formula>AND(COUNTIF(G46:BE46,"&lt;&gt;" &amp; "")&gt;0,NOT(ISBLANK(E46)))</formula>
    </cfRule>
  </conditionalFormatting>
  <conditionalFormatting sqref="E47">
    <cfRule type="expression" dxfId="0" priority="83">
      <formula>COUNTIF(G47:BE47,"&lt;&gt;" &amp; "")&gt;0</formula>
    </cfRule>
    <cfRule type="expression" dxfId="1" priority="84">
      <formula>AND(COUNTIF(G47:BE47,"&lt;&gt;" &amp; "")&gt;0,NOT(ISBLANK(E47)))</formula>
    </cfRule>
  </conditionalFormatting>
  <conditionalFormatting sqref="E5">
    <cfRule type="expression" dxfId="0" priority="7">
      <formula>COUNTIF(G5:BE5,"&lt;&gt;" &amp; "")&gt;0</formula>
    </cfRule>
    <cfRule type="expression" dxfId="1" priority="8">
      <formula>AND(COUNTIF(G5:BE5,"&lt;&gt;" &amp; "")&gt;0,NOT(ISBLANK(E5)))</formula>
    </cfRule>
  </conditionalFormatting>
  <conditionalFormatting sqref="E50">
    <cfRule type="expression" dxfId="0" priority="85">
      <formula>COUNTIF(G50:BE50,"&lt;&gt;" &amp; "")&gt;0</formula>
    </cfRule>
    <cfRule type="expression" dxfId="1" priority="86">
      <formula>AND(COUNTIF(G50:BE50,"&lt;&gt;" &amp; "")&gt;0,NOT(ISBLANK(E50)))</formula>
    </cfRule>
  </conditionalFormatting>
  <conditionalFormatting sqref="E51">
    <cfRule type="expression" dxfId="0" priority="87">
      <formula>COUNTIF(G51:BE51,"&lt;&gt;" &amp; "")&gt;0</formula>
    </cfRule>
    <cfRule type="expression" dxfId="1" priority="88">
      <formula>AND(COUNTIF(G51:BE51,"&lt;&gt;" &amp; "")&gt;0,NOT(ISBLANK(E51)))</formula>
    </cfRule>
  </conditionalFormatting>
  <conditionalFormatting sqref="E52">
    <cfRule type="expression" dxfId="0" priority="89">
      <formula>COUNTIF(G52:BE52,"&lt;&gt;" &amp; "")&gt;0</formula>
    </cfRule>
    <cfRule type="expression" dxfId="1" priority="90">
      <formula>AND(COUNTIF(G52:BE52,"&lt;&gt;" &amp; "")&gt;0,NOT(ISBLANK(E52)))</formula>
    </cfRule>
  </conditionalFormatting>
  <conditionalFormatting sqref="E53">
    <cfRule type="expression" dxfId="0" priority="91">
      <formula>COUNTIF(G53:BE53,"&lt;&gt;" &amp; "")&gt;0</formula>
    </cfRule>
    <cfRule type="expression" dxfId="1" priority="92">
      <formula>AND(COUNTIF(G53:BE53,"&lt;&gt;" &amp; "")&gt;0,NOT(ISBLANK(E53)))</formula>
    </cfRule>
  </conditionalFormatting>
  <conditionalFormatting sqref="E54">
    <cfRule type="expression" dxfId="0" priority="93">
      <formula>COUNTIF(G54:BE54,"&lt;&gt;" &amp; "")&gt;0</formula>
    </cfRule>
    <cfRule type="expression" dxfId="1" priority="94">
      <formula>AND(COUNTIF(G54:BE54,"&lt;&gt;" &amp; "")&gt;0,NOT(ISBLANK(E54)))</formula>
    </cfRule>
  </conditionalFormatting>
  <conditionalFormatting sqref="E55">
    <cfRule type="expression" dxfId="0" priority="95">
      <formula>COUNTIF(G55:BE55,"&lt;&gt;" &amp; "")&gt;0</formula>
    </cfRule>
    <cfRule type="expression" dxfId="1" priority="96">
      <formula>AND(COUNTIF(G55:BE55,"&lt;&gt;" &amp; "")&gt;0,NOT(ISBLANK(E55)))</formula>
    </cfRule>
  </conditionalFormatting>
  <conditionalFormatting sqref="E56">
    <cfRule type="expression" dxfId="0" priority="97">
      <formula>COUNTIF(G56:BE56,"&lt;&gt;" &amp; "")&gt;0</formula>
    </cfRule>
    <cfRule type="expression" dxfId="1" priority="98">
      <formula>AND(COUNTIF(G56:BE56,"&lt;&gt;" &amp; "")&gt;0,NOT(ISBLANK(E56)))</formula>
    </cfRule>
  </conditionalFormatting>
  <conditionalFormatting sqref="E57">
    <cfRule type="expression" dxfId="0" priority="99">
      <formula>COUNTIF(G57:BE57,"&lt;&gt;" &amp; "")&gt;0</formula>
    </cfRule>
    <cfRule type="expression" dxfId="1" priority="100">
      <formula>AND(COUNTIF(G57:BE57,"&lt;&gt;" &amp; "")&gt;0,NOT(ISBLANK(E57)))</formula>
    </cfRule>
  </conditionalFormatting>
  <conditionalFormatting sqref="E58">
    <cfRule type="expression" dxfId="0" priority="101">
      <formula>COUNTIF(G58:BE58,"&lt;&gt;" &amp; "")&gt;0</formula>
    </cfRule>
    <cfRule type="expression" dxfId="1" priority="102">
      <formula>AND(COUNTIF(G58:BE58,"&lt;&gt;" &amp; "")&gt;0,NOT(ISBLANK(E58)))</formula>
    </cfRule>
  </conditionalFormatting>
  <conditionalFormatting sqref="E59">
    <cfRule type="expression" dxfId="0" priority="103">
      <formula>COUNTIF(G59:BE59,"&lt;&gt;" &amp; "")&gt;0</formula>
    </cfRule>
    <cfRule type="expression" dxfId="1" priority="104">
      <formula>AND(COUNTIF(G59:BE59,"&lt;&gt;" &amp; "")&gt;0,NOT(ISBLANK(E59)))</formula>
    </cfRule>
  </conditionalFormatting>
  <conditionalFormatting sqref="E6">
    <cfRule type="expression" dxfId="0" priority="9">
      <formula>COUNTIF(G6:BE6,"&lt;&gt;" &amp; "")&gt;0</formula>
    </cfRule>
    <cfRule type="expression" dxfId="1" priority="10">
      <formula>AND(COUNTIF(G6:BE6,"&lt;&gt;" &amp; "")&gt;0,NOT(ISBLANK(E6)))</formula>
    </cfRule>
  </conditionalFormatting>
  <conditionalFormatting sqref="E60">
    <cfRule type="expression" dxfId="0" priority="105">
      <formula>COUNTIF(G60:BE60,"&lt;&gt;" &amp; "")&gt;0</formula>
    </cfRule>
    <cfRule type="expression" dxfId="1" priority="106">
      <formula>AND(COUNTIF(G60:BE60,"&lt;&gt;" &amp; "")&gt;0,NOT(ISBLANK(E60)))</formula>
    </cfRule>
  </conditionalFormatting>
  <conditionalFormatting sqref="E61">
    <cfRule type="expression" dxfId="0" priority="107">
      <formula>COUNTIF(G61:BE61,"&lt;&gt;" &amp; "")&gt;0</formula>
    </cfRule>
    <cfRule type="expression" dxfId="1" priority="108">
      <formula>AND(COUNTIF(G61:BE61,"&lt;&gt;" &amp; "")&gt;0,NOT(ISBLANK(E61)))</formula>
    </cfRule>
  </conditionalFormatting>
  <conditionalFormatting sqref="E62">
    <cfRule type="expression" dxfId="0" priority="109">
      <formula>COUNTIF(G62:BE62,"&lt;&gt;" &amp; "")&gt;0</formula>
    </cfRule>
    <cfRule type="expression" dxfId="1" priority="110">
      <formula>AND(COUNTIF(G62:BE62,"&lt;&gt;" &amp; "")&gt;0,NOT(ISBLANK(E62)))</formula>
    </cfRule>
  </conditionalFormatting>
  <conditionalFormatting sqref="E63">
    <cfRule type="expression" dxfId="0" priority="111">
      <formula>COUNTIF(G63:BE63,"&lt;&gt;" &amp; "")&gt;0</formula>
    </cfRule>
    <cfRule type="expression" dxfId="1" priority="112">
      <formula>AND(COUNTIF(G63:BE63,"&lt;&gt;" &amp; "")&gt;0,NOT(ISBLANK(E63)))</formula>
    </cfRule>
  </conditionalFormatting>
  <conditionalFormatting sqref="E7">
    <cfRule type="expression" dxfId="0" priority="11">
      <formula>COUNTIF(G7:BE7,"&lt;&gt;" &amp; "")&gt;0</formula>
    </cfRule>
    <cfRule type="expression" dxfId="1" priority="12">
      <formula>AND(COUNTIF(G7:BE7,"&lt;&gt;" &amp; "")&gt;0,NOT(ISBLANK(E7)))</formula>
    </cfRule>
  </conditionalFormatting>
  <conditionalFormatting sqref="E8">
    <cfRule type="expression" dxfId="0" priority="13">
      <formula>COUNTIF(G8:BE8,"&lt;&gt;" &amp; "")&gt;0</formula>
    </cfRule>
    <cfRule type="expression" dxfId="1" priority="14">
      <formula>AND(COUNTIF(G8:BE8,"&lt;&gt;" &amp; "")&gt;0,NOT(ISBLANK(E8)))</formula>
    </cfRule>
  </conditionalFormatting>
  <conditionalFormatting sqref="E9">
    <cfRule type="expression" dxfId="0" priority="15">
      <formula>COUNTIF(G9:BE9,"&lt;&gt;" &amp; "")&gt;0</formula>
    </cfRule>
    <cfRule type="expression" dxfId="1" priority="16">
      <formula>AND(COUNTIF(G9:BE9,"&lt;&gt;" &amp; "")&gt;0,NOT(ISBLANK(E9)))</formula>
    </cfRule>
  </conditionalFormatting>
  <dataValidations count="56">
    <dataValidation type="list" allowBlank="1" showInputMessage="1" showErrorMessage="1" sqref="C2">
      <formula1>"Rate (per year)"</formula1>
    </dataValidation>
    <dataValidation type="list" allowBlank="1" showInputMessage="1" showErrorMessage="1" sqref="C3">
      <formula1>"Rate (per year)"</formula1>
    </dataValidation>
    <dataValidation type="list" allowBlank="1" showInputMessage="1" showErrorMessage="1" sqref="C4">
      <formula1>"Rate (per year)"</formula1>
    </dataValidation>
    <dataValidation type="list" allowBlank="1" showInputMessage="1" showErrorMessage="1" sqref="C5">
      <formula1>"Rate (per year)"</formula1>
    </dataValidation>
    <dataValidation type="list" allowBlank="1" showInputMessage="1" showErrorMessage="1" sqref="C6">
      <formula1>"Rate (per year)"</formula1>
    </dataValidation>
    <dataValidation type="list" allowBlank="1" showInputMessage="1" showErrorMessage="1" sqref="C7">
      <formula1>"Rate (per year)"</formula1>
    </dataValidation>
    <dataValidation type="list" allowBlank="1" showInputMessage="1" showErrorMessage="1" sqref="C8">
      <formula1>"Rate (per year)"</formula1>
    </dataValidation>
    <dataValidation type="list" allowBlank="1" showInputMessage="1" showErrorMessage="1" sqref="C9">
      <formula1>"Rate (per year)"</formula1>
    </dataValidation>
    <dataValidation type="list" allowBlank="1" showInputMessage="1" showErrorMessage="1" sqref="C10">
      <formula1>"Rate (per year)"</formula1>
    </dataValidation>
    <dataValidation type="list" allowBlank="1" showInputMessage="1" showErrorMessage="1" sqref="C11">
      <formula1>"Rate (per year)"</formula1>
    </dataValidation>
    <dataValidation type="list" allowBlank="1" showInputMessage="1" showErrorMessage="1" sqref="C12">
      <formula1>"Rate (per year)"</formula1>
    </dataValidation>
    <dataValidation type="list" allowBlank="1" showInputMessage="1" showErrorMessage="1" sqref="C13">
      <formula1>"Rate (per year)"</formula1>
    </dataValidation>
    <dataValidation type="list" allowBlank="1" showInputMessage="1" showErrorMessage="1" sqref="C14">
      <formula1>"Rate (per year)"</formula1>
    </dataValidation>
    <dataValidation type="list" allowBlank="1" showInputMessage="1" showErrorMessage="1" sqref="C15">
      <formula1>"Rate (per year)"</formula1>
    </dataValidation>
    <dataValidation type="list" allowBlank="1" showInputMessage="1" showErrorMessage="1" sqref="C18">
      <formula1>"Rate (per year)"</formula1>
    </dataValidation>
    <dataValidation type="list" allowBlank="1" showInputMessage="1" showErrorMessage="1" sqref="C19">
      <formula1>"Rate (per year)"</formula1>
    </dataValidation>
    <dataValidation type="list" allowBlank="1" showInputMessage="1" showErrorMessage="1" sqref="C20">
      <formula1>"Rate (per year)"</formula1>
    </dataValidation>
    <dataValidation type="list" allowBlank="1" showInputMessage="1" showErrorMessage="1" sqref="C21">
      <formula1>"Rate (per year)"</formula1>
    </dataValidation>
    <dataValidation type="list" allowBlank="1" showInputMessage="1" showErrorMessage="1" sqref="C22">
      <formula1>"Rate (per year)"</formula1>
    </dataValidation>
    <dataValidation type="list" allowBlank="1" showInputMessage="1" showErrorMessage="1" sqref="C23">
      <formula1>"Rate (per year)"</formula1>
    </dataValidation>
    <dataValidation type="list" allowBlank="1" showInputMessage="1" showErrorMessage="1" sqref="C24">
      <formula1>"Rate (per year)"</formula1>
    </dataValidation>
    <dataValidation type="list" allowBlank="1" showInputMessage="1" showErrorMessage="1" sqref="C25">
      <formula1>"Rate (per year)"</formula1>
    </dataValidation>
    <dataValidation type="list" allowBlank="1" showInputMessage="1" showErrorMessage="1" sqref="C26">
      <formula1>"Rate (per year)"</formula1>
    </dataValidation>
    <dataValidation type="list" allowBlank="1" showInputMessage="1" showErrorMessage="1" sqref="C27">
      <formula1>"Rate (per year)"</formula1>
    </dataValidation>
    <dataValidation type="list" allowBlank="1" showInputMessage="1" showErrorMessage="1" sqref="C28">
      <formula1>"Rate (per year)"</formula1>
    </dataValidation>
    <dataValidation type="list" allowBlank="1" showInputMessage="1" showErrorMessage="1" sqref="C29">
      <formula1>"Rate (per year)"</formula1>
    </dataValidation>
    <dataValidation type="list" allowBlank="1" showInputMessage="1" showErrorMessage="1" sqref="C30">
      <formula1>"Rate (per year)"</formula1>
    </dataValidation>
    <dataValidation type="list" allowBlank="1" showInputMessage="1" showErrorMessage="1" sqref="C31">
      <formula1>"Rate (per year)"</formula1>
    </dataValidation>
    <dataValidation type="list" allowBlank="1" showInputMessage="1" showErrorMessage="1" sqref="C34">
      <formula1>"Rate (per year)"</formula1>
    </dataValidation>
    <dataValidation type="list" allowBlank="1" showInputMessage="1" showErrorMessage="1" sqref="C35">
      <formula1>"Rate (per year)"</formula1>
    </dataValidation>
    <dataValidation type="list" allowBlank="1" showInputMessage="1" showErrorMessage="1" sqref="C36">
      <formula1>"Rate (per year)"</formula1>
    </dataValidation>
    <dataValidation type="list" allowBlank="1" showInputMessage="1" showErrorMessage="1" sqref="C37">
      <formula1>"Rate (per year)"</formula1>
    </dataValidation>
    <dataValidation type="list" allowBlank="1" showInputMessage="1" showErrorMessage="1" sqref="C38">
      <formula1>"Rate (per year)"</formula1>
    </dataValidation>
    <dataValidation type="list" allowBlank="1" showInputMessage="1" showErrorMessage="1" sqref="C39">
      <formula1>"Rate (per year)"</formula1>
    </dataValidation>
    <dataValidation type="list" allowBlank="1" showInputMessage="1" showErrorMessage="1" sqref="C40">
      <formula1>"Rate (per year)"</formula1>
    </dataValidation>
    <dataValidation type="list" allowBlank="1" showInputMessage="1" showErrorMessage="1" sqref="C41">
      <formula1>"Rate (per year)"</formula1>
    </dataValidation>
    <dataValidation type="list" allowBlank="1" showInputMessage="1" showErrorMessage="1" sqref="C42">
      <formula1>"Rate (per year)"</formula1>
    </dataValidation>
    <dataValidation type="list" allowBlank="1" showInputMessage="1" showErrorMessage="1" sqref="C43">
      <formula1>"Rate (per year)"</formula1>
    </dataValidation>
    <dataValidation type="list" allowBlank="1" showInputMessage="1" showErrorMessage="1" sqref="C44">
      <formula1>"Rate (per year)"</formula1>
    </dataValidation>
    <dataValidation type="list" allowBlank="1" showInputMessage="1" showErrorMessage="1" sqref="C45">
      <formula1>"Rate (per year)"</formula1>
    </dataValidation>
    <dataValidation type="list" allowBlank="1" showInputMessage="1" showErrorMessage="1" sqref="C46">
      <formula1>"Rate (per year)"</formula1>
    </dataValidation>
    <dataValidation type="list" allowBlank="1" showInputMessage="1" showErrorMessage="1" sqref="C47">
      <formula1>"Rate (per year)"</formula1>
    </dataValidation>
    <dataValidation type="list" allowBlank="1" showInputMessage="1" showErrorMessage="1" sqref="C50">
      <formula1>"Rate (per year)"</formula1>
    </dataValidation>
    <dataValidation type="list" allowBlank="1" showInputMessage="1" showErrorMessage="1" sqref="C51">
      <formula1>"Rate (per year)"</formula1>
    </dataValidation>
    <dataValidation type="list" allowBlank="1" showInputMessage="1" showErrorMessage="1" sqref="C52">
      <formula1>"Rate (per year)"</formula1>
    </dataValidation>
    <dataValidation type="list" allowBlank="1" showInputMessage="1" showErrorMessage="1" sqref="C53">
      <formula1>"Rate (per year)"</formula1>
    </dataValidation>
    <dataValidation type="list" allowBlank="1" showInputMessage="1" showErrorMessage="1" sqref="C54">
      <formula1>"Rate (per year)"</formula1>
    </dataValidation>
    <dataValidation type="list" allowBlank="1" showInputMessage="1" showErrorMessage="1" sqref="C55">
      <formula1>"Rate (per year)"</formula1>
    </dataValidation>
    <dataValidation type="list" allowBlank="1" showInputMessage="1" showErrorMessage="1" sqref="C56">
      <formula1>"Rate (per year)"</formula1>
    </dataValidation>
    <dataValidation type="list" allowBlank="1" showInputMessage="1" showErrorMessage="1" sqref="C57">
      <formula1>"Rate (per year)"</formula1>
    </dataValidation>
    <dataValidation type="list" allowBlank="1" showInputMessage="1" showErrorMessage="1" sqref="C58">
      <formula1>"Rate (per year)"</formula1>
    </dataValidation>
    <dataValidation type="list" allowBlank="1" showInputMessage="1" showErrorMessage="1" sqref="C59">
      <formula1>"Rate (per year)"</formula1>
    </dataValidation>
    <dataValidation type="list" allowBlank="1" showInputMessage="1" showErrorMessage="1" sqref="C60">
      <formula1>"Rate (per year)"</formula1>
    </dataValidation>
    <dataValidation type="list" allowBlank="1" showInputMessage="1" showErrorMessage="1" sqref="C61">
      <formula1>"Rate (per year)"</formula1>
    </dataValidation>
    <dataValidation type="list" allowBlank="1" showInputMessage="1" showErrorMessage="1" sqref="C62">
      <formula1>"Rate (per year)"</formula1>
    </dataValidation>
    <dataValidation type="list" allowBlank="1" showInputMessage="1" showErrorMessage="1" sqref="C63">
      <formula1>"Rate (per year)"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sheetPr>
    <tabColor rgb="FF808080"/>
  </sheetPr>
  <dimension ref="A1:BE95"/>
  <sheetViews>
    <sheetView workbookViewId="0"/>
  </sheetViews>
  <sheetFormatPr defaultRowHeight="15"/>
  <cols>
    <col min="1" max="1" width="65.5703125" customWidth="1"/>
    <col min="2" max="2" width="30.28515625" customWidth="1"/>
    <col min="3" max="3" width="12.7109375" customWidth="1"/>
    <col min="4" max="4" width="13.85546875" customWidth="1"/>
    <col min="5" max="5" width="10.5703125" customWidth="1"/>
    <col min="6" max="6" width="3.85546875" customWidth="1"/>
    <col min="7" max="57" width="9.42578125" customWidth="1"/>
  </cols>
  <sheetData>
    <row r="1" spans="1:57">
      <c r="A1" s="1" t="s">
        <v>84</v>
      </c>
      <c r="B1" s="1" t="s">
        <v>31</v>
      </c>
      <c r="C1" s="1" t="s">
        <v>32</v>
      </c>
      <c r="D1" s="1" t="s">
        <v>33</v>
      </c>
      <c r="E1" s="1" t="s">
        <v>38</v>
      </c>
      <c r="F1" s="1"/>
      <c r="G1" s="1">
        <v>2000</v>
      </c>
      <c r="H1" s="1">
        <v>2001</v>
      </c>
      <c r="I1" s="1">
        <v>2002</v>
      </c>
      <c r="J1" s="1">
        <v>2003</v>
      </c>
      <c r="K1" s="1">
        <v>2004</v>
      </c>
      <c r="L1" s="1">
        <v>2005</v>
      </c>
      <c r="M1" s="1">
        <v>2006</v>
      </c>
      <c r="N1" s="1">
        <v>2007</v>
      </c>
      <c r="O1" s="1">
        <v>2008</v>
      </c>
      <c r="P1" s="1">
        <v>2009</v>
      </c>
      <c r="Q1" s="1">
        <v>2010</v>
      </c>
      <c r="R1" s="1">
        <v>2011</v>
      </c>
      <c r="S1" s="1">
        <v>2012</v>
      </c>
      <c r="T1" s="1">
        <v>2013</v>
      </c>
      <c r="U1" s="1">
        <v>2014</v>
      </c>
      <c r="V1" s="1">
        <v>2015</v>
      </c>
      <c r="W1" s="1">
        <v>2016</v>
      </c>
      <c r="X1" s="1">
        <v>2017</v>
      </c>
      <c r="Y1" s="1">
        <v>2018</v>
      </c>
      <c r="Z1" s="1">
        <v>2019</v>
      </c>
      <c r="AA1" s="1">
        <v>2020</v>
      </c>
      <c r="AB1" s="1">
        <v>2021</v>
      </c>
      <c r="AC1" s="1">
        <v>2022</v>
      </c>
      <c r="AD1" s="1">
        <v>2023</v>
      </c>
      <c r="AE1" s="1">
        <v>2024</v>
      </c>
      <c r="AF1" s="1">
        <v>2025</v>
      </c>
      <c r="AG1" s="1">
        <v>2026</v>
      </c>
      <c r="AH1" s="1">
        <v>2027</v>
      </c>
      <c r="AI1" s="1">
        <v>2028</v>
      </c>
      <c r="AJ1" s="1">
        <v>2029</v>
      </c>
      <c r="AK1" s="1">
        <v>2030</v>
      </c>
      <c r="AL1" s="1">
        <v>2031</v>
      </c>
      <c r="AM1" s="1">
        <v>2032</v>
      </c>
      <c r="AN1" s="1">
        <v>2033</v>
      </c>
      <c r="AO1" s="1">
        <v>2034</v>
      </c>
      <c r="AP1" s="1">
        <v>2035</v>
      </c>
      <c r="AQ1" s="1">
        <v>2036</v>
      </c>
      <c r="AR1" s="1">
        <v>2037</v>
      </c>
      <c r="AS1" s="1">
        <v>2038</v>
      </c>
      <c r="AT1" s="1">
        <v>2039</v>
      </c>
      <c r="AU1" s="1">
        <v>2040</v>
      </c>
      <c r="AV1" s="1">
        <v>2041</v>
      </c>
      <c r="AW1" s="1">
        <v>2042</v>
      </c>
      <c r="AX1" s="1">
        <v>2043</v>
      </c>
      <c r="AY1" s="1">
        <v>2044</v>
      </c>
      <c r="AZ1" s="1">
        <v>2045</v>
      </c>
      <c r="BA1" s="1">
        <v>2046</v>
      </c>
      <c r="BB1" s="1">
        <v>2047</v>
      </c>
      <c r="BC1" s="1">
        <v>2048</v>
      </c>
      <c r="BD1" s="1">
        <v>2049</v>
      </c>
      <c r="BE1" s="1">
        <v>2050</v>
      </c>
    </row>
    <row r="2" spans="1:57">
      <c r="A2" s="1" t="str">
        <f>'Population Definitions'!$A$2</f>
        <v>PWID_males</v>
      </c>
      <c r="B2" t="s">
        <v>62</v>
      </c>
      <c r="C2" t="s">
        <v>50</v>
      </c>
      <c r="D2" s="3"/>
      <c r="E2" s="3">
        <v>0</v>
      </c>
      <c r="F2" s="4" t="s">
        <v>39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</row>
    <row r="3" spans="1:57">
      <c r="A3" s="1" t="str">
        <f>'Population Definitions'!$A$3</f>
        <v>PWID_females</v>
      </c>
      <c r="B3" t="s">
        <v>62</v>
      </c>
      <c r="C3" t="s">
        <v>50</v>
      </c>
      <c r="D3" s="3"/>
      <c r="E3" s="3">
        <v>0</v>
      </c>
      <c r="F3" s="4" t="s">
        <v>39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</row>
    <row r="4" spans="1:57">
      <c r="A4" s="1" t="str">
        <f>'Population Definitions'!$A$4</f>
        <v>0-9_males</v>
      </c>
      <c r="B4" t="s">
        <v>62</v>
      </c>
      <c r="C4" t="s">
        <v>50</v>
      </c>
      <c r="D4" s="3"/>
      <c r="E4" s="3">
        <v>0</v>
      </c>
      <c r="F4" s="4" t="s">
        <v>39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</row>
    <row r="5" spans="1:57">
      <c r="A5" s="1" t="str">
        <f>'Population Definitions'!$A$5</f>
        <v>0-9_females</v>
      </c>
      <c r="B5" t="s">
        <v>62</v>
      </c>
      <c r="C5" t="s">
        <v>50</v>
      </c>
      <c r="D5" s="3"/>
      <c r="E5" s="3">
        <v>0</v>
      </c>
      <c r="F5" s="4" t="s">
        <v>39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</row>
    <row r="6" spans="1:57">
      <c r="A6" s="1" t="str">
        <f>'Population Definitions'!$A$6</f>
        <v>10-17_males</v>
      </c>
      <c r="B6" t="s">
        <v>62</v>
      </c>
      <c r="C6" t="s">
        <v>50</v>
      </c>
      <c r="D6" s="3"/>
      <c r="E6" s="3">
        <v>0</v>
      </c>
      <c r="F6" s="4" t="s">
        <v>39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</row>
    <row r="7" spans="1:57">
      <c r="A7" s="1" t="str">
        <f>'Population Definitions'!$A$7</f>
        <v>10-17_females</v>
      </c>
      <c r="B7" t="s">
        <v>62</v>
      </c>
      <c r="C7" t="s">
        <v>50</v>
      </c>
      <c r="D7" s="3"/>
      <c r="E7" s="3">
        <v>0</v>
      </c>
      <c r="F7" s="4" t="s">
        <v>39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</row>
    <row r="8" spans="1:57">
      <c r="A8" s="1" t="str">
        <f>'Population Definitions'!$A$8</f>
        <v>18-64_males</v>
      </c>
      <c r="B8" t="s">
        <v>62</v>
      </c>
      <c r="C8" t="s">
        <v>50</v>
      </c>
      <c r="D8" s="3"/>
      <c r="E8" s="3">
        <v>0</v>
      </c>
      <c r="F8" s="4" t="s">
        <v>39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</row>
    <row r="9" spans="1:57">
      <c r="A9" s="1" t="str">
        <f>'Population Definitions'!$A$9</f>
        <v>18-64_females</v>
      </c>
      <c r="B9" t="s">
        <v>62</v>
      </c>
      <c r="C9" t="s">
        <v>50</v>
      </c>
      <c r="D9" s="3"/>
      <c r="E9" s="3">
        <v>0</v>
      </c>
      <c r="F9" s="4" t="s">
        <v>39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</row>
    <row r="10" spans="1:57">
      <c r="A10" s="1" t="str">
        <f>'Population Definitions'!$A$10</f>
        <v>65+_males</v>
      </c>
      <c r="B10" t="s">
        <v>62</v>
      </c>
      <c r="C10" t="s">
        <v>50</v>
      </c>
      <c r="D10" s="3"/>
      <c r="E10" s="3">
        <v>0</v>
      </c>
      <c r="F10" s="4" t="s">
        <v>39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</row>
    <row r="11" spans="1:57">
      <c r="A11" s="1" t="str">
        <f>'Population Definitions'!$A$11</f>
        <v>65+_females</v>
      </c>
      <c r="B11" t="s">
        <v>62</v>
      </c>
      <c r="C11" t="s">
        <v>50</v>
      </c>
      <c r="D11" s="3"/>
      <c r="E11" s="3">
        <v>0</v>
      </c>
      <c r="F11" s="4" t="s">
        <v>39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</row>
    <row r="12" spans="1:57">
      <c r="A12" s="1" t="str">
        <f>'Population Definitions'!$A$12</f>
        <v>Prisoners_males</v>
      </c>
      <c r="B12" t="s">
        <v>62</v>
      </c>
      <c r="C12" t="s">
        <v>50</v>
      </c>
      <c r="D12" s="3"/>
      <c r="E12" s="3">
        <v>0</v>
      </c>
      <c r="F12" s="4" t="s">
        <v>39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</row>
    <row r="13" spans="1:57">
      <c r="A13" s="1" t="str">
        <f>'Population Definitions'!$A$13</f>
        <v>Prisoners_females</v>
      </c>
      <c r="B13" t="s">
        <v>62</v>
      </c>
      <c r="C13" t="s">
        <v>50</v>
      </c>
      <c r="D13" s="3"/>
      <c r="E13" s="3">
        <v>0</v>
      </c>
      <c r="F13" s="4" t="s">
        <v>39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</row>
    <row r="14" spans="1:57">
      <c r="A14" s="1" t="str">
        <f>'Population Definitions'!$A$14</f>
        <v>Prisoners_PWID_males</v>
      </c>
      <c r="B14" t="s">
        <v>62</v>
      </c>
      <c r="C14" t="s">
        <v>50</v>
      </c>
      <c r="D14" s="3"/>
      <c r="E14" s="3">
        <v>0</v>
      </c>
      <c r="F14" s="4" t="s">
        <v>39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</row>
    <row r="15" spans="1:57">
      <c r="A15" s="1" t="str">
        <f>'Population Definitions'!$A$15</f>
        <v>Prisoners_PWID_females</v>
      </c>
      <c r="B15" t="s">
        <v>62</v>
      </c>
      <c r="C15" t="s">
        <v>50</v>
      </c>
      <c r="D15" s="3"/>
      <c r="E15" s="3">
        <v>0</v>
      </c>
      <c r="F15" s="4" t="s">
        <v>39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</row>
    <row r="17" spans="1:57">
      <c r="A17" s="1" t="s">
        <v>85</v>
      </c>
      <c r="B17" s="1" t="s">
        <v>31</v>
      </c>
      <c r="C17" s="1" t="s">
        <v>32</v>
      </c>
      <c r="D17" s="1" t="s">
        <v>33</v>
      </c>
      <c r="E17" s="1" t="s">
        <v>38</v>
      </c>
      <c r="F17" s="1"/>
      <c r="G17" s="1">
        <v>2000</v>
      </c>
      <c r="H17" s="1">
        <v>2001</v>
      </c>
      <c r="I17" s="1">
        <v>2002</v>
      </c>
      <c r="J17" s="1">
        <v>2003</v>
      </c>
      <c r="K17" s="1">
        <v>2004</v>
      </c>
      <c r="L17" s="1">
        <v>2005</v>
      </c>
      <c r="M17" s="1">
        <v>2006</v>
      </c>
      <c r="N17" s="1">
        <v>2007</v>
      </c>
      <c r="O17" s="1">
        <v>2008</v>
      </c>
      <c r="P17" s="1">
        <v>2009</v>
      </c>
      <c r="Q17" s="1">
        <v>2010</v>
      </c>
      <c r="R17" s="1">
        <v>2011</v>
      </c>
      <c r="S17" s="1">
        <v>2012</v>
      </c>
      <c r="T17" s="1">
        <v>2013</v>
      </c>
      <c r="U17" s="1">
        <v>2014</v>
      </c>
      <c r="V17" s="1">
        <v>2015</v>
      </c>
      <c r="W17" s="1">
        <v>2016</v>
      </c>
      <c r="X17" s="1">
        <v>2017</v>
      </c>
      <c r="Y17" s="1">
        <v>2018</v>
      </c>
      <c r="Z17" s="1">
        <v>2019</v>
      </c>
      <c r="AA17" s="1">
        <v>2020</v>
      </c>
      <c r="AB17" s="1">
        <v>2021</v>
      </c>
      <c r="AC17" s="1">
        <v>2022</v>
      </c>
      <c r="AD17" s="1">
        <v>2023</v>
      </c>
      <c r="AE17" s="1">
        <v>2024</v>
      </c>
      <c r="AF17" s="1">
        <v>2025</v>
      </c>
      <c r="AG17" s="1">
        <v>2026</v>
      </c>
      <c r="AH17" s="1">
        <v>2027</v>
      </c>
      <c r="AI17" s="1">
        <v>2028</v>
      </c>
      <c r="AJ17" s="1">
        <v>2029</v>
      </c>
      <c r="AK17" s="1">
        <v>2030</v>
      </c>
      <c r="AL17" s="1">
        <v>2031</v>
      </c>
      <c r="AM17" s="1">
        <v>2032</v>
      </c>
      <c r="AN17" s="1">
        <v>2033</v>
      </c>
      <c r="AO17" s="1">
        <v>2034</v>
      </c>
      <c r="AP17" s="1">
        <v>2035</v>
      </c>
      <c r="AQ17" s="1">
        <v>2036</v>
      </c>
      <c r="AR17" s="1">
        <v>2037</v>
      </c>
      <c r="AS17" s="1">
        <v>2038</v>
      </c>
      <c r="AT17" s="1">
        <v>2039</v>
      </c>
      <c r="AU17" s="1">
        <v>2040</v>
      </c>
      <c r="AV17" s="1">
        <v>2041</v>
      </c>
      <c r="AW17" s="1">
        <v>2042</v>
      </c>
      <c r="AX17" s="1">
        <v>2043</v>
      </c>
      <c r="AY17" s="1">
        <v>2044</v>
      </c>
      <c r="AZ17" s="1">
        <v>2045</v>
      </c>
      <c r="BA17" s="1">
        <v>2046</v>
      </c>
      <c r="BB17" s="1">
        <v>2047</v>
      </c>
      <c r="BC17" s="1">
        <v>2048</v>
      </c>
      <c r="BD17" s="1">
        <v>2049</v>
      </c>
      <c r="BE17" s="1">
        <v>2050</v>
      </c>
    </row>
    <row r="18" spans="1:57">
      <c r="A18" s="1" t="str">
        <f>'Population Definitions'!$A$2</f>
        <v>PWID_males</v>
      </c>
      <c r="B18" t="s">
        <v>62</v>
      </c>
      <c r="C18" t="s">
        <v>50</v>
      </c>
      <c r="D18" s="3"/>
      <c r="E18" s="3">
        <v>0</v>
      </c>
      <c r="F18" s="4" t="s">
        <v>39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</row>
    <row r="19" spans="1:57">
      <c r="A19" s="1" t="str">
        <f>'Population Definitions'!$A$3</f>
        <v>PWID_females</v>
      </c>
      <c r="B19" t="s">
        <v>62</v>
      </c>
      <c r="C19" t="s">
        <v>50</v>
      </c>
      <c r="D19" s="3"/>
      <c r="E19" s="3">
        <v>0</v>
      </c>
      <c r="F19" s="4" t="s">
        <v>39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</row>
    <row r="20" spans="1:57">
      <c r="A20" s="1" t="str">
        <f>'Population Definitions'!$A$4</f>
        <v>0-9_males</v>
      </c>
      <c r="B20" t="s">
        <v>62</v>
      </c>
      <c r="C20" t="s">
        <v>50</v>
      </c>
      <c r="D20" s="3"/>
      <c r="E20" s="3">
        <v>0</v>
      </c>
      <c r="F20" s="4" t="s">
        <v>39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</row>
    <row r="21" spans="1:57">
      <c r="A21" s="1" t="str">
        <f>'Population Definitions'!$A$5</f>
        <v>0-9_females</v>
      </c>
      <c r="B21" t="s">
        <v>62</v>
      </c>
      <c r="C21" t="s">
        <v>50</v>
      </c>
      <c r="D21" s="3"/>
      <c r="E21" s="3">
        <v>0</v>
      </c>
      <c r="F21" s="4" t="s">
        <v>39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</row>
    <row r="22" spans="1:57">
      <c r="A22" s="1" t="str">
        <f>'Population Definitions'!$A$6</f>
        <v>10-17_males</v>
      </c>
      <c r="B22" t="s">
        <v>62</v>
      </c>
      <c r="C22" t="s">
        <v>50</v>
      </c>
      <c r="D22" s="3"/>
      <c r="E22" s="3">
        <v>0</v>
      </c>
      <c r="F22" s="4" t="s">
        <v>39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</row>
    <row r="23" spans="1:57">
      <c r="A23" s="1" t="str">
        <f>'Population Definitions'!$A$7</f>
        <v>10-17_females</v>
      </c>
      <c r="B23" t="s">
        <v>62</v>
      </c>
      <c r="C23" t="s">
        <v>50</v>
      </c>
      <c r="D23" s="3"/>
      <c r="E23" s="3">
        <v>0</v>
      </c>
      <c r="F23" s="4" t="s">
        <v>39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</row>
    <row r="24" spans="1:57">
      <c r="A24" s="1" t="str">
        <f>'Population Definitions'!$A$8</f>
        <v>18-64_males</v>
      </c>
      <c r="B24" t="s">
        <v>62</v>
      </c>
      <c r="C24" t="s">
        <v>50</v>
      </c>
      <c r="D24" s="3"/>
      <c r="E24" s="3">
        <v>0</v>
      </c>
      <c r="F24" s="4" t="s">
        <v>39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</row>
    <row r="25" spans="1:57">
      <c r="A25" s="1" t="str">
        <f>'Population Definitions'!$A$9</f>
        <v>18-64_females</v>
      </c>
      <c r="B25" t="s">
        <v>62</v>
      </c>
      <c r="C25" t="s">
        <v>50</v>
      </c>
      <c r="D25" s="3"/>
      <c r="E25" s="3">
        <v>0</v>
      </c>
      <c r="F25" s="4" t="s">
        <v>39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</row>
    <row r="26" spans="1:57">
      <c r="A26" s="1" t="str">
        <f>'Population Definitions'!$A$10</f>
        <v>65+_males</v>
      </c>
      <c r="B26" t="s">
        <v>62</v>
      </c>
      <c r="C26" t="s">
        <v>50</v>
      </c>
      <c r="D26" s="3"/>
      <c r="E26" s="3">
        <v>0</v>
      </c>
      <c r="F26" s="4" t="s">
        <v>39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</row>
    <row r="27" spans="1:57">
      <c r="A27" s="1" t="str">
        <f>'Population Definitions'!$A$11</f>
        <v>65+_females</v>
      </c>
      <c r="B27" t="s">
        <v>62</v>
      </c>
      <c r="C27" t="s">
        <v>50</v>
      </c>
      <c r="D27" s="3"/>
      <c r="E27" s="3">
        <v>0</v>
      </c>
      <c r="F27" s="4" t="s">
        <v>39</v>
      </c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</row>
    <row r="28" spans="1:57">
      <c r="A28" s="1" t="str">
        <f>'Population Definitions'!$A$12</f>
        <v>Prisoners_males</v>
      </c>
      <c r="B28" t="s">
        <v>62</v>
      </c>
      <c r="C28" t="s">
        <v>50</v>
      </c>
      <c r="D28" s="3"/>
      <c r="E28" s="3">
        <v>0</v>
      </c>
      <c r="F28" s="4" t="s">
        <v>39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</row>
    <row r="29" spans="1:57">
      <c r="A29" s="1" t="str">
        <f>'Population Definitions'!$A$13</f>
        <v>Prisoners_females</v>
      </c>
      <c r="B29" t="s">
        <v>62</v>
      </c>
      <c r="C29" t="s">
        <v>50</v>
      </c>
      <c r="D29" s="3"/>
      <c r="E29" s="3">
        <v>0</v>
      </c>
      <c r="F29" s="4" t="s">
        <v>39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</row>
    <row r="30" spans="1:57">
      <c r="A30" s="1" t="str">
        <f>'Population Definitions'!$A$14</f>
        <v>Prisoners_PWID_males</v>
      </c>
      <c r="B30" t="s">
        <v>62</v>
      </c>
      <c r="C30" t="s">
        <v>50</v>
      </c>
      <c r="D30" s="3"/>
      <c r="E30" s="3">
        <v>0</v>
      </c>
      <c r="F30" s="4" t="s">
        <v>39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</row>
    <row r="31" spans="1:57">
      <c r="A31" s="1" t="str">
        <f>'Population Definitions'!$A$15</f>
        <v>Prisoners_PWID_females</v>
      </c>
      <c r="B31" t="s">
        <v>62</v>
      </c>
      <c r="C31" t="s">
        <v>50</v>
      </c>
      <c r="D31" s="3"/>
      <c r="E31" s="3">
        <v>0</v>
      </c>
      <c r="F31" s="4" t="s">
        <v>39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</row>
    <row r="33" spans="1:57">
      <c r="A33" s="1" t="s">
        <v>86</v>
      </c>
      <c r="B33" s="1" t="s">
        <v>31</v>
      </c>
      <c r="C33" s="1" t="s">
        <v>32</v>
      </c>
      <c r="D33" s="1" t="s">
        <v>33</v>
      </c>
      <c r="E33" s="1" t="s">
        <v>38</v>
      </c>
      <c r="F33" s="1"/>
      <c r="G33" s="1">
        <v>2000</v>
      </c>
      <c r="H33" s="1">
        <v>2001</v>
      </c>
      <c r="I33" s="1">
        <v>2002</v>
      </c>
      <c r="J33" s="1">
        <v>2003</v>
      </c>
      <c r="K33" s="1">
        <v>2004</v>
      </c>
      <c r="L33" s="1">
        <v>2005</v>
      </c>
      <c r="M33" s="1">
        <v>2006</v>
      </c>
      <c r="N33" s="1">
        <v>2007</v>
      </c>
      <c r="O33" s="1">
        <v>2008</v>
      </c>
      <c r="P33" s="1">
        <v>2009</v>
      </c>
      <c r="Q33" s="1">
        <v>2010</v>
      </c>
      <c r="R33" s="1">
        <v>2011</v>
      </c>
      <c r="S33" s="1">
        <v>2012</v>
      </c>
      <c r="T33" s="1">
        <v>2013</v>
      </c>
      <c r="U33" s="1">
        <v>2014</v>
      </c>
      <c r="V33" s="1">
        <v>2015</v>
      </c>
      <c r="W33" s="1">
        <v>2016</v>
      </c>
      <c r="X33" s="1">
        <v>2017</v>
      </c>
      <c r="Y33" s="1">
        <v>2018</v>
      </c>
      <c r="Z33" s="1">
        <v>2019</v>
      </c>
      <c r="AA33" s="1">
        <v>2020</v>
      </c>
      <c r="AB33" s="1">
        <v>2021</v>
      </c>
      <c r="AC33" s="1">
        <v>2022</v>
      </c>
      <c r="AD33" s="1">
        <v>2023</v>
      </c>
      <c r="AE33" s="1">
        <v>2024</v>
      </c>
      <c r="AF33" s="1">
        <v>2025</v>
      </c>
      <c r="AG33" s="1">
        <v>2026</v>
      </c>
      <c r="AH33" s="1">
        <v>2027</v>
      </c>
      <c r="AI33" s="1">
        <v>2028</v>
      </c>
      <c r="AJ33" s="1">
        <v>2029</v>
      </c>
      <c r="AK33" s="1">
        <v>2030</v>
      </c>
      <c r="AL33" s="1">
        <v>2031</v>
      </c>
      <c r="AM33" s="1">
        <v>2032</v>
      </c>
      <c r="AN33" s="1">
        <v>2033</v>
      </c>
      <c r="AO33" s="1">
        <v>2034</v>
      </c>
      <c r="AP33" s="1">
        <v>2035</v>
      </c>
      <c r="AQ33" s="1">
        <v>2036</v>
      </c>
      <c r="AR33" s="1">
        <v>2037</v>
      </c>
      <c r="AS33" s="1">
        <v>2038</v>
      </c>
      <c r="AT33" s="1">
        <v>2039</v>
      </c>
      <c r="AU33" s="1">
        <v>2040</v>
      </c>
      <c r="AV33" s="1">
        <v>2041</v>
      </c>
      <c r="AW33" s="1">
        <v>2042</v>
      </c>
      <c r="AX33" s="1">
        <v>2043</v>
      </c>
      <c r="AY33" s="1">
        <v>2044</v>
      </c>
      <c r="AZ33" s="1">
        <v>2045</v>
      </c>
      <c r="BA33" s="1">
        <v>2046</v>
      </c>
      <c r="BB33" s="1">
        <v>2047</v>
      </c>
      <c r="BC33" s="1">
        <v>2048</v>
      </c>
      <c r="BD33" s="1">
        <v>2049</v>
      </c>
      <c r="BE33" s="1">
        <v>2050</v>
      </c>
    </row>
    <row r="34" spans="1:57">
      <c r="A34" s="1" t="str">
        <f>'Population Definitions'!$A$2</f>
        <v>PWID_males</v>
      </c>
      <c r="B34" t="s">
        <v>62</v>
      </c>
      <c r="C34" t="s">
        <v>50</v>
      </c>
      <c r="D34" s="3"/>
      <c r="E34" s="3">
        <v>0</v>
      </c>
      <c r="F34" s="4" t="s">
        <v>39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</row>
    <row r="35" spans="1:57">
      <c r="A35" s="1" t="str">
        <f>'Population Definitions'!$A$3</f>
        <v>PWID_females</v>
      </c>
      <c r="B35" t="s">
        <v>62</v>
      </c>
      <c r="C35" t="s">
        <v>50</v>
      </c>
      <c r="D35" s="3"/>
      <c r="E35" s="3">
        <v>0</v>
      </c>
      <c r="F35" s="4" t="s">
        <v>39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</row>
    <row r="36" spans="1:57">
      <c r="A36" s="1" t="str">
        <f>'Population Definitions'!$A$4</f>
        <v>0-9_males</v>
      </c>
      <c r="B36" t="s">
        <v>62</v>
      </c>
      <c r="C36" t="s">
        <v>50</v>
      </c>
      <c r="D36" s="3"/>
      <c r="E36" s="3">
        <v>0</v>
      </c>
      <c r="F36" s="4" t="s">
        <v>39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</row>
    <row r="37" spans="1:57">
      <c r="A37" s="1" t="str">
        <f>'Population Definitions'!$A$5</f>
        <v>0-9_females</v>
      </c>
      <c r="B37" t="s">
        <v>62</v>
      </c>
      <c r="C37" t="s">
        <v>50</v>
      </c>
      <c r="D37" s="3"/>
      <c r="E37" s="3">
        <v>0</v>
      </c>
      <c r="F37" s="4" t="s">
        <v>39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</row>
    <row r="38" spans="1:57">
      <c r="A38" s="1" t="str">
        <f>'Population Definitions'!$A$6</f>
        <v>10-17_males</v>
      </c>
      <c r="B38" t="s">
        <v>62</v>
      </c>
      <c r="C38" t="s">
        <v>50</v>
      </c>
      <c r="D38" s="3"/>
      <c r="E38" s="3">
        <v>0</v>
      </c>
      <c r="F38" s="4" t="s">
        <v>39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</row>
    <row r="39" spans="1:57">
      <c r="A39" s="1" t="str">
        <f>'Population Definitions'!$A$7</f>
        <v>10-17_females</v>
      </c>
      <c r="B39" t="s">
        <v>62</v>
      </c>
      <c r="C39" t="s">
        <v>50</v>
      </c>
      <c r="D39" s="3"/>
      <c r="E39" s="3">
        <v>0</v>
      </c>
      <c r="F39" s="4" t="s">
        <v>39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</row>
    <row r="40" spans="1:57">
      <c r="A40" s="1" t="str">
        <f>'Population Definitions'!$A$8</f>
        <v>18-64_males</v>
      </c>
      <c r="B40" t="s">
        <v>62</v>
      </c>
      <c r="C40" t="s">
        <v>50</v>
      </c>
      <c r="D40" s="3"/>
      <c r="E40" s="3">
        <v>0</v>
      </c>
      <c r="F40" s="4" t="s">
        <v>39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</row>
    <row r="41" spans="1:57">
      <c r="A41" s="1" t="str">
        <f>'Population Definitions'!$A$9</f>
        <v>18-64_females</v>
      </c>
      <c r="B41" t="s">
        <v>62</v>
      </c>
      <c r="C41" t="s">
        <v>50</v>
      </c>
      <c r="D41" s="3"/>
      <c r="E41" s="3">
        <v>0</v>
      </c>
      <c r="F41" s="4" t="s">
        <v>39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</row>
    <row r="42" spans="1:57">
      <c r="A42" s="1" t="str">
        <f>'Population Definitions'!$A$10</f>
        <v>65+_males</v>
      </c>
      <c r="B42" t="s">
        <v>62</v>
      </c>
      <c r="C42" t="s">
        <v>50</v>
      </c>
      <c r="D42" s="3"/>
      <c r="E42" s="3">
        <v>0</v>
      </c>
      <c r="F42" s="4" t="s">
        <v>39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</row>
    <row r="43" spans="1:57">
      <c r="A43" s="1" t="str">
        <f>'Population Definitions'!$A$11</f>
        <v>65+_females</v>
      </c>
      <c r="B43" t="s">
        <v>62</v>
      </c>
      <c r="C43" t="s">
        <v>50</v>
      </c>
      <c r="D43" s="3"/>
      <c r="E43" s="3">
        <v>0</v>
      </c>
      <c r="F43" s="4" t="s">
        <v>39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</row>
    <row r="44" spans="1:57">
      <c r="A44" s="1" t="str">
        <f>'Population Definitions'!$A$12</f>
        <v>Prisoners_males</v>
      </c>
      <c r="B44" t="s">
        <v>62</v>
      </c>
      <c r="C44" t="s">
        <v>50</v>
      </c>
      <c r="D44" s="3"/>
      <c r="E44" s="3">
        <v>0</v>
      </c>
      <c r="F44" s="4" t="s">
        <v>39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</row>
    <row r="45" spans="1:57">
      <c r="A45" s="1" t="str">
        <f>'Population Definitions'!$A$13</f>
        <v>Prisoners_females</v>
      </c>
      <c r="B45" t="s">
        <v>62</v>
      </c>
      <c r="C45" t="s">
        <v>50</v>
      </c>
      <c r="D45" s="3"/>
      <c r="E45" s="3">
        <v>0</v>
      </c>
      <c r="F45" s="4" t="s">
        <v>39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</row>
    <row r="46" spans="1:57">
      <c r="A46" s="1" t="str">
        <f>'Population Definitions'!$A$14</f>
        <v>Prisoners_PWID_males</v>
      </c>
      <c r="B46" t="s">
        <v>62</v>
      </c>
      <c r="C46" t="s">
        <v>50</v>
      </c>
      <c r="D46" s="3"/>
      <c r="E46" s="3">
        <v>0</v>
      </c>
      <c r="F46" s="4" t="s">
        <v>39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</row>
    <row r="47" spans="1:57">
      <c r="A47" s="1" t="str">
        <f>'Population Definitions'!$A$15</f>
        <v>Prisoners_PWID_females</v>
      </c>
      <c r="B47" t="s">
        <v>62</v>
      </c>
      <c r="C47" t="s">
        <v>50</v>
      </c>
      <c r="D47" s="3"/>
      <c r="E47" s="3">
        <v>0</v>
      </c>
      <c r="F47" s="4" t="s">
        <v>39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</row>
    <row r="49" spans="1:57">
      <c r="A49" s="1" t="s">
        <v>87</v>
      </c>
      <c r="B49" s="1" t="s">
        <v>31</v>
      </c>
      <c r="C49" s="1" t="s">
        <v>32</v>
      </c>
      <c r="D49" s="1" t="s">
        <v>33</v>
      </c>
      <c r="E49" s="1" t="s">
        <v>38</v>
      </c>
      <c r="F49" s="1"/>
      <c r="G49" s="1">
        <v>2000</v>
      </c>
      <c r="H49" s="1">
        <v>2001</v>
      </c>
      <c r="I49" s="1">
        <v>2002</v>
      </c>
      <c r="J49" s="1">
        <v>2003</v>
      </c>
      <c r="K49" s="1">
        <v>2004</v>
      </c>
      <c r="L49" s="1">
        <v>2005</v>
      </c>
      <c r="M49" s="1">
        <v>2006</v>
      </c>
      <c r="N49" s="1">
        <v>2007</v>
      </c>
      <c r="O49" s="1">
        <v>2008</v>
      </c>
      <c r="P49" s="1">
        <v>2009</v>
      </c>
      <c r="Q49" s="1">
        <v>2010</v>
      </c>
      <c r="R49" s="1">
        <v>2011</v>
      </c>
      <c r="S49" s="1">
        <v>2012</v>
      </c>
      <c r="T49" s="1">
        <v>2013</v>
      </c>
      <c r="U49" s="1">
        <v>2014</v>
      </c>
      <c r="V49" s="1">
        <v>2015</v>
      </c>
      <c r="W49" s="1">
        <v>2016</v>
      </c>
      <c r="X49" s="1">
        <v>2017</v>
      </c>
      <c r="Y49" s="1">
        <v>2018</v>
      </c>
      <c r="Z49" s="1">
        <v>2019</v>
      </c>
      <c r="AA49" s="1">
        <v>2020</v>
      </c>
      <c r="AB49" s="1">
        <v>2021</v>
      </c>
      <c r="AC49" s="1">
        <v>2022</v>
      </c>
      <c r="AD49" s="1">
        <v>2023</v>
      </c>
      <c r="AE49" s="1">
        <v>2024</v>
      </c>
      <c r="AF49" s="1">
        <v>2025</v>
      </c>
      <c r="AG49" s="1">
        <v>2026</v>
      </c>
      <c r="AH49" s="1">
        <v>2027</v>
      </c>
      <c r="AI49" s="1">
        <v>2028</v>
      </c>
      <c r="AJ49" s="1">
        <v>2029</v>
      </c>
      <c r="AK49" s="1">
        <v>2030</v>
      </c>
      <c r="AL49" s="1">
        <v>2031</v>
      </c>
      <c r="AM49" s="1">
        <v>2032</v>
      </c>
      <c r="AN49" s="1">
        <v>2033</v>
      </c>
      <c r="AO49" s="1">
        <v>2034</v>
      </c>
      <c r="AP49" s="1">
        <v>2035</v>
      </c>
      <c r="AQ49" s="1">
        <v>2036</v>
      </c>
      <c r="AR49" s="1">
        <v>2037</v>
      </c>
      <c r="AS49" s="1">
        <v>2038</v>
      </c>
      <c r="AT49" s="1">
        <v>2039</v>
      </c>
      <c r="AU49" s="1">
        <v>2040</v>
      </c>
      <c r="AV49" s="1">
        <v>2041</v>
      </c>
      <c r="AW49" s="1">
        <v>2042</v>
      </c>
      <c r="AX49" s="1">
        <v>2043</v>
      </c>
      <c r="AY49" s="1">
        <v>2044</v>
      </c>
      <c r="AZ49" s="1">
        <v>2045</v>
      </c>
      <c r="BA49" s="1">
        <v>2046</v>
      </c>
      <c r="BB49" s="1">
        <v>2047</v>
      </c>
      <c r="BC49" s="1">
        <v>2048</v>
      </c>
      <c r="BD49" s="1">
        <v>2049</v>
      </c>
      <c r="BE49" s="1">
        <v>2050</v>
      </c>
    </row>
    <row r="50" spans="1:57">
      <c r="A50" s="1" t="str">
        <f>'Population Definitions'!$A$2</f>
        <v>PWID_males</v>
      </c>
      <c r="B50" t="s">
        <v>62</v>
      </c>
      <c r="C50" t="s">
        <v>50</v>
      </c>
      <c r="D50" s="3"/>
      <c r="E50" s="3">
        <v>0</v>
      </c>
      <c r="F50" s="4" t="s">
        <v>39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</row>
    <row r="51" spans="1:57">
      <c r="A51" s="1" t="str">
        <f>'Population Definitions'!$A$3</f>
        <v>PWID_females</v>
      </c>
      <c r="B51" t="s">
        <v>62</v>
      </c>
      <c r="C51" t="s">
        <v>50</v>
      </c>
      <c r="D51" s="3"/>
      <c r="E51" s="3">
        <v>0</v>
      </c>
      <c r="F51" s="4" t="s">
        <v>39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</row>
    <row r="52" spans="1:57">
      <c r="A52" s="1" t="str">
        <f>'Population Definitions'!$A$4</f>
        <v>0-9_males</v>
      </c>
      <c r="B52" t="s">
        <v>62</v>
      </c>
      <c r="C52" t="s">
        <v>50</v>
      </c>
      <c r="D52" s="3"/>
      <c r="E52" s="3">
        <v>0</v>
      </c>
      <c r="F52" s="4" t="s">
        <v>39</v>
      </c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</row>
    <row r="53" spans="1:57">
      <c r="A53" s="1" t="str">
        <f>'Population Definitions'!$A$5</f>
        <v>0-9_females</v>
      </c>
      <c r="B53" t="s">
        <v>62</v>
      </c>
      <c r="C53" t="s">
        <v>50</v>
      </c>
      <c r="D53" s="3"/>
      <c r="E53" s="3">
        <v>0</v>
      </c>
      <c r="F53" s="4" t="s">
        <v>39</v>
      </c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</row>
    <row r="54" spans="1:57">
      <c r="A54" s="1" t="str">
        <f>'Population Definitions'!$A$6</f>
        <v>10-17_males</v>
      </c>
      <c r="B54" t="s">
        <v>62</v>
      </c>
      <c r="C54" t="s">
        <v>50</v>
      </c>
      <c r="D54" s="3"/>
      <c r="E54" s="3">
        <v>0</v>
      </c>
      <c r="F54" s="4" t="s">
        <v>39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</row>
    <row r="55" spans="1:57">
      <c r="A55" s="1" t="str">
        <f>'Population Definitions'!$A$7</f>
        <v>10-17_females</v>
      </c>
      <c r="B55" t="s">
        <v>62</v>
      </c>
      <c r="C55" t="s">
        <v>50</v>
      </c>
      <c r="D55" s="3"/>
      <c r="E55" s="3">
        <v>0</v>
      </c>
      <c r="F55" s="4" t="s">
        <v>39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</row>
    <row r="56" spans="1:57">
      <c r="A56" s="1" t="str">
        <f>'Population Definitions'!$A$8</f>
        <v>18-64_males</v>
      </c>
      <c r="B56" t="s">
        <v>62</v>
      </c>
      <c r="C56" t="s">
        <v>50</v>
      </c>
      <c r="D56" s="3"/>
      <c r="E56" s="3">
        <v>0</v>
      </c>
      <c r="F56" s="4" t="s">
        <v>39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</row>
    <row r="57" spans="1:57">
      <c r="A57" s="1" t="str">
        <f>'Population Definitions'!$A$9</f>
        <v>18-64_females</v>
      </c>
      <c r="B57" t="s">
        <v>62</v>
      </c>
      <c r="C57" t="s">
        <v>50</v>
      </c>
      <c r="D57" s="3"/>
      <c r="E57" s="3">
        <v>0</v>
      </c>
      <c r="F57" s="4" t="s">
        <v>39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</row>
    <row r="58" spans="1:57">
      <c r="A58" s="1" t="str">
        <f>'Population Definitions'!$A$10</f>
        <v>65+_males</v>
      </c>
      <c r="B58" t="s">
        <v>62</v>
      </c>
      <c r="C58" t="s">
        <v>50</v>
      </c>
      <c r="D58" s="3"/>
      <c r="E58" s="3">
        <v>0</v>
      </c>
      <c r="F58" s="4" t="s">
        <v>39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</row>
    <row r="59" spans="1:57">
      <c r="A59" s="1" t="str">
        <f>'Population Definitions'!$A$11</f>
        <v>65+_females</v>
      </c>
      <c r="B59" t="s">
        <v>62</v>
      </c>
      <c r="C59" t="s">
        <v>50</v>
      </c>
      <c r="D59" s="3"/>
      <c r="E59" s="3">
        <v>0</v>
      </c>
      <c r="F59" s="4" t="s">
        <v>39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</row>
    <row r="60" spans="1:57">
      <c r="A60" s="1" t="str">
        <f>'Population Definitions'!$A$12</f>
        <v>Prisoners_males</v>
      </c>
      <c r="B60" t="s">
        <v>62</v>
      </c>
      <c r="C60" t="s">
        <v>50</v>
      </c>
      <c r="D60" s="3"/>
      <c r="E60" s="3">
        <v>0</v>
      </c>
      <c r="F60" s="4" t="s">
        <v>39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</row>
    <row r="61" spans="1:57">
      <c r="A61" s="1" t="str">
        <f>'Population Definitions'!$A$13</f>
        <v>Prisoners_females</v>
      </c>
      <c r="B61" t="s">
        <v>62</v>
      </c>
      <c r="C61" t="s">
        <v>50</v>
      </c>
      <c r="D61" s="3"/>
      <c r="E61" s="3">
        <v>0</v>
      </c>
      <c r="F61" s="4" t="s">
        <v>39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</row>
    <row r="62" spans="1:57">
      <c r="A62" s="1" t="str">
        <f>'Population Definitions'!$A$14</f>
        <v>Prisoners_PWID_males</v>
      </c>
      <c r="B62" t="s">
        <v>62</v>
      </c>
      <c r="C62" t="s">
        <v>50</v>
      </c>
      <c r="D62" s="3"/>
      <c r="E62" s="3">
        <v>0</v>
      </c>
      <c r="F62" s="4" t="s">
        <v>39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</row>
    <row r="63" spans="1:57">
      <c r="A63" s="1" t="str">
        <f>'Population Definitions'!$A$15</f>
        <v>Prisoners_PWID_females</v>
      </c>
      <c r="B63" t="s">
        <v>62</v>
      </c>
      <c r="C63" t="s">
        <v>50</v>
      </c>
      <c r="D63" s="3"/>
      <c r="E63" s="3">
        <v>0</v>
      </c>
      <c r="F63" s="4" t="s">
        <v>39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</row>
    <row r="65" spans="1:57">
      <c r="A65" s="1" t="s">
        <v>88</v>
      </c>
      <c r="B65" s="1" t="s">
        <v>31</v>
      </c>
      <c r="C65" s="1" t="s">
        <v>32</v>
      </c>
      <c r="D65" s="1" t="s">
        <v>33</v>
      </c>
      <c r="E65" s="1" t="s">
        <v>38</v>
      </c>
      <c r="F65" s="1"/>
      <c r="G65" s="1">
        <v>2000</v>
      </c>
      <c r="H65" s="1">
        <v>2001</v>
      </c>
      <c r="I65" s="1">
        <v>2002</v>
      </c>
      <c r="J65" s="1">
        <v>2003</v>
      </c>
      <c r="K65" s="1">
        <v>2004</v>
      </c>
      <c r="L65" s="1">
        <v>2005</v>
      </c>
      <c r="M65" s="1">
        <v>2006</v>
      </c>
      <c r="N65" s="1">
        <v>2007</v>
      </c>
      <c r="O65" s="1">
        <v>2008</v>
      </c>
      <c r="P65" s="1">
        <v>2009</v>
      </c>
      <c r="Q65" s="1">
        <v>2010</v>
      </c>
      <c r="R65" s="1">
        <v>2011</v>
      </c>
      <c r="S65" s="1">
        <v>2012</v>
      </c>
      <c r="T65" s="1">
        <v>2013</v>
      </c>
      <c r="U65" s="1">
        <v>2014</v>
      </c>
      <c r="V65" s="1">
        <v>2015</v>
      </c>
      <c r="W65" s="1">
        <v>2016</v>
      </c>
      <c r="X65" s="1">
        <v>2017</v>
      </c>
      <c r="Y65" s="1">
        <v>2018</v>
      </c>
      <c r="Z65" s="1">
        <v>2019</v>
      </c>
      <c r="AA65" s="1">
        <v>2020</v>
      </c>
      <c r="AB65" s="1">
        <v>2021</v>
      </c>
      <c r="AC65" s="1">
        <v>2022</v>
      </c>
      <c r="AD65" s="1">
        <v>2023</v>
      </c>
      <c r="AE65" s="1">
        <v>2024</v>
      </c>
      <c r="AF65" s="1">
        <v>2025</v>
      </c>
      <c r="AG65" s="1">
        <v>2026</v>
      </c>
      <c r="AH65" s="1">
        <v>2027</v>
      </c>
      <c r="AI65" s="1">
        <v>2028</v>
      </c>
      <c r="AJ65" s="1">
        <v>2029</v>
      </c>
      <c r="AK65" s="1">
        <v>2030</v>
      </c>
      <c r="AL65" s="1">
        <v>2031</v>
      </c>
      <c r="AM65" s="1">
        <v>2032</v>
      </c>
      <c r="AN65" s="1">
        <v>2033</v>
      </c>
      <c r="AO65" s="1">
        <v>2034</v>
      </c>
      <c r="AP65" s="1">
        <v>2035</v>
      </c>
      <c r="AQ65" s="1">
        <v>2036</v>
      </c>
      <c r="AR65" s="1">
        <v>2037</v>
      </c>
      <c r="AS65" s="1">
        <v>2038</v>
      </c>
      <c r="AT65" s="1">
        <v>2039</v>
      </c>
      <c r="AU65" s="1">
        <v>2040</v>
      </c>
      <c r="AV65" s="1">
        <v>2041</v>
      </c>
      <c r="AW65" s="1">
        <v>2042</v>
      </c>
      <c r="AX65" s="1">
        <v>2043</v>
      </c>
      <c r="AY65" s="1">
        <v>2044</v>
      </c>
      <c r="AZ65" s="1">
        <v>2045</v>
      </c>
      <c r="BA65" s="1">
        <v>2046</v>
      </c>
      <c r="BB65" s="1">
        <v>2047</v>
      </c>
      <c r="BC65" s="1">
        <v>2048</v>
      </c>
      <c r="BD65" s="1">
        <v>2049</v>
      </c>
      <c r="BE65" s="1">
        <v>2050</v>
      </c>
    </row>
    <row r="66" spans="1:57">
      <c r="A66" s="1" t="str">
        <f>'Population Definitions'!$A$2</f>
        <v>PWID_males</v>
      </c>
      <c r="B66" t="s">
        <v>62</v>
      </c>
      <c r="C66" t="s">
        <v>50</v>
      </c>
      <c r="D66" s="3"/>
      <c r="E66" s="3">
        <v>0</v>
      </c>
      <c r="F66" s="4" t="s">
        <v>39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</row>
    <row r="67" spans="1:57">
      <c r="A67" s="1" t="str">
        <f>'Population Definitions'!$A$3</f>
        <v>PWID_females</v>
      </c>
      <c r="B67" t="s">
        <v>62</v>
      </c>
      <c r="C67" t="s">
        <v>50</v>
      </c>
      <c r="D67" s="3"/>
      <c r="E67" s="3">
        <v>0</v>
      </c>
      <c r="F67" s="4" t="s">
        <v>39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</row>
    <row r="68" spans="1:57">
      <c r="A68" s="1" t="str">
        <f>'Population Definitions'!$A$4</f>
        <v>0-9_males</v>
      </c>
      <c r="B68" t="s">
        <v>62</v>
      </c>
      <c r="C68" t="s">
        <v>50</v>
      </c>
      <c r="D68" s="3"/>
      <c r="E68" s="3">
        <v>0</v>
      </c>
      <c r="F68" s="4" t="s">
        <v>39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</row>
    <row r="69" spans="1:57">
      <c r="A69" s="1" t="str">
        <f>'Population Definitions'!$A$5</f>
        <v>0-9_females</v>
      </c>
      <c r="B69" t="s">
        <v>62</v>
      </c>
      <c r="C69" t="s">
        <v>50</v>
      </c>
      <c r="D69" s="3"/>
      <c r="E69" s="3">
        <v>0</v>
      </c>
      <c r="F69" s="4" t="s">
        <v>39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</row>
    <row r="70" spans="1:57">
      <c r="A70" s="1" t="str">
        <f>'Population Definitions'!$A$6</f>
        <v>10-17_males</v>
      </c>
      <c r="B70" t="s">
        <v>62</v>
      </c>
      <c r="C70" t="s">
        <v>50</v>
      </c>
      <c r="D70" s="3"/>
      <c r="E70" s="3">
        <v>0</v>
      </c>
      <c r="F70" s="4" t="s">
        <v>39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</row>
    <row r="71" spans="1:57">
      <c r="A71" s="1" t="str">
        <f>'Population Definitions'!$A$7</f>
        <v>10-17_females</v>
      </c>
      <c r="B71" t="s">
        <v>62</v>
      </c>
      <c r="C71" t="s">
        <v>50</v>
      </c>
      <c r="D71" s="3"/>
      <c r="E71" s="3">
        <v>0</v>
      </c>
      <c r="F71" s="4" t="s">
        <v>39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</row>
    <row r="72" spans="1:57">
      <c r="A72" s="1" t="str">
        <f>'Population Definitions'!$A$8</f>
        <v>18-64_males</v>
      </c>
      <c r="B72" t="s">
        <v>62</v>
      </c>
      <c r="C72" t="s">
        <v>50</v>
      </c>
      <c r="D72" s="3"/>
      <c r="E72" s="3">
        <v>0</v>
      </c>
      <c r="F72" s="4" t="s">
        <v>39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</row>
    <row r="73" spans="1:57">
      <c r="A73" s="1" t="str">
        <f>'Population Definitions'!$A$9</f>
        <v>18-64_females</v>
      </c>
      <c r="B73" t="s">
        <v>62</v>
      </c>
      <c r="C73" t="s">
        <v>50</v>
      </c>
      <c r="D73" s="3"/>
      <c r="E73" s="3">
        <v>0</v>
      </c>
      <c r="F73" s="4" t="s">
        <v>39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</row>
    <row r="74" spans="1:57">
      <c r="A74" s="1" t="str">
        <f>'Population Definitions'!$A$10</f>
        <v>65+_males</v>
      </c>
      <c r="B74" t="s">
        <v>62</v>
      </c>
      <c r="C74" t="s">
        <v>50</v>
      </c>
      <c r="D74" s="3"/>
      <c r="E74" s="3">
        <v>0</v>
      </c>
      <c r="F74" s="4" t="s">
        <v>39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</row>
    <row r="75" spans="1:57">
      <c r="A75" s="1" t="str">
        <f>'Population Definitions'!$A$11</f>
        <v>65+_females</v>
      </c>
      <c r="B75" t="s">
        <v>62</v>
      </c>
      <c r="C75" t="s">
        <v>50</v>
      </c>
      <c r="D75" s="3"/>
      <c r="E75" s="3">
        <v>0</v>
      </c>
      <c r="F75" s="4" t="s">
        <v>39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</row>
    <row r="76" spans="1:57">
      <c r="A76" s="1" t="str">
        <f>'Population Definitions'!$A$12</f>
        <v>Prisoners_males</v>
      </c>
      <c r="B76" t="s">
        <v>62</v>
      </c>
      <c r="C76" t="s">
        <v>50</v>
      </c>
      <c r="D76" s="3"/>
      <c r="E76" s="3">
        <v>0</v>
      </c>
      <c r="F76" s="4" t="s">
        <v>39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</row>
    <row r="77" spans="1:57">
      <c r="A77" s="1" t="str">
        <f>'Population Definitions'!$A$13</f>
        <v>Prisoners_females</v>
      </c>
      <c r="B77" t="s">
        <v>62</v>
      </c>
      <c r="C77" t="s">
        <v>50</v>
      </c>
      <c r="D77" s="3"/>
      <c r="E77" s="3">
        <v>0</v>
      </c>
      <c r="F77" s="4" t="s">
        <v>39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</row>
    <row r="78" spans="1:57">
      <c r="A78" s="1" t="str">
        <f>'Population Definitions'!$A$14</f>
        <v>Prisoners_PWID_males</v>
      </c>
      <c r="B78" t="s">
        <v>62</v>
      </c>
      <c r="C78" t="s">
        <v>50</v>
      </c>
      <c r="D78" s="3"/>
      <c r="E78" s="3">
        <v>0</v>
      </c>
      <c r="F78" s="4" t="s">
        <v>39</v>
      </c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/>
      <c r="BC78" s="3"/>
      <c r="BD78" s="3"/>
      <c r="BE78" s="3"/>
    </row>
    <row r="79" spans="1:57">
      <c r="A79" s="1" t="str">
        <f>'Population Definitions'!$A$15</f>
        <v>Prisoners_PWID_females</v>
      </c>
      <c r="B79" t="s">
        <v>62</v>
      </c>
      <c r="C79" t="s">
        <v>50</v>
      </c>
      <c r="D79" s="3"/>
      <c r="E79" s="3">
        <v>0</v>
      </c>
      <c r="F79" s="4" t="s">
        <v>39</v>
      </c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3"/>
      <c r="BC79" s="3"/>
      <c r="BD79" s="3"/>
      <c r="BE79" s="3"/>
    </row>
    <row r="81" spans="1:57">
      <c r="A81" s="1" t="s">
        <v>89</v>
      </c>
      <c r="B81" s="1" t="s">
        <v>31</v>
      </c>
      <c r="C81" s="1" t="s">
        <v>32</v>
      </c>
      <c r="D81" s="1" t="s">
        <v>33</v>
      </c>
      <c r="E81" s="1" t="s">
        <v>38</v>
      </c>
      <c r="F81" s="1"/>
      <c r="G81" s="1">
        <v>2000</v>
      </c>
      <c r="H81" s="1">
        <v>2001</v>
      </c>
      <c r="I81" s="1">
        <v>2002</v>
      </c>
      <c r="J81" s="1">
        <v>2003</v>
      </c>
      <c r="K81" s="1">
        <v>2004</v>
      </c>
      <c r="L81" s="1">
        <v>2005</v>
      </c>
      <c r="M81" s="1">
        <v>2006</v>
      </c>
      <c r="N81" s="1">
        <v>2007</v>
      </c>
      <c r="O81" s="1">
        <v>2008</v>
      </c>
      <c r="P81" s="1">
        <v>2009</v>
      </c>
      <c r="Q81" s="1">
        <v>2010</v>
      </c>
      <c r="R81" s="1">
        <v>2011</v>
      </c>
      <c r="S81" s="1">
        <v>2012</v>
      </c>
      <c r="T81" s="1">
        <v>2013</v>
      </c>
      <c r="U81" s="1">
        <v>2014</v>
      </c>
      <c r="V81" s="1">
        <v>2015</v>
      </c>
      <c r="W81" s="1">
        <v>2016</v>
      </c>
      <c r="X81" s="1">
        <v>2017</v>
      </c>
      <c r="Y81" s="1">
        <v>2018</v>
      </c>
      <c r="Z81" s="1">
        <v>2019</v>
      </c>
      <c r="AA81" s="1">
        <v>2020</v>
      </c>
      <c r="AB81" s="1">
        <v>2021</v>
      </c>
      <c r="AC81" s="1">
        <v>2022</v>
      </c>
      <c r="AD81" s="1">
        <v>2023</v>
      </c>
      <c r="AE81" s="1">
        <v>2024</v>
      </c>
      <c r="AF81" s="1">
        <v>2025</v>
      </c>
      <c r="AG81" s="1">
        <v>2026</v>
      </c>
      <c r="AH81" s="1">
        <v>2027</v>
      </c>
      <c r="AI81" s="1">
        <v>2028</v>
      </c>
      <c r="AJ81" s="1">
        <v>2029</v>
      </c>
      <c r="AK81" s="1">
        <v>2030</v>
      </c>
      <c r="AL81" s="1">
        <v>2031</v>
      </c>
      <c r="AM81" s="1">
        <v>2032</v>
      </c>
      <c r="AN81" s="1">
        <v>2033</v>
      </c>
      <c r="AO81" s="1">
        <v>2034</v>
      </c>
      <c r="AP81" s="1">
        <v>2035</v>
      </c>
      <c r="AQ81" s="1">
        <v>2036</v>
      </c>
      <c r="AR81" s="1">
        <v>2037</v>
      </c>
      <c r="AS81" s="1">
        <v>2038</v>
      </c>
      <c r="AT81" s="1">
        <v>2039</v>
      </c>
      <c r="AU81" s="1">
        <v>2040</v>
      </c>
      <c r="AV81" s="1">
        <v>2041</v>
      </c>
      <c r="AW81" s="1">
        <v>2042</v>
      </c>
      <c r="AX81" s="1">
        <v>2043</v>
      </c>
      <c r="AY81" s="1">
        <v>2044</v>
      </c>
      <c r="AZ81" s="1">
        <v>2045</v>
      </c>
      <c r="BA81" s="1">
        <v>2046</v>
      </c>
      <c r="BB81" s="1">
        <v>2047</v>
      </c>
      <c r="BC81" s="1">
        <v>2048</v>
      </c>
      <c r="BD81" s="1">
        <v>2049</v>
      </c>
      <c r="BE81" s="1">
        <v>2050</v>
      </c>
    </row>
    <row r="82" spans="1:57">
      <c r="A82" s="1" t="str">
        <f>'Population Definitions'!$A$2</f>
        <v>PWID_males</v>
      </c>
      <c r="B82" t="s">
        <v>62</v>
      </c>
      <c r="C82" t="s">
        <v>50</v>
      </c>
      <c r="D82" s="3"/>
      <c r="E82" s="3">
        <v>0</v>
      </c>
      <c r="F82" s="4" t="s">
        <v>39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</row>
    <row r="83" spans="1:57">
      <c r="A83" s="1" t="str">
        <f>'Population Definitions'!$A$3</f>
        <v>PWID_females</v>
      </c>
      <c r="B83" t="s">
        <v>62</v>
      </c>
      <c r="C83" t="s">
        <v>50</v>
      </c>
      <c r="D83" s="3"/>
      <c r="E83" s="3">
        <v>0</v>
      </c>
      <c r="F83" s="4" t="s">
        <v>39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</row>
    <row r="84" spans="1:57">
      <c r="A84" s="1" t="str">
        <f>'Population Definitions'!$A$4</f>
        <v>0-9_males</v>
      </c>
      <c r="B84" t="s">
        <v>62</v>
      </c>
      <c r="C84" t="s">
        <v>50</v>
      </c>
      <c r="D84" s="3"/>
      <c r="E84" s="3">
        <v>0</v>
      </c>
      <c r="F84" s="4" t="s">
        <v>39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</row>
    <row r="85" spans="1:57">
      <c r="A85" s="1" t="str">
        <f>'Population Definitions'!$A$5</f>
        <v>0-9_females</v>
      </c>
      <c r="B85" t="s">
        <v>62</v>
      </c>
      <c r="C85" t="s">
        <v>50</v>
      </c>
      <c r="D85" s="3"/>
      <c r="E85" s="3">
        <v>0</v>
      </c>
      <c r="F85" s="4" t="s">
        <v>39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</row>
    <row r="86" spans="1:57">
      <c r="A86" s="1" t="str">
        <f>'Population Definitions'!$A$6</f>
        <v>10-17_males</v>
      </c>
      <c r="B86" t="s">
        <v>62</v>
      </c>
      <c r="C86" t="s">
        <v>50</v>
      </c>
      <c r="D86" s="3"/>
      <c r="E86" s="3">
        <v>0</v>
      </c>
      <c r="F86" s="4" t="s">
        <v>39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</row>
    <row r="87" spans="1:57">
      <c r="A87" s="1" t="str">
        <f>'Population Definitions'!$A$7</f>
        <v>10-17_females</v>
      </c>
      <c r="B87" t="s">
        <v>62</v>
      </c>
      <c r="C87" t="s">
        <v>50</v>
      </c>
      <c r="D87" s="3"/>
      <c r="E87" s="3">
        <v>0</v>
      </c>
      <c r="F87" s="4" t="s">
        <v>39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</row>
    <row r="88" spans="1:57">
      <c r="A88" s="1" t="str">
        <f>'Population Definitions'!$A$8</f>
        <v>18-64_males</v>
      </c>
      <c r="B88" t="s">
        <v>62</v>
      </c>
      <c r="C88" t="s">
        <v>50</v>
      </c>
      <c r="D88" s="3"/>
      <c r="E88" s="3">
        <v>0</v>
      </c>
      <c r="F88" s="4" t="s">
        <v>39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</row>
    <row r="89" spans="1:57">
      <c r="A89" s="1" t="str">
        <f>'Population Definitions'!$A$9</f>
        <v>18-64_females</v>
      </c>
      <c r="B89" t="s">
        <v>62</v>
      </c>
      <c r="C89" t="s">
        <v>50</v>
      </c>
      <c r="D89" s="3"/>
      <c r="E89" s="3">
        <v>0</v>
      </c>
      <c r="F89" s="4" t="s">
        <v>39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</row>
    <row r="90" spans="1:57">
      <c r="A90" s="1" t="str">
        <f>'Population Definitions'!$A$10</f>
        <v>65+_males</v>
      </c>
      <c r="B90" t="s">
        <v>62</v>
      </c>
      <c r="C90" t="s">
        <v>50</v>
      </c>
      <c r="D90" s="3"/>
      <c r="E90" s="3">
        <v>0</v>
      </c>
      <c r="F90" s="4" t="s">
        <v>39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</row>
    <row r="91" spans="1:57">
      <c r="A91" s="1" t="str">
        <f>'Population Definitions'!$A$11</f>
        <v>65+_females</v>
      </c>
      <c r="B91" t="s">
        <v>62</v>
      </c>
      <c r="C91" t="s">
        <v>50</v>
      </c>
      <c r="D91" s="3"/>
      <c r="E91" s="3">
        <v>0</v>
      </c>
      <c r="F91" s="4" t="s">
        <v>39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</row>
    <row r="92" spans="1:57">
      <c r="A92" s="1" t="str">
        <f>'Population Definitions'!$A$12</f>
        <v>Prisoners_males</v>
      </c>
      <c r="B92" t="s">
        <v>62</v>
      </c>
      <c r="C92" t="s">
        <v>50</v>
      </c>
      <c r="D92" s="3"/>
      <c r="E92" s="3">
        <v>0</v>
      </c>
      <c r="F92" s="4" t="s">
        <v>39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</row>
    <row r="93" spans="1:57">
      <c r="A93" s="1" t="str">
        <f>'Population Definitions'!$A$13</f>
        <v>Prisoners_females</v>
      </c>
      <c r="B93" t="s">
        <v>62</v>
      </c>
      <c r="C93" t="s">
        <v>50</v>
      </c>
      <c r="D93" s="3"/>
      <c r="E93" s="3">
        <v>0</v>
      </c>
      <c r="F93" s="4" t="s">
        <v>39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</row>
    <row r="94" spans="1:57">
      <c r="A94" s="1" t="str">
        <f>'Population Definitions'!$A$14</f>
        <v>Prisoners_PWID_males</v>
      </c>
      <c r="B94" t="s">
        <v>62</v>
      </c>
      <c r="C94" t="s">
        <v>50</v>
      </c>
      <c r="D94" s="3"/>
      <c r="E94" s="3">
        <v>0</v>
      </c>
      <c r="F94" s="4" t="s">
        <v>39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</row>
    <row r="95" spans="1:57">
      <c r="A95" s="1" t="str">
        <f>'Population Definitions'!$A$15</f>
        <v>Prisoners_PWID_females</v>
      </c>
      <c r="B95" t="s">
        <v>62</v>
      </c>
      <c r="C95" t="s">
        <v>50</v>
      </c>
      <c r="D95" s="3"/>
      <c r="E95" s="3">
        <v>0</v>
      </c>
      <c r="F95" s="4" t="s">
        <v>39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</row>
  </sheetData>
  <conditionalFormatting sqref="E10">
    <cfRule type="expression" dxfId="0" priority="17">
      <formula>COUNTIF(G10:BE10,"&lt;&gt;" &amp; "")&gt;0</formula>
    </cfRule>
    <cfRule type="expression" dxfId="1" priority="18">
      <formula>AND(COUNTIF(G10:BE10,"&lt;&gt;" &amp; "")&gt;0,NOT(ISBLANK(E10)))</formula>
    </cfRule>
  </conditionalFormatting>
  <conditionalFormatting sqref="E11">
    <cfRule type="expression" dxfId="0" priority="19">
      <formula>COUNTIF(G11:BE11,"&lt;&gt;" &amp; "")&gt;0</formula>
    </cfRule>
    <cfRule type="expression" dxfId="1" priority="20">
      <formula>AND(COUNTIF(G11:BE11,"&lt;&gt;" &amp; "")&gt;0,NOT(ISBLANK(E11)))</formula>
    </cfRule>
  </conditionalFormatting>
  <conditionalFormatting sqref="E12">
    <cfRule type="expression" dxfId="0" priority="21">
      <formula>COUNTIF(G12:BE12,"&lt;&gt;" &amp; "")&gt;0</formula>
    </cfRule>
    <cfRule type="expression" dxfId="1" priority="22">
      <formula>AND(COUNTIF(G12:BE12,"&lt;&gt;" &amp; "")&gt;0,NOT(ISBLANK(E12)))</formula>
    </cfRule>
  </conditionalFormatting>
  <conditionalFormatting sqref="E13">
    <cfRule type="expression" dxfId="0" priority="23">
      <formula>COUNTIF(G13:BE13,"&lt;&gt;" &amp; "")&gt;0</formula>
    </cfRule>
    <cfRule type="expression" dxfId="1" priority="24">
      <formula>AND(COUNTIF(G13:BE13,"&lt;&gt;" &amp; "")&gt;0,NOT(ISBLANK(E13)))</formula>
    </cfRule>
  </conditionalFormatting>
  <conditionalFormatting sqref="E14">
    <cfRule type="expression" dxfId="0" priority="25">
      <formula>COUNTIF(G14:BE14,"&lt;&gt;" &amp; "")&gt;0</formula>
    </cfRule>
    <cfRule type="expression" dxfId="1" priority="26">
      <formula>AND(COUNTIF(G14:BE14,"&lt;&gt;" &amp; "")&gt;0,NOT(ISBLANK(E14)))</formula>
    </cfRule>
  </conditionalFormatting>
  <conditionalFormatting sqref="E15">
    <cfRule type="expression" dxfId="0" priority="27">
      <formula>COUNTIF(G15:BE15,"&lt;&gt;" &amp; "")&gt;0</formula>
    </cfRule>
    <cfRule type="expression" dxfId="1" priority="28">
      <formula>AND(COUNTIF(G15:BE15,"&lt;&gt;" &amp; "")&gt;0,NOT(ISBLANK(E15)))</formula>
    </cfRule>
  </conditionalFormatting>
  <conditionalFormatting sqref="E18">
    <cfRule type="expression" dxfId="0" priority="29">
      <formula>COUNTIF(G18:BE18,"&lt;&gt;" &amp; "")&gt;0</formula>
    </cfRule>
    <cfRule type="expression" dxfId="1" priority="30">
      <formula>AND(COUNTIF(G18:BE18,"&lt;&gt;" &amp; "")&gt;0,NOT(ISBLANK(E18)))</formula>
    </cfRule>
  </conditionalFormatting>
  <conditionalFormatting sqref="E19">
    <cfRule type="expression" dxfId="0" priority="31">
      <formula>COUNTIF(G19:BE19,"&lt;&gt;" &amp; "")&gt;0</formula>
    </cfRule>
    <cfRule type="expression" dxfId="1" priority="32">
      <formula>AND(COUNTIF(G19:BE19,"&lt;&gt;" &amp; "")&gt;0,NOT(ISBLANK(E19)))</formula>
    </cfRule>
  </conditionalFormatting>
  <conditionalFormatting sqref="E2">
    <cfRule type="expression" dxfId="0" priority="1">
      <formula>COUNTIF(G2:BE2,"&lt;&gt;" &amp; "")&gt;0</formula>
    </cfRule>
    <cfRule type="expression" dxfId="1" priority="2">
      <formula>AND(COUNTIF(G2:BE2,"&lt;&gt;" &amp; "")&gt;0,NOT(ISBLANK(E2)))</formula>
    </cfRule>
  </conditionalFormatting>
  <conditionalFormatting sqref="E20">
    <cfRule type="expression" dxfId="0" priority="33">
      <formula>COUNTIF(G20:BE20,"&lt;&gt;" &amp; "")&gt;0</formula>
    </cfRule>
    <cfRule type="expression" dxfId="1" priority="34">
      <formula>AND(COUNTIF(G20:BE20,"&lt;&gt;" &amp; "")&gt;0,NOT(ISBLANK(E20)))</formula>
    </cfRule>
  </conditionalFormatting>
  <conditionalFormatting sqref="E21">
    <cfRule type="expression" dxfId="0" priority="35">
      <formula>COUNTIF(G21:BE21,"&lt;&gt;" &amp; "")&gt;0</formula>
    </cfRule>
    <cfRule type="expression" dxfId="1" priority="36">
      <formula>AND(COUNTIF(G21:BE21,"&lt;&gt;" &amp; "")&gt;0,NOT(ISBLANK(E21)))</formula>
    </cfRule>
  </conditionalFormatting>
  <conditionalFormatting sqref="E22">
    <cfRule type="expression" dxfId="0" priority="37">
      <formula>COUNTIF(G22:BE22,"&lt;&gt;" &amp; "")&gt;0</formula>
    </cfRule>
    <cfRule type="expression" dxfId="1" priority="38">
      <formula>AND(COUNTIF(G22:BE22,"&lt;&gt;" &amp; "")&gt;0,NOT(ISBLANK(E22)))</formula>
    </cfRule>
  </conditionalFormatting>
  <conditionalFormatting sqref="E23">
    <cfRule type="expression" dxfId="0" priority="39">
      <formula>COUNTIF(G23:BE23,"&lt;&gt;" &amp; "")&gt;0</formula>
    </cfRule>
    <cfRule type="expression" dxfId="1" priority="40">
      <formula>AND(COUNTIF(G23:BE23,"&lt;&gt;" &amp; "")&gt;0,NOT(ISBLANK(E23)))</formula>
    </cfRule>
  </conditionalFormatting>
  <conditionalFormatting sqref="E24">
    <cfRule type="expression" dxfId="0" priority="41">
      <formula>COUNTIF(G24:BE24,"&lt;&gt;" &amp; "")&gt;0</formula>
    </cfRule>
    <cfRule type="expression" dxfId="1" priority="42">
      <formula>AND(COUNTIF(G24:BE24,"&lt;&gt;" &amp; "")&gt;0,NOT(ISBLANK(E24)))</formula>
    </cfRule>
  </conditionalFormatting>
  <conditionalFormatting sqref="E25">
    <cfRule type="expression" dxfId="0" priority="43">
      <formula>COUNTIF(G25:BE25,"&lt;&gt;" &amp; "")&gt;0</formula>
    </cfRule>
    <cfRule type="expression" dxfId="1" priority="44">
      <formula>AND(COUNTIF(G25:BE25,"&lt;&gt;" &amp; "")&gt;0,NOT(ISBLANK(E25)))</formula>
    </cfRule>
  </conditionalFormatting>
  <conditionalFormatting sqref="E26">
    <cfRule type="expression" dxfId="0" priority="45">
      <formula>COUNTIF(G26:BE26,"&lt;&gt;" &amp; "")&gt;0</formula>
    </cfRule>
    <cfRule type="expression" dxfId="1" priority="46">
      <formula>AND(COUNTIF(G26:BE26,"&lt;&gt;" &amp; "")&gt;0,NOT(ISBLANK(E26)))</formula>
    </cfRule>
  </conditionalFormatting>
  <conditionalFormatting sqref="E27">
    <cfRule type="expression" dxfId="0" priority="47">
      <formula>COUNTIF(G27:BE27,"&lt;&gt;" &amp; "")&gt;0</formula>
    </cfRule>
    <cfRule type="expression" dxfId="1" priority="48">
      <formula>AND(COUNTIF(G27:BE27,"&lt;&gt;" &amp; "")&gt;0,NOT(ISBLANK(E27)))</formula>
    </cfRule>
  </conditionalFormatting>
  <conditionalFormatting sqref="E28">
    <cfRule type="expression" dxfId="0" priority="49">
      <formula>COUNTIF(G28:BE28,"&lt;&gt;" &amp; "")&gt;0</formula>
    </cfRule>
    <cfRule type="expression" dxfId="1" priority="50">
      <formula>AND(COUNTIF(G28:BE28,"&lt;&gt;" &amp; "")&gt;0,NOT(ISBLANK(E28)))</formula>
    </cfRule>
  </conditionalFormatting>
  <conditionalFormatting sqref="E29">
    <cfRule type="expression" dxfId="0" priority="51">
      <formula>COUNTIF(G29:BE29,"&lt;&gt;" &amp; "")&gt;0</formula>
    </cfRule>
    <cfRule type="expression" dxfId="1" priority="52">
      <formula>AND(COUNTIF(G29:BE29,"&lt;&gt;" &amp; "")&gt;0,NOT(ISBLANK(E29)))</formula>
    </cfRule>
  </conditionalFormatting>
  <conditionalFormatting sqref="E3">
    <cfRule type="expression" dxfId="0" priority="3">
      <formula>COUNTIF(G3:BE3,"&lt;&gt;" &amp; "")&gt;0</formula>
    </cfRule>
    <cfRule type="expression" dxfId="1" priority="4">
      <formula>AND(COUNTIF(G3:BE3,"&lt;&gt;" &amp; "")&gt;0,NOT(ISBLANK(E3)))</formula>
    </cfRule>
  </conditionalFormatting>
  <conditionalFormatting sqref="E30">
    <cfRule type="expression" dxfId="0" priority="53">
      <formula>COUNTIF(G30:BE30,"&lt;&gt;" &amp; "")&gt;0</formula>
    </cfRule>
    <cfRule type="expression" dxfId="1" priority="54">
      <formula>AND(COUNTIF(G30:BE30,"&lt;&gt;" &amp; "")&gt;0,NOT(ISBLANK(E30)))</formula>
    </cfRule>
  </conditionalFormatting>
  <conditionalFormatting sqref="E31">
    <cfRule type="expression" dxfId="0" priority="55">
      <formula>COUNTIF(G31:BE31,"&lt;&gt;" &amp; "")&gt;0</formula>
    </cfRule>
    <cfRule type="expression" dxfId="1" priority="56">
      <formula>AND(COUNTIF(G31:BE31,"&lt;&gt;" &amp; "")&gt;0,NOT(ISBLANK(E31)))</formula>
    </cfRule>
  </conditionalFormatting>
  <conditionalFormatting sqref="E34">
    <cfRule type="expression" dxfId="0" priority="57">
      <formula>COUNTIF(G34:BE34,"&lt;&gt;" &amp; "")&gt;0</formula>
    </cfRule>
    <cfRule type="expression" dxfId="1" priority="58">
      <formula>AND(COUNTIF(G34:BE34,"&lt;&gt;" &amp; "")&gt;0,NOT(ISBLANK(E34)))</formula>
    </cfRule>
  </conditionalFormatting>
  <conditionalFormatting sqref="E35">
    <cfRule type="expression" dxfId="0" priority="59">
      <formula>COUNTIF(G35:BE35,"&lt;&gt;" &amp; "")&gt;0</formula>
    </cfRule>
    <cfRule type="expression" dxfId="1" priority="60">
      <formula>AND(COUNTIF(G35:BE35,"&lt;&gt;" &amp; "")&gt;0,NOT(ISBLANK(E35)))</formula>
    </cfRule>
  </conditionalFormatting>
  <conditionalFormatting sqref="E36">
    <cfRule type="expression" dxfId="0" priority="61">
      <formula>COUNTIF(G36:BE36,"&lt;&gt;" &amp; "")&gt;0</formula>
    </cfRule>
    <cfRule type="expression" dxfId="1" priority="62">
      <formula>AND(COUNTIF(G36:BE36,"&lt;&gt;" &amp; "")&gt;0,NOT(ISBLANK(E36)))</formula>
    </cfRule>
  </conditionalFormatting>
  <conditionalFormatting sqref="E37">
    <cfRule type="expression" dxfId="0" priority="63">
      <formula>COUNTIF(G37:BE37,"&lt;&gt;" &amp; "")&gt;0</formula>
    </cfRule>
    <cfRule type="expression" dxfId="1" priority="64">
      <formula>AND(COUNTIF(G37:BE37,"&lt;&gt;" &amp; "")&gt;0,NOT(ISBLANK(E37)))</formula>
    </cfRule>
  </conditionalFormatting>
  <conditionalFormatting sqref="E38">
    <cfRule type="expression" dxfId="0" priority="65">
      <formula>COUNTIF(G38:BE38,"&lt;&gt;" &amp; "")&gt;0</formula>
    </cfRule>
    <cfRule type="expression" dxfId="1" priority="66">
      <formula>AND(COUNTIF(G38:BE38,"&lt;&gt;" &amp; "")&gt;0,NOT(ISBLANK(E38)))</formula>
    </cfRule>
  </conditionalFormatting>
  <conditionalFormatting sqref="E39">
    <cfRule type="expression" dxfId="0" priority="67">
      <formula>COUNTIF(G39:BE39,"&lt;&gt;" &amp; "")&gt;0</formula>
    </cfRule>
    <cfRule type="expression" dxfId="1" priority="68">
      <formula>AND(COUNTIF(G39:BE39,"&lt;&gt;" &amp; "")&gt;0,NOT(ISBLANK(E39)))</formula>
    </cfRule>
  </conditionalFormatting>
  <conditionalFormatting sqref="E4">
    <cfRule type="expression" dxfId="0" priority="5">
      <formula>COUNTIF(G4:BE4,"&lt;&gt;" &amp; "")&gt;0</formula>
    </cfRule>
    <cfRule type="expression" dxfId="1" priority="6">
      <formula>AND(COUNTIF(G4:BE4,"&lt;&gt;" &amp; "")&gt;0,NOT(ISBLANK(E4)))</formula>
    </cfRule>
  </conditionalFormatting>
  <conditionalFormatting sqref="E40">
    <cfRule type="expression" dxfId="0" priority="69">
      <formula>COUNTIF(G40:BE40,"&lt;&gt;" &amp; "")&gt;0</formula>
    </cfRule>
    <cfRule type="expression" dxfId="1" priority="70">
      <formula>AND(COUNTIF(G40:BE40,"&lt;&gt;" &amp; "")&gt;0,NOT(ISBLANK(E40)))</formula>
    </cfRule>
  </conditionalFormatting>
  <conditionalFormatting sqref="E41">
    <cfRule type="expression" dxfId="0" priority="71">
      <formula>COUNTIF(G41:BE41,"&lt;&gt;" &amp; "")&gt;0</formula>
    </cfRule>
    <cfRule type="expression" dxfId="1" priority="72">
      <formula>AND(COUNTIF(G41:BE41,"&lt;&gt;" &amp; "")&gt;0,NOT(ISBLANK(E41)))</formula>
    </cfRule>
  </conditionalFormatting>
  <conditionalFormatting sqref="E42">
    <cfRule type="expression" dxfId="0" priority="73">
      <formula>COUNTIF(G42:BE42,"&lt;&gt;" &amp; "")&gt;0</formula>
    </cfRule>
    <cfRule type="expression" dxfId="1" priority="74">
      <formula>AND(COUNTIF(G42:BE42,"&lt;&gt;" &amp; "")&gt;0,NOT(ISBLANK(E42)))</formula>
    </cfRule>
  </conditionalFormatting>
  <conditionalFormatting sqref="E43">
    <cfRule type="expression" dxfId="0" priority="75">
      <formula>COUNTIF(G43:BE43,"&lt;&gt;" &amp; "")&gt;0</formula>
    </cfRule>
    <cfRule type="expression" dxfId="1" priority="76">
      <formula>AND(COUNTIF(G43:BE43,"&lt;&gt;" &amp; "")&gt;0,NOT(ISBLANK(E43)))</formula>
    </cfRule>
  </conditionalFormatting>
  <conditionalFormatting sqref="E44">
    <cfRule type="expression" dxfId="0" priority="77">
      <formula>COUNTIF(G44:BE44,"&lt;&gt;" &amp; "")&gt;0</formula>
    </cfRule>
    <cfRule type="expression" dxfId="1" priority="78">
      <formula>AND(COUNTIF(G44:BE44,"&lt;&gt;" &amp; "")&gt;0,NOT(ISBLANK(E44)))</formula>
    </cfRule>
  </conditionalFormatting>
  <conditionalFormatting sqref="E45">
    <cfRule type="expression" dxfId="0" priority="79">
      <formula>COUNTIF(G45:BE45,"&lt;&gt;" &amp; "")&gt;0</formula>
    </cfRule>
    <cfRule type="expression" dxfId="1" priority="80">
      <formula>AND(COUNTIF(G45:BE45,"&lt;&gt;" &amp; "")&gt;0,NOT(ISBLANK(E45)))</formula>
    </cfRule>
  </conditionalFormatting>
  <conditionalFormatting sqref="E46">
    <cfRule type="expression" dxfId="0" priority="81">
      <formula>COUNTIF(G46:BE46,"&lt;&gt;" &amp; "")&gt;0</formula>
    </cfRule>
    <cfRule type="expression" dxfId="1" priority="82">
      <formula>AND(COUNTIF(G46:BE46,"&lt;&gt;" &amp; "")&gt;0,NOT(ISBLANK(E46)))</formula>
    </cfRule>
  </conditionalFormatting>
  <conditionalFormatting sqref="E47">
    <cfRule type="expression" dxfId="0" priority="83">
      <formula>COUNTIF(G47:BE47,"&lt;&gt;" &amp; "")&gt;0</formula>
    </cfRule>
    <cfRule type="expression" dxfId="1" priority="84">
      <formula>AND(COUNTIF(G47:BE47,"&lt;&gt;" &amp; "")&gt;0,NOT(ISBLANK(E47)))</formula>
    </cfRule>
  </conditionalFormatting>
  <conditionalFormatting sqref="E5">
    <cfRule type="expression" dxfId="0" priority="7">
      <formula>COUNTIF(G5:BE5,"&lt;&gt;" &amp; "")&gt;0</formula>
    </cfRule>
    <cfRule type="expression" dxfId="1" priority="8">
      <formula>AND(COUNTIF(G5:BE5,"&lt;&gt;" &amp; "")&gt;0,NOT(ISBLANK(E5)))</formula>
    </cfRule>
  </conditionalFormatting>
  <conditionalFormatting sqref="E50">
    <cfRule type="expression" dxfId="0" priority="85">
      <formula>COUNTIF(G50:BE50,"&lt;&gt;" &amp; "")&gt;0</formula>
    </cfRule>
    <cfRule type="expression" dxfId="1" priority="86">
      <formula>AND(COUNTIF(G50:BE50,"&lt;&gt;" &amp; "")&gt;0,NOT(ISBLANK(E50)))</formula>
    </cfRule>
  </conditionalFormatting>
  <conditionalFormatting sqref="E51">
    <cfRule type="expression" dxfId="0" priority="87">
      <formula>COUNTIF(G51:BE51,"&lt;&gt;" &amp; "")&gt;0</formula>
    </cfRule>
    <cfRule type="expression" dxfId="1" priority="88">
      <formula>AND(COUNTIF(G51:BE51,"&lt;&gt;" &amp; "")&gt;0,NOT(ISBLANK(E51)))</formula>
    </cfRule>
  </conditionalFormatting>
  <conditionalFormatting sqref="E52">
    <cfRule type="expression" dxfId="0" priority="89">
      <formula>COUNTIF(G52:BE52,"&lt;&gt;" &amp; "")&gt;0</formula>
    </cfRule>
    <cfRule type="expression" dxfId="1" priority="90">
      <formula>AND(COUNTIF(G52:BE52,"&lt;&gt;" &amp; "")&gt;0,NOT(ISBLANK(E52)))</formula>
    </cfRule>
  </conditionalFormatting>
  <conditionalFormatting sqref="E53">
    <cfRule type="expression" dxfId="0" priority="91">
      <formula>COUNTIF(G53:BE53,"&lt;&gt;" &amp; "")&gt;0</formula>
    </cfRule>
    <cfRule type="expression" dxfId="1" priority="92">
      <formula>AND(COUNTIF(G53:BE53,"&lt;&gt;" &amp; "")&gt;0,NOT(ISBLANK(E53)))</formula>
    </cfRule>
  </conditionalFormatting>
  <conditionalFormatting sqref="E54">
    <cfRule type="expression" dxfId="0" priority="93">
      <formula>COUNTIF(G54:BE54,"&lt;&gt;" &amp; "")&gt;0</formula>
    </cfRule>
    <cfRule type="expression" dxfId="1" priority="94">
      <formula>AND(COUNTIF(G54:BE54,"&lt;&gt;" &amp; "")&gt;0,NOT(ISBLANK(E54)))</formula>
    </cfRule>
  </conditionalFormatting>
  <conditionalFormatting sqref="E55">
    <cfRule type="expression" dxfId="0" priority="95">
      <formula>COUNTIF(G55:BE55,"&lt;&gt;" &amp; "")&gt;0</formula>
    </cfRule>
    <cfRule type="expression" dxfId="1" priority="96">
      <formula>AND(COUNTIF(G55:BE55,"&lt;&gt;" &amp; "")&gt;0,NOT(ISBLANK(E55)))</formula>
    </cfRule>
  </conditionalFormatting>
  <conditionalFormatting sqref="E56">
    <cfRule type="expression" dxfId="0" priority="97">
      <formula>COUNTIF(G56:BE56,"&lt;&gt;" &amp; "")&gt;0</formula>
    </cfRule>
    <cfRule type="expression" dxfId="1" priority="98">
      <formula>AND(COUNTIF(G56:BE56,"&lt;&gt;" &amp; "")&gt;0,NOT(ISBLANK(E56)))</formula>
    </cfRule>
  </conditionalFormatting>
  <conditionalFormatting sqref="E57">
    <cfRule type="expression" dxfId="0" priority="99">
      <formula>COUNTIF(G57:BE57,"&lt;&gt;" &amp; "")&gt;0</formula>
    </cfRule>
    <cfRule type="expression" dxfId="1" priority="100">
      <formula>AND(COUNTIF(G57:BE57,"&lt;&gt;" &amp; "")&gt;0,NOT(ISBLANK(E57)))</formula>
    </cfRule>
  </conditionalFormatting>
  <conditionalFormatting sqref="E58">
    <cfRule type="expression" dxfId="0" priority="101">
      <formula>COUNTIF(G58:BE58,"&lt;&gt;" &amp; "")&gt;0</formula>
    </cfRule>
    <cfRule type="expression" dxfId="1" priority="102">
      <formula>AND(COUNTIF(G58:BE58,"&lt;&gt;" &amp; "")&gt;0,NOT(ISBLANK(E58)))</formula>
    </cfRule>
  </conditionalFormatting>
  <conditionalFormatting sqref="E59">
    <cfRule type="expression" dxfId="0" priority="103">
      <formula>COUNTIF(G59:BE59,"&lt;&gt;" &amp; "")&gt;0</formula>
    </cfRule>
    <cfRule type="expression" dxfId="1" priority="104">
      <formula>AND(COUNTIF(G59:BE59,"&lt;&gt;" &amp; "")&gt;0,NOT(ISBLANK(E59)))</formula>
    </cfRule>
  </conditionalFormatting>
  <conditionalFormatting sqref="E6">
    <cfRule type="expression" dxfId="0" priority="9">
      <formula>COUNTIF(G6:BE6,"&lt;&gt;" &amp; "")&gt;0</formula>
    </cfRule>
    <cfRule type="expression" dxfId="1" priority="10">
      <formula>AND(COUNTIF(G6:BE6,"&lt;&gt;" &amp; "")&gt;0,NOT(ISBLANK(E6)))</formula>
    </cfRule>
  </conditionalFormatting>
  <conditionalFormatting sqref="E60">
    <cfRule type="expression" dxfId="0" priority="105">
      <formula>COUNTIF(G60:BE60,"&lt;&gt;" &amp; "")&gt;0</formula>
    </cfRule>
    <cfRule type="expression" dxfId="1" priority="106">
      <formula>AND(COUNTIF(G60:BE60,"&lt;&gt;" &amp; "")&gt;0,NOT(ISBLANK(E60)))</formula>
    </cfRule>
  </conditionalFormatting>
  <conditionalFormatting sqref="E61">
    <cfRule type="expression" dxfId="0" priority="107">
      <formula>COUNTIF(G61:BE61,"&lt;&gt;" &amp; "")&gt;0</formula>
    </cfRule>
    <cfRule type="expression" dxfId="1" priority="108">
      <formula>AND(COUNTIF(G61:BE61,"&lt;&gt;" &amp; "")&gt;0,NOT(ISBLANK(E61)))</formula>
    </cfRule>
  </conditionalFormatting>
  <conditionalFormatting sqref="E62">
    <cfRule type="expression" dxfId="0" priority="109">
      <formula>COUNTIF(G62:BE62,"&lt;&gt;" &amp; "")&gt;0</formula>
    </cfRule>
    <cfRule type="expression" dxfId="1" priority="110">
      <formula>AND(COUNTIF(G62:BE62,"&lt;&gt;" &amp; "")&gt;0,NOT(ISBLANK(E62)))</formula>
    </cfRule>
  </conditionalFormatting>
  <conditionalFormatting sqref="E63">
    <cfRule type="expression" dxfId="0" priority="111">
      <formula>COUNTIF(G63:BE63,"&lt;&gt;" &amp; "")&gt;0</formula>
    </cfRule>
    <cfRule type="expression" dxfId="1" priority="112">
      <formula>AND(COUNTIF(G63:BE63,"&lt;&gt;" &amp; "")&gt;0,NOT(ISBLANK(E63)))</formula>
    </cfRule>
  </conditionalFormatting>
  <conditionalFormatting sqref="E66">
    <cfRule type="expression" dxfId="0" priority="113">
      <formula>COUNTIF(G66:BE66,"&lt;&gt;" &amp; "")&gt;0</formula>
    </cfRule>
    <cfRule type="expression" dxfId="1" priority="114">
      <formula>AND(COUNTIF(G66:BE66,"&lt;&gt;" &amp; "")&gt;0,NOT(ISBLANK(E66)))</formula>
    </cfRule>
  </conditionalFormatting>
  <conditionalFormatting sqref="E67">
    <cfRule type="expression" dxfId="0" priority="115">
      <formula>COUNTIF(G67:BE67,"&lt;&gt;" &amp; "")&gt;0</formula>
    </cfRule>
    <cfRule type="expression" dxfId="1" priority="116">
      <formula>AND(COUNTIF(G67:BE67,"&lt;&gt;" &amp; "")&gt;0,NOT(ISBLANK(E67)))</formula>
    </cfRule>
  </conditionalFormatting>
  <conditionalFormatting sqref="E68">
    <cfRule type="expression" dxfId="0" priority="117">
      <formula>COUNTIF(G68:BE68,"&lt;&gt;" &amp; "")&gt;0</formula>
    </cfRule>
    <cfRule type="expression" dxfId="1" priority="118">
      <formula>AND(COUNTIF(G68:BE68,"&lt;&gt;" &amp; "")&gt;0,NOT(ISBLANK(E68)))</formula>
    </cfRule>
  </conditionalFormatting>
  <conditionalFormatting sqref="E69">
    <cfRule type="expression" dxfId="0" priority="119">
      <formula>COUNTIF(G69:BE69,"&lt;&gt;" &amp; "")&gt;0</formula>
    </cfRule>
    <cfRule type="expression" dxfId="1" priority="120">
      <formula>AND(COUNTIF(G69:BE69,"&lt;&gt;" &amp; "")&gt;0,NOT(ISBLANK(E69)))</formula>
    </cfRule>
  </conditionalFormatting>
  <conditionalFormatting sqref="E7">
    <cfRule type="expression" dxfId="0" priority="11">
      <formula>COUNTIF(G7:BE7,"&lt;&gt;" &amp; "")&gt;0</formula>
    </cfRule>
    <cfRule type="expression" dxfId="1" priority="12">
      <formula>AND(COUNTIF(G7:BE7,"&lt;&gt;" &amp; "")&gt;0,NOT(ISBLANK(E7)))</formula>
    </cfRule>
  </conditionalFormatting>
  <conditionalFormatting sqref="E70">
    <cfRule type="expression" dxfId="0" priority="121">
      <formula>COUNTIF(G70:BE70,"&lt;&gt;" &amp; "")&gt;0</formula>
    </cfRule>
    <cfRule type="expression" dxfId="1" priority="122">
      <formula>AND(COUNTIF(G70:BE70,"&lt;&gt;" &amp; "")&gt;0,NOT(ISBLANK(E70)))</formula>
    </cfRule>
  </conditionalFormatting>
  <conditionalFormatting sqref="E71">
    <cfRule type="expression" dxfId="0" priority="123">
      <formula>COUNTIF(G71:BE71,"&lt;&gt;" &amp; "")&gt;0</formula>
    </cfRule>
    <cfRule type="expression" dxfId="1" priority="124">
      <formula>AND(COUNTIF(G71:BE71,"&lt;&gt;" &amp; "")&gt;0,NOT(ISBLANK(E71)))</formula>
    </cfRule>
  </conditionalFormatting>
  <conditionalFormatting sqref="E72">
    <cfRule type="expression" dxfId="0" priority="125">
      <formula>COUNTIF(G72:BE72,"&lt;&gt;" &amp; "")&gt;0</formula>
    </cfRule>
    <cfRule type="expression" dxfId="1" priority="126">
      <formula>AND(COUNTIF(G72:BE72,"&lt;&gt;" &amp; "")&gt;0,NOT(ISBLANK(E72)))</formula>
    </cfRule>
  </conditionalFormatting>
  <conditionalFormatting sqref="E73">
    <cfRule type="expression" dxfId="0" priority="127">
      <formula>COUNTIF(G73:BE73,"&lt;&gt;" &amp; "")&gt;0</formula>
    </cfRule>
    <cfRule type="expression" dxfId="1" priority="128">
      <formula>AND(COUNTIF(G73:BE73,"&lt;&gt;" &amp; "")&gt;0,NOT(ISBLANK(E73)))</formula>
    </cfRule>
  </conditionalFormatting>
  <conditionalFormatting sqref="E74">
    <cfRule type="expression" dxfId="0" priority="129">
      <formula>COUNTIF(G74:BE74,"&lt;&gt;" &amp; "")&gt;0</formula>
    </cfRule>
    <cfRule type="expression" dxfId="1" priority="130">
      <formula>AND(COUNTIF(G74:BE74,"&lt;&gt;" &amp; "")&gt;0,NOT(ISBLANK(E74)))</formula>
    </cfRule>
  </conditionalFormatting>
  <conditionalFormatting sqref="E75">
    <cfRule type="expression" dxfId="0" priority="131">
      <formula>COUNTIF(G75:BE75,"&lt;&gt;" &amp; "")&gt;0</formula>
    </cfRule>
    <cfRule type="expression" dxfId="1" priority="132">
      <formula>AND(COUNTIF(G75:BE75,"&lt;&gt;" &amp; "")&gt;0,NOT(ISBLANK(E75)))</formula>
    </cfRule>
  </conditionalFormatting>
  <conditionalFormatting sqref="E76">
    <cfRule type="expression" dxfId="0" priority="133">
      <formula>COUNTIF(G76:BE76,"&lt;&gt;" &amp; "")&gt;0</formula>
    </cfRule>
    <cfRule type="expression" dxfId="1" priority="134">
      <formula>AND(COUNTIF(G76:BE76,"&lt;&gt;" &amp; "")&gt;0,NOT(ISBLANK(E76)))</formula>
    </cfRule>
  </conditionalFormatting>
  <conditionalFormatting sqref="E77">
    <cfRule type="expression" dxfId="0" priority="135">
      <formula>COUNTIF(G77:BE77,"&lt;&gt;" &amp; "")&gt;0</formula>
    </cfRule>
    <cfRule type="expression" dxfId="1" priority="136">
      <formula>AND(COUNTIF(G77:BE77,"&lt;&gt;" &amp; "")&gt;0,NOT(ISBLANK(E77)))</formula>
    </cfRule>
  </conditionalFormatting>
  <conditionalFormatting sqref="E78">
    <cfRule type="expression" dxfId="0" priority="137">
      <formula>COUNTIF(G78:BE78,"&lt;&gt;" &amp; "")&gt;0</formula>
    </cfRule>
    <cfRule type="expression" dxfId="1" priority="138">
      <formula>AND(COUNTIF(G78:BE78,"&lt;&gt;" &amp; "")&gt;0,NOT(ISBLANK(E78)))</formula>
    </cfRule>
  </conditionalFormatting>
  <conditionalFormatting sqref="E79">
    <cfRule type="expression" dxfId="0" priority="139">
      <formula>COUNTIF(G79:BE79,"&lt;&gt;" &amp; "")&gt;0</formula>
    </cfRule>
    <cfRule type="expression" dxfId="1" priority="140">
      <formula>AND(COUNTIF(G79:BE79,"&lt;&gt;" &amp; "")&gt;0,NOT(ISBLANK(E79)))</formula>
    </cfRule>
  </conditionalFormatting>
  <conditionalFormatting sqref="E8">
    <cfRule type="expression" dxfId="0" priority="13">
      <formula>COUNTIF(G8:BE8,"&lt;&gt;" &amp; "")&gt;0</formula>
    </cfRule>
    <cfRule type="expression" dxfId="1" priority="14">
      <formula>AND(COUNTIF(G8:BE8,"&lt;&gt;" &amp; "")&gt;0,NOT(ISBLANK(E8)))</formula>
    </cfRule>
  </conditionalFormatting>
  <conditionalFormatting sqref="E82">
    <cfRule type="expression" dxfId="0" priority="141">
      <formula>COUNTIF(G82:BE82,"&lt;&gt;" &amp; "")&gt;0</formula>
    </cfRule>
    <cfRule type="expression" dxfId="1" priority="142">
      <formula>AND(COUNTIF(G82:BE82,"&lt;&gt;" &amp; "")&gt;0,NOT(ISBLANK(E82)))</formula>
    </cfRule>
  </conditionalFormatting>
  <conditionalFormatting sqref="E83">
    <cfRule type="expression" dxfId="0" priority="143">
      <formula>COUNTIF(G83:BE83,"&lt;&gt;" &amp; "")&gt;0</formula>
    </cfRule>
    <cfRule type="expression" dxfId="1" priority="144">
      <formula>AND(COUNTIF(G83:BE83,"&lt;&gt;" &amp; "")&gt;0,NOT(ISBLANK(E83)))</formula>
    </cfRule>
  </conditionalFormatting>
  <conditionalFormatting sqref="E84">
    <cfRule type="expression" dxfId="0" priority="145">
      <formula>COUNTIF(G84:BE84,"&lt;&gt;" &amp; "")&gt;0</formula>
    </cfRule>
    <cfRule type="expression" dxfId="1" priority="146">
      <formula>AND(COUNTIF(G84:BE84,"&lt;&gt;" &amp; "")&gt;0,NOT(ISBLANK(E84)))</formula>
    </cfRule>
  </conditionalFormatting>
  <conditionalFormatting sqref="E85">
    <cfRule type="expression" dxfId="0" priority="147">
      <formula>COUNTIF(G85:BE85,"&lt;&gt;" &amp; "")&gt;0</formula>
    </cfRule>
    <cfRule type="expression" dxfId="1" priority="148">
      <formula>AND(COUNTIF(G85:BE85,"&lt;&gt;" &amp; "")&gt;0,NOT(ISBLANK(E85)))</formula>
    </cfRule>
  </conditionalFormatting>
  <conditionalFormatting sqref="E86">
    <cfRule type="expression" dxfId="0" priority="149">
      <formula>COUNTIF(G86:BE86,"&lt;&gt;" &amp; "")&gt;0</formula>
    </cfRule>
    <cfRule type="expression" dxfId="1" priority="150">
      <formula>AND(COUNTIF(G86:BE86,"&lt;&gt;" &amp; "")&gt;0,NOT(ISBLANK(E86)))</formula>
    </cfRule>
  </conditionalFormatting>
  <conditionalFormatting sqref="E87">
    <cfRule type="expression" dxfId="0" priority="151">
      <formula>COUNTIF(G87:BE87,"&lt;&gt;" &amp; "")&gt;0</formula>
    </cfRule>
    <cfRule type="expression" dxfId="1" priority="152">
      <formula>AND(COUNTIF(G87:BE87,"&lt;&gt;" &amp; "")&gt;0,NOT(ISBLANK(E87)))</formula>
    </cfRule>
  </conditionalFormatting>
  <conditionalFormatting sqref="E88">
    <cfRule type="expression" dxfId="0" priority="153">
      <formula>COUNTIF(G88:BE88,"&lt;&gt;" &amp; "")&gt;0</formula>
    </cfRule>
    <cfRule type="expression" dxfId="1" priority="154">
      <formula>AND(COUNTIF(G88:BE88,"&lt;&gt;" &amp; "")&gt;0,NOT(ISBLANK(E88)))</formula>
    </cfRule>
  </conditionalFormatting>
  <conditionalFormatting sqref="E89">
    <cfRule type="expression" dxfId="0" priority="155">
      <formula>COUNTIF(G89:BE89,"&lt;&gt;" &amp; "")&gt;0</formula>
    </cfRule>
    <cfRule type="expression" dxfId="1" priority="156">
      <formula>AND(COUNTIF(G89:BE89,"&lt;&gt;" &amp; "")&gt;0,NOT(ISBLANK(E89)))</formula>
    </cfRule>
  </conditionalFormatting>
  <conditionalFormatting sqref="E9">
    <cfRule type="expression" dxfId="0" priority="15">
      <formula>COUNTIF(G9:BE9,"&lt;&gt;" &amp; "")&gt;0</formula>
    </cfRule>
    <cfRule type="expression" dxfId="1" priority="16">
      <formula>AND(COUNTIF(G9:BE9,"&lt;&gt;" &amp; "")&gt;0,NOT(ISBLANK(E9)))</formula>
    </cfRule>
  </conditionalFormatting>
  <conditionalFormatting sqref="E90">
    <cfRule type="expression" dxfId="0" priority="157">
      <formula>COUNTIF(G90:BE90,"&lt;&gt;" &amp; "")&gt;0</formula>
    </cfRule>
    <cfRule type="expression" dxfId="1" priority="158">
      <formula>AND(COUNTIF(G90:BE90,"&lt;&gt;" &amp; "")&gt;0,NOT(ISBLANK(E90)))</formula>
    </cfRule>
  </conditionalFormatting>
  <conditionalFormatting sqref="E91">
    <cfRule type="expression" dxfId="0" priority="159">
      <formula>COUNTIF(G91:BE91,"&lt;&gt;" &amp; "")&gt;0</formula>
    </cfRule>
    <cfRule type="expression" dxfId="1" priority="160">
      <formula>AND(COUNTIF(G91:BE91,"&lt;&gt;" &amp; "")&gt;0,NOT(ISBLANK(E91)))</formula>
    </cfRule>
  </conditionalFormatting>
  <conditionalFormatting sqref="E92">
    <cfRule type="expression" dxfId="0" priority="161">
      <formula>COUNTIF(G92:BE92,"&lt;&gt;" &amp; "")&gt;0</formula>
    </cfRule>
    <cfRule type="expression" dxfId="1" priority="162">
      <formula>AND(COUNTIF(G92:BE92,"&lt;&gt;" &amp; "")&gt;0,NOT(ISBLANK(E92)))</formula>
    </cfRule>
  </conditionalFormatting>
  <conditionalFormatting sqref="E93">
    <cfRule type="expression" dxfId="0" priority="163">
      <formula>COUNTIF(G93:BE93,"&lt;&gt;" &amp; "")&gt;0</formula>
    </cfRule>
    <cfRule type="expression" dxfId="1" priority="164">
      <formula>AND(COUNTIF(G93:BE93,"&lt;&gt;" &amp; "")&gt;0,NOT(ISBLANK(E93)))</formula>
    </cfRule>
  </conditionalFormatting>
  <conditionalFormatting sqref="E94">
    <cfRule type="expression" dxfId="0" priority="165">
      <formula>COUNTIF(G94:BE94,"&lt;&gt;" &amp; "")&gt;0</formula>
    </cfRule>
    <cfRule type="expression" dxfId="1" priority="166">
      <formula>AND(COUNTIF(G94:BE94,"&lt;&gt;" &amp; "")&gt;0,NOT(ISBLANK(E94)))</formula>
    </cfRule>
  </conditionalFormatting>
  <conditionalFormatting sqref="E95">
    <cfRule type="expression" dxfId="0" priority="167">
      <formula>COUNTIF(G95:BE95,"&lt;&gt;" &amp; "")&gt;0</formula>
    </cfRule>
    <cfRule type="expression" dxfId="1" priority="168">
      <formula>AND(COUNTIF(G95:BE95,"&lt;&gt;" &amp; "")&gt;0,NOT(ISBLANK(E95)))</formula>
    </cfRule>
  </conditionalFormatting>
  <dataValidations count="84">
    <dataValidation type="list" allowBlank="1" showInputMessage="1" showErrorMessage="1" sqref="C2">
      <formula1>"Proportion"</formula1>
    </dataValidation>
    <dataValidation type="list" allowBlank="1" showInputMessage="1" showErrorMessage="1" sqref="C3">
      <formula1>"Proportion"</formula1>
    </dataValidation>
    <dataValidation type="list" allowBlank="1" showInputMessage="1" showErrorMessage="1" sqref="C4">
      <formula1>"Proportion"</formula1>
    </dataValidation>
    <dataValidation type="list" allowBlank="1" showInputMessage="1" showErrorMessage="1" sqref="C5">
      <formula1>"Proportion"</formula1>
    </dataValidation>
    <dataValidation type="list" allowBlank="1" showInputMessage="1" showErrorMessage="1" sqref="C6">
      <formula1>"Proportion"</formula1>
    </dataValidation>
    <dataValidation type="list" allowBlank="1" showInputMessage="1" showErrorMessage="1" sqref="C7">
      <formula1>"Proportion"</formula1>
    </dataValidation>
    <dataValidation type="list" allowBlank="1" showInputMessage="1" showErrorMessage="1" sqref="C8">
      <formula1>"Proportion"</formula1>
    </dataValidation>
    <dataValidation type="list" allowBlank="1" showInputMessage="1" showErrorMessage="1" sqref="C9">
      <formula1>"Proportion"</formula1>
    </dataValidation>
    <dataValidation type="list" allowBlank="1" showInputMessage="1" showErrorMessage="1" sqref="C10">
      <formula1>"Proportion"</formula1>
    </dataValidation>
    <dataValidation type="list" allowBlank="1" showInputMessage="1" showErrorMessage="1" sqref="C11">
      <formula1>"Proportion"</formula1>
    </dataValidation>
    <dataValidation type="list" allowBlank="1" showInputMessage="1" showErrorMessage="1" sqref="C12">
      <formula1>"Proportion"</formula1>
    </dataValidation>
    <dataValidation type="list" allowBlank="1" showInputMessage="1" showErrorMessage="1" sqref="C13">
      <formula1>"Proportion"</formula1>
    </dataValidation>
    <dataValidation type="list" allowBlank="1" showInputMessage="1" showErrorMessage="1" sqref="C14">
      <formula1>"Proportion"</formula1>
    </dataValidation>
    <dataValidation type="list" allowBlank="1" showInputMessage="1" showErrorMessage="1" sqref="C15">
      <formula1>"Proportion"</formula1>
    </dataValidation>
    <dataValidation type="list" allowBlank="1" showInputMessage="1" showErrorMessage="1" sqref="C18">
      <formula1>"Proportion"</formula1>
    </dataValidation>
    <dataValidation type="list" allowBlank="1" showInputMessage="1" showErrorMessage="1" sqref="C19">
      <formula1>"Proportion"</formula1>
    </dataValidation>
    <dataValidation type="list" allowBlank="1" showInputMessage="1" showErrorMessage="1" sqref="C20">
      <formula1>"Proportion"</formula1>
    </dataValidation>
    <dataValidation type="list" allowBlank="1" showInputMessage="1" showErrorMessage="1" sqref="C21">
      <formula1>"Proportion"</formula1>
    </dataValidation>
    <dataValidation type="list" allowBlank="1" showInputMessage="1" showErrorMessage="1" sqref="C22">
      <formula1>"Proportion"</formula1>
    </dataValidation>
    <dataValidation type="list" allowBlank="1" showInputMessage="1" showErrorMessage="1" sqref="C23">
      <formula1>"Proportion"</formula1>
    </dataValidation>
    <dataValidation type="list" allowBlank="1" showInputMessage="1" showErrorMessage="1" sqref="C24">
      <formula1>"Proportion"</formula1>
    </dataValidation>
    <dataValidation type="list" allowBlank="1" showInputMessage="1" showErrorMessage="1" sqref="C25">
      <formula1>"Proportion"</formula1>
    </dataValidation>
    <dataValidation type="list" allowBlank="1" showInputMessage="1" showErrorMessage="1" sqref="C26">
      <formula1>"Proportion"</formula1>
    </dataValidation>
    <dataValidation type="list" allowBlank="1" showInputMessage="1" showErrorMessage="1" sqref="C27">
      <formula1>"Proportion"</formula1>
    </dataValidation>
    <dataValidation type="list" allowBlank="1" showInputMessage="1" showErrorMessage="1" sqref="C28">
      <formula1>"Proportion"</formula1>
    </dataValidation>
    <dataValidation type="list" allowBlank="1" showInputMessage="1" showErrorMessage="1" sqref="C29">
      <formula1>"Proportion"</formula1>
    </dataValidation>
    <dataValidation type="list" allowBlank="1" showInputMessage="1" showErrorMessage="1" sqref="C30">
      <formula1>"Proportion"</formula1>
    </dataValidation>
    <dataValidation type="list" allowBlank="1" showInputMessage="1" showErrorMessage="1" sqref="C31">
      <formula1>"Proportion"</formula1>
    </dataValidation>
    <dataValidation type="list" allowBlank="1" showInputMessage="1" showErrorMessage="1" sqref="C34">
      <formula1>"Proportion"</formula1>
    </dataValidation>
    <dataValidation type="list" allowBlank="1" showInputMessage="1" showErrorMessage="1" sqref="C35">
      <formula1>"Proportion"</formula1>
    </dataValidation>
    <dataValidation type="list" allowBlank="1" showInputMessage="1" showErrorMessage="1" sqref="C36">
      <formula1>"Proportion"</formula1>
    </dataValidation>
    <dataValidation type="list" allowBlank="1" showInputMessage="1" showErrorMessage="1" sqref="C37">
      <formula1>"Proportion"</formula1>
    </dataValidation>
    <dataValidation type="list" allowBlank="1" showInputMessage="1" showErrorMessage="1" sqref="C38">
      <formula1>"Proportion"</formula1>
    </dataValidation>
    <dataValidation type="list" allowBlank="1" showInputMessage="1" showErrorMessage="1" sqref="C39">
      <formula1>"Proportion"</formula1>
    </dataValidation>
    <dataValidation type="list" allowBlank="1" showInputMessage="1" showErrorMessage="1" sqref="C40">
      <formula1>"Proportion"</formula1>
    </dataValidation>
    <dataValidation type="list" allowBlank="1" showInputMessage="1" showErrorMessage="1" sqref="C41">
      <formula1>"Proportion"</formula1>
    </dataValidation>
    <dataValidation type="list" allowBlank="1" showInputMessage="1" showErrorMessage="1" sqref="C42">
      <formula1>"Proportion"</formula1>
    </dataValidation>
    <dataValidation type="list" allowBlank="1" showInputMessage="1" showErrorMessage="1" sqref="C43">
      <formula1>"Proportion"</formula1>
    </dataValidation>
    <dataValidation type="list" allowBlank="1" showInputMessage="1" showErrorMessage="1" sqref="C44">
      <formula1>"Proportion"</formula1>
    </dataValidation>
    <dataValidation type="list" allowBlank="1" showInputMessage="1" showErrorMessage="1" sqref="C45">
      <formula1>"Proportion"</formula1>
    </dataValidation>
    <dataValidation type="list" allowBlank="1" showInputMessage="1" showErrorMessage="1" sqref="C46">
      <formula1>"Proportion"</formula1>
    </dataValidation>
    <dataValidation type="list" allowBlank="1" showInputMessage="1" showErrorMessage="1" sqref="C47">
      <formula1>"Proportion"</formula1>
    </dataValidation>
    <dataValidation type="list" allowBlank="1" showInputMessage="1" showErrorMessage="1" sqref="C50">
      <formula1>"Proportion"</formula1>
    </dataValidation>
    <dataValidation type="list" allowBlank="1" showInputMessage="1" showErrorMessage="1" sqref="C51">
      <formula1>"Proportion"</formula1>
    </dataValidation>
    <dataValidation type="list" allowBlank="1" showInputMessage="1" showErrorMessage="1" sqref="C52">
      <formula1>"Proportion"</formula1>
    </dataValidation>
    <dataValidation type="list" allowBlank="1" showInputMessage="1" showErrorMessage="1" sqref="C53">
      <formula1>"Proportion"</formula1>
    </dataValidation>
    <dataValidation type="list" allowBlank="1" showInputMessage="1" showErrorMessage="1" sqref="C54">
      <formula1>"Proportion"</formula1>
    </dataValidation>
    <dataValidation type="list" allowBlank="1" showInputMessage="1" showErrorMessage="1" sqref="C55">
      <formula1>"Proportion"</formula1>
    </dataValidation>
    <dataValidation type="list" allowBlank="1" showInputMessage="1" showErrorMessage="1" sqref="C56">
      <formula1>"Proportion"</formula1>
    </dataValidation>
    <dataValidation type="list" allowBlank="1" showInputMessage="1" showErrorMessage="1" sqref="C57">
      <formula1>"Proportion"</formula1>
    </dataValidation>
    <dataValidation type="list" allowBlank="1" showInputMessage="1" showErrorMessage="1" sqref="C58">
      <formula1>"Proportion"</formula1>
    </dataValidation>
    <dataValidation type="list" allowBlank="1" showInputMessage="1" showErrorMessage="1" sqref="C59">
      <formula1>"Proportion"</formula1>
    </dataValidation>
    <dataValidation type="list" allowBlank="1" showInputMessage="1" showErrorMessage="1" sqref="C60">
      <formula1>"Proportion"</formula1>
    </dataValidation>
    <dataValidation type="list" allowBlank="1" showInputMessage="1" showErrorMessage="1" sqref="C61">
      <formula1>"Proportion"</formula1>
    </dataValidation>
    <dataValidation type="list" allowBlank="1" showInputMessage="1" showErrorMessage="1" sqref="C62">
      <formula1>"Proportion"</formula1>
    </dataValidation>
    <dataValidation type="list" allowBlank="1" showInputMessage="1" showErrorMessage="1" sqref="C63">
      <formula1>"Proportion"</formula1>
    </dataValidation>
    <dataValidation type="list" allowBlank="1" showInputMessage="1" showErrorMessage="1" sqref="C66">
      <formula1>"Proportion"</formula1>
    </dataValidation>
    <dataValidation type="list" allowBlank="1" showInputMessage="1" showErrorMessage="1" sqref="C67">
      <formula1>"Proportion"</formula1>
    </dataValidation>
    <dataValidation type="list" allowBlank="1" showInputMessage="1" showErrorMessage="1" sqref="C68">
      <formula1>"Proportion"</formula1>
    </dataValidation>
    <dataValidation type="list" allowBlank="1" showInputMessage="1" showErrorMessage="1" sqref="C69">
      <formula1>"Proportion"</formula1>
    </dataValidation>
    <dataValidation type="list" allowBlank="1" showInputMessage="1" showErrorMessage="1" sqref="C70">
      <formula1>"Proportion"</formula1>
    </dataValidation>
    <dataValidation type="list" allowBlank="1" showInputMessage="1" showErrorMessage="1" sqref="C71">
      <formula1>"Proportion"</formula1>
    </dataValidation>
    <dataValidation type="list" allowBlank="1" showInputMessage="1" showErrorMessage="1" sqref="C72">
      <formula1>"Proportion"</formula1>
    </dataValidation>
    <dataValidation type="list" allowBlank="1" showInputMessage="1" showErrorMessage="1" sqref="C73">
      <formula1>"Proportion"</formula1>
    </dataValidation>
    <dataValidation type="list" allowBlank="1" showInputMessage="1" showErrorMessage="1" sqref="C74">
      <formula1>"Proportion"</formula1>
    </dataValidation>
    <dataValidation type="list" allowBlank="1" showInputMessage="1" showErrorMessage="1" sqref="C75">
      <formula1>"Proportion"</formula1>
    </dataValidation>
    <dataValidation type="list" allowBlank="1" showInputMessage="1" showErrorMessage="1" sqref="C76">
      <formula1>"Proportion"</formula1>
    </dataValidation>
    <dataValidation type="list" allowBlank="1" showInputMessage="1" showErrorMessage="1" sqref="C77">
      <formula1>"Proportion"</formula1>
    </dataValidation>
    <dataValidation type="list" allowBlank="1" showInputMessage="1" showErrorMessage="1" sqref="C78">
      <formula1>"Proportion"</formula1>
    </dataValidation>
    <dataValidation type="list" allowBlank="1" showInputMessage="1" showErrorMessage="1" sqref="C79">
      <formula1>"Proportion"</formula1>
    </dataValidation>
    <dataValidation type="list" allowBlank="1" showInputMessage="1" showErrorMessage="1" sqref="C82">
      <formula1>"Proportion"</formula1>
    </dataValidation>
    <dataValidation type="list" allowBlank="1" showInputMessage="1" showErrorMessage="1" sqref="C83">
      <formula1>"Proportion"</formula1>
    </dataValidation>
    <dataValidation type="list" allowBlank="1" showInputMessage="1" showErrorMessage="1" sqref="C84">
      <formula1>"Proportion"</formula1>
    </dataValidation>
    <dataValidation type="list" allowBlank="1" showInputMessage="1" showErrorMessage="1" sqref="C85">
      <formula1>"Proportion"</formula1>
    </dataValidation>
    <dataValidation type="list" allowBlank="1" showInputMessage="1" showErrorMessage="1" sqref="C86">
      <formula1>"Proportion"</formula1>
    </dataValidation>
    <dataValidation type="list" allowBlank="1" showInputMessage="1" showErrorMessage="1" sqref="C87">
      <formula1>"Proportion"</formula1>
    </dataValidation>
    <dataValidation type="list" allowBlank="1" showInputMessage="1" showErrorMessage="1" sqref="C88">
      <formula1>"Proportion"</formula1>
    </dataValidation>
    <dataValidation type="list" allowBlank="1" showInputMessage="1" showErrorMessage="1" sqref="C89">
      <formula1>"Proportion"</formula1>
    </dataValidation>
    <dataValidation type="list" allowBlank="1" showInputMessage="1" showErrorMessage="1" sqref="C90">
      <formula1>"Proportion"</formula1>
    </dataValidation>
    <dataValidation type="list" allowBlank="1" showInputMessage="1" showErrorMessage="1" sqref="C91">
      <formula1>"Proportion"</formula1>
    </dataValidation>
    <dataValidation type="list" allowBlank="1" showInputMessage="1" showErrorMessage="1" sqref="C92">
      <formula1>"Proportion"</formula1>
    </dataValidation>
    <dataValidation type="list" allowBlank="1" showInputMessage="1" showErrorMessage="1" sqref="C93">
      <formula1>"Proportion"</formula1>
    </dataValidation>
    <dataValidation type="list" allowBlank="1" showInputMessage="1" showErrorMessage="1" sqref="C94">
      <formula1>"Proportion"</formula1>
    </dataValidation>
    <dataValidation type="list" allowBlank="1" showInputMessage="1" showErrorMessage="1" sqref="C95">
      <formula1>"Proportion"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sheetPr>
    <tabColor rgb="FF808080"/>
  </sheetPr>
  <dimension ref="A1:BE127"/>
  <sheetViews>
    <sheetView workbookViewId="0"/>
  </sheetViews>
  <sheetFormatPr defaultRowHeight="15"/>
  <cols>
    <col min="1" max="1" width="78.7109375" customWidth="1"/>
    <col min="2" max="2" width="30.28515625" customWidth="1"/>
    <col min="3" max="3" width="18.28515625" customWidth="1"/>
    <col min="4" max="4" width="13.85546875" customWidth="1"/>
    <col min="5" max="5" width="10.5703125" customWidth="1"/>
    <col min="6" max="6" width="3.85546875" customWidth="1"/>
    <col min="7" max="57" width="9.42578125" customWidth="1"/>
  </cols>
  <sheetData>
    <row r="1" spans="1:57">
      <c r="A1" s="1" t="s">
        <v>90</v>
      </c>
      <c r="B1" s="1" t="s">
        <v>31</v>
      </c>
      <c r="C1" s="1" t="s">
        <v>32</v>
      </c>
      <c r="D1" s="1" t="s">
        <v>33</v>
      </c>
      <c r="E1" s="1" t="s">
        <v>38</v>
      </c>
      <c r="F1" s="1"/>
      <c r="G1" s="1">
        <v>2000</v>
      </c>
      <c r="H1" s="1">
        <v>2001</v>
      </c>
      <c r="I1" s="1">
        <v>2002</v>
      </c>
      <c r="J1" s="1">
        <v>2003</v>
      </c>
      <c r="K1" s="1">
        <v>2004</v>
      </c>
      <c r="L1" s="1">
        <v>2005</v>
      </c>
      <c r="M1" s="1">
        <v>2006</v>
      </c>
      <c r="N1" s="1">
        <v>2007</v>
      </c>
      <c r="O1" s="1">
        <v>2008</v>
      </c>
      <c r="P1" s="1">
        <v>2009</v>
      </c>
      <c r="Q1" s="1">
        <v>2010</v>
      </c>
      <c r="R1" s="1">
        <v>2011</v>
      </c>
      <c r="S1" s="1">
        <v>2012</v>
      </c>
      <c r="T1" s="1">
        <v>2013</v>
      </c>
      <c r="U1" s="1">
        <v>2014</v>
      </c>
      <c r="V1" s="1">
        <v>2015</v>
      </c>
      <c r="W1" s="1">
        <v>2016</v>
      </c>
      <c r="X1" s="1">
        <v>2017</v>
      </c>
      <c r="Y1" s="1">
        <v>2018</v>
      </c>
      <c r="Z1" s="1">
        <v>2019</v>
      </c>
      <c r="AA1" s="1">
        <v>2020</v>
      </c>
      <c r="AB1" s="1">
        <v>2021</v>
      </c>
      <c r="AC1" s="1">
        <v>2022</v>
      </c>
      <c r="AD1" s="1">
        <v>2023</v>
      </c>
      <c r="AE1" s="1">
        <v>2024</v>
      </c>
      <c r="AF1" s="1">
        <v>2025</v>
      </c>
      <c r="AG1" s="1">
        <v>2026</v>
      </c>
      <c r="AH1" s="1">
        <v>2027</v>
      </c>
      <c r="AI1" s="1">
        <v>2028</v>
      </c>
      <c r="AJ1" s="1">
        <v>2029</v>
      </c>
      <c r="AK1" s="1">
        <v>2030</v>
      </c>
      <c r="AL1" s="1">
        <v>2031</v>
      </c>
      <c r="AM1" s="1">
        <v>2032</v>
      </c>
      <c r="AN1" s="1">
        <v>2033</v>
      </c>
      <c r="AO1" s="1">
        <v>2034</v>
      </c>
      <c r="AP1" s="1">
        <v>2035</v>
      </c>
      <c r="AQ1" s="1">
        <v>2036</v>
      </c>
      <c r="AR1" s="1">
        <v>2037</v>
      </c>
      <c r="AS1" s="1">
        <v>2038</v>
      </c>
      <c r="AT1" s="1">
        <v>2039</v>
      </c>
      <c r="AU1" s="1">
        <v>2040</v>
      </c>
      <c r="AV1" s="1">
        <v>2041</v>
      </c>
      <c r="AW1" s="1">
        <v>2042</v>
      </c>
      <c r="AX1" s="1">
        <v>2043</v>
      </c>
      <c r="AY1" s="1">
        <v>2044</v>
      </c>
      <c r="AZ1" s="1">
        <v>2045</v>
      </c>
      <c r="BA1" s="1">
        <v>2046</v>
      </c>
      <c r="BB1" s="1">
        <v>2047</v>
      </c>
      <c r="BC1" s="1">
        <v>2048</v>
      </c>
      <c r="BD1" s="1">
        <v>2049</v>
      </c>
      <c r="BE1" s="1">
        <v>2050</v>
      </c>
    </row>
    <row r="2" spans="1:57">
      <c r="A2" s="1" t="str">
        <f>'Population Definitions'!$A$2</f>
        <v>PWID_males</v>
      </c>
      <c r="B2" t="s">
        <v>62</v>
      </c>
      <c r="C2" t="s">
        <v>55</v>
      </c>
      <c r="D2" s="3"/>
      <c r="E2" s="3">
        <v>0</v>
      </c>
      <c r="F2" s="4" t="s">
        <v>39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</row>
    <row r="3" spans="1:57">
      <c r="A3" s="1" t="str">
        <f>'Population Definitions'!$A$3</f>
        <v>PWID_females</v>
      </c>
      <c r="B3" t="s">
        <v>62</v>
      </c>
      <c r="C3" t="s">
        <v>55</v>
      </c>
      <c r="D3" s="3"/>
      <c r="E3" s="3">
        <v>0</v>
      </c>
      <c r="F3" s="4" t="s">
        <v>39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</row>
    <row r="4" spans="1:57">
      <c r="A4" s="1" t="str">
        <f>'Population Definitions'!$A$4</f>
        <v>0-9_males</v>
      </c>
      <c r="B4" t="s">
        <v>62</v>
      </c>
      <c r="C4" t="s">
        <v>55</v>
      </c>
      <c r="D4" s="3"/>
      <c r="E4" s="3">
        <v>0</v>
      </c>
      <c r="F4" s="4" t="s">
        <v>39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</row>
    <row r="5" spans="1:57">
      <c r="A5" s="1" t="str">
        <f>'Population Definitions'!$A$5</f>
        <v>0-9_females</v>
      </c>
      <c r="B5" t="s">
        <v>62</v>
      </c>
      <c r="C5" t="s">
        <v>55</v>
      </c>
      <c r="D5" s="3"/>
      <c r="E5" s="3">
        <v>0</v>
      </c>
      <c r="F5" s="4" t="s">
        <v>39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</row>
    <row r="6" spans="1:57">
      <c r="A6" s="1" t="str">
        <f>'Population Definitions'!$A$6</f>
        <v>10-17_males</v>
      </c>
      <c r="B6" t="s">
        <v>62</v>
      </c>
      <c r="C6" t="s">
        <v>55</v>
      </c>
      <c r="D6" s="3"/>
      <c r="E6" s="3">
        <v>0</v>
      </c>
      <c r="F6" s="4" t="s">
        <v>39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</row>
    <row r="7" spans="1:57">
      <c r="A7" s="1" t="str">
        <f>'Population Definitions'!$A$7</f>
        <v>10-17_females</v>
      </c>
      <c r="B7" t="s">
        <v>62</v>
      </c>
      <c r="C7" t="s">
        <v>55</v>
      </c>
      <c r="D7" s="3"/>
      <c r="E7" s="3">
        <v>0</v>
      </c>
      <c r="F7" s="4" t="s">
        <v>39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</row>
    <row r="8" spans="1:57">
      <c r="A8" s="1" t="str">
        <f>'Population Definitions'!$A$8</f>
        <v>18-64_males</v>
      </c>
      <c r="B8" t="s">
        <v>62</v>
      </c>
      <c r="C8" t="s">
        <v>55</v>
      </c>
      <c r="D8" s="3"/>
      <c r="E8" s="3">
        <v>0</v>
      </c>
      <c r="F8" s="4" t="s">
        <v>39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</row>
    <row r="9" spans="1:57">
      <c r="A9" s="1" t="str">
        <f>'Population Definitions'!$A$9</f>
        <v>18-64_females</v>
      </c>
      <c r="B9" t="s">
        <v>62</v>
      </c>
      <c r="C9" t="s">
        <v>55</v>
      </c>
      <c r="D9" s="3"/>
      <c r="E9" s="3">
        <v>0</v>
      </c>
      <c r="F9" s="4" t="s">
        <v>39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</row>
    <row r="10" spans="1:57">
      <c r="A10" s="1" t="str">
        <f>'Population Definitions'!$A$10</f>
        <v>65+_males</v>
      </c>
      <c r="B10" t="s">
        <v>62</v>
      </c>
      <c r="C10" t="s">
        <v>55</v>
      </c>
      <c r="D10" s="3"/>
      <c r="E10" s="3">
        <v>0</v>
      </c>
      <c r="F10" s="4" t="s">
        <v>39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</row>
    <row r="11" spans="1:57">
      <c r="A11" s="1" t="str">
        <f>'Population Definitions'!$A$11</f>
        <v>65+_females</v>
      </c>
      <c r="B11" t="s">
        <v>62</v>
      </c>
      <c r="C11" t="s">
        <v>55</v>
      </c>
      <c r="D11" s="3"/>
      <c r="E11" s="3">
        <v>0</v>
      </c>
      <c r="F11" s="4" t="s">
        <v>39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</row>
    <row r="12" spans="1:57">
      <c r="A12" s="1" t="str">
        <f>'Population Definitions'!$A$12</f>
        <v>Prisoners_males</v>
      </c>
      <c r="B12" t="s">
        <v>62</v>
      </c>
      <c r="C12" t="s">
        <v>55</v>
      </c>
      <c r="D12" s="3"/>
      <c r="E12" s="3">
        <v>0</v>
      </c>
      <c r="F12" s="4" t="s">
        <v>39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</row>
    <row r="13" spans="1:57">
      <c r="A13" s="1" t="str">
        <f>'Population Definitions'!$A$13</f>
        <v>Prisoners_females</v>
      </c>
      <c r="B13" t="s">
        <v>62</v>
      </c>
      <c r="C13" t="s">
        <v>55</v>
      </c>
      <c r="D13" s="3"/>
      <c r="E13" s="3">
        <v>0</v>
      </c>
      <c r="F13" s="4" t="s">
        <v>39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</row>
    <row r="14" spans="1:57">
      <c r="A14" s="1" t="str">
        <f>'Population Definitions'!$A$14</f>
        <v>Prisoners_PWID_males</v>
      </c>
      <c r="B14" t="s">
        <v>62</v>
      </c>
      <c r="C14" t="s">
        <v>55</v>
      </c>
      <c r="D14" s="3"/>
      <c r="E14" s="3">
        <v>0</v>
      </c>
      <c r="F14" s="4" t="s">
        <v>39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</row>
    <row r="15" spans="1:57">
      <c r="A15" s="1" t="str">
        <f>'Population Definitions'!$A$15</f>
        <v>Prisoners_PWID_females</v>
      </c>
      <c r="B15" t="s">
        <v>62</v>
      </c>
      <c r="C15" t="s">
        <v>55</v>
      </c>
      <c r="D15" s="3"/>
      <c r="E15" s="3">
        <v>0</v>
      </c>
      <c r="F15" s="4" t="s">
        <v>39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</row>
    <row r="17" spans="1:57">
      <c r="A17" s="1" t="s">
        <v>91</v>
      </c>
      <c r="B17" s="1" t="s">
        <v>31</v>
      </c>
      <c r="C17" s="1" t="s">
        <v>32</v>
      </c>
      <c r="D17" s="1" t="s">
        <v>33</v>
      </c>
      <c r="E17" s="1" t="s">
        <v>38</v>
      </c>
      <c r="F17" s="1"/>
      <c r="G17" s="1">
        <v>2000</v>
      </c>
      <c r="H17" s="1">
        <v>2001</v>
      </c>
      <c r="I17" s="1">
        <v>2002</v>
      </c>
      <c r="J17" s="1">
        <v>2003</v>
      </c>
      <c r="K17" s="1">
        <v>2004</v>
      </c>
      <c r="L17" s="1">
        <v>2005</v>
      </c>
      <c r="M17" s="1">
        <v>2006</v>
      </c>
      <c r="N17" s="1">
        <v>2007</v>
      </c>
      <c r="O17" s="1">
        <v>2008</v>
      </c>
      <c r="P17" s="1">
        <v>2009</v>
      </c>
      <c r="Q17" s="1">
        <v>2010</v>
      </c>
      <c r="R17" s="1">
        <v>2011</v>
      </c>
      <c r="S17" s="1">
        <v>2012</v>
      </c>
      <c r="T17" s="1">
        <v>2013</v>
      </c>
      <c r="U17" s="1">
        <v>2014</v>
      </c>
      <c r="V17" s="1">
        <v>2015</v>
      </c>
      <c r="W17" s="1">
        <v>2016</v>
      </c>
      <c r="X17" s="1">
        <v>2017</v>
      </c>
      <c r="Y17" s="1">
        <v>2018</v>
      </c>
      <c r="Z17" s="1">
        <v>2019</v>
      </c>
      <c r="AA17" s="1">
        <v>2020</v>
      </c>
      <c r="AB17" s="1">
        <v>2021</v>
      </c>
      <c r="AC17" s="1">
        <v>2022</v>
      </c>
      <c r="AD17" s="1">
        <v>2023</v>
      </c>
      <c r="AE17" s="1">
        <v>2024</v>
      </c>
      <c r="AF17" s="1">
        <v>2025</v>
      </c>
      <c r="AG17" s="1">
        <v>2026</v>
      </c>
      <c r="AH17" s="1">
        <v>2027</v>
      </c>
      <c r="AI17" s="1">
        <v>2028</v>
      </c>
      <c r="AJ17" s="1">
        <v>2029</v>
      </c>
      <c r="AK17" s="1">
        <v>2030</v>
      </c>
      <c r="AL17" s="1">
        <v>2031</v>
      </c>
      <c r="AM17" s="1">
        <v>2032</v>
      </c>
      <c r="AN17" s="1">
        <v>2033</v>
      </c>
      <c r="AO17" s="1">
        <v>2034</v>
      </c>
      <c r="AP17" s="1">
        <v>2035</v>
      </c>
      <c r="AQ17" s="1">
        <v>2036</v>
      </c>
      <c r="AR17" s="1">
        <v>2037</v>
      </c>
      <c r="AS17" s="1">
        <v>2038</v>
      </c>
      <c r="AT17" s="1">
        <v>2039</v>
      </c>
      <c r="AU17" s="1">
        <v>2040</v>
      </c>
      <c r="AV17" s="1">
        <v>2041</v>
      </c>
      <c r="AW17" s="1">
        <v>2042</v>
      </c>
      <c r="AX17" s="1">
        <v>2043</v>
      </c>
      <c r="AY17" s="1">
        <v>2044</v>
      </c>
      <c r="AZ17" s="1">
        <v>2045</v>
      </c>
      <c r="BA17" s="1">
        <v>2046</v>
      </c>
      <c r="BB17" s="1">
        <v>2047</v>
      </c>
      <c r="BC17" s="1">
        <v>2048</v>
      </c>
      <c r="BD17" s="1">
        <v>2049</v>
      </c>
      <c r="BE17" s="1">
        <v>2050</v>
      </c>
    </row>
    <row r="18" spans="1:57">
      <c r="A18" s="1" t="str">
        <f>'Population Definitions'!$A$2</f>
        <v>PWID_males</v>
      </c>
      <c r="B18" t="s">
        <v>62</v>
      </c>
      <c r="C18" t="s">
        <v>55</v>
      </c>
      <c r="D18" s="3"/>
      <c r="E18" s="3">
        <v>0</v>
      </c>
      <c r="F18" s="4" t="s">
        <v>39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</row>
    <row r="19" spans="1:57">
      <c r="A19" s="1" t="str">
        <f>'Population Definitions'!$A$3</f>
        <v>PWID_females</v>
      </c>
      <c r="B19" t="s">
        <v>62</v>
      </c>
      <c r="C19" t="s">
        <v>55</v>
      </c>
      <c r="D19" s="3"/>
      <c r="E19" s="3">
        <v>0</v>
      </c>
      <c r="F19" s="4" t="s">
        <v>39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</row>
    <row r="20" spans="1:57">
      <c r="A20" s="1" t="str">
        <f>'Population Definitions'!$A$4</f>
        <v>0-9_males</v>
      </c>
      <c r="B20" t="s">
        <v>62</v>
      </c>
      <c r="C20" t="s">
        <v>55</v>
      </c>
      <c r="D20" s="3"/>
      <c r="E20" s="3">
        <v>0</v>
      </c>
      <c r="F20" s="4" t="s">
        <v>39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</row>
    <row r="21" spans="1:57">
      <c r="A21" s="1" t="str">
        <f>'Population Definitions'!$A$5</f>
        <v>0-9_females</v>
      </c>
      <c r="B21" t="s">
        <v>62</v>
      </c>
      <c r="C21" t="s">
        <v>55</v>
      </c>
      <c r="D21" s="3"/>
      <c r="E21" s="3">
        <v>0</v>
      </c>
      <c r="F21" s="4" t="s">
        <v>39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</row>
    <row r="22" spans="1:57">
      <c r="A22" s="1" t="str">
        <f>'Population Definitions'!$A$6</f>
        <v>10-17_males</v>
      </c>
      <c r="B22" t="s">
        <v>62</v>
      </c>
      <c r="C22" t="s">
        <v>55</v>
      </c>
      <c r="D22" s="3"/>
      <c r="E22" s="3">
        <v>0</v>
      </c>
      <c r="F22" s="4" t="s">
        <v>39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</row>
    <row r="23" spans="1:57">
      <c r="A23" s="1" t="str">
        <f>'Population Definitions'!$A$7</f>
        <v>10-17_females</v>
      </c>
      <c r="B23" t="s">
        <v>62</v>
      </c>
      <c r="C23" t="s">
        <v>55</v>
      </c>
      <c r="D23" s="3"/>
      <c r="E23" s="3">
        <v>0</v>
      </c>
      <c r="F23" s="4" t="s">
        <v>39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</row>
    <row r="24" spans="1:57">
      <c r="A24" s="1" t="str">
        <f>'Population Definitions'!$A$8</f>
        <v>18-64_males</v>
      </c>
      <c r="B24" t="s">
        <v>62</v>
      </c>
      <c r="C24" t="s">
        <v>55</v>
      </c>
      <c r="D24" s="3"/>
      <c r="E24" s="3">
        <v>0</v>
      </c>
      <c r="F24" s="4" t="s">
        <v>39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</row>
    <row r="25" spans="1:57">
      <c r="A25" s="1" t="str">
        <f>'Population Definitions'!$A$9</f>
        <v>18-64_females</v>
      </c>
      <c r="B25" t="s">
        <v>62</v>
      </c>
      <c r="C25" t="s">
        <v>55</v>
      </c>
      <c r="D25" s="3"/>
      <c r="E25" s="3">
        <v>0</v>
      </c>
      <c r="F25" s="4" t="s">
        <v>39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</row>
    <row r="26" spans="1:57">
      <c r="A26" s="1" t="str">
        <f>'Population Definitions'!$A$10</f>
        <v>65+_males</v>
      </c>
      <c r="B26" t="s">
        <v>62</v>
      </c>
      <c r="C26" t="s">
        <v>55</v>
      </c>
      <c r="D26" s="3"/>
      <c r="E26" s="3">
        <v>0</v>
      </c>
      <c r="F26" s="4" t="s">
        <v>39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</row>
    <row r="27" spans="1:57">
      <c r="A27" s="1" t="str">
        <f>'Population Definitions'!$A$11</f>
        <v>65+_females</v>
      </c>
      <c r="B27" t="s">
        <v>62</v>
      </c>
      <c r="C27" t="s">
        <v>55</v>
      </c>
      <c r="D27" s="3"/>
      <c r="E27" s="3">
        <v>0</v>
      </c>
      <c r="F27" s="4" t="s">
        <v>39</v>
      </c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</row>
    <row r="28" spans="1:57">
      <c r="A28" s="1" t="str">
        <f>'Population Definitions'!$A$12</f>
        <v>Prisoners_males</v>
      </c>
      <c r="B28" t="s">
        <v>62</v>
      </c>
      <c r="C28" t="s">
        <v>55</v>
      </c>
      <c r="D28" s="3"/>
      <c r="E28" s="3">
        <v>0</v>
      </c>
      <c r="F28" s="4" t="s">
        <v>39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</row>
    <row r="29" spans="1:57">
      <c r="A29" s="1" t="str">
        <f>'Population Definitions'!$A$13</f>
        <v>Prisoners_females</v>
      </c>
      <c r="B29" t="s">
        <v>62</v>
      </c>
      <c r="C29" t="s">
        <v>55</v>
      </c>
      <c r="D29" s="3"/>
      <c r="E29" s="3">
        <v>0</v>
      </c>
      <c r="F29" s="4" t="s">
        <v>39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</row>
    <row r="30" spans="1:57">
      <c r="A30" s="1" t="str">
        <f>'Population Definitions'!$A$14</f>
        <v>Prisoners_PWID_males</v>
      </c>
      <c r="B30" t="s">
        <v>62</v>
      </c>
      <c r="C30" t="s">
        <v>55</v>
      </c>
      <c r="D30" s="3"/>
      <c r="E30" s="3">
        <v>0</v>
      </c>
      <c r="F30" s="4" t="s">
        <v>39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</row>
    <row r="31" spans="1:57">
      <c r="A31" s="1" t="str">
        <f>'Population Definitions'!$A$15</f>
        <v>Prisoners_PWID_females</v>
      </c>
      <c r="B31" t="s">
        <v>62</v>
      </c>
      <c r="C31" t="s">
        <v>55</v>
      </c>
      <c r="D31" s="3"/>
      <c r="E31" s="3">
        <v>0</v>
      </c>
      <c r="F31" s="4" t="s">
        <v>39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</row>
    <row r="33" spans="1:57">
      <c r="A33" s="1" t="s">
        <v>92</v>
      </c>
      <c r="B33" s="1" t="s">
        <v>31</v>
      </c>
      <c r="C33" s="1" t="s">
        <v>32</v>
      </c>
      <c r="D33" s="1" t="s">
        <v>33</v>
      </c>
      <c r="E33" s="1" t="s">
        <v>38</v>
      </c>
      <c r="F33" s="1"/>
      <c r="G33" s="1">
        <v>2000</v>
      </c>
      <c r="H33" s="1">
        <v>2001</v>
      </c>
      <c r="I33" s="1">
        <v>2002</v>
      </c>
      <c r="J33" s="1">
        <v>2003</v>
      </c>
      <c r="K33" s="1">
        <v>2004</v>
      </c>
      <c r="L33" s="1">
        <v>2005</v>
      </c>
      <c r="M33" s="1">
        <v>2006</v>
      </c>
      <c r="N33" s="1">
        <v>2007</v>
      </c>
      <c r="O33" s="1">
        <v>2008</v>
      </c>
      <c r="P33" s="1">
        <v>2009</v>
      </c>
      <c r="Q33" s="1">
        <v>2010</v>
      </c>
      <c r="R33" s="1">
        <v>2011</v>
      </c>
      <c r="S33" s="1">
        <v>2012</v>
      </c>
      <c r="T33" s="1">
        <v>2013</v>
      </c>
      <c r="U33" s="1">
        <v>2014</v>
      </c>
      <c r="V33" s="1">
        <v>2015</v>
      </c>
      <c r="W33" s="1">
        <v>2016</v>
      </c>
      <c r="X33" s="1">
        <v>2017</v>
      </c>
      <c r="Y33" s="1">
        <v>2018</v>
      </c>
      <c r="Z33" s="1">
        <v>2019</v>
      </c>
      <c r="AA33" s="1">
        <v>2020</v>
      </c>
      <c r="AB33" s="1">
        <v>2021</v>
      </c>
      <c r="AC33" s="1">
        <v>2022</v>
      </c>
      <c r="AD33" s="1">
        <v>2023</v>
      </c>
      <c r="AE33" s="1">
        <v>2024</v>
      </c>
      <c r="AF33" s="1">
        <v>2025</v>
      </c>
      <c r="AG33" s="1">
        <v>2026</v>
      </c>
      <c r="AH33" s="1">
        <v>2027</v>
      </c>
      <c r="AI33" s="1">
        <v>2028</v>
      </c>
      <c r="AJ33" s="1">
        <v>2029</v>
      </c>
      <c r="AK33" s="1">
        <v>2030</v>
      </c>
      <c r="AL33" s="1">
        <v>2031</v>
      </c>
      <c r="AM33" s="1">
        <v>2032</v>
      </c>
      <c r="AN33" s="1">
        <v>2033</v>
      </c>
      <c r="AO33" s="1">
        <v>2034</v>
      </c>
      <c r="AP33" s="1">
        <v>2035</v>
      </c>
      <c r="AQ33" s="1">
        <v>2036</v>
      </c>
      <c r="AR33" s="1">
        <v>2037</v>
      </c>
      <c r="AS33" s="1">
        <v>2038</v>
      </c>
      <c r="AT33" s="1">
        <v>2039</v>
      </c>
      <c r="AU33" s="1">
        <v>2040</v>
      </c>
      <c r="AV33" s="1">
        <v>2041</v>
      </c>
      <c r="AW33" s="1">
        <v>2042</v>
      </c>
      <c r="AX33" s="1">
        <v>2043</v>
      </c>
      <c r="AY33" s="1">
        <v>2044</v>
      </c>
      <c r="AZ33" s="1">
        <v>2045</v>
      </c>
      <c r="BA33" s="1">
        <v>2046</v>
      </c>
      <c r="BB33" s="1">
        <v>2047</v>
      </c>
      <c r="BC33" s="1">
        <v>2048</v>
      </c>
      <c r="BD33" s="1">
        <v>2049</v>
      </c>
      <c r="BE33" s="1">
        <v>2050</v>
      </c>
    </row>
    <row r="34" spans="1:57">
      <c r="A34" s="1" t="str">
        <f>'Population Definitions'!$A$2</f>
        <v>PWID_males</v>
      </c>
      <c r="B34" t="s">
        <v>62</v>
      </c>
      <c r="C34" t="s">
        <v>55</v>
      </c>
      <c r="D34" s="3"/>
      <c r="E34" s="3">
        <v>0</v>
      </c>
      <c r="F34" s="4" t="s">
        <v>39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</row>
    <row r="35" spans="1:57">
      <c r="A35" s="1" t="str">
        <f>'Population Definitions'!$A$3</f>
        <v>PWID_females</v>
      </c>
      <c r="B35" t="s">
        <v>62</v>
      </c>
      <c r="C35" t="s">
        <v>55</v>
      </c>
      <c r="D35" s="3"/>
      <c r="E35" s="3">
        <v>0</v>
      </c>
      <c r="F35" s="4" t="s">
        <v>39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</row>
    <row r="36" spans="1:57">
      <c r="A36" s="1" t="str">
        <f>'Population Definitions'!$A$4</f>
        <v>0-9_males</v>
      </c>
      <c r="B36" t="s">
        <v>62</v>
      </c>
      <c r="C36" t="s">
        <v>55</v>
      </c>
      <c r="D36" s="3"/>
      <c r="E36" s="3">
        <v>0</v>
      </c>
      <c r="F36" s="4" t="s">
        <v>39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</row>
    <row r="37" spans="1:57">
      <c r="A37" s="1" t="str">
        <f>'Population Definitions'!$A$5</f>
        <v>0-9_females</v>
      </c>
      <c r="B37" t="s">
        <v>62</v>
      </c>
      <c r="C37" t="s">
        <v>55</v>
      </c>
      <c r="D37" s="3"/>
      <c r="E37" s="3">
        <v>0</v>
      </c>
      <c r="F37" s="4" t="s">
        <v>39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</row>
    <row r="38" spans="1:57">
      <c r="A38" s="1" t="str">
        <f>'Population Definitions'!$A$6</f>
        <v>10-17_males</v>
      </c>
      <c r="B38" t="s">
        <v>62</v>
      </c>
      <c r="C38" t="s">
        <v>55</v>
      </c>
      <c r="D38" s="3"/>
      <c r="E38" s="3">
        <v>0</v>
      </c>
      <c r="F38" s="4" t="s">
        <v>39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</row>
    <row r="39" spans="1:57">
      <c r="A39" s="1" t="str">
        <f>'Population Definitions'!$A$7</f>
        <v>10-17_females</v>
      </c>
      <c r="B39" t="s">
        <v>62</v>
      </c>
      <c r="C39" t="s">
        <v>55</v>
      </c>
      <c r="D39" s="3"/>
      <c r="E39" s="3">
        <v>0</v>
      </c>
      <c r="F39" s="4" t="s">
        <v>39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</row>
    <row r="40" spans="1:57">
      <c r="A40" s="1" t="str">
        <f>'Population Definitions'!$A$8</f>
        <v>18-64_males</v>
      </c>
      <c r="B40" t="s">
        <v>62</v>
      </c>
      <c r="C40" t="s">
        <v>55</v>
      </c>
      <c r="D40" s="3"/>
      <c r="E40" s="3">
        <v>0</v>
      </c>
      <c r="F40" s="4" t="s">
        <v>39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</row>
    <row r="41" spans="1:57">
      <c r="A41" s="1" t="str">
        <f>'Population Definitions'!$A$9</f>
        <v>18-64_females</v>
      </c>
      <c r="B41" t="s">
        <v>62</v>
      </c>
      <c r="C41" t="s">
        <v>55</v>
      </c>
      <c r="D41" s="3"/>
      <c r="E41" s="3">
        <v>0</v>
      </c>
      <c r="F41" s="4" t="s">
        <v>39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</row>
    <row r="42" spans="1:57">
      <c r="A42" s="1" t="str">
        <f>'Population Definitions'!$A$10</f>
        <v>65+_males</v>
      </c>
      <c r="B42" t="s">
        <v>62</v>
      </c>
      <c r="C42" t="s">
        <v>55</v>
      </c>
      <c r="D42" s="3"/>
      <c r="E42" s="3">
        <v>0</v>
      </c>
      <c r="F42" s="4" t="s">
        <v>39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</row>
    <row r="43" spans="1:57">
      <c r="A43" s="1" t="str">
        <f>'Population Definitions'!$A$11</f>
        <v>65+_females</v>
      </c>
      <c r="B43" t="s">
        <v>62</v>
      </c>
      <c r="C43" t="s">
        <v>55</v>
      </c>
      <c r="D43" s="3"/>
      <c r="E43" s="3">
        <v>0</v>
      </c>
      <c r="F43" s="4" t="s">
        <v>39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</row>
    <row r="44" spans="1:57">
      <c r="A44" s="1" t="str">
        <f>'Population Definitions'!$A$12</f>
        <v>Prisoners_males</v>
      </c>
      <c r="B44" t="s">
        <v>62</v>
      </c>
      <c r="C44" t="s">
        <v>55</v>
      </c>
      <c r="D44" s="3"/>
      <c r="E44" s="3">
        <v>0</v>
      </c>
      <c r="F44" s="4" t="s">
        <v>39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</row>
    <row r="45" spans="1:57">
      <c r="A45" s="1" t="str">
        <f>'Population Definitions'!$A$13</f>
        <v>Prisoners_females</v>
      </c>
      <c r="B45" t="s">
        <v>62</v>
      </c>
      <c r="C45" t="s">
        <v>55</v>
      </c>
      <c r="D45" s="3"/>
      <c r="E45" s="3">
        <v>0</v>
      </c>
      <c r="F45" s="4" t="s">
        <v>39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</row>
    <row r="46" spans="1:57">
      <c r="A46" s="1" t="str">
        <f>'Population Definitions'!$A$14</f>
        <v>Prisoners_PWID_males</v>
      </c>
      <c r="B46" t="s">
        <v>62</v>
      </c>
      <c r="C46" t="s">
        <v>55</v>
      </c>
      <c r="D46" s="3"/>
      <c r="E46" s="3">
        <v>0</v>
      </c>
      <c r="F46" s="4" t="s">
        <v>39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</row>
    <row r="47" spans="1:57">
      <c r="A47" s="1" t="str">
        <f>'Population Definitions'!$A$15</f>
        <v>Prisoners_PWID_females</v>
      </c>
      <c r="B47" t="s">
        <v>62</v>
      </c>
      <c r="C47" t="s">
        <v>55</v>
      </c>
      <c r="D47" s="3"/>
      <c r="E47" s="3">
        <v>0</v>
      </c>
      <c r="F47" s="4" t="s">
        <v>39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</row>
    <row r="49" spans="1:57">
      <c r="A49" s="1" t="s">
        <v>93</v>
      </c>
      <c r="B49" s="1" t="s">
        <v>31</v>
      </c>
      <c r="C49" s="1" t="s">
        <v>32</v>
      </c>
      <c r="D49" s="1" t="s">
        <v>33</v>
      </c>
      <c r="E49" s="1" t="s">
        <v>38</v>
      </c>
      <c r="F49" s="1"/>
      <c r="G49" s="1">
        <v>2000</v>
      </c>
      <c r="H49" s="1">
        <v>2001</v>
      </c>
      <c r="I49" s="1">
        <v>2002</v>
      </c>
      <c r="J49" s="1">
        <v>2003</v>
      </c>
      <c r="K49" s="1">
        <v>2004</v>
      </c>
      <c r="L49" s="1">
        <v>2005</v>
      </c>
      <c r="M49" s="1">
        <v>2006</v>
      </c>
      <c r="N49" s="1">
        <v>2007</v>
      </c>
      <c r="O49" s="1">
        <v>2008</v>
      </c>
      <c r="P49" s="1">
        <v>2009</v>
      </c>
      <c r="Q49" s="1">
        <v>2010</v>
      </c>
      <c r="R49" s="1">
        <v>2011</v>
      </c>
      <c r="S49" s="1">
        <v>2012</v>
      </c>
      <c r="T49" s="1">
        <v>2013</v>
      </c>
      <c r="U49" s="1">
        <v>2014</v>
      </c>
      <c r="V49" s="1">
        <v>2015</v>
      </c>
      <c r="W49" s="1">
        <v>2016</v>
      </c>
      <c r="X49" s="1">
        <v>2017</v>
      </c>
      <c r="Y49" s="1">
        <v>2018</v>
      </c>
      <c r="Z49" s="1">
        <v>2019</v>
      </c>
      <c r="AA49" s="1">
        <v>2020</v>
      </c>
      <c r="AB49" s="1">
        <v>2021</v>
      </c>
      <c r="AC49" s="1">
        <v>2022</v>
      </c>
      <c r="AD49" s="1">
        <v>2023</v>
      </c>
      <c r="AE49" s="1">
        <v>2024</v>
      </c>
      <c r="AF49" s="1">
        <v>2025</v>
      </c>
      <c r="AG49" s="1">
        <v>2026</v>
      </c>
      <c r="AH49" s="1">
        <v>2027</v>
      </c>
      <c r="AI49" s="1">
        <v>2028</v>
      </c>
      <c r="AJ49" s="1">
        <v>2029</v>
      </c>
      <c r="AK49" s="1">
        <v>2030</v>
      </c>
      <c r="AL49" s="1">
        <v>2031</v>
      </c>
      <c r="AM49" s="1">
        <v>2032</v>
      </c>
      <c r="AN49" s="1">
        <v>2033</v>
      </c>
      <c r="AO49" s="1">
        <v>2034</v>
      </c>
      <c r="AP49" s="1">
        <v>2035</v>
      </c>
      <c r="AQ49" s="1">
        <v>2036</v>
      </c>
      <c r="AR49" s="1">
        <v>2037</v>
      </c>
      <c r="AS49" s="1">
        <v>2038</v>
      </c>
      <c r="AT49" s="1">
        <v>2039</v>
      </c>
      <c r="AU49" s="1">
        <v>2040</v>
      </c>
      <c r="AV49" s="1">
        <v>2041</v>
      </c>
      <c r="AW49" s="1">
        <v>2042</v>
      </c>
      <c r="AX49" s="1">
        <v>2043</v>
      </c>
      <c r="AY49" s="1">
        <v>2044</v>
      </c>
      <c r="AZ49" s="1">
        <v>2045</v>
      </c>
      <c r="BA49" s="1">
        <v>2046</v>
      </c>
      <c r="BB49" s="1">
        <v>2047</v>
      </c>
      <c r="BC49" s="1">
        <v>2048</v>
      </c>
      <c r="BD49" s="1">
        <v>2049</v>
      </c>
      <c r="BE49" s="1">
        <v>2050</v>
      </c>
    </row>
    <row r="50" spans="1:57">
      <c r="A50" s="1" t="str">
        <f>'Population Definitions'!$A$2</f>
        <v>PWID_males</v>
      </c>
      <c r="B50" t="s">
        <v>62</v>
      </c>
      <c r="C50" t="s">
        <v>55</v>
      </c>
      <c r="D50" s="3"/>
      <c r="E50" s="3">
        <v>0</v>
      </c>
      <c r="F50" s="4" t="s">
        <v>39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</row>
    <row r="51" spans="1:57">
      <c r="A51" s="1" t="str">
        <f>'Population Definitions'!$A$3</f>
        <v>PWID_females</v>
      </c>
      <c r="B51" t="s">
        <v>62</v>
      </c>
      <c r="C51" t="s">
        <v>55</v>
      </c>
      <c r="D51" s="3"/>
      <c r="E51" s="3">
        <v>0</v>
      </c>
      <c r="F51" s="4" t="s">
        <v>39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</row>
    <row r="52" spans="1:57">
      <c r="A52" s="1" t="str">
        <f>'Population Definitions'!$A$4</f>
        <v>0-9_males</v>
      </c>
      <c r="B52" t="s">
        <v>62</v>
      </c>
      <c r="C52" t="s">
        <v>55</v>
      </c>
      <c r="D52" s="3"/>
      <c r="E52" s="3">
        <v>0</v>
      </c>
      <c r="F52" s="4" t="s">
        <v>39</v>
      </c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</row>
    <row r="53" spans="1:57">
      <c r="A53" s="1" t="str">
        <f>'Population Definitions'!$A$5</f>
        <v>0-9_females</v>
      </c>
      <c r="B53" t="s">
        <v>62</v>
      </c>
      <c r="C53" t="s">
        <v>55</v>
      </c>
      <c r="D53" s="3"/>
      <c r="E53" s="3">
        <v>0</v>
      </c>
      <c r="F53" s="4" t="s">
        <v>39</v>
      </c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</row>
    <row r="54" spans="1:57">
      <c r="A54" s="1" t="str">
        <f>'Population Definitions'!$A$6</f>
        <v>10-17_males</v>
      </c>
      <c r="B54" t="s">
        <v>62</v>
      </c>
      <c r="C54" t="s">
        <v>55</v>
      </c>
      <c r="D54" s="3"/>
      <c r="E54" s="3">
        <v>0</v>
      </c>
      <c r="F54" s="4" t="s">
        <v>39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</row>
    <row r="55" spans="1:57">
      <c r="A55" s="1" t="str">
        <f>'Population Definitions'!$A$7</f>
        <v>10-17_females</v>
      </c>
      <c r="B55" t="s">
        <v>62</v>
      </c>
      <c r="C55" t="s">
        <v>55</v>
      </c>
      <c r="D55" s="3"/>
      <c r="E55" s="3">
        <v>0</v>
      </c>
      <c r="F55" s="4" t="s">
        <v>39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</row>
    <row r="56" spans="1:57">
      <c r="A56" s="1" t="str">
        <f>'Population Definitions'!$A$8</f>
        <v>18-64_males</v>
      </c>
      <c r="B56" t="s">
        <v>62</v>
      </c>
      <c r="C56" t="s">
        <v>55</v>
      </c>
      <c r="D56" s="3"/>
      <c r="E56" s="3">
        <v>0</v>
      </c>
      <c r="F56" s="4" t="s">
        <v>39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</row>
    <row r="57" spans="1:57">
      <c r="A57" s="1" t="str">
        <f>'Population Definitions'!$A$9</f>
        <v>18-64_females</v>
      </c>
      <c r="B57" t="s">
        <v>62</v>
      </c>
      <c r="C57" t="s">
        <v>55</v>
      </c>
      <c r="D57" s="3"/>
      <c r="E57" s="3">
        <v>0</v>
      </c>
      <c r="F57" s="4" t="s">
        <v>39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</row>
    <row r="58" spans="1:57">
      <c r="A58" s="1" t="str">
        <f>'Population Definitions'!$A$10</f>
        <v>65+_males</v>
      </c>
      <c r="B58" t="s">
        <v>62</v>
      </c>
      <c r="C58" t="s">
        <v>55</v>
      </c>
      <c r="D58" s="3"/>
      <c r="E58" s="3">
        <v>0</v>
      </c>
      <c r="F58" s="4" t="s">
        <v>39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</row>
    <row r="59" spans="1:57">
      <c r="A59" s="1" t="str">
        <f>'Population Definitions'!$A$11</f>
        <v>65+_females</v>
      </c>
      <c r="B59" t="s">
        <v>62</v>
      </c>
      <c r="C59" t="s">
        <v>55</v>
      </c>
      <c r="D59" s="3"/>
      <c r="E59" s="3">
        <v>0</v>
      </c>
      <c r="F59" s="4" t="s">
        <v>39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</row>
    <row r="60" spans="1:57">
      <c r="A60" s="1" t="str">
        <f>'Population Definitions'!$A$12</f>
        <v>Prisoners_males</v>
      </c>
      <c r="B60" t="s">
        <v>62</v>
      </c>
      <c r="C60" t="s">
        <v>55</v>
      </c>
      <c r="D60" s="3"/>
      <c r="E60" s="3">
        <v>0</v>
      </c>
      <c r="F60" s="4" t="s">
        <v>39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</row>
    <row r="61" spans="1:57">
      <c r="A61" s="1" t="str">
        <f>'Population Definitions'!$A$13</f>
        <v>Prisoners_females</v>
      </c>
      <c r="B61" t="s">
        <v>62</v>
      </c>
      <c r="C61" t="s">
        <v>55</v>
      </c>
      <c r="D61" s="3"/>
      <c r="E61" s="3">
        <v>0</v>
      </c>
      <c r="F61" s="4" t="s">
        <v>39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</row>
    <row r="62" spans="1:57">
      <c r="A62" s="1" t="str">
        <f>'Population Definitions'!$A$14</f>
        <v>Prisoners_PWID_males</v>
      </c>
      <c r="B62" t="s">
        <v>62</v>
      </c>
      <c r="C62" t="s">
        <v>55</v>
      </c>
      <c r="D62" s="3"/>
      <c r="E62" s="3">
        <v>0</v>
      </c>
      <c r="F62" s="4" t="s">
        <v>39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</row>
    <row r="63" spans="1:57">
      <c r="A63" s="1" t="str">
        <f>'Population Definitions'!$A$15</f>
        <v>Prisoners_PWID_females</v>
      </c>
      <c r="B63" t="s">
        <v>62</v>
      </c>
      <c r="C63" t="s">
        <v>55</v>
      </c>
      <c r="D63" s="3"/>
      <c r="E63" s="3">
        <v>0</v>
      </c>
      <c r="F63" s="4" t="s">
        <v>39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</row>
    <row r="65" spans="1:57">
      <c r="A65" s="1" t="s">
        <v>94</v>
      </c>
      <c r="B65" s="1" t="s">
        <v>31</v>
      </c>
      <c r="C65" s="1" t="s">
        <v>32</v>
      </c>
      <c r="D65" s="1" t="s">
        <v>33</v>
      </c>
      <c r="E65" s="1" t="s">
        <v>38</v>
      </c>
      <c r="F65" s="1"/>
      <c r="G65" s="1">
        <v>2000</v>
      </c>
      <c r="H65" s="1">
        <v>2001</v>
      </c>
      <c r="I65" s="1">
        <v>2002</v>
      </c>
      <c r="J65" s="1">
        <v>2003</v>
      </c>
      <c r="K65" s="1">
        <v>2004</v>
      </c>
      <c r="L65" s="1">
        <v>2005</v>
      </c>
      <c r="M65" s="1">
        <v>2006</v>
      </c>
      <c r="N65" s="1">
        <v>2007</v>
      </c>
      <c r="O65" s="1">
        <v>2008</v>
      </c>
      <c r="P65" s="1">
        <v>2009</v>
      </c>
      <c r="Q65" s="1">
        <v>2010</v>
      </c>
      <c r="R65" s="1">
        <v>2011</v>
      </c>
      <c r="S65" s="1">
        <v>2012</v>
      </c>
      <c r="T65" s="1">
        <v>2013</v>
      </c>
      <c r="U65" s="1">
        <v>2014</v>
      </c>
      <c r="V65" s="1">
        <v>2015</v>
      </c>
      <c r="W65" s="1">
        <v>2016</v>
      </c>
      <c r="X65" s="1">
        <v>2017</v>
      </c>
      <c r="Y65" s="1">
        <v>2018</v>
      </c>
      <c r="Z65" s="1">
        <v>2019</v>
      </c>
      <c r="AA65" s="1">
        <v>2020</v>
      </c>
      <c r="AB65" s="1">
        <v>2021</v>
      </c>
      <c r="AC65" s="1">
        <v>2022</v>
      </c>
      <c r="AD65" s="1">
        <v>2023</v>
      </c>
      <c r="AE65" s="1">
        <v>2024</v>
      </c>
      <c r="AF65" s="1">
        <v>2025</v>
      </c>
      <c r="AG65" s="1">
        <v>2026</v>
      </c>
      <c r="AH65" s="1">
        <v>2027</v>
      </c>
      <c r="AI65" s="1">
        <v>2028</v>
      </c>
      <c r="AJ65" s="1">
        <v>2029</v>
      </c>
      <c r="AK65" s="1">
        <v>2030</v>
      </c>
      <c r="AL65" s="1">
        <v>2031</v>
      </c>
      <c r="AM65" s="1">
        <v>2032</v>
      </c>
      <c r="AN65" s="1">
        <v>2033</v>
      </c>
      <c r="AO65" s="1">
        <v>2034</v>
      </c>
      <c r="AP65" s="1">
        <v>2035</v>
      </c>
      <c r="AQ65" s="1">
        <v>2036</v>
      </c>
      <c r="AR65" s="1">
        <v>2037</v>
      </c>
      <c r="AS65" s="1">
        <v>2038</v>
      </c>
      <c r="AT65" s="1">
        <v>2039</v>
      </c>
      <c r="AU65" s="1">
        <v>2040</v>
      </c>
      <c r="AV65" s="1">
        <v>2041</v>
      </c>
      <c r="AW65" s="1">
        <v>2042</v>
      </c>
      <c r="AX65" s="1">
        <v>2043</v>
      </c>
      <c r="AY65" s="1">
        <v>2044</v>
      </c>
      <c r="AZ65" s="1">
        <v>2045</v>
      </c>
      <c r="BA65" s="1">
        <v>2046</v>
      </c>
      <c r="BB65" s="1">
        <v>2047</v>
      </c>
      <c r="BC65" s="1">
        <v>2048</v>
      </c>
      <c r="BD65" s="1">
        <v>2049</v>
      </c>
      <c r="BE65" s="1">
        <v>2050</v>
      </c>
    </row>
    <row r="66" spans="1:57">
      <c r="A66" s="1" t="str">
        <f>'Population Definitions'!$A$2</f>
        <v>PWID_males</v>
      </c>
      <c r="B66" t="s">
        <v>62</v>
      </c>
      <c r="C66" t="s">
        <v>55</v>
      </c>
      <c r="D66" s="3"/>
      <c r="E66" s="3">
        <v>0</v>
      </c>
      <c r="F66" s="4" t="s">
        <v>39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</row>
    <row r="67" spans="1:57">
      <c r="A67" s="1" t="str">
        <f>'Population Definitions'!$A$3</f>
        <v>PWID_females</v>
      </c>
      <c r="B67" t="s">
        <v>62</v>
      </c>
      <c r="C67" t="s">
        <v>55</v>
      </c>
      <c r="D67" s="3"/>
      <c r="E67" s="3">
        <v>0</v>
      </c>
      <c r="F67" s="4" t="s">
        <v>39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</row>
    <row r="68" spans="1:57">
      <c r="A68" s="1" t="str">
        <f>'Population Definitions'!$A$4</f>
        <v>0-9_males</v>
      </c>
      <c r="B68" t="s">
        <v>62</v>
      </c>
      <c r="C68" t="s">
        <v>55</v>
      </c>
      <c r="D68" s="3"/>
      <c r="E68" s="3">
        <v>0</v>
      </c>
      <c r="F68" s="4" t="s">
        <v>39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</row>
    <row r="69" spans="1:57">
      <c r="A69" s="1" t="str">
        <f>'Population Definitions'!$A$5</f>
        <v>0-9_females</v>
      </c>
      <c r="B69" t="s">
        <v>62</v>
      </c>
      <c r="C69" t="s">
        <v>55</v>
      </c>
      <c r="D69" s="3"/>
      <c r="E69" s="3">
        <v>0</v>
      </c>
      <c r="F69" s="4" t="s">
        <v>39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</row>
    <row r="70" spans="1:57">
      <c r="A70" s="1" t="str">
        <f>'Population Definitions'!$A$6</f>
        <v>10-17_males</v>
      </c>
      <c r="B70" t="s">
        <v>62</v>
      </c>
      <c r="C70" t="s">
        <v>55</v>
      </c>
      <c r="D70" s="3"/>
      <c r="E70" s="3">
        <v>0</v>
      </c>
      <c r="F70" s="4" t="s">
        <v>39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</row>
    <row r="71" spans="1:57">
      <c r="A71" s="1" t="str">
        <f>'Population Definitions'!$A$7</f>
        <v>10-17_females</v>
      </c>
      <c r="B71" t="s">
        <v>62</v>
      </c>
      <c r="C71" t="s">
        <v>55</v>
      </c>
      <c r="D71" s="3"/>
      <c r="E71" s="3">
        <v>0</v>
      </c>
      <c r="F71" s="4" t="s">
        <v>39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</row>
    <row r="72" spans="1:57">
      <c r="A72" s="1" t="str">
        <f>'Population Definitions'!$A$8</f>
        <v>18-64_males</v>
      </c>
      <c r="B72" t="s">
        <v>62</v>
      </c>
      <c r="C72" t="s">
        <v>55</v>
      </c>
      <c r="D72" s="3"/>
      <c r="E72" s="3">
        <v>0</v>
      </c>
      <c r="F72" s="4" t="s">
        <v>39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</row>
    <row r="73" spans="1:57">
      <c r="A73" s="1" t="str">
        <f>'Population Definitions'!$A$9</f>
        <v>18-64_females</v>
      </c>
      <c r="B73" t="s">
        <v>62</v>
      </c>
      <c r="C73" t="s">
        <v>55</v>
      </c>
      <c r="D73" s="3"/>
      <c r="E73" s="3">
        <v>0</v>
      </c>
      <c r="F73" s="4" t="s">
        <v>39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</row>
    <row r="74" spans="1:57">
      <c r="A74" s="1" t="str">
        <f>'Population Definitions'!$A$10</f>
        <v>65+_males</v>
      </c>
      <c r="B74" t="s">
        <v>62</v>
      </c>
      <c r="C74" t="s">
        <v>55</v>
      </c>
      <c r="D74" s="3"/>
      <c r="E74" s="3">
        <v>0</v>
      </c>
      <c r="F74" s="4" t="s">
        <v>39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</row>
    <row r="75" spans="1:57">
      <c r="A75" s="1" t="str">
        <f>'Population Definitions'!$A$11</f>
        <v>65+_females</v>
      </c>
      <c r="B75" t="s">
        <v>62</v>
      </c>
      <c r="C75" t="s">
        <v>55</v>
      </c>
      <c r="D75" s="3"/>
      <c r="E75" s="3">
        <v>0</v>
      </c>
      <c r="F75" s="4" t="s">
        <v>39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</row>
    <row r="76" spans="1:57">
      <c r="A76" s="1" t="str">
        <f>'Population Definitions'!$A$12</f>
        <v>Prisoners_males</v>
      </c>
      <c r="B76" t="s">
        <v>62</v>
      </c>
      <c r="C76" t="s">
        <v>55</v>
      </c>
      <c r="D76" s="3"/>
      <c r="E76" s="3">
        <v>0</v>
      </c>
      <c r="F76" s="4" t="s">
        <v>39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</row>
    <row r="77" spans="1:57">
      <c r="A77" s="1" t="str">
        <f>'Population Definitions'!$A$13</f>
        <v>Prisoners_females</v>
      </c>
      <c r="B77" t="s">
        <v>62</v>
      </c>
      <c r="C77" t="s">
        <v>55</v>
      </c>
      <c r="D77" s="3"/>
      <c r="E77" s="3">
        <v>0</v>
      </c>
      <c r="F77" s="4" t="s">
        <v>39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</row>
    <row r="78" spans="1:57">
      <c r="A78" s="1" t="str">
        <f>'Population Definitions'!$A$14</f>
        <v>Prisoners_PWID_males</v>
      </c>
      <c r="B78" t="s">
        <v>62</v>
      </c>
      <c r="C78" t="s">
        <v>55</v>
      </c>
      <c r="D78" s="3"/>
      <c r="E78" s="3">
        <v>0</v>
      </c>
      <c r="F78" s="4" t="s">
        <v>39</v>
      </c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/>
      <c r="BC78" s="3"/>
      <c r="BD78" s="3"/>
      <c r="BE78" s="3"/>
    </row>
    <row r="79" spans="1:57">
      <c r="A79" s="1" t="str">
        <f>'Population Definitions'!$A$15</f>
        <v>Prisoners_PWID_females</v>
      </c>
      <c r="B79" t="s">
        <v>62</v>
      </c>
      <c r="C79" t="s">
        <v>55</v>
      </c>
      <c r="D79" s="3"/>
      <c r="E79" s="3">
        <v>0</v>
      </c>
      <c r="F79" s="4" t="s">
        <v>39</v>
      </c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3"/>
      <c r="BC79" s="3"/>
      <c r="BD79" s="3"/>
      <c r="BE79" s="3"/>
    </row>
    <row r="81" spans="1:57">
      <c r="A81" s="1" t="s">
        <v>95</v>
      </c>
      <c r="B81" s="1" t="s">
        <v>31</v>
      </c>
      <c r="C81" s="1" t="s">
        <v>32</v>
      </c>
      <c r="D81" s="1" t="s">
        <v>33</v>
      </c>
      <c r="E81" s="1" t="s">
        <v>38</v>
      </c>
      <c r="F81" s="1"/>
      <c r="G81" s="1">
        <v>2000</v>
      </c>
      <c r="H81" s="1">
        <v>2001</v>
      </c>
      <c r="I81" s="1">
        <v>2002</v>
      </c>
      <c r="J81" s="1">
        <v>2003</v>
      </c>
      <c r="K81" s="1">
        <v>2004</v>
      </c>
      <c r="L81" s="1">
        <v>2005</v>
      </c>
      <c r="M81" s="1">
        <v>2006</v>
      </c>
      <c r="N81" s="1">
        <v>2007</v>
      </c>
      <c r="O81" s="1">
        <v>2008</v>
      </c>
      <c r="P81" s="1">
        <v>2009</v>
      </c>
      <c r="Q81" s="1">
        <v>2010</v>
      </c>
      <c r="R81" s="1">
        <v>2011</v>
      </c>
      <c r="S81" s="1">
        <v>2012</v>
      </c>
      <c r="T81" s="1">
        <v>2013</v>
      </c>
      <c r="U81" s="1">
        <v>2014</v>
      </c>
      <c r="V81" s="1">
        <v>2015</v>
      </c>
      <c r="W81" s="1">
        <v>2016</v>
      </c>
      <c r="X81" s="1">
        <v>2017</v>
      </c>
      <c r="Y81" s="1">
        <v>2018</v>
      </c>
      <c r="Z81" s="1">
        <v>2019</v>
      </c>
      <c r="AA81" s="1">
        <v>2020</v>
      </c>
      <c r="AB81" s="1">
        <v>2021</v>
      </c>
      <c r="AC81" s="1">
        <v>2022</v>
      </c>
      <c r="AD81" s="1">
        <v>2023</v>
      </c>
      <c r="AE81" s="1">
        <v>2024</v>
      </c>
      <c r="AF81" s="1">
        <v>2025</v>
      </c>
      <c r="AG81" s="1">
        <v>2026</v>
      </c>
      <c r="AH81" s="1">
        <v>2027</v>
      </c>
      <c r="AI81" s="1">
        <v>2028</v>
      </c>
      <c r="AJ81" s="1">
        <v>2029</v>
      </c>
      <c r="AK81" s="1">
        <v>2030</v>
      </c>
      <c r="AL81" s="1">
        <v>2031</v>
      </c>
      <c r="AM81" s="1">
        <v>2032</v>
      </c>
      <c r="AN81" s="1">
        <v>2033</v>
      </c>
      <c r="AO81" s="1">
        <v>2034</v>
      </c>
      <c r="AP81" s="1">
        <v>2035</v>
      </c>
      <c r="AQ81" s="1">
        <v>2036</v>
      </c>
      <c r="AR81" s="1">
        <v>2037</v>
      </c>
      <c r="AS81" s="1">
        <v>2038</v>
      </c>
      <c r="AT81" s="1">
        <v>2039</v>
      </c>
      <c r="AU81" s="1">
        <v>2040</v>
      </c>
      <c r="AV81" s="1">
        <v>2041</v>
      </c>
      <c r="AW81" s="1">
        <v>2042</v>
      </c>
      <c r="AX81" s="1">
        <v>2043</v>
      </c>
      <c r="AY81" s="1">
        <v>2044</v>
      </c>
      <c r="AZ81" s="1">
        <v>2045</v>
      </c>
      <c r="BA81" s="1">
        <v>2046</v>
      </c>
      <c r="BB81" s="1">
        <v>2047</v>
      </c>
      <c r="BC81" s="1">
        <v>2048</v>
      </c>
      <c r="BD81" s="1">
        <v>2049</v>
      </c>
      <c r="BE81" s="1">
        <v>2050</v>
      </c>
    </row>
    <row r="82" spans="1:57">
      <c r="A82" s="1" t="str">
        <f>'Population Definitions'!$A$2</f>
        <v>PWID_males</v>
      </c>
      <c r="B82" t="s">
        <v>62</v>
      </c>
      <c r="C82" t="s">
        <v>55</v>
      </c>
      <c r="D82" s="3"/>
      <c r="E82" s="3">
        <v>0</v>
      </c>
      <c r="F82" s="4" t="s">
        <v>39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</row>
    <row r="83" spans="1:57">
      <c r="A83" s="1" t="str">
        <f>'Population Definitions'!$A$3</f>
        <v>PWID_females</v>
      </c>
      <c r="B83" t="s">
        <v>62</v>
      </c>
      <c r="C83" t="s">
        <v>55</v>
      </c>
      <c r="D83" s="3"/>
      <c r="E83" s="3">
        <v>0</v>
      </c>
      <c r="F83" s="4" t="s">
        <v>39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</row>
    <row r="84" spans="1:57">
      <c r="A84" s="1" t="str">
        <f>'Population Definitions'!$A$4</f>
        <v>0-9_males</v>
      </c>
      <c r="B84" t="s">
        <v>62</v>
      </c>
      <c r="C84" t="s">
        <v>55</v>
      </c>
      <c r="D84" s="3"/>
      <c r="E84" s="3">
        <v>0</v>
      </c>
      <c r="F84" s="4" t="s">
        <v>39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</row>
    <row r="85" spans="1:57">
      <c r="A85" s="1" t="str">
        <f>'Population Definitions'!$A$5</f>
        <v>0-9_females</v>
      </c>
      <c r="B85" t="s">
        <v>62</v>
      </c>
      <c r="C85" t="s">
        <v>55</v>
      </c>
      <c r="D85" s="3"/>
      <c r="E85" s="3">
        <v>0</v>
      </c>
      <c r="F85" s="4" t="s">
        <v>39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</row>
    <row r="86" spans="1:57">
      <c r="A86" s="1" t="str">
        <f>'Population Definitions'!$A$6</f>
        <v>10-17_males</v>
      </c>
      <c r="B86" t="s">
        <v>62</v>
      </c>
      <c r="C86" t="s">
        <v>55</v>
      </c>
      <c r="D86" s="3"/>
      <c r="E86" s="3">
        <v>0</v>
      </c>
      <c r="F86" s="4" t="s">
        <v>39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</row>
    <row r="87" spans="1:57">
      <c r="A87" s="1" t="str">
        <f>'Population Definitions'!$A$7</f>
        <v>10-17_females</v>
      </c>
      <c r="B87" t="s">
        <v>62</v>
      </c>
      <c r="C87" t="s">
        <v>55</v>
      </c>
      <c r="D87" s="3"/>
      <c r="E87" s="3">
        <v>0</v>
      </c>
      <c r="F87" s="4" t="s">
        <v>39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</row>
    <row r="88" spans="1:57">
      <c r="A88" s="1" t="str">
        <f>'Population Definitions'!$A$8</f>
        <v>18-64_males</v>
      </c>
      <c r="B88" t="s">
        <v>62</v>
      </c>
      <c r="C88" t="s">
        <v>55</v>
      </c>
      <c r="D88" s="3"/>
      <c r="E88" s="3">
        <v>0</v>
      </c>
      <c r="F88" s="4" t="s">
        <v>39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</row>
    <row r="89" spans="1:57">
      <c r="A89" s="1" t="str">
        <f>'Population Definitions'!$A$9</f>
        <v>18-64_females</v>
      </c>
      <c r="B89" t="s">
        <v>62</v>
      </c>
      <c r="C89" t="s">
        <v>55</v>
      </c>
      <c r="D89" s="3"/>
      <c r="E89" s="3">
        <v>0</v>
      </c>
      <c r="F89" s="4" t="s">
        <v>39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</row>
    <row r="90" spans="1:57">
      <c r="A90" s="1" t="str">
        <f>'Population Definitions'!$A$10</f>
        <v>65+_males</v>
      </c>
      <c r="B90" t="s">
        <v>62</v>
      </c>
      <c r="C90" t="s">
        <v>55</v>
      </c>
      <c r="D90" s="3"/>
      <c r="E90" s="3">
        <v>0</v>
      </c>
      <c r="F90" s="4" t="s">
        <v>39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</row>
    <row r="91" spans="1:57">
      <c r="A91" s="1" t="str">
        <f>'Population Definitions'!$A$11</f>
        <v>65+_females</v>
      </c>
      <c r="B91" t="s">
        <v>62</v>
      </c>
      <c r="C91" t="s">
        <v>55</v>
      </c>
      <c r="D91" s="3"/>
      <c r="E91" s="3">
        <v>0</v>
      </c>
      <c r="F91" s="4" t="s">
        <v>39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</row>
    <row r="92" spans="1:57">
      <c r="A92" s="1" t="str">
        <f>'Population Definitions'!$A$12</f>
        <v>Prisoners_males</v>
      </c>
      <c r="B92" t="s">
        <v>62</v>
      </c>
      <c r="C92" t="s">
        <v>55</v>
      </c>
      <c r="D92" s="3"/>
      <c r="E92" s="3">
        <v>0</v>
      </c>
      <c r="F92" s="4" t="s">
        <v>39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</row>
    <row r="93" spans="1:57">
      <c r="A93" s="1" t="str">
        <f>'Population Definitions'!$A$13</f>
        <v>Prisoners_females</v>
      </c>
      <c r="B93" t="s">
        <v>62</v>
      </c>
      <c r="C93" t="s">
        <v>55</v>
      </c>
      <c r="D93" s="3"/>
      <c r="E93" s="3">
        <v>0</v>
      </c>
      <c r="F93" s="4" t="s">
        <v>39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</row>
    <row r="94" spans="1:57">
      <c r="A94" s="1" t="str">
        <f>'Population Definitions'!$A$14</f>
        <v>Prisoners_PWID_males</v>
      </c>
      <c r="B94" t="s">
        <v>62</v>
      </c>
      <c r="C94" t="s">
        <v>55</v>
      </c>
      <c r="D94" s="3"/>
      <c r="E94" s="3">
        <v>0</v>
      </c>
      <c r="F94" s="4" t="s">
        <v>39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</row>
    <row r="95" spans="1:57">
      <c r="A95" s="1" t="str">
        <f>'Population Definitions'!$A$15</f>
        <v>Prisoners_PWID_females</v>
      </c>
      <c r="B95" t="s">
        <v>62</v>
      </c>
      <c r="C95" t="s">
        <v>55</v>
      </c>
      <c r="D95" s="3"/>
      <c r="E95" s="3">
        <v>0</v>
      </c>
      <c r="F95" s="4" t="s">
        <v>39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</row>
    <row r="97" spans="1:57">
      <c r="A97" s="1" t="s">
        <v>96</v>
      </c>
      <c r="B97" s="1" t="s">
        <v>31</v>
      </c>
      <c r="C97" s="1" t="s">
        <v>32</v>
      </c>
      <c r="D97" s="1" t="s">
        <v>33</v>
      </c>
      <c r="E97" s="1" t="s">
        <v>38</v>
      </c>
      <c r="F97" s="1"/>
      <c r="G97" s="1">
        <v>2000</v>
      </c>
      <c r="H97" s="1">
        <v>2001</v>
      </c>
      <c r="I97" s="1">
        <v>2002</v>
      </c>
      <c r="J97" s="1">
        <v>2003</v>
      </c>
      <c r="K97" s="1">
        <v>2004</v>
      </c>
      <c r="L97" s="1">
        <v>2005</v>
      </c>
      <c r="M97" s="1">
        <v>2006</v>
      </c>
      <c r="N97" s="1">
        <v>2007</v>
      </c>
      <c r="O97" s="1">
        <v>2008</v>
      </c>
      <c r="P97" s="1">
        <v>2009</v>
      </c>
      <c r="Q97" s="1">
        <v>2010</v>
      </c>
      <c r="R97" s="1">
        <v>2011</v>
      </c>
      <c r="S97" s="1">
        <v>2012</v>
      </c>
      <c r="T97" s="1">
        <v>2013</v>
      </c>
      <c r="U97" s="1">
        <v>2014</v>
      </c>
      <c r="V97" s="1">
        <v>2015</v>
      </c>
      <c r="W97" s="1">
        <v>2016</v>
      </c>
      <c r="X97" s="1">
        <v>2017</v>
      </c>
      <c r="Y97" s="1">
        <v>2018</v>
      </c>
      <c r="Z97" s="1">
        <v>2019</v>
      </c>
      <c r="AA97" s="1">
        <v>2020</v>
      </c>
      <c r="AB97" s="1">
        <v>2021</v>
      </c>
      <c r="AC97" s="1">
        <v>2022</v>
      </c>
      <c r="AD97" s="1">
        <v>2023</v>
      </c>
      <c r="AE97" s="1">
        <v>2024</v>
      </c>
      <c r="AF97" s="1">
        <v>2025</v>
      </c>
      <c r="AG97" s="1">
        <v>2026</v>
      </c>
      <c r="AH97" s="1">
        <v>2027</v>
      </c>
      <c r="AI97" s="1">
        <v>2028</v>
      </c>
      <c r="AJ97" s="1">
        <v>2029</v>
      </c>
      <c r="AK97" s="1">
        <v>2030</v>
      </c>
      <c r="AL97" s="1">
        <v>2031</v>
      </c>
      <c r="AM97" s="1">
        <v>2032</v>
      </c>
      <c r="AN97" s="1">
        <v>2033</v>
      </c>
      <c r="AO97" s="1">
        <v>2034</v>
      </c>
      <c r="AP97" s="1">
        <v>2035</v>
      </c>
      <c r="AQ97" s="1">
        <v>2036</v>
      </c>
      <c r="AR97" s="1">
        <v>2037</v>
      </c>
      <c r="AS97" s="1">
        <v>2038</v>
      </c>
      <c r="AT97" s="1">
        <v>2039</v>
      </c>
      <c r="AU97" s="1">
        <v>2040</v>
      </c>
      <c r="AV97" s="1">
        <v>2041</v>
      </c>
      <c r="AW97" s="1">
        <v>2042</v>
      </c>
      <c r="AX97" s="1">
        <v>2043</v>
      </c>
      <c r="AY97" s="1">
        <v>2044</v>
      </c>
      <c r="AZ97" s="1">
        <v>2045</v>
      </c>
      <c r="BA97" s="1">
        <v>2046</v>
      </c>
      <c r="BB97" s="1">
        <v>2047</v>
      </c>
      <c r="BC97" s="1">
        <v>2048</v>
      </c>
      <c r="BD97" s="1">
        <v>2049</v>
      </c>
      <c r="BE97" s="1">
        <v>2050</v>
      </c>
    </row>
    <row r="98" spans="1:57">
      <c r="A98" s="1" t="str">
        <f>'Population Definitions'!$A$2</f>
        <v>PWID_males</v>
      </c>
      <c r="B98" t="s">
        <v>62</v>
      </c>
      <c r="C98" t="s">
        <v>55</v>
      </c>
      <c r="D98" s="3"/>
      <c r="E98" s="3">
        <v>0</v>
      </c>
      <c r="F98" s="4" t="s">
        <v>39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</row>
    <row r="99" spans="1:57">
      <c r="A99" s="1" t="str">
        <f>'Population Definitions'!$A$3</f>
        <v>PWID_females</v>
      </c>
      <c r="B99" t="s">
        <v>62</v>
      </c>
      <c r="C99" t="s">
        <v>55</v>
      </c>
      <c r="D99" s="3"/>
      <c r="E99" s="3">
        <v>0</v>
      </c>
      <c r="F99" s="4" t="s">
        <v>39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</row>
    <row r="100" spans="1:57">
      <c r="A100" s="1" t="str">
        <f>'Population Definitions'!$A$4</f>
        <v>0-9_males</v>
      </c>
      <c r="B100" t="s">
        <v>62</v>
      </c>
      <c r="C100" t="s">
        <v>55</v>
      </c>
      <c r="D100" s="3"/>
      <c r="E100" s="3">
        <v>0</v>
      </c>
      <c r="F100" s="4" t="s">
        <v>39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</row>
    <row r="101" spans="1:57">
      <c r="A101" s="1" t="str">
        <f>'Population Definitions'!$A$5</f>
        <v>0-9_females</v>
      </c>
      <c r="B101" t="s">
        <v>62</v>
      </c>
      <c r="C101" t="s">
        <v>55</v>
      </c>
      <c r="D101" s="3"/>
      <c r="E101" s="3">
        <v>0</v>
      </c>
      <c r="F101" s="4" t="s">
        <v>39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</row>
    <row r="102" spans="1:57">
      <c r="A102" s="1" t="str">
        <f>'Population Definitions'!$A$6</f>
        <v>10-17_males</v>
      </c>
      <c r="B102" t="s">
        <v>62</v>
      </c>
      <c r="C102" t="s">
        <v>55</v>
      </c>
      <c r="D102" s="3"/>
      <c r="E102" s="3">
        <v>0</v>
      </c>
      <c r="F102" s="4" t="s">
        <v>39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</row>
    <row r="103" spans="1:57">
      <c r="A103" s="1" t="str">
        <f>'Population Definitions'!$A$7</f>
        <v>10-17_females</v>
      </c>
      <c r="B103" t="s">
        <v>62</v>
      </c>
      <c r="C103" t="s">
        <v>55</v>
      </c>
      <c r="D103" s="3"/>
      <c r="E103" s="3">
        <v>0</v>
      </c>
      <c r="F103" s="4" t="s">
        <v>39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</row>
    <row r="104" spans="1:57">
      <c r="A104" s="1" t="str">
        <f>'Population Definitions'!$A$8</f>
        <v>18-64_males</v>
      </c>
      <c r="B104" t="s">
        <v>62</v>
      </c>
      <c r="C104" t="s">
        <v>55</v>
      </c>
      <c r="D104" s="3"/>
      <c r="E104" s="3">
        <v>0</v>
      </c>
      <c r="F104" s="4" t="s">
        <v>39</v>
      </c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  <c r="AV104" s="3"/>
      <c r="AW104" s="3"/>
      <c r="AX104" s="3"/>
      <c r="AY104" s="3"/>
      <c r="AZ104" s="3"/>
      <c r="BA104" s="3"/>
      <c r="BB104" s="3"/>
      <c r="BC104" s="3"/>
      <c r="BD104" s="3"/>
      <c r="BE104" s="3"/>
    </row>
    <row r="105" spans="1:57">
      <c r="A105" s="1" t="str">
        <f>'Population Definitions'!$A$9</f>
        <v>18-64_females</v>
      </c>
      <c r="B105" t="s">
        <v>62</v>
      </c>
      <c r="C105" t="s">
        <v>55</v>
      </c>
      <c r="D105" s="3"/>
      <c r="E105" s="3">
        <v>0</v>
      </c>
      <c r="F105" s="4" t="s">
        <v>39</v>
      </c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/>
      <c r="AV105" s="3"/>
      <c r="AW105" s="3"/>
      <c r="AX105" s="3"/>
      <c r="AY105" s="3"/>
      <c r="AZ105" s="3"/>
      <c r="BA105" s="3"/>
      <c r="BB105" s="3"/>
      <c r="BC105" s="3"/>
      <c r="BD105" s="3"/>
      <c r="BE105" s="3"/>
    </row>
    <row r="106" spans="1:57">
      <c r="A106" s="1" t="str">
        <f>'Population Definitions'!$A$10</f>
        <v>65+_males</v>
      </c>
      <c r="B106" t="s">
        <v>62</v>
      </c>
      <c r="C106" t="s">
        <v>55</v>
      </c>
      <c r="D106" s="3"/>
      <c r="E106" s="3">
        <v>0</v>
      </c>
      <c r="F106" s="4" t="s">
        <v>39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</row>
    <row r="107" spans="1:57">
      <c r="A107" s="1" t="str">
        <f>'Population Definitions'!$A$11</f>
        <v>65+_females</v>
      </c>
      <c r="B107" t="s">
        <v>62</v>
      </c>
      <c r="C107" t="s">
        <v>55</v>
      </c>
      <c r="D107" s="3"/>
      <c r="E107" s="3">
        <v>0</v>
      </c>
      <c r="F107" s="4" t="s">
        <v>39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</row>
    <row r="108" spans="1:57">
      <c r="A108" s="1" t="str">
        <f>'Population Definitions'!$A$12</f>
        <v>Prisoners_males</v>
      </c>
      <c r="B108" t="s">
        <v>62</v>
      </c>
      <c r="C108" t="s">
        <v>55</v>
      </c>
      <c r="D108" s="3"/>
      <c r="E108" s="3">
        <v>0</v>
      </c>
      <c r="F108" s="4" t="s">
        <v>39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</row>
    <row r="109" spans="1:57">
      <c r="A109" s="1" t="str">
        <f>'Population Definitions'!$A$13</f>
        <v>Prisoners_females</v>
      </c>
      <c r="B109" t="s">
        <v>62</v>
      </c>
      <c r="C109" t="s">
        <v>55</v>
      </c>
      <c r="D109" s="3"/>
      <c r="E109" s="3">
        <v>0</v>
      </c>
      <c r="F109" s="4" t="s">
        <v>39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</row>
    <row r="110" spans="1:57">
      <c r="A110" s="1" t="str">
        <f>'Population Definitions'!$A$14</f>
        <v>Prisoners_PWID_males</v>
      </c>
      <c r="B110" t="s">
        <v>62</v>
      </c>
      <c r="C110" t="s">
        <v>55</v>
      </c>
      <c r="D110" s="3"/>
      <c r="E110" s="3">
        <v>0</v>
      </c>
      <c r="F110" s="4" t="s">
        <v>39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</row>
    <row r="111" spans="1:57">
      <c r="A111" s="1" t="str">
        <f>'Population Definitions'!$A$15</f>
        <v>Prisoners_PWID_females</v>
      </c>
      <c r="B111" t="s">
        <v>62</v>
      </c>
      <c r="C111" t="s">
        <v>55</v>
      </c>
      <c r="D111" s="3"/>
      <c r="E111" s="3">
        <v>0</v>
      </c>
      <c r="F111" s="4" t="s">
        <v>39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</row>
    <row r="113" spans="1:57">
      <c r="A113" s="1" t="s">
        <v>97</v>
      </c>
      <c r="B113" s="1" t="s">
        <v>31</v>
      </c>
      <c r="C113" s="1" t="s">
        <v>32</v>
      </c>
      <c r="D113" s="1" t="s">
        <v>33</v>
      </c>
      <c r="E113" s="1" t="s">
        <v>38</v>
      </c>
      <c r="F113" s="1"/>
      <c r="G113" s="1">
        <v>2000</v>
      </c>
      <c r="H113" s="1">
        <v>2001</v>
      </c>
      <c r="I113" s="1">
        <v>2002</v>
      </c>
      <c r="J113" s="1">
        <v>2003</v>
      </c>
      <c r="K113" s="1">
        <v>2004</v>
      </c>
      <c r="L113" s="1">
        <v>2005</v>
      </c>
      <c r="M113" s="1">
        <v>2006</v>
      </c>
      <c r="N113" s="1">
        <v>2007</v>
      </c>
      <c r="O113" s="1">
        <v>2008</v>
      </c>
      <c r="P113" s="1">
        <v>2009</v>
      </c>
      <c r="Q113" s="1">
        <v>2010</v>
      </c>
      <c r="R113" s="1">
        <v>2011</v>
      </c>
      <c r="S113" s="1">
        <v>2012</v>
      </c>
      <c r="T113" s="1">
        <v>2013</v>
      </c>
      <c r="U113" s="1">
        <v>2014</v>
      </c>
      <c r="V113" s="1">
        <v>2015</v>
      </c>
      <c r="W113" s="1">
        <v>2016</v>
      </c>
      <c r="X113" s="1">
        <v>2017</v>
      </c>
      <c r="Y113" s="1">
        <v>2018</v>
      </c>
      <c r="Z113" s="1">
        <v>2019</v>
      </c>
      <c r="AA113" s="1">
        <v>2020</v>
      </c>
      <c r="AB113" s="1">
        <v>2021</v>
      </c>
      <c r="AC113" s="1">
        <v>2022</v>
      </c>
      <c r="AD113" s="1">
        <v>2023</v>
      </c>
      <c r="AE113" s="1">
        <v>2024</v>
      </c>
      <c r="AF113" s="1">
        <v>2025</v>
      </c>
      <c r="AG113" s="1">
        <v>2026</v>
      </c>
      <c r="AH113" s="1">
        <v>2027</v>
      </c>
      <c r="AI113" s="1">
        <v>2028</v>
      </c>
      <c r="AJ113" s="1">
        <v>2029</v>
      </c>
      <c r="AK113" s="1">
        <v>2030</v>
      </c>
      <c r="AL113" s="1">
        <v>2031</v>
      </c>
      <c r="AM113" s="1">
        <v>2032</v>
      </c>
      <c r="AN113" s="1">
        <v>2033</v>
      </c>
      <c r="AO113" s="1">
        <v>2034</v>
      </c>
      <c r="AP113" s="1">
        <v>2035</v>
      </c>
      <c r="AQ113" s="1">
        <v>2036</v>
      </c>
      <c r="AR113" s="1">
        <v>2037</v>
      </c>
      <c r="AS113" s="1">
        <v>2038</v>
      </c>
      <c r="AT113" s="1">
        <v>2039</v>
      </c>
      <c r="AU113" s="1">
        <v>2040</v>
      </c>
      <c r="AV113" s="1">
        <v>2041</v>
      </c>
      <c r="AW113" s="1">
        <v>2042</v>
      </c>
      <c r="AX113" s="1">
        <v>2043</v>
      </c>
      <c r="AY113" s="1">
        <v>2044</v>
      </c>
      <c r="AZ113" s="1">
        <v>2045</v>
      </c>
      <c r="BA113" s="1">
        <v>2046</v>
      </c>
      <c r="BB113" s="1">
        <v>2047</v>
      </c>
      <c r="BC113" s="1">
        <v>2048</v>
      </c>
      <c r="BD113" s="1">
        <v>2049</v>
      </c>
      <c r="BE113" s="1">
        <v>2050</v>
      </c>
    </row>
    <row r="114" spans="1:57">
      <c r="A114" s="1" t="str">
        <f>'Population Definitions'!$A$2</f>
        <v>PWID_males</v>
      </c>
      <c r="B114" t="s">
        <v>62</v>
      </c>
      <c r="C114" t="s">
        <v>55</v>
      </c>
      <c r="D114" s="3"/>
      <c r="E114" s="3">
        <v>0</v>
      </c>
      <c r="F114" s="4" t="s">
        <v>39</v>
      </c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</row>
    <row r="115" spans="1:57">
      <c r="A115" s="1" t="str">
        <f>'Population Definitions'!$A$3</f>
        <v>PWID_females</v>
      </c>
      <c r="B115" t="s">
        <v>62</v>
      </c>
      <c r="C115" t="s">
        <v>55</v>
      </c>
      <c r="D115" s="3"/>
      <c r="E115" s="3">
        <v>0</v>
      </c>
      <c r="F115" s="4" t="s">
        <v>39</v>
      </c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</row>
    <row r="116" spans="1:57">
      <c r="A116" s="1" t="str">
        <f>'Population Definitions'!$A$4</f>
        <v>0-9_males</v>
      </c>
      <c r="B116" t="s">
        <v>62</v>
      </c>
      <c r="C116" t="s">
        <v>55</v>
      </c>
      <c r="D116" s="3"/>
      <c r="E116" s="3">
        <v>0</v>
      </c>
      <c r="F116" s="4" t="s">
        <v>39</v>
      </c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</row>
    <row r="117" spans="1:57">
      <c r="A117" s="1" t="str">
        <f>'Population Definitions'!$A$5</f>
        <v>0-9_females</v>
      </c>
      <c r="B117" t="s">
        <v>62</v>
      </c>
      <c r="C117" t="s">
        <v>55</v>
      </c>
      <c r="D117" s="3"/>
      <c r="E117" s="3">
        <v>0</v>
      </c>
      <c r="F117" s="4" t="s">
        <v>39</v>
      </c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</row>
    <row r="118" spans="1:57">
      <c r="A118" s="1" t="str">
        <f>'Population Definitions'!$A$6</f>
        <v>10-17_males</v>
      </c>
      <c r="B118" t="s">
        <v>62</v>
      </c>
      <c r="C118" t="s">
        <v>55</v>
      </c>
      <c r="D118" s="3"/>
      <c r="E118" s="3">
        <v>0</v>
      </c>
      <c r="F118" s="4" t="s">
        <v>39</v>
      </c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</row>
    <row r="119" spans="1:57">
      <c r="A119" s="1" t="str">
        <f>'Population Definitions'!$A$7</f>
        <v>10-17_females</v>
      </c>
      <c r="B119" t="s">
        <v>62</v>
      </c>
      <c r="C119" t="s">
        <v>55</v>
      </c>
      <c r="D119" s="3"/>
      <c r="E119" s="3">
        <v>0</v>
      </c>
      <c r="F119" s="4" t="s">
        <v>39</v>
      </c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</row>
    <row r="120" spans="1:57">
      <c r="A120" s="1" t="str">
        <f>'Population Definitions'!$A$8</f>
        <v>18-64_males</v>
      </c>
      <c r="B120" t="s">
        <v>62</v>
      </c>
      <c r="C120" t="s">
        <v>55</v>
      </c>
      <c r="D120" s="3"/>
      <c r="E120" s="3">
        <v>0</v>
      </c>
      <c r="F120" s="4" t="s">
        <v>39</v>
      </c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</row>
    <row r="121" spans="1:57">
      <c r="A121" s="1" t="str">
        <f>'Population Definitions'!$A$9</f>
        <v>18-64_females</v>
      </c>
      <c r="B121" t="s">
        <v>62</v>
      </c>
      <c r="C121" t="s">
        <v>55</v>
      </c>
      <c r="D121" s="3"/>
      <c r="E121" s="3">
        <v>0</v>
      </c>
      <c r="F121" s="4" t="s">
        <v>39</v>
      </c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</row>
    <row r="122" spans="1:57">
      <c r="A122" s="1" t="str">
        <f>'Population Definitions'!$A$10</f>
        <v>65+_males</v>
      </c>
      <c r="B122" t="s">
        <v>62</v>
      </c>
      <c r="C122" t="s">
        <v>55</v>
      </c>
      <c r="D122" s="3"/>
      <c r="E122" s="3">
        <v>0</v>
      </c>
      <c r="F122" s="4" t="s">
        <v>39</v>
      </c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</row>
    <row r="123" spans="1:57">
      <c r="A123" s="1" t="str">
        <f>'Population Definitions'!$A$11</f>
        <v>65+_females</v>
      </c>
      <c r="B123" t="s">
        <v>62</v>
      </c>
      <c r="C123" t="s">
        <v>55</v>
      </c>
      <c r="D123" s="3"/>
      <c r="E123" s="3">
        <v>0</v>
      </c>
      <c r="F123" s="4" t="s">
        <v>39</v>
      </c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</row>
    <row r="124" spans="1:57">
      <c r="A124" s="1" t="str">
        <f>'Population Definitions'!$A$12</f>
        <v>Prisoners_males</v>
      </c>
      <c r="B124" t="s">
        <v>62</v>
      </c>
      <c r="C124" t="s">
        <v>55</v>
      </c>
      <c r="D124" s="3"/>
      <c r="E124" s="3">
        <v>0</v>
      </c>
      <c r="F124" s="4" t="s">
        <v>39</v>
      </c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</row>
    <row r="125" spans="1:57">
      <c r="A125" s="1" t="str">
        <f>'Population Definitions'!$A$13</f>
        <v>Prisoners_females</v>
      </c>
      <c r="B125" t="s">
        <v>62</v>
      </c>
      <c r="C125" t="s">
        <v>55</v>
      </c>
      <c r="D125" s="3"/>
      <c r="E125" s="3">
        <v>0</v>
      </c>
      <c r="F125" s="4" t="s">
        <v>39</v>
      </c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</row>
    <row r="126" spans="1:57">
      <c r="A126" s="1" t="str">
        <f>'Population Definitions'!$A$14</f>
        <v>Prisoners_PWID_males</v>
      </c>
      <c r="B126" t="s">
        <v>62</v>
      </c>
      <c r="C126" t="s">
        <v>55</v>
      </c>
      <c r="D126" s="3"/>
      <c r="E126" s="3">
        <v>0</v>
      </c>
      <c r="F126" s="4" t="s">
        <v>39</v>
      </c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</row>
    <row r="127" spans="1:57">
      <c r="A127" s="1" t="str">
        <f>'Population Definitions'!$A$15</f>
        <v>Prisoners_PWID_females</v>
      </c>
      <c r="B127" t="s">
        <v>62</v>
      </c>
      <c r="C127" t="s">
        <v>55</v>
      </c>
      <c r="D127" s="3"/>
      <c r="E127" s="3">
        <v>0</v>
      </c>
      <c r="F127" s="4" t="s">
        <v>39</v>
      </c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</row>
  </sheetData>
  <conditionalFormatting sqref="E10">
    <cfRule type="expression" dxfId="0" priority="17">
      <formula>COUNTIF(G10:BE10,"&lt;&gt;" &amp; "")&gt;0</formula>
    </cfRule>
    <cfRule type="expression" dxfId="1" priority="18">
      <formula>AND(COUNTIF(G10:BE10,"&lt;&gt;" &amp; "")&gt;0,NOT(ISBLANK(E10)))</formula>
    </cfRule>
  </conditionalFormatting>
  <conditionalFormatting sqref="E100">
    <cfRule type="expression" dxfId="0" priority="173">
      <formula>COUNTIF(G100:BE100,"&lt;&gt;" &amp; "")&gt;0</formula>
    </cfRule>
    <cfRule type="expression" dxfId="1" priority="174">
      <formula>AND(COUNTIF(G100:BE100,"&lt;&gt;" &amp; "")&gt;0,NOT(ISBLANK(E100)))</formula>
    </cfRule>
  </conditionalFormatting>
  <conditionalFormatting sqref="E101">
    <cfRule type="expression" dxfId="0" priority="175">
      <formula>COUNTIF(G101:BE101,"&lt;&gt;" &amp; "")&gt;0</formula>
    </cfRule>
    <cfRule type="expression" dxfId="1" priority="176">
      <formula>AND(COUNTIF(G101:BE101,"&lt;&gt;" &amp; "")&gt;0,NOT(ISBLANK(E101)))</formula>
    </cfRule>
  </conditionalFormatting>
  <conditionalFormatting sqref="E102">
    <cfRule type="expression" dxfId="0" priority="177">
      <formula>COUNTIF(G102:BE102,"&lt;&gt;" &amp; "")&gt;0</formula>
    </cfRule>
    <cfRule type="expression" dxfId="1" priority="178">
      <formula>AND(COUNTIF(G102:BE102,"&lt;&gt;" &amp; "")&gt;0,NOT(ISBLANK(E102)))</formula>
    </cfRule>
  </conditionalFormatting>
  <conditionalFormatting sqref="E103">
    <cfRule type="expression" dxfId="0" priority="179">
      <formula>COUNTIF(G103:BE103,"&lt;&gt;" &amp; "")&gt;0</formula>
    </cfRule>
    <cfRule type="expression" dxfId="1" priority="180">
      <formula>AND(COUNTIF(G103:BE103,"&lt;&gt;" &amp; "")&gt;0,NOT(ISBLANK(E103)))</formula>
    </cfRule>
  </conditionalFormatting>
  <conditionalFormatting sqref="E104">
    <cfRule type="expression" dxfId="0" priority="181">
      <formula>COUNTIF(G104:BE104,"&lt;&gt;" &amp; "")&gt;0</formula>
    </cfRule>
    <cfRule type="expression" dxfId="1" priority="182">
      <formula>AND(COUNTIF(G104:BE104,"&lt;&gt;" &amp; "")&gt;0,NOT(ISBLANK(E104)))</formula>
    </cfRule>
  </conditionalFormatting>
  <conditionalFormatting sqref="E105">
    <cfRule type="expression" dxfId="0" priority="183">
      <formula>COUNTIF(G105:BE105,"&lt;&gt;" &amp; "")&gt;0</formula>
    </cfRule>
    <cfRule type="expression" dxfId="1" priority="184">
      <formula>AND(COUNTIF(G105:BE105,"&lt;&gt;" &amp; "")&gt;0,NOT(ISBLANK(E105)))</formula>
    </cfRule>
  </conditionalFormatting>
  <conditionalFormatting sqref="E106">
    <cfRule type="expression" dxfId="0" priority="185">
      <formula>COUNTIF(G106:BE106,"&lt;&gt;" &amp; "")&gt;0</formula>
    </cfRule>
    <cfRule type="expression" dxfId="1" priority="186">
      <formula>AND(COUNTIF(G106:BE106,"&lt;&gt;" &amp; "")&gt;0,NOT(ISBLANK(E106)))</formula>
    </cfRule>
  </conditionalFormatting>
  <conditionalFormatting sqref="E107">
    <cfRule type="expression" dxfId="0" priority="187">
      <formula>COUNTIF(G107:BE107,"&lt;&gt;" &amp; "")&gt;0</formula>
    </cfRule>
    <cfRule type="expression" dxfId="1" priority="188">
      <formula>AND(COUNTIF(G107:BE107,"&lt;&gt;" &amp; "")&gt;0,NOT(ISBLANK(E107)))</formula>
    </cfRule>
  </conditionalFormatting>
  <conditionalFormatting sqref="E108">
    <cfRule type="expression" dxfId="0" priority="189">
      <formula>COUNTIF(G108:BE108,"&lt;&gt;" &amp; "")&gt;0</formula>
    </cfRule>
    <cfRule type="expression" dxfId="1" priority="190">
      <formula>AND(COUNTIF(G108:BE108,"&lt;&gt;" &amp; "")&gt;0,NOT(ISBLANK(E108)))</formula>
    </cfRule>
  </conditionalFormatting>
  <conditionalFormatting sqref="E109">
    <cfRule type="expression" dxfId="0" priority="191">
      <formula>COUNTIF(G109:BE109,"&lt;&gt;" &amp; "")&gt;0</formula>
    </cfRule>
    <cfRule type="expression" dxfId="1" priority="192">
      <formula>AND(COUNTIF(G109:BE109,"&lt;&gt;" &amp; "")&gt;0,NOT(ISBLANK(E109)))</formula>
    </cfRule>
  </conditionalFormatting>
  <conditionalFormatting sqref="E11">
    <cfRule type="expression" dxfId="0" priority="19">
      <formula>COUNTIF(G11:BE11,"&lt;&gt;" &amp; "")&gt;0</formula>
    </cfRule>
    <cfRule type="expression" dxfId="1" priority="20">
      <formula>AND(COUNTIF(G11:BE11,"&lt;&gt;" &amp; "")&gt;0,NOT(ISBLANK(E11)))</formula>
    </cfRule>
  </conditionalFormatting>
  <conditionalFormatting sqref="E110">
    <cfRule type="expression" dxfId="0" priority="193">
      <formula>COUNTIF(G110:BE110,"&lt;&gt;" &amp; "")&gt;0</formula>
    </cfRule>
    <cfRule type="expression" dxfId="1" priority="194">
      <formula>AND(COUNTIF(G110:BE110,"&lt;&gt;" &amp; "")&gt;0,NOT(ISBLANK(E110)))</formula>
    </cfRule>
  </conditionalFormatting>
  <conditionalFormatting sqref="E111">
    <cfRule type="expression" dxfId="0" priority="195">
      <formula>COUNTIF(G111:BE111,"&lt;&gt;" &amp; "")&gt;0</formula>
    </cfRule>
    <cfRule type="expression" dxfId="1" priority="196">
      <formula>AND(COUNTIF(G111:BE111,"&lt;&gt;" &amp; "")&gt;0,NOT(ISBLANK(E111)))</formula>
    </cfRule>
  </conditionalFormatting>
  <conditionalFormatting sqref="E114">
    <cfRule type="expression" dxfId="0" priority="197">
      <formula>COUNTIF(G114:BE114,"&lt;&gt;" &amp; "")&gt;0</formula>
    </cfRule>
    <cfRule type="expression" dxfId="1" priority="198">
      <formula>AND(COUNTIF(G114:BE114,"&lt;&gt;" &amp; "")&gt;0,NOT(ISBLANK(E114)))</formula>
    </cfRule>
  </conditionalFormatting>
  <conditionalFormatting sqref="E115">
    <cfRule type="expression" dxfId="0" priority="199">
      <formula>COUNTIF(G115:BE115,"&lt;&gt;" &amp; "")&gt;0</formula>
    </cfRule>
    <cfRule type="expression" dxfId="1" priority="200">
      <formula>AND(COUNTIF(G115:BE115,"&lt;&gt;" &amp; "")&gt;0,NOT(ISBLANK(E115)))</formula>
    </cfRule>
  </conditionalFormatting>
  <conditionalFormatting sqref="E116">
    <cfRule type="expression" dxfId="0" priority="201">
      <formula>COUNTIF(G116:BE116,"&lt;&gt;" &amp; "")&gt;0</formula>
    </cfRule>
    <cfRule type="expression" dxfId="1" priority="202">
      <formula>AND(COUNTIF(G116:BE116,"&lt;&gt;" &amp; "")&gt;0,NOT(ISBLANK(E116)))</formula>
    </cfRule>
  </conditionalFormatting>
  <conditionalFormatting sqref="E117">
    <cfRule type="expression" dxfId="0" priority="203">
      <formula>COUNTIF(G117:BE117,"&lt;&gt;" &amp; "")&gt;0</formula>
    </cfRule>
    <cfRule type="expression" dxfId="1" priority="204">
      <formula>AND(COUNTIF(G117:BE117,"&lt;&gt;" &amp; "")&gt;0,NOT(ISBLANK(E117)))</formula>
    </cfRule>
  </conditionalFormatting>
  <conditionalFormatting sqref="E118">
    <cfRule type="expression" dxfId="0" priority="205">
      <formula>COUNTIF(G118:BE118,"&lt;&gt;" &amp; "")&gt;0</formula>
    </cfRule>
    <cfRule type="expression" dxfId="1" priority="206">
      <formula>AND(COUNTIF(G118:BE118,"&lt;&gt;" &amp; "")&gt;0,NOT(ISBLANK(E118)))</formula>
    </cfRule>
  </conditionalFormatting>
  <conditionalFormatting sqref="E119">
    <cfRule type="expression" dxfId="0" priority="207">
      <formula>COUNTIF(G119:BE119,"&lt;&gt;" &amp; "")&gt;0</formula>
    </cfRule>
    <cfRule type="expression" dxfId="1" priority="208">
      <formula>AND(COUNTIF(G119:BE119,"&lt;&gt;" &amp; "")&gt;0,NOT(ISBLANK(E119)))</formula>
    </cfRule>
  </conditionalFormatting>
  <conditionalFormatting sqref="E12">
    <cfRule type="expression" dxfId="0" priority="21">
      <formula>COUNTIF(G12:BE12,"&lt;&gt;" &amp; "")&gt;0</formula>
    </cfRule>
    <cfRule type="expression" dxfId="1" priority="22">
      <formula>AND(COUNTIF(G12:BE12,"&lt;&gt;" &amp; "")&gt;0,NOT(ISBLANK(E12)))</formula>
    </cfRule>
  </conditionalFormatting>
  <conditionalFormatting sqref="E120">
    <cfRule type="expression" dxfId="0" priority="209">
      <formula>COUNTIF(G120:BE120,"&lt;&gt;" &amp; "")&gt;0</formula>
    </cfRule>
    <cfRule type="expression" dxfId="1" priority="210">
      <formula>AND(COUNTIF(G120:BE120,"&lt;&gt;" &amp; "")&gt;0,NOT(ISBLANK(E120)))</formula>
    </cfRule>
  </conditionalFormatting>
  <conditionalFormatting sqref="E121">
    <cfRule type="expression" dxfId="0" priority="211">
      <formula>COUNTIF(G121:BE121,"&lt;&gt;" &amp; "")&gt;0</formula>
    </cfRule>
    <cfRule type="expression" dxfId="1" priority="212">
      <formula>AND(COUNTIF(G121:BE121,"&lt;&gt;" &amp; "")&gt;0,NOT(ISBLANK(E121)))</formula>
    </cfRule>
  </conditionalFormatting>
  <conditionalFormatting sqref="E122">
    <cfRule type="expression" dxfId="0" priority="213">
      <formula>COUNTIF(G122:BE122,"&lt;&gt;" &amp; "")&gt;0</formula>
    </cfRule>
    <cfRule type="expression" dxfId="1" priority="214">
      <formula>AND(COUNTIF(G122:BE122,"&lt;&gt;" &amp; "")&gt;0,NOT(ISBLANK(E122)))</formula>
    </cfRule>
  </conditionalFormatting>
  <conditionalFormatting sqref="E123">
    <cfRule type="expression" dxfId="0" priority="215">
      <formula>COUNTIF(G123:BE123,"&lt;&gt;" &amp; "")&gt;0</formula>
    </cfRule>
    <cfRule type="expression" dxfId="1" priority="216">
      <formula>AND(COUNTIF(G123:BE123,"&lt;&gt;" &amp; "")&gt;0,NOT(ISBLANK(E123)))</formula>
    </cfRule>
  </conditionalFormatting>
  <conditionalFormatting sqref="E124">
    <cfRule type="expression" dxfId="0" priority="217">
      <formula>COUNTIF(G124:BE124,"&lt;&gt;" &amp; "")&gt;0</formula>
    </cfRule>
    <cfRule type="expression" dxfId="1" priority="218">
      <formula>AND(COUNTIF(G124:BE124,"&lt;&gt;" &amp; "")&gt;0,NOT(ISBLANK(E124)))</formula>
    </cfRule>
  </conditionalFormatting>
  <conditionalFormatting sqref="E125">
    <cfRule type="expression" dxfId="0" priority="219">
      <formula>COUNTIF(G125:BE125,"&lt;&gt;" &amp; "")&gt;0</formula>
    </cfRule>
    <cfRule type="expression" dxfId="1" priority="220">
      <formula>AND(COUNTIF(G125:BE125,"&lt;&gt;" &amp; "")&gt;0,NOT(ISBLANK(E125)))</formula>
    </cfRule>
  </conditionalFormatting>
  <conditionalFormatting sqref="E126">
    <cfRule type="expression" dxfId="0" priority="221">
      <formula>COUNTIF(G126:BE126,"&lt;&gt;" &amp; "")&gt;0</formula>
    </cfRule>
    <cfRule type="expression" dxfId="1" priority="222">
      <formula>AND(COUNTIF(G126:BE126,"&lt;&gt;" &amp; "")&gt;0,NOT(ISBLANK(E126)))</formula>
    </cfRule>
  </conditionalFormatting>
  <conditionalFormatting sqref="E127">
    <cfRule type="expression" dxfId="0" priority="223">
      <formula>COUNTIF(G127:BE127,"&lt;&gt;" &amp; "")&gt;0</formula>
    </cfRule>
    <cfRule type="expression" dxfId="1" priority="224">
      <formula>AND(COUNTIF(G127:BE127,"&lt;&gt;" &amp; "")&gt;0,NOT(ISBLANK(E127)))</formula>
    </cfRule>
  </conditionalFormatting>
  <conditionalFormatting sqref="E13">
    <cfRule type="expression" dxfId="0" priority="23">
      <formula>COUNTIF(G13:BE13,"&lt;&gt;" &amp; "")&gt;0</formula>
    </cfRule>
    <cfRule type="expression" dxfId="1" priority="24">
      <formula>AND(COUNTIF(G13:BE13,"&lt;&gt;" &amp; "")&gt;0,NOT(ISBLANK(E13)))</formula>
    </cfRule>
  </conditionalFormatting>
  <conditionalFormatting sqref="E14">
    <cfRule type="expression" dxfId="0" priority="25">
      <formula>COUNTIF(G14:BE14,"&lt;&gt;" &amp; "")&gt;0</formula>
    </cfRule>
    <cfRule type="expression" dxfId="1" priority="26">
      <formula>AND(COUNTIF(G14:BE14,"&lt;&gt;" &amp; "")&gt;0,NOT(ISBLANK(E14)))</formula>
    </cfRule>
  </conditionalFormatting>
  <conditionalFormatting sqref="E15">
    <cfRule type="expression" dxfId="0" priority="27">
      <formula>COUNTIF(G15:BE15,"&lt;&gt;" &amp; "")&gt;0</formula>
    </cfRule>
    <cfRule type="expression" dxfId="1" priority="28">
      <formula>AND(COUNTIF(G15:BE15,"&lt;&gt;" &amp; "")&gt;0,NOT(ISBLANK(E15)))</formula>
    </cfRule>
  </conditionalFormatting>
  <conditionalFormatting sqref="E18">
    <cfRule type="expression" dxfId="0" priority="29">
      <formula>COUNTIF(G18:BE18,"&lt;&gt;" &amp; "")&gt;0</formula>
    </cfRule>
    <cfRule type="expression" dxfId="1" priority="30">
      <formula>AND(COUNTIF(G18:BE18,"&lt;&gt;" &amp; "")&gt;0,NOT(ISBLANK(E18)))</formula>
    </cfRule>
  </conditionalFormatting>
  <conditionalFormatting sqref="E19">
    <cfRule type="expression" dxfId="0" priority="31">
      <formula>COUNTIF(G19:BE19,"&lt;&gt;" &amp; "")&gt;0</formula>
    </cfRule>
    <cfRule type="expression" dxfId="1" priority="32">
      <formula>AND(COUNTIF(G19:BE19,"&lt;&gt;" &amp; "")&gt;0,NOT(ISBLANK(E19)))</formula>
    </cfRule>
  </conditionalFormatting>
  <conditionalFormatting sqref="E2">
    <cfRule type="expression" dxfId="0" priority="1">
      <formula>COUNTIF(G2:BE2,"&lt;&gt;" &amp; "")&gt;0</formula>
    </cfRule>
    <cfRule type="expression" dxfId="1" priority="2">
      <formula>AND(COUNTIF(G2:BE2,"&lt;&gt;" &amp; "")&gt;0,NOT(ISBLANK(E2)))</formula>
    </cfRule>
  </conditionalFormatting>
  <conditionalFormatting sqref="E20">
    <cfRule type="expression" dxfId="0" priority="33">
      <formula>COUNTIF(G20:BE20,"&lt;&gt;" &amp; "")&gt;0</formula>
    </cfRule>
    <cfRule type="expression" dxfId="1" priority="34">
      <formula>AND(COUNTIF(G20:BE20,"&lt;&gt;" &amp; "")&gt;0,NOT(ISBLANK(E20)))</formula>
    </cfRule>
  </conditionalFormatting>
  <conditionalFormatting sqref="E21">
    <cfRule type="expression" dxfId="0" priority="35">
      <formula>COUNTIF(G21:BE21,"&lt;&gt;" &amp; "")&gt;0</formula>
    </cfRule>
    <cfRule type="expression" dxfId="1" priority="36">
      <formula>AND(COUNTIF(G21:BE21,"&lt;&gt;" &amp; "")&gt;0,NOT(ISBLANK(E21)))</formula>
    </cfRule>
  </conditionalFormatting>
  <conditionalFormatting sqref="E22">
    <cfRule type="expression" dxfId="0" priority="37">
      <formula>COUNTIF(G22:BE22,"&lt;&gt;" &amp; "")&gt;0</formula>
    </cfRule>
    <cfRule type="expression" dxfId="1" priority="38">
      <formula>AND(COUNTIF(G22:BE22,"&lt;&gt;" &amp; "")&gt;0,NOT(ISBLANK(E22)))</formula>
    </cfRule>
  </conditionalFormatting>
  <conditionalFormatting sqref="E23">
    <cfRule type="expression" dxfId="0" priority="39">
      <formula>COUNTIF(G23:BE23,"&lt;&gt;" &amp; "")&gt;0</formula>
    </cfRule>
    <cfRule type="expression" dxfId="1" priority="40">
      <formula>AND(COUNTIF(G23:BE23,"&lt;&gt;" &amp; "")&gt;0,NOT(ISBLANK(E23)))</formula>
    </cfRule>
  </conditionalFormatting>
  <conditionalFormatting sqref="E24">
    <cfRule type="expression" dxfId="0" priority="41">
      <formula>COUNTIF(G24:BE24,"&lt;&gt;" &amp; "")&gt;0</formula>
    </cfRule>
    <cfRule type="expression" dxfId="1" priority="42">
      <formula>AND(COUNTIF(G24:BE24,"&lt;&gt;" &amp; "")&gt;0,NOT(ISBLANK(E24)))</formula>
    </cfRule>
  </conditionalFormatting>
  <conditionalFormatting sqref="E25">
    <cfRule type="expression" dxfId="0" priority="43">
      <formula>COUNTIF(G25:BE25,"&lt;&gt;" &amp; "")&gt;0</formula>
    </cfRule>
    <cfRule type="expression" dxfId="1" priority="44">
      <formula>AND(COUNTIF(G25:BE25,"&lt;&gt;" &amp; "")&gt;0,NOT(ISBLANK(E25)))</formula>
    </cfRule>
  </conditionalFormatting>
  <conditionalFormatting sqref="E26">
    <cfRule type="expression" dxfId="0" priority="45">
      <formula>COUNTIF(G26:BE26,"&lt;&gt;" &amp; "")&gt;0</formula>
    </cfRule>
    <cfRule type="expression" dxfId="1" priority="46">
      <formula>AND(COUNTIF(G26:BE26,"&lt;&gt;" &amp; "")&gt;0,NOT(ISBLANK(E26)))</formula>
    </cfRule>
  </conditionalFormatting>
  <conditionalFormatting sqref="E27">
    <cfRule type="expression" dxfId="0" priority="47">
      <formula>COUNTIF(G27:BE27,"&lt;&gt;" &amp; "")&gt;0</formula>
    </cfRule>
    <cfRule type="expression" dxfId="1" priority="48">
      <formula>AND(COUNTIF(G27:BE27,"&lt;&gt;" &amp; "")&gt;0,NOT(ISBLANK(E27)))</formula>
    </cfRule>
  </conditionalFormatting>
  <conditionalFormatting sqref="E28">
    <cfRule type="expression" dxfId="0" priority="49">
      <formula>COUNTIF(G28:BE28,"&lt;&gt;" &amp; "")&gt;0</formula>
    </cfRule>
    <cfRule type="expression" dxfId="1" priority="50">
      <formula>AND(COUNTIF(G28:BE28,"&lt;&gt;" &amp; "")&gt;0,NOT(ISBLANK(E28)))</formula>
    </cfRule>
  </conditionalFormatting>
  <conditionalFormatting sqref="E29">
    <cfRule type="expression" dxfId="0" priority="51">
      <formula>COUNTIF(G29:BE29,"&lt;&gt;" &amp; "")&gt;0</formula>
    </cfRule>
    <cfRule type="expression" dxfId="1" priority="52">
      <formula>AND(COUNTIF(G29:BE29,"&lt;&gt;" &amp; "")&gt;0,NOT(ISBLANK(E29)))</formula>
    </cfRule>
  </conditionalFormatting>
  <conditionalFormatting sqref="E3">
    <cfRule type="expression" dxfId="0" priority="3">
      <formula>COUNTIF(G3:BE3,"&lt;&gt;" &amp; "")&gt;0</formula>
    </cfRule>
    <cfRule type="expression" dxfId="1" priority="4">
      <formula>AND(COUNTIF(G3:BE3,"&lt;&gt;" &amp; "")&gt;0,NOT(ISBLANK(E3)))</formula>
    </cfRule>
  </conditionalFormatting>
  <conditionalFormatting sqref="E30">
    <cfRule type="expression" dxfId="0" priority="53">
      <formula>COUNTIF(G30:BE30,"&lt;&gt;" &amp; "")&gt;0</formula>
    </cfRule>
    <cfRule type="expression" dxfId="1" priority="54">
      <formula>AND(COUNTIF(G30:BE30,"&lt;&gt;" &amp; "")&gt;0,NOT(ISBLANK(E30)))</formula>
    </cfRule>
  </conditionalFormatting>
  <conditionalFormatting sqref="E31">
    <cfRule type="expression" dxfId="0" priority="55">
      <formula>COUNTIF(G31:BE31,"&lt;&gt;" &amp; "")&gt;0</formula>
    </cfRule>
    <cfRule type="expression" dxfId="1" priority="56">
      <formula>AND(COUNTIF(G31:BE31,"&lt;&gt;" &amp; "")&gt;0,NOT(ISBLANK(E31)))</formula>
    </cfRule>
  </conditionalFormatting>
  <conditionalFormatting sqref="E34">
    <cfRule type="expression" dxfId="0" priority="57">
      <formula>COUNTIF(G34:BE34,"&lt;&gt;" &amp; "")&gt;0</formula>
    </cfRule>
    <cfRule type="expression" dxfId="1" priority="58">
      <formula>AND(COUNTIF(G34:BE34,"&lt;&gt;" &amp; "")&gt;0,NOT(ISBLANK(E34)))</formula>
    </cfRule>
  </conditionalFormatting>
  <conditionalFormatting sqref="E35">
    <cfRule type="expression" dxfId="0" priority="59">
      <formula>COUNTIF(G35:BE35,"&lt;&gt;" &amp; "")&gt;0</formula>
    </cfRule>
    <cfRule type="expression" dxfId="1" priority="60">
      <formula>AND(COUNTIF(G35:BE35,"&lt;&gt;" &amp; "")&gt;0,NOT(ISBLANK(E35)))</formula>
    </cfRule>
  </conditionalFormatting>
  <conditionalFormatting sqref="E36">
    <cfRule type="expression" dxfId="0" priority="61">
      <formula>COUNTIF(G36:BE36,"&lt;&gt;" &amp; "")&gt;0</formula>
    </cfRule>
    <cfRule type="expression" dxfId="1" priority="62">
      <formula>AND(COUNTIF(G36:BE36,"&lt;&gt;" &amp; "")&gt;0,NOT(ISBLANK(E36)))</formula>
    </cfRule>
  </conditionalFormatting>
  <conditionalFormatting sqref="E37">
    <cfRule type="expression" dxfId="0" priority="63">
      <formula>COUNTIF(G37:BE37,"&lt;&gt;" &amp; "")&gt;0</formula>
    </cfRule>
    <cfRule type="expression" dxfId="1" priority="64">
      <formula>AND(COUNTIF(G37:BE37,"&lt;&gt;" &amp; "")&gt;0,NOT(ISBLANK(E37)))</formula>
    </cfRule>
  </conditionalFormatting>
  <conditionalFormatting sqref="E38">
    <cfRule type="expression" dxfId="0" priority="65">
      <formula>COUNTIF(G38:BE38,"&lt;&gt;" &amp; "")&gt;0</formula>
    </cfRule>
    <cfRule type="expression" dxfId="1" priority="66">
      <formula>AND(COUNTIF(G38:BE38,"&lt;&gt;" &amp; "")&gt;0,NOT(ISBLANK(E38)))</formula>
    </cfRule>
  </conditionalFormatting>
  <conditionalFormatting sqref="E39">
    <cfRule type="expression" dxfId="0" priority="67">
      <formula>COUNTIF(G39:BE39,"&lt;&gt;" &amp; "")&gt;0</formula>
    </cfRule>
    <cfRule type="expression" dxfId="1" priority="68">
      <formula>AND(COUNTIF(G39:BE39,"&lt;&gt;" &amp; "")&gt;0,NOT(ISBLANK(E39)))</formula>
    </cfRule>
  </conditionalFormatting>
  <conditionalFormatting sqref="E4">
    <cfRule type="expression" dxfId="0" priority="5">
      <formula>COUNTIF(G4:BE4,"&lt;&gt;" &amp; "")&gt;0</formula>
    </cfRule>
    <cfRule type="expression" dxfId="1" priority="6">
      <formula>AND(COUNTIF(G4:BE4,"&lt;&gt;" &amp; "")&gt;0,NOT(ISBLANK(E4)))</formula>
    </cfRule>
  </conditionalFormatting>
  <conditionalFormatting sqref="E40">
    <cfRule type="expression" dxfId="0" priority="69">
      <formula>COUNTIF(G40:BE40,"&lt;&gt;" &amp; "")&gt;0</formula>
    </cfRule>
    <cfRule type="expression" dxfId="1" priority="70">
      <formula>AND(COUNTIF(G40:BE40,"&lt;&gt;" &amp; "")&gt;0,NOT(ISBLANK(E40)))</formula>
    </cfRule>
  </conditionalFormatting>
  <conditionalFormatting sqref="E41">
    <cfRule type="expression" dxfId="0" priority="71">
      <formula>COUNTIF(G41:BE41,"&lt;&gt;" &amp; "")&gt;0</formula>
    </cfRule>
    <cfRule type="expression" dxfId="1" priority="72">
      <formula>AND(COUNTIF(G41:BE41,"&lt;&gt;" &amp; "")&gt;0,NOT(ISBLANK(E41)))</formula>
    </cfRule>
  </conditionalFormatting>
  <conditionalFormatting sqref="E42">
    <cfRule type="expression" dxfId="0" priority="73">
      <formula>COUNTIF(G42:BE42,"&lt;&gt;" &amp; "")&gt;0</formula>
    </cfRule>
    <cfRule type="expression" dxfId="1" priority="74">
      <formula>AND(COUNTIF(G42:BE42,"&lt;&gt;" &amp; "")&gt;0,NOT(ISBLANK(E42)))</formula>
    </cfRule>
  </conditionalFormatting>
  <conditionalFormatting sqref="E43">
    <cfRule type="expression" dxfId="0" priority="75">
      <formula>COUNTIF(G43:BE43,"&lt;&gt;" &amp; "")&gt;0</formula>
    </cfRule>
    <cfRule type="expression" dxfId="1" priority="76">
      <formula>AND(COUNTIF(G43:BE43,"&lt;&gt;" &amp; "")&gt;0,NOT(ISBLANK(E43)))</formula>
    </cfRule>
  </conditionalFormatting>
  <conditionalFormatting sqref="E44">
    <cfRule type="expression" dxfId="0" priority="77">
      <formula>COUNTIF(G44:BE44,"&lt;&gt;" &amp; "")&gt;0</formula>
    </cfRule>
    <cfRule type="expression" dxfId="1" priority="78">
      <formula>AND(COUNTIF(G44:BE44,"&lt;&gt;" &amp; "")&gt;0,NOT(ISBLANK(E44)))</formula>
    </cfRule>
  </conditionalFormatting>
  <conditionalFormatting sqref="E45">
    <cfRule type="expression" dxfId="0" priority="79">
      <formula>COUNTIF(G45:BE45,"&lt;&gt;" &amp; "")&gt;0</formula>
    </cfRule>
    <cfRule type="expression" dxfId="1" priority="80">
      <formula>AND(COUNTIF(G45:BE45,"&lt;&gt;" &amp; "")&gt;0,NOT(ISBLANK(E45)))</formula>
    </cfRule>
  </conditionalFormatting>
  <conditionalFormatting sqref="E46">
    <cfRule type="expression" dxfId="0" priority="81">
      <formula>COUNTIF(G46:BE46,"&lt;&gt;" &amp; "")&gt;0</formula>
    </cfRule>
    <cfRule type="expression" dxfId="1" priority="82">
      <formula>AND(COUNTIF(G46:BE46,"&lt;&gt;" &amp; "")&gt;0,NOT(ISBLANK(E46)))</formula>
    </cfRule>
  </conditionalFormatting>
  <conditionalFormatting sqref="E47">
    <cfRule type="expression" dxfId="0" priority="83">
      <formula>COUNTIF(G47:BE47,"&lt;&gt;" &amp; "")&gt;0</formula>
    </cfRule>
    <cfRule type="expression" dxfId="1" priority="84">
      <formula>AND(COUNTIF(G47:BE47,"&lt;&gt;" &amp; "")&gt;0,NOT(ISBLANK(E47)))</formula>
    </cfRule>
  </conditionalFormatting>
  <conditionalFormatting sqref="E5">
    <cfRule type="expression" dxfId="0" priority="7">
      <formula>COUNTIF(G5:BE5,"&lt;&gt;" &amp; "")&gt;0</formula>
    </cfRule>
    <cfRule type="expression" dxfId="1" priority="8">
      <formula>AND(COUNTIF(G5:BE5,"&lt;&gt;" &amp; "")&gt;0,NOT(ISBLANK(E5)))</formula>
    </cfRule>
  </conditionalFormatting>
  <conditionalFormatting sqref="E50">
    <cfRule type="expression" dxfId="0" priority="85">
      <formula>COUNTIF(G50:BE50,"&lt;&gt;" &amp; "")&gt;0</formula>
    </cfRule>
    <cfRule type="expression" dxfId="1" priority="86">
      <formula>AND(COUNTIF(G50:BE50,"&lt;&gt;" &amp; "")&gt;0,NOT(ISBLANK(E50)))</formula>
    </cfRule>
  </conditionalFormatting>
  <conditionalFormatting sqref="E51">
    <cfRule type="expression" dxfId="0" priority="87">
      <formula>COUNTIF(G51:BE51,"&lt;&gt;" &amp; "")&gt;0</formula>
    </cfRule>
    <cfRule type="expression" dxfId="1" priority="88">
      <formula>AND(COUNTIF(G51:BE51,"&lt;&gt;" &amp; "")&gt;0,NOT(ISBLANK(E51)))</formula>
    </cfRule>
  </conditionalFormatting>
  <conditionalFormatting sqref="E52">
    <cfRule type="expression" dxfId="0" priority="89">
      <formula>COUNTIF(G52:BE52,"&lt;&gt;" &amp; "")&gt;0</formula>
    </cfRule>
    <cfRule type="expression" dxfId="1" priority="90">
      <formula>AND(COUNTIF(G52:BE52,"&lt;&gt;" &amp; "")&gt;0,NOT(ISBLANK(E52)))</formula>
    </cfRule>
  </conditionalFormatting>
  <conditionalFormatting sqref="E53">
    <cfRule type="expression" dxfId="0" priority="91">
      <formula>COUNTIF(G53:BE53,"&lt;&gt;" &amp; "")&gt;0</formula>
    </cfRule>
    <cfRule type="expression" dxfId="1" priority="92">
      <formula>AND(COUNTIF(G53:BE53,"&lt;&gt;" &amp; "")&gt;0,NOT(ISBLANK(E53)))</formula>
    </cfRule>
  </conditionalFormatting>
  <conditionalFormatting sqref="E54">
    <cfRule type="expression" dxfId="0" priority="93">
      <formula>COUNTIF(G54:BE54,"&lt;&gt;" &amp; "")&gt;0</formula>
    </cfRule>
    <cfRule type="expression" dxfId="1" priority="94">
      <formula>AND(COUNTIF(G54:BE54,"&lt;&gt;" &amp; "")&gt;0,NOT(ISBLANK(E54)))</formula>
    </cfRule>
  </conditionalFormatting>
  <conditionalFormatting sqref="E55">
    <cfRule type="expression" dxfId="0" priority="95">
      <formula>COUNTIF(G55:BE55,"&lt;&gt;" &amp; "")&gt;0</formula>
    </cfRule>
    <cfRule type="expression" dxfId="1" priority="96">
      <formula>AND(COUNTIF(G55:BE55,"&lt;&gt;" &amp; "")&gt;0,NOT(ISBLANK(E55)))</formula>
    </cfRule>
  </conditionalFormatting>
  <conditionalFormatting sqref="E56">
    <cfRule type="expression" dxfId="0" priority="97">
      <formula>COUNTIF(G56:BE56,"&lt;&gt;" &amp; "")&gt;0</formula>
    </cfRule>
    <cfRule type="expression" dxfId="1" priority="98">
      <formula>AND(COUNTIF(G56:BE56,"&lt;&gt;" &amp; "")&gt;0,NOT(ISBLANK(E56)))</formula>
    </cfRule>
  </conditionalFormatting>
  <conditionalFormatting sqref="E57">
    <cfRule type="expression" dxfId="0" priority="99">
      <formula>COUNTIF(G57:BE57,"&lt;&gt;" &amp; "")&gt;0</formula>
    </cfRule>
    <cfRule type="expression" dxfId="1" priority="100">
      <formula>AND(COUNTIF(G57:BE57,"&lt;&gt;" &amp; "")&gt;0,NOT(ISBLANK(E57)))</formula>
    </cfRule>
  </conditionalFormatting>
  <conditionalFormatting sqref="E58">
    <cfRule type="expression" dxfId="0" priority="101">
      <formula>COUNTIF(G58:BE58,"&lt;&gt;" &amp; "")&gt;0</formula>
    </cfRule>
    <cfRule type="expression" dxfId="1" priority="102">
      <formula>AND(COUNTIF(G58:BE58,"&lt;&gt;" &amp; "")&gt;0,NOT(ISBLANK(E58)))</formula>
    </cfRule>
  </conditionalFormatting>
  <conditionalFormatting sqref="E59">
    <cfRule type="expression" dxfId="0" priority="103">
      <formula>COUNTIF(G59:BE59,"&lt;&gt;" &amp; "")&gt;0</formula>
    </cfRule>
    <cfRule type="expression" dxfId="1" priority="104">
      <formula>AND(COUNTIF(G59:BE59,"&lt;&gt;" &amp; "")&gt;0,NOT(ISBLANK(E59)))</formula>
    </cfRule>
  </conditionalFormatting>
  <conditionalFormatting sqref="E6">
    <cfRule type="expression" dxfId="0" priority="9">
      <formula>COUNTIF(G6:BE6,"&lt;&gt;" &amp; "")&gt;0</formula>
    </cfRule>
    <cfRule type="expression" dxfId="1" priority="10">
      <formula>AND(COUNTIF(G6:BE6,"&lt;&gt;" &amp; "")&gt;0,NOT(ISBLANK(E6)))</formula>
    </cfRule>
  </conditionalFormatting>
  <conditionalFormatting sqref="E60">
    <cfRule type="expression" dxfId="0" priority="105">
      <formula>COUNTIF(G60:BE60,"&lt;&gt;" &amp; "")&gt;0</formula>
    </cfRule>
    <cfRule type="expression" dxfId="1" priority="106">
      <formula>AND(COUNTIF(G60:BE60,"&lt;&gt;" &amp; "")&gt;0,NOT(ISBLANK(E60)))</formula>
    </cfRule>
  </conditionalFormatting>
  <conditionalFormatting sqref="E61">
    <cfRule type="expression" dxfId="0" priority="107">
      <formula>COUNTIF(G61:BE61,"&lt;&gt;" &amp; "")&gt;0</formula>
    </cfRule>
    <cfRule type="expression" dxfId="1" priority="108">
      <formula>AND(COUNTIF(G61:BE61,"&lt;&gt;" &amp; "")&gt;0,NOT(ISBLANK(E61)))</formula>
    </cfRule>
  </conditionalFormatting>
  <conditionalFormatting sqref="E62">
    <cfRule type="expression" dxfId="0" priority="109">
      <formula>COUNTIF(G62:BE62,"&lt;&gt;" &amp; "")&gt;0</formula>
    </cfRule>
    <cfRule type="expression" dxfId="1" priority="110">
      <formula>AND(COUNTIF(G62:BE62,"&lt;&gt;" &amp; "")&gt;0,NOT(ISBLANK(E62)))</formula>
    </cfRule>
  </conditionalFormatting>
  <conditionalFormatting sqref="E63">
    <cfRule type="expression" dxfId="0" priority="111">
      <formula>COUNTIF(G63:BE63,"&lt;&gt;" &amp; "")&gt;0</formula>
    </cfRule>
    <cfRule type="expression" dxfId="1" priority="112">
      <formula>AND(COUNTIF(G63:BE63,"&lt;&gt;" &amp; "")&gt;0,NOT(ISBLANK(E63)))</formula>
    </cfRule>
  </conditionalFormatting>
  <conditionalFormatting sqref="E66">
    <cfRule type="expression" dxfId="0" priority="113">
      <formula>COUNTIF(G66:BE66,"&lt;&gt;" &amp; "")&gt;0</formula>
    </cfRule>
    <cfRule type="expression" dxfId="1" priority="114">
      <formula>AND(COUNTIF(G66:BE66,"&lt;&gt;" &amp; "")&gt;0,NOT(ISBLANK(E66)))</formula>
    </cfRule>
  </conditionalFormatting>
  <conditionalFormatting sqref="E67">
    <cfRule type="expression" dxfId="0" priority="115">
      <formula>COUNTIF(G67:BE67,"&lt;&gt;" &amp; "")&gt;0</formula>
    </cfRule>
    <cfRule type="expression" dxfId="1" priority="116">
      <formula>AND(COUNTIF(G67:BE67,"&lt;&gt;" &amp; "")&gt;0,NOT(ISBLANK(E67)))</formula>
    </cfRule>
  </conditionalFormatting>
  <conditionalFormatting sqref="E68">
    <cfRule type="expression" dxfId="0" priority="117">
      <formula>COUNTIF(G68:BE68,"&lt;&gt;" &amp; "")&gt;0</formula>
    </cfRule>
    <cfRule type="expression" dxfId="1" priority="118">
      <formula>AND(COUNTIF(G68:BE68,"&lt;&gt;" &amp; "")&gt;0,NOT(ISBLANK(E68)))</formula>
    </cfRule>
  </conditionalFormatting>
  <conditionalFormatting sqref="E69">
    <cfRule type="expression" dxfId="0" priority="119">
      <formula>COUNTIF(G69:BE69,"&lt;&gt;" &amp; "")&gt;0</formula>
    </cfRule>
    <cfRule type="expression" dxfId="1" priority="120">
      <formula>AND(COUNTIF(G69:BE69,"&lt;&gt;" &amp; "")&gt;0,NOT(ISBLANK(E69)))</formula>
    </cfRule>
  </conditionalFormatting>
  <conditionalFormatting sqref="E7">
    <cfRule type="expression" dxfId="0" priority="11">
      <formula>COUNTIF(G7:BE7,"&lt;&gt;" &amp; "")&gt;0</formula>
    </cfRule>
    <cfRule type="expression" dxfId="1" priority="12">
      <formula>AND(COUNTIF(G7:BE7,"&lt;&gt;" &amp; "")&gt;0,NOT(ISBLANK(E7)))</formula>
    </cfRule>
  </conditionalFormatting>
  <conditionalFormatting sqref="E70">
    <cfRule type="expression" dxfId="0" priority="121">
      <formula>COUNTIF(G70:BE70,"&lt;&gt;" &amp; "")&gt;0</formula>
    </cfRule>
    <cfRule type="expression" dxfId="1" priority="122">
      <formula>AND(COUNTIF(G70:BE70,"&lt;&gt;" &amp; "")&gt;0,NOT(ISBLANK(E70)))</formula>
    </cfRule>
  </conditionalFormatting>
  <conditionalFormatting sqref="E71">
    <cfRule type="expression" dxfId="0" priority="123">
      <formula>COUNTIF(G71:BE71,"&lt;&gt;" &amp; "")&gt;0</formula>
    </cfRule>
    <cfRule type="expression" dxfId="1" priority="124">
      <formula>AND(COUNTIF(G71:BE71,"&lt;&gt;" &amp; "")&gt;0,NOT(ISBLANK(E71)))</formula>
    </cfRule>
  </conditionalFormatting>
  <conditionalFormatting sqref="E72">
    <cfRule type="expression" dxfId="0" priority="125">
      <formula>COUNTIF(G72:BE72,"&lt;&gt;" &amp; "")&gt;0</formula>
    </cfRule>
    <cfRule type="expression" dxfId="1" priority="126">
      <formula>AND(COUNTIF(G72:BE72,"&lt;&gt;" &amp; "")&gt;0,NOT(ISBLANK(E72)))</formula>
    </cfRule>
  </conditionalFormatting>
  <conditionalFormatting sqref="E73">
    <cfRule type="expression" dxfId="0" priority="127">
      <formula>COUNTIF(G73:BE73,"&lt;&gt;" &amp; "")&gt;0</formula>
    </cfRule>
    <cfRule type="expression" dxfId="1" priority="128">
      <formula>AND(COUNTIF(G73:BE73,"&lt;&gt;" &amp; "")&gt;0,NOT(ISBLANK(E73)))</formula>
    </cfRule>
  </conditionalFormatting>
  <conditionalFormatting sqref="E74">
    <cfRule type="expression" dxfId="0" priority="129">
      <formula>COUNTIF(G74:BE74,"&lt;&gt;" &amp; "")&gt;0</formula>
    </cfRule>
    <cfRule type="expression" dxfId="1" priority="130">
      <formula>AND(COUNTIF(G74:BE74,"&lt;&gt;" &amp; "")&gt;0,NOT(ISBLANK(E74)))</formula>
    </cfRule>
  </conditionalFormatting>
  <conditionalFormatting sqref="E75">
    <cfRule type="expression" dxfId="0" priority="131">
      <formula>COUNTIF(G75:BE75,"&lt;&gt;" &amp; "")&gt;0</formula>
    </cfRule>
    <cfRule type="expression" dxfId="1" priority="132">
      <formula>AND(COUNTIF(G75:BE75,"&lt;&gt;" &amp; "")&gt;0,NOT(ISBLANK(E75)))</formula>
    </cfRule>
  </conditionalFormatting>
  <conditionalFormatting sqref="E76">
    <cfRule type="expression" dxfId="0" priority="133">
      <formula>COUNTIF(G76:BE76,"&lt;&gt;" &amp; "")&gt;0</formula>
    </cfRule>
    <cfRule type="expression" dxfId="1" priority="134">
      <formula>AND(COUNTIF(G76:BE76,"&lt;&gt;" &amp; "")&gt;0,NOT(ISBLANK(E76)))</formula>
    </cfRule>
  </conditionalFormatting>
  <conditionalFormatting sqref="E77">
    <cfRule type="expression" dxfId="0" priority="135">
      <formula>COUNTIF(G77:BE77,"&lt;&gt;" &amp; "")&gt;0</formula>
    </cfRule>
    <cfRule type="expression" dxfId="1" priority="136">
      <formula>AND(COUNTIF(G77:BE77,"&lt;&gt;" &amp; "")&gt;0,NOT(ISBLANK(E77)))</formula>
    </cfRule>
  </conditionalFormatting>
  <conditionalFormatting sqref="E78">
    <cfRule type="expression" dxfId="0" priority="137">
      <formula>COUNTIF(G78:BE78,"&lt;&gt;" &amp; "")&gt;0</formula>
    </cfRule>
    <cfRule type="expression" dxfId="1" priority="138">
      <formula>AND(COUNTIF(G78:BE78,"&lt;&gt;" &amp; "")&gt;0,NOT(ISBLANK(E78)))</formula>
    </cfRule>
  </conditionalFormatting>
  <conditionalFormatting sqref="E79">
    <cfRule type="expression" dxfId="0" priority="139">
      <formula>COUNTIF(G79:BE79,"&lt;&gt;" &amp; "")&gt;0</formula>
    </cfRule>
    <cfRule type="expression" dxfId="1" priority="140">
      <formula>AND(COUNTIF(G79:BE79,"&lt;&gt;" &amp; "")&gt;0,NOT(ISBLANK(E79)))</formula>
    </cfRule>
  </conditionalFormatting>
  <conditionalFormatting sqref="E8">
    <cfRule type="expression" dxfId="0" priority="13">
      <formula>COUNTIF(G8:BE8,"&lt;&gt;" &amp; "")&gt;0</formula>
    </cfRule>
    <cfRule type="expression" dxfId="1" priority="14">
      <formula>AND(COUNTIF(G8:BE8,"&lt;&gt;" &amp; "")&gt;0,NOT(ISBLANK(E8)))</formula>
    </cfRule>
  </conditionalFormatting>
  <conditionalFormatting sqref="E82">
    <cfRule type="expression" dxfId="0" priority="141">
      <formula>COUNTIF(G82:BE82,"&lt;&gt;" &amp; "")&gt;0</formula>
    </cfRule>
    <cfRule type="expression" dxfId="1" priority="142">
      <formula>AND(COUNTIF(G82:BE82,"&lt;&gt;" &amp; "")&gt;0,NOT(ISBLANK(E82)))</formula>
    </cfRule>
  </conditionalFormatting>
  <conditionalFormatting sqref="E83">
    <cfRule type="expression" dxfId="0" priority="143">
      <formula>COUNTIF(G83:BE83,"&lt;&gt;" &amp; "")&gt;0</formula>
    </cfRule>
    <cfRule type="expression" dxfId="1" priority="144">
      <formula>AND(COUNTIF(G83:BE83,"&lt;&gt;" &amp; "")&gt;0,NOT(ISBLANK(E83)))</formula>
    </cfRule>
  </conditionalFormatting>
  <conditionalFormatting sqref="E84">
    <cfRule type="expression" dxfId="0" priority="145">
      <formula>COUNTIF(G84:BE84,"&lt;&gt;" &amp; "")&gt;0</formula>
    </cfRule>
    <cfRule type="expression" dxfId="1" priority="146">
      <formula>AND(COUNTIF(G84:BE84,"&lt;&gt;" &amp; "")&gt;0,NOT(ISBLANK(E84)))</formula>
    </cfRule>
  </conditionalFormatting>
  <conditionalFormatting sqref="E85">
    <cfRule type="expression" dxfId="0" priority="147">
      <formula>COUNTIF(G85:BE85,"&lt;&gt;" &amp; "")&gt;0</formula>
    </cfRule>
    <cfRule type="expression" dxfId="1" priority="148">
      <formula>AND(COUNTIF(G85:BE85,"&lt;&gt;" &amp; "")&gt;0,NOT(ISBLANK(E85)))</formula>
    </cfRule>
  </conditionalFormatting>
  <conditionalFormatting sqref="E86">
    <cfRule type="expression" dxfId="0" priority="149">
      <formula>COUNTIF(G86:BE86,"&lt;&gt;" &amp; "")&gt;0</formula>
    </cfRule>
    <cfRule type="expression" dxfId="1" priority="150">
      <formula>AND(COUNTIF(G86:BE86,"&lt;&gt;" &amp; "")&gt;0,NOT(ISBLANK(E86)))</formula>
    </cfRule>
  </conditionalFormatting>
  <conditionalFormatting sqref="E87">
    <cfRule type="expression" dxfId="0" priority="151">
      <formula>COUNTIF(G87:BE87,"&lt;&gt;" &amp; "")&gt;0</formula>
    </cfRule>
    <cfRule type="expression" dxfId="1" priority="152">
      <formula>AND(COUNTIF(G87:BE87,"&lt;&gt;" &amp; "")&gt;0,NOT(ISBLANK(E87)))</formula>
    </cfRule>
  </conditionalFormatting>
  <conditionalFormatting sqref="E88">
    <cfRule type="expression" dxfId="0" priority="153">
      <formula>COUNTIF(G88:BE88,"&lt;&gt;" &amp; "")&gt;0</formula>
    </cfRule>
    <cfRule type="expression" dxfId="1" priority="154">
      <formula>AND(COUNTIF(G88:BE88,"&lt;&gt;" &amp; "")&gt;0,NOT(ISBLANK(E88)))</formula>
    </cfRule>
  </conditionalFormatting>
  <conditionalFormatting sqref="E89">
    <cfRule type="expression" dxfId="0" priority="155">
      <formula>COUNTIF(G89:BE89,"&lt;&gt;" &amp; "")&gt;0</formula>
    </cfRule>
    <cfRule type="expression" dxfId="1" priority="156">
      <formula>AND(COUNTIF(G89:BE89,"&lt;&gt;" &amp; "")&gt;0,NOT(ISBLANK(E89)))</formula>
    </cfRule>
  </conditionalFormatting>
  <conditionalFormatting sqref="E9">
    <cfRule type="expression" dxfId="0" priority="15">
      <formula>COUNTIF(G9:BE9,"&lt;&gt;" &amp; "")&gt;0</formula>
    </cfRule>
    <cfRule type="expression" dxfId="1" priority="16">
      <formula>AND(COUNTIF(G9:BE9,"&lt;&gt;" &amp; "")&gt;0,NOT(ISBLANK(E9)))</formula>
    </cfRule>
  </conditionalFormatting>
  <conditionalFormatting sqref="E90">
    <cfRule type="expression" dxfId="0" priority="157">
      <formula>COUNTIF(G90:BE90,"&lt;&gt;" &amp; "")&gt;0</formula>
    </cfRule>
    <cfRule type="expression" dxfId="1" priority="158">
      <formula>AND(COUNTIF(G90:BE90,"&lt;&gt;" &amp; "")&gt;0,NOT(ISBLANK(E90)))</formula>
    </cfRule>
  </conditionalFormatting>
  <conditionalFormatting sqref="E91">
    <cfRule type="expression" dxfId="0" priority="159">
      <formula>COUNTIF(G91:BE91,"&lt;&gt;" &amp; "")&gt;0</formula>
    </cfRule>
    <cfRule type="expression" dxfId="1" priority="160">
      <formula>AND(COUNTIF(G91:BE91,"&lt;&gt;" &amp; "")&gt;0,NOT(ISBLANK(E91)))</formula>
    </cfRule>
  </conditionalFormatting>
  <conditionalFormatting sqref="E92">
    <cfRule type="expression" dxfId="0" priority="161">
      <formula>COUNTIF(G92:BE92,"&lt;&gt;" &amp; "")&gt;0</formula>
    </cfRule>
    <cfRule type="expression" dxfId="1" priority="162">
      <formula>AND(COUNTIF(G92:BE92,"&lt;&gt;" &amp; "")&gt;0,NOT(ISBLANK(E92)))</formula>
    </cfRule>
  </conditionalFormatting>
  <conditionalFormatting sqref="E93">
    <cfRule type="expression" dxfId="0" priority="163">
      <formula>COUNTIF(G93:BE93,"&lt;&gt;" &amp; "")&gt;0</formula>
    </cfRule>
    <cfRule type="expression" dxfId="1" priority="164">
      <formula>AND(COUNTIF(G93:BE93,"&lt;&gt;" &amp; "")&gt;0,NOT(ISBLANK(E93)))</formula>
    </cfRule>
  </conditionalFormatting>
  <conditionalFormatting sqref="E94">
    <cfRule type="expression" dxfId="0" priority="165">
      <formula>COUNTIF(G94:BE94,"&lt;&gt;" &amp; "")&gt;0</formula>
    </cfRule>
    <cfRule type="expression" dxfId="1" priority="166">
      <formula>AND(COUNTIF(G94:BE94,"&lt;&gt;" &amp; "")&gt;0,NOT(ISBLANK(E94)))</formula>
    </cfRule>
  </conditionalFormatting>
  <conditionalFormatting sqref="E95">
    <cfRule type="expression" dxfId="0" priority="167">
      <formula>COUNTIF(G95:BE95,"&lt;&gt;" &amp; "")&gt;0</formula>
    </cfRule>
    <cfRule type="expression" dxfId="1" priority="168">
      <formula>AND(COUNTIF(G95:BE95,"&lt;&gt;" &amp; "")&gt;0,NOT(ISBLANK(E95)))</formula>
    </cfRule>
  </conditionalFormatting>
  <conditionalFormatting sqref="E98">
    <cfRule type="expression" dxfId="0" priority="169">
      <formula>COUNTIF(G98:BE98,"&lt;&gt;" &amp; "")&gt;0</formula>
    </cfRule>
    <cfRule type="expression" dxfId="1" priority="170">
      <formula>AND(COUNTIF(G98:BE98,"&lt;&gt;" &amp; "")&gt;0,NOT(ISBLANK(E98)))</formula>
    </cfRule>
  </conditionalFormatting>
  <conditionalFormatting sqref="E99">
    <cfRule type="expression" dxfId="0" priority="171">
      <formula>COUNTIF(G99:BE99,"&lt;&gt;" &amp; "")&gt;0</formula>
    </cfRule>
    <cfRule type="expression" dxfId="1" priority="172">
      <formula>AND(COUNTIF(G99:BE99,"&lt;&gt;" &amp; "")&gt;0,NOT(ISBLANK(E99)))</formula>
    </cfRule>
  </conditionalFormatting>
  <dataValidations count="112">
    <dataValidation type="list" allowBlank="1" showInputMessage="1" showErrorMessage="1" sqref="C2">
      <formula1>"Rate (per year)"</formula1>
    </dataValidation>
    <dataValidation type="list" allowBlank="1" showInputMessage="1" showErrorMessage="1" sqref="C3">
      <formula1>"Rate (per year)"</formula1>
    </dataValidation>
    <dataValidation type="list" allowBlank="1" showInputMessage="1" showErrorMessage="1" sqref="C4">
      <formula1>"Rate (per year)"</formula1>
    </dataValidation>
    <dataValidation type="list" allowBlank="1" showInputMessage="1" showErrorMessage="1" sqref="C5">
      <formula1>"Rate (per year)"</formula1>
    </dataValidation>
    <dataValidation type="list" allowBlank="1" showInputMessage="1" showErrorMessage="1" sqref="C6">
      <formula1>"Rate (per year)"</formula1>
    </dataValidation>
    <dataValidation type="list" allowBlank="1" showInputMessage="1" showErrorMessage="1" sqref="C7">
      <formula1>"Rate (per year)"</formula1>
    </dataValidation>
    <dataValidation type="list" allowBlank="1" showInputMessage="1" showErrorMessage="1" sqref="C8">
      <formula1>"Rate (per year)"</formula1>
    </dataValidation>
    <dataValidation type="list" allowBlank="1" showInputMessage="1" showErrorMessage="1" sqref="C9">
      <formula1>"Rate (per year)"</formula1>
    </dataValidation>
    <dataValidation type="list" allowBlank="1" showInputMessage="1" showErrorMessage="1" sqref="C10">
      <formula1>"Rate (per year)"</formula1>
    </dataValidation>
    <dataValidation type="list" allowBlank="1" showInputMessage="1" showErrorMessage="1" sqref="C11">
      <formula1>"Rate (per year)"</formula1>
    </dataValidation>
    <dataValidation type="list" allowBlank="1" showInputMessage="1" showErrorMessage="1" sqref="C12">
      <formula1>"Rate (per year)"</formula1>
    </dataValidation>
    <dataValidation type="list" allowBlank="1" showInputMessage="1" showErrorMessage="1" sqref="C13">
      <formula1>"Rate (per year)"</formula1>
    </dataValidation>
    <dataValidation type="list" allowBlank="1" showInputMessage="1" showErrorMessage="1" sqref="C14">
      <formula1>"Rate (per year)"</formula1>
    </dataValidation>
    <dataValidation type="list" allowBlank="1" showInputMessage="1" showErrorMessage="1" sqref="C15">
      <formula1>"Rate (per year)"</formula1>
    </dataValidation>
    <dataValidation type="list" allowBlank="1" showInputMessage="1" showErrorMessage="1" sqref="C18">
      <formula1>"Rate (per year)"</formula1>
    </dataValidation>
    <dataValidation type="list" allowBlank="1" showInputMessage="1" showErrorMessage="1" sqref="C19">
      <formula1>"Rate (per year)"</formula1>
    </dataValidation>
    <dataValidation type="list" allowBlank="1" showInputMessage="1" showErrorMessage="1" sqref="C20">
      <formula1>"Rate (per year)"</formula1>
    </dataValidation>
    <dataValidation type="list" allowBlank="1" showInputMessage="1" showErrorMessage="1" sqref="C21">
      <formula1>"Rate (per year)"</formula1>
    </dataValidation>
    <dataValidation type="list" allowBlank="1" showInputMessage="1" showErrorMessage="1" sqref="C22">
      <formula1>"Rate (per year)"</formula1>
    </dataValidation>
    <dataValidation type="list" allowBlank="1" showInputMessage="1" showErrorMessage="1" sqref="C23">
      <formula1>"Rate (per year)"</formula1>
    </dataValidation>
    <dataValidation type="list" allowBlank="1" showInputMessage="1" showErrorMessage="1" sqref="C24">
      <formula1>"Rate (per year)"</formula1>
    </dataValidation>
    <dataValidation type="list" allowBlank="1" showInputMessage="1" showErrorMessage="1" sqref="C25">
      <formula1>"Rate (per year)"</formula1>
    </dataValidation>
    <dataValidation type="list" allowBlank="1" showInputMessage="1" showErrorMessage="1" sqref="C26">
      <formula1>"Rate (per year)"</formula1>
    </dataValidation>
    <dataValidation type="list" allowBlank="1" showInputMessage="1" showErrorMessage="1" sqref="C27">
      <formula1>"Rate (per year)"</formula1>
    </dataValidation>
    <dataValidation type="list" allowBlank="1" showInputMessage="1" showErrorMessage="1" sqref="C28">
      <formula1>"Rate (per year)"</formula1>
    </dataValidation>
    <dataValidation type="list" allowBlank="1" showInputMessage="1" showErrorMessage="1" sqref="C29">
      <formula1>"Rate (per year)"</formula1>
    </dataValidation>
    <dataValidation type="list" allowBlank="1" showInputMessage="1" showErrorMessage="1" sqref="C30">
      <formula1>"Rate (per year)"</formula1>
    </dataValidation>
    <dataValidation type="list" allowBlank="1" showInputMessage="1" showErrorMessage="1" sqref="C31">
      <formula1>"Rate (per year)"</formula1>
    </dataValidation>
    <dataValidation type="list" allowBlank="1" showInputMessage="1" showErrorMessage="1" sqref="C34">
      <formula1>"Rate (per year)"</formula1>
    </dataValidation>
    <dataValidation type="list" allowBlank="1" showInputMessage="1" showErrorMessage="1" sqref="C35">
      <formula1>"Rate (per year)"</formula1>
    </dataValidation>
    <dataValidation type="list" allowBlank="1" showInputMessage="1" showErrorMessage="1" sqref="C36">
      <formula1>"Rate (per year)"</formula1>
    </dataValidation>
    <dataValidation type="list" allowBlank="1" showInputMessage="1" showErrorMessage="1" sqref="C37">
      <formula1>"Rate (per year)"</formula1>
    </dataValidation>
    <dataValidation type="list" allowBlank="1" showInputMessage="1" showErrorMessage="1" sqref="C38">
      <formula1>"Rate (per year)"</formula1>
    </dataValidation>
    <dataValidation type="list" allowBlank="1" showInputMessage="1" showErrorMessage="1" sqref="C39">
      <formula1>"Rate (per year)"</formula1>
    </dataValidation>
    <dataValidation type="list" allowBlank="1" showInputMessage="1" showErrorMessage="1" sqref="C40">
      <formula1>"Rate (per year)"</formula1>
    </dataValidation>
    <dataValidation type="list" allowBlank="1" showInputMessage="1" showErrorMessage="1" sqref="C41">
      <formula1>"Rate (per year)"</formula1>
    </dataValidation>
    <dataValidation type="list" allowBlank="1" showInputMessage="1" showErrorMessage="1" sqref="C42">
      <formula1>"Rate (per year)"</formula1>
    </dataValidation>
    <dataValidation type="list" allowBlank="1" showInputMessage="1" showErrorMessage="1" sqref="C43">
      <formula1>"Rate (per year)"</formula1>
    </dataValidation>
    <dataValidation type="list" allowBlank="1" showInputMessage="1" showErrorMessage="1" sqref="C44">
      <formula1>"Rate (per year)"</formula1>
    </dataValidation>
    <dataValidation type="list" allowBlank="1" showInputMessage="1" showErrorMessage="1" sqref="C45">
      <formula1>"Rate (per year)"</formula1>
    </dataValidation>
    <dataValidation type="list" allowBlank="1" showInputMessage="1" showErrorMessage="1" sqref="C46">
      <formula1>"Rate (per year)"</formula1>
    </dataValidation>
    <dataValidation type="list" allowBlank="1" showInputMessage="1" showErrorMessage="1" sqref="C47">
      <formula1>"Rate (per year)"</formula1>
    </dataValidation>
    <dataValidation type="list" allowBlank="1" showInputMessage="1" showErrorMessage="1" sqref="C50">
      <formula1>"Rate (per year)"</formula1>
    </dataValidation>
    <dataValidation type="list" allowBlank="1" showInputMessage="1" showErrorMessage="1" sqref="C51">
      <formula1>"Rate (per year)"</formula1>
    </dataValidation>
    <dataValidation type="list" allowBlank="1" showInputMessage="1" showErrorMessage="1" sqref="C52">
      <formula1>"Rate (per year)"</formula1>
    </dataValidation>
    <dataValidation type="list" allowBlank="1" showInputMessage="1" showErrorMessage="1" sqref="C53">
      <formula1>"Rate (per year)"</formula1>
    </dataValidation>
    <dataValidation type="list" allowBlank="1" showInputMessage="1" showErrorMessage="1" sqref="C54">
      <formula1>"Rate (per year)"</formula1>
    </dataValidation>
    <dataValidation type="list" allowBlank="1" showInputMessage="1" showErrorMessage="1" sqref="C55">
      <formula1>"Rate (per year)"</formula1>
    </dataValidation>
    <dataValidation type="list" allowBlank="1" showInputMessage="1" showErrorMessage="1" sqref="C56">
      <formula1>"Rate (per year)"</formula1>
    </dataValidation>
    <dataValidation type="list" allowBlank="1" showInputMessage="1" showErrorMessage="1" sqref="C57">
      <formula1>"Rate (per year)"</formula1>
    </dataValidation>
    <dataValidation type="list" allowBlank="1" showInputMessage="1" showErrorMessage="1" sqref="C58">
      <formula1>"Rate (per year)"</formula1>
    </dataValidation>
    <dataValidation type="list" allowBlank="1" showInputMessage="1" showErrorMessage="1" sqref="C59">
      <formula1>"Rate (per year)"</formula1>
    </dataValidation>
    <dataValidation type="list" allowBlank="1" showInputMessage="1" showErrorMessage="1" sqref="C60">
      <formula1>"Rate (per year)"</formula1>
    </dataValidation>
    <dataValidation type="list" allowBlank="1" showInputMessage="1" showErrorMessage="1" sqref="C61">
      <formula1>"Rate (per year)"</formula1>
    </dataValidation>
    <dataValidation type="list" allowBlank="1" showInputMessage="1" showErrorMessage="1" sqref="C62">
      <formula1>"Rate (per year)"</formula1>
    </dataValidation>
    <dataValidation type="list" allowBlank="1" showInputMessage="1" showErrorMessage="1" sqref="C63">
      <formula1>"Rate (per year)"</formula1>
    </dataValidation>
    <dataValidation type="list" allowBlank="1" showInputMessage="1" showErrorMessage="1" sqref="C66">
      <formula1>"Rate (per year)"</formula1>
    </dataValidation>
    <dataValidation type="list" allowBlank="1" showInputMessage="1" showErrorMessage="1" sqref="C67">
      <formula1>"Rate (per year)"</formula1>
    </dataValidation>
    <dataValidation type="list" allowBlank="1" showInputMessage="1" showErrorMessage="1" sqref="C68">
      <formula1>"Rate (per year)"</formula1>
    </dataValidation>
    <dataValidation type="list" allowBlank="1" showInputMessage="1" showErrorMessage="1" sqref="C69">
      <formula1>"Rate (per year)"</formula1>
    </dataValidation>
    <dataValidation type="list" allowBlank="1" showInputMessage="1" showErrorMessage="1" sqref="C70">
      <formula1>"Rate (per year)"</formula1>
    </dataValidation>
    <dataValidation type="list" allowBlank="1" showInputMessage="1" showErrorMessage="1" sqref="C71">
      <formula1>"Rate (per year)"</formula1>
    </dataValidation>
    <dataValidation type="list" allowBlank="1" showInputMessage="1" showErrorMessage="1" sqref="C72">
      <formula1>"Rate (per year)"</formula1>
    </dataValidation>
    <dataValidation type="list" allowBlank="1" showInputMessage="1" showErrorMessage="1" sqref="C73">
      <formula1>"Rate (per year)"</formula1>
    </dataValidation>
    <dataValidation type="list" allowBlank="1" showInputMessage="1" showErrorMessage="1" sqref="C74">
      <formula1>"Rate (per year)"</formula1>
    </dataValidation>
    <dataValidation type="list" allowBlank="1" showInputMessage="1" showErrorMessage="1" sqref="C75">
      <formula1>"Rate (per year)"</formula1>
    </dataValidation>
    <dataValidation type="list" allowBlank="1" showInputMessage="1" showErrorMessage="1" sqref="C76">
      <formula1>"Rate (per year)"</formula1>
    </dataValidation>
    <dataValidation type="list" allowBlank="1" showInputMessage="1" showErrorMessage="1" sqref="C77">
      <formula1>"Rate (per year)"</formula1>
    </dataValidation>
    <dataValidation type="list" allowBlank="1" showInputMessage="1" showErrorMessage="1" sqref="C78">
      <formula1>"Rate (per year)"</formula1>
    </dataValidation>
    <dataValidation type="list" allowBlank="1" showInputMessage="1" showErrorMessage="1" sqref="C79">
      <formula1>"Rate (per year)"</formula1>
    </dataValidation>
    <dataValidation type="list" allowBlank="1" showInputMessage="1" showErrorMessage="1" sqref="C82">
      <formula1>"Rate (per year)"</formula1>
    </dataValidation>
    <dataValidation type="list" allowBlank="1" showInputMessage="1" showErrorMessage="1" sqref="C83">
      <formula1>"Rate (per year)"</formula1>
    </dataValidation>
    <dataValidation type="list" allowBlank="1" showInputMessage="1" showErrorMessage="1" sqref="C84">
      <formula1>"Rate (per year)"</formula1>
    </dataValidation>
    <dataValidation type="list" allowBlank="1" showInputMessage="1" showErrorMessage="1" sqref="C85">
      <formula1>"Rate (per year)"</formula1>
    </dataValidation>
    <dataValidation type="list" allowBlank="1" showInputMessage="1" showErrorMessage="1" sqref="C86">
      <formula1>"Rate (per year)"</formula1>
    </dataValidation>
    <dataValidation type="list" allowBlank="1" showInputMessage="1" showErrorMessage="1" sqref="C87">
      <formula1>"Rate (per year)"</formula1>
    </dataValidation>
    <dataValidation type="list" allowBlank="1" showInputMessage="1" showErrorMessage="1" sqref="C88">
      <formula1>"Rate (per year)"</formula1>
    </dataValidation>
    <dataValidation type="list" allowBlank="1" showInputMessage="1" showErrorMessage="1" sqref="C89">
      <formula1>"Rate (per year)"</formula1>
    </dataValidation>
    <dataValidation type="list" allowBlank="1" showInputMessage="1" showErrorMessage="1" sqref="C90">
      <formula1>"Rate (per year)"</formula1>
    </dataValidation>
    <dataValidation type="list" allowBlank="1" showInputMessage="1" showErrorMessage="1" sqref="C91">
      <formula1>"Rate (per year)"</formula1>
    </dataValidation>
    <dataValidation type="list" allowBlank="1" showInputMessage="1" showErrorMessage="1" sqref="C92">
      <formula1>"Rate (per year)"</formula1>
    </dataValidation>
    <dataValidation type="list" allowBlank="1" showInputMessage="1" showErrorMessage="1" sqref="C93">
      <formula1>"Rate (per year)"</formula1>
    </dataValidation>
    <dataValidation type="list" allowBlank="1" showInputMessage="1" showErrorMessage="1" sqref="C94">
      <formula1>"Rate (per year)"</formula1>
    </dataValidation>
    <dataValidation type="list" allowBlank="1" showInputMessage="1" showErrorMessage="1" sqref="C95">
      <formula1>"Rate (per year)"</formula1>
    </dataValidation>
    <dataValidation type="list" allowBlank="1" showInputMessage="1" showErrorMessage="1" sqref="C98">
      <formula1>"Rate (per year)"</formula1>
    </dataValidation>
    <dataValidation type="list" allowBlank="1" showInputMessage="1" showErrorMessage="1" sqref="C99">
      <formula1>"Rate (per year)"</formula1>
    </dataValidation>
    <dataValidation type="list" allowBlank="1" showInputMessage="1" showErrorMessage="1" sqref="C100">
      <formula1>"Rate (per year)"</formula1>
    </dataValidation>
    <dataValidation type="list" allowBlank="1" showInputMessage="1" showErrorMessage="1" sqref="C101">
      <formula1>"Rate (per year)"</formula1>
    </dataValidation>
    <dataValidation type="list" allowBlank="1" showInputMessage="1" showErrorMessage="1" sqref="C102">
      <formula1>"Rate (per year)"</formula1>
    </dataValidation>
    <dataValidation type="list" allowBlank="1" showInputMessage="1" showErrorMessage="1" sqref="C103">
      <formula1>"Rate (per year)"</formula1>
    </dataValidation>
    <dataValidation type="list" allowBlank="1" showInputMessage="1" showErrorMessage="1" sqref="C104">
      <formula1>"Rate (per year)"</formula1>
    </dataValidation>
    <dataValidation type="list" allowBlank="1" showInputMessage="1" showErrorMessage="1" sqref="C105">
      <formula1>"Rate (per year)"</formula1>
    </dataValidation>
    <dataValidation type="list" allowBlank="1" showInputMessage="1" showErrorMessage="1" sqref="C106">
      <formula1>"Rate (per year)"</formula1>
    </dataValidation>
    <dataValidation type="list" allowBlank="1" showInputMessage="1" showErrorMessage="1" sqref="C107">
      <formula1>"Rate (per year)"</formula1>
    </dataValidation>
    <dataValidation type="list" allowBlank="1" showInputMessage="1" showErrorMessage="1" sqref="C108">
      <formula1>"Rate (per year)"</formula1>
    </dataValidation>
    <dataValidation type="list" allowBlank="1" showInputMessage="1" showErrorMessage="1" sqref="C109">
      <formula1>"Rate (per year)"</formula1>
    </dataValidation>
    <dataValidation type="list" allowBlank="1" showInputMessage="1" showErrorMessage="1" sqref="C110">
      <formula1>"Rate (per year)"</formula1>
    </dataValidation>
    <dataValidation type="list" allowBlank="1" showInputMessage="1" showErrorMessage="1" sqref="C111">
      <formula1>"Rate (per year)"</formula1>
    </dataValidation>
    <dataValidation type="list" allowBlank="1" showInputMessage="1" showErrorMessage="1" sqref="C114">
      <formula1>"Rate (per year)"</formula1>
    </dataValidation>
    <dataValidation type="list" allowBlank="1" showInputMessage="1" showErrorMessage="1" sqref="C115">
      <formula1>"Rate (per year)"</formula1>
    </dataValidation>
    <dataValidation type="list" allowBlank="1" showInputMessage="1" showErrorMessage="1" sqref="C116">
      <formula1>"Rate (per year)"</formula1>
    </dataValidation>
    <dataValidation type="list" allowBlank="1" showInputMessage="1" showErrorMessage="1" sqref="C117">
      <formula1>"Rate (per year)"</formula1>
    </dataValidation>
    <dataValidation type="list" allowBlank="1" showInputMessage="1" showErrorMessage="1" sqref="C118">
      <formula1>"Rate (per year)"</formula1>
    </dataValidation>
    <dataValidation type="list" allowBlank="1" showInputMessage="1" showErrorMessage="1" sqref="C119">
      <formula1>"Rate (per year)"</formula1>
    </dataValidation>
    <dataValidation type="list" allowBlank="1" showInputMessage="1" showErrorMessage="1" sqref="C120">
      <formula1>"Rate (per year)"</formula1>
    </dataValidation>
    <dataValidation type="list" allowBlank="1" showInputMessage="1" showErrorMessage="1" sqref="C121">
      <formula1>"Rate (per year)"</formula1>
    </dataValidation>
    <dataValidation type="list" allowBlank="1" showInputMessage="1" showErrorMessage="1" sqref="C122">
      <formula1>"Rate (per year)"</formula1>
    </dataValidation>
    <dataValidation type="list" allowBlank="1" showInputMessage="1" showErrorMessage="1" sqref="C123">
      <formula1>"Rate (per year)"</formula1>
    </dataValidation>
    <dataValidation type="list" allowBlank="1" showInputMessage="1" showErrorMessage="1" sqref="C124">
      <formula1>"Rate (per year)"</formula1>
    </dataValidation>
    <dataValidation type="list" allowBlank="1" showInputMessage="1" showErrorMessage="1" sqref="C125">
      <formula1>"Rate (per year)"</formula1>
    </dataValidation>
    <dataValidation type="list" allowBlank="1" showInputMessage="1" showErrorMessage="1" sqref="C126">
      <formula1>"Rate (per year)"</formula1>
    </dataValidation>
    <dataValidation type="list" allowBlank="1" showInputMessage="1" showErrorMessage="1" sqref="C127">
      <formula1>"Rate (per year)"</formula1>
    </dataValidation>
  </dataValidation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sheetPr>
    <tabColor rgb="FF808080"/>
  </sheetPr>
  <dimension ref="A1:BE111"/>
  <sheetViews>
    <sheetView workbookViewId="0"/>
  </sheetViews>
  <sheetFormatPr defaultRowHeight="15"/>
  <cols>
    <col min="1" max="1" width="93" customWidth="1"/>
    <col min="2" max="2" width="30.28515625" customWidth="1"/>
    <col min="3" max="3" width="19.28515625" customWidth="1"/>
    <col min="4" max="4" width="13.85546875" customWidth="1"/>
    <col min="5" max="5" width="10.5703125" customWidth="1"/>
    <col min="6" max="6" width="3.85546875" customWidth="1"/>
    <col min="7" max="57" width="9.42578125" customWidth="1"/>
  </cols>
  <sheetData>
    <row r="1" spans="1:57">
      <c r="A1" s="1" t="s">
        <v>98</v>
      </c>
      <c r="B1" s="1" t="s">
        <v>31</v>
      </c>
      <c r="C1" s="1" t="s">
        <v>32</v>
      </c>
      <c r="D1" s="1" t="s">
        <v>33</v>
      </c>
      <c r="E1" s="1" t="s">
        <v>38</v>
      </c>
      <c r="F1" s="1"/>
      <c r="G1" s="1">
        <v>2000</v>
      </c>
      <c r="H1" s="1">
        <v>2001</v>
      </c>
      <c r="I1" s="1">
        <v>2002</v>
      </c>
      <c r="J1" s="1">
        <v>2003</v>
      </c>
      <c r="K1" s="1">
        <v>2004</v>
      </c>
      <c r="L1" s="1">
        <v>2005</v>
      </c>
      <c r="M1" s="1">
        <v>2006</v>
      </c>
      <c r="N1" s="1">
        <v>2007</v>
      </c>
      <c r="O1" s="1">
        <v>2008</v>
      </c>
      <c r="P1" s="1">
        <v>2009</v>
      </c>
      <c r="Q1" s="1">
        <v>2010</v>
      </c>
      <c r="R1" s="1">
        <v>2011</v>
      </c>
      <c r="S1" s="1">
        <v>2012</v>
      </c>
      <c r="T1" s="1">
        <v>2013</v>
      </c>
      <c r="U1" s="1">
        <v>2014</v>
      </c>
      <c r="V1" s="1">
        <v>2015</v>
      </c>
      <c r="W1" s="1">
        <v>2016</v>
      </c>
      <c r="X1" s="1">
        <v>2017</v>
      </c>
      <c r="Y1" s="1">
        <v>2018</v>
      </c>
      <c r="Z1" s="1">
        <v>2019</v>
      </c>
      <c r="AA1" s="1">
        <v>2020</v>
      </c>
      <c r="AB1" s="1">
        <v>2021</v>
      </c>
      <c r="AC1" s="1">
        <v>2022</v>
      </c>
      <c r="AD1" s="1">
        <v>2023</v>
      </c>
      <c r="AE1" s="1">
        <v>2024</v>
      </c>
      <c r="AF1" s="1">
        <v>2025</v>
      </c>
      <c r="AG1" s="1">
        <v>2026</v>
      </c>
      <c r="AH1" s="1">
        <v>2027</v>
      </c>
      <c r="AI1" s="1">
        <v>2028</v>
      </c>
      <c r="AJ1" s="1">
        <v>2029</v>
      </c>
      <c r="AK1" s="1">
        <v>2030</v>
      </c>
      <c r="AL1" s="1">
        <v>2031</v>
      </c>
      <c r="AM1" s="1">
        <v>2032</v>
      </c>
      <c r="AN1" s="1">
        <v>2033</v>
      </c>
      <c r="AO1" s="1">
        <v>2034</v>
      </c>
      <c r="AP1" s="1">
        <v>2035</v>
      </c>
      <c r="AQ1" s="1">
        <v>2036</v>
      </c>
      <c r="AR1" s="1">
        <v>2037</v>
      </c>
      <c r="AS1" s="1">
        <v>2038</v>
      </c>
      <c r="AT1" s="1">
        <v>2039</v>
      </c>
      <c r="AU1" s="1">
        <v>2040</v>
      </c>
      <c r="AV1" s="1">
        <v>2041</v>
      </c>
      <c r="AW1" s="1">
        <v>2042</v>
      </c>
      <c r="AX1" s="1">
        <v>2043</v>
      </c>
      <c r="AY1" s="1">
        <v>2044</v>
      </c>
      <c r="AZ1" s="1">
        <v>2045</v>
      </c>
      <c r="BA1" s="1">
        <v>2046</v>
      </c>
      <c r="BB1" s="1">
        <v>2047</v>
      </c>
      <c r="BC1" s="1">
        <v>2048</v>
      </c>
      <c r="BD1" s="1">
        <v>2049</v>
      </c>
      <c r="BE1" s="1">
        <v>2050</v>
      </c>
    </row>
    <row r="2" spans="1:57">
      <c r="A2" s="1" t="str">
        <f>'Population Definitions'!$A$2</f>
        <v>PWID_males</v>
      </c>
      <c r="C2" t="s">
        <v>58</v>
      </c>
      <c r="D2" s="3"/>
      <c r="E2" s="3">
        <v>0</v>
      </c>
      <c r="F2" s="4" t="s">
        <v>39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</row>
    <row r="3" spans="1:57">
      <c r="A3" s="1" t="str">
        <f>'Population Definitions'!$A$3</f>
        <v>PWID_females</v>
      </c>
      <c r="C3" t="s">
        <v>58</v>
      </c>
      <c r="D3" s="3"/>
      <c r="E3" s="3">
        <v>0</v>
      </c>
      <c r="F3" s="4" t="s">
        <v>39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</row>
    <row r="4" spans="1:57">
      <c r="A4" s="1" t="str">
        <f>'Population Definitions'!$A$4</f>
        <v>0-9_males</v>
      </c>
      <c r="C4" t="s">
        <v>58</v>
      </c>
      <c r="D4" s="3"/>
      <c r="E4" s="3"/>
      <c r="F4" s="4" t="s">
        <v>39</v>
      </c>
      <c r="G4" s="3">
        <v>0</v>
      </c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>
        <v>0</v>
      </c>
      <c r="V4" s="3">
        <v>0</v>
      </c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</row>
    <row r="5" spans="1:57">
      <c r="A5" s="1" t="str">
        <f>'Population Definitions'!$A$5</f>
        <v>0-9_females</v>
      </c>
      <c r="C5" t="s">
        <v>58</v>
      </c>
      <c r="D5" s="3"/>
      <c r="E5" s="3"/>
      <c r="F5" s="4" t="s">
        <v>39</v>
      </c>
      <c r="G5" s="3">
        <v>0</v>
      </c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>
        <v>0</v>
      </c>
      <c r="V5" s="3">
        <v>0</v>
      </c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</row>
    <row r="6" spans="1:57">
      <c r="A6" s="1" t="str">
        <f>'Population Definitions'!$A$6</f>
        <v>10-17_males</v>
      </c>
      <c r="C6" t="s">
        <v>58</v>
      </c>
      <c r="D6" s="3"/>
      <c r="E6" s="3"/>
      <c r="F6" s="4" t="s">
        <v>39</v>
      </c>
      <c r="G6" s="3">
        <v>0</v>
      </c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>
        <v>0</v>
      </c>
      <c r="V6" s="3">
        <v>0</v>
      </c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</row>
    <row r="7" spans="1:57">
      <c r="A7" s="1" t="str">
        <f>'Population Definitions'!$A$7</f>
        <v>10-17_females</v>
      </c>
      <c r="C7" t="s">
        <v>58</v>
      </c>
      <c r="D7" s="3"/>
      <c r="E7" s="3"/>
      <c r="F7" s="4" t="s">
        <v>39</v>
      </c>
      <c r="G7" s="3">
        <v>0</v>
      </c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>
        <v>0</v>
      </c>
      <c r="V7" s="3">
        <v>0</v>
      </c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</row>
    <row r="8" spans="1:57">
      <c r="A8" s="1" t="str">
        <f>'Population Definitions'!$A$8</f>
        <v>18-64_males</v>
      </c>
      <c r="C8" t="s">
        <v>58</v>
      </c>
      <c r="D8" s="3"/>
      <c r="E8" s="3"/>
      <c r="F8" s="4" t="s">
        <v>39</v>
      </c>
      <c r="G8" s="3">
        <v>0.2138208069657433</v>
      </c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>
        <v>0.2138208069657433</v>
      </c>
      <c r="V8" s="3">
        <v>0</v>
      </c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</row>
    <row r="9" spans="1:57">
      <c r="A9" s="1" t="str">
        <f>'Population Definitions'!$A$9</f>
        <v>18-64_females</v>
      </c>
      <c r="C9" t="s">
        <v>58</v>
      </c>
      <c r="D9" s="3"/>
      <c r="E9" s="3"/>
      <c r="F9" s="4" t="s">
        <v>39</v>
      </c>
      <c r="G9" s="3">
        <v>0.2261988800083706</v>
      </c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>
        <v>0.2261988800083706</v>
      </c>
      <c r="V9" s="3">
        <v>0</v>
      </c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</row>
    <row r="10" spans="1:57">
      <c r="A10" s="1" t="str">
        <f>'Population Definitions'!$A$10</f>
        <v>65+_males</v>
      </c>
      <c r="C10" t="s">
        <v>58</v>
      </c>
      <c r="D10" s="3"/>
      <c r="E10" s="3"/>
      <c r="F10" s="4" t="s">
        <v>39</v>
      </c>
      <c r="G10" s="3">
        <v>0.01225101165455674</v>
      </c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>
        <v>0.01225101165455674</v>
      </c>
      <c r="V10" s="3">
        <v>0</v>
      </c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</row>
    <row r="11" spans="1:57">
      <c r="A11" s="1" t="str">
        <f>'Population Definitions'!$A$11</f>
        <v>65+_females</v>
      </c>
      <c r="C11" t="s">
        <v>58</v>
      </c>
      <c r="D11" s="3"/>
      <c r="E11" s="3"/>
      <c r="F11" s="4" t="s">
        <v>39</v>
      </c>
      <c r="G11" s="3">
        <v>0.01507800998373551</v>
      </c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>
        <v>0.01507800998373551</v>
      </c>
      <c r="V11" s="3">
        <v>0</v>
      </c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</row>
    <row r="12" spans="1:57">
      <c r="A12" s="1" t="str">
        <f>'Population Definitions'!$A$12</f>
        <v>Prisoners_males</v>
      </c>
      <c r="C12" t="s">
        <v>58</v>
      </c>
      <c r="D12" s="3"/>
      <c r="E12" s="3">
        <v>0</v>
      </c>
      <c r="F12" s="4" t="s">
        <v>39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</row>
    <row r="13" spans="1:57">
      <c r="A13" s="1" t="str">
        <f>'Population Definitions'!$A$13</f>
        <v>Prisoners_females</v>
      </c>
      <c r="C13" t="s">
        <v>58</v>
      </c>
      <c r="D13" s="3"/>
      <c r="E13" s="3">
        <v>0</v>
      </c>
      <c r="F13" s="4" t="s">
        <v>39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</row>
    <row r="14" spans="1:57">
      <c r="A14" s="1" t="str">
        <f>'Population Definitions'!$A$14</f>
        <v>Prisoners_PWID_males</v>
      </c>
      <c r="C14" t="s">
        <v>58</v>
      </c>
      <c r="D14" s="3"/>
      <c r="E14" s="3">
        <v>0</v>
      </c>
      <c r="F14" s="4" t="s">
        <v>39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</row>
    <row r="15" spans="1:57">
      <c r="A15" s="1" t="str">
        <f>'Population Definitions'!$A$15</f>
        <v>Prisoners_PWID_females</v>
      </c>
      <c r="C15" t="s">
        <v>58</v>
      </c>
      <c r="D15" s="3"/>
      <c r="E15" s="3">
        <v>0</v>
      </c>
      <c r="F15" s="4" t="s">
        <v>39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</row>
    <row r="17" spans="1:57">
      <c r="A17" s="1" t="s">
        <v>99</v>
      </c>
      <c r="B17" s="1" t="s">
        <v>31</v>
      </c>
      <c r="C17" s="1" t="s">
        <v>32</v>
      </c>
      <c r="D17" s="1" t="s">
        <v>33</v>
      </c>
      <c r="E17" s="1" t="s">
        <v>38</v>
      </c>
      <c r="F17" s="1"/>
      <c r="G17" s="1">
        <v>2000</v>
      </c>
      <c r="H17" s="1">
        <v>2001</v>
      </c>
      <c r="I17" s="1">
        <v>2002</v>
      </c>
      <c r="J17" s="1">
        <v>2003</v>
      </c>
      <c r="K17" s="1">
        <v>2004</v>
      </c>
      <c r="L17" s="1">
        <v>2005</v>
      </c>
      <c r="M17" s="1">
        <v>2006</v>
      </c>
      <c r="N17" s="1">
        <v>2007</v>
      </c>
      <c r="O17" s="1">
        <v>2008</v>
      </c>
      <c r="P17" s="1">
        <v>2009</v>
      </c>
      <c r="Q17" s="1">
        <v>2010</v>
      </c>
      <c r="R17" s="1">
        <v>2011</v>
      </c>
      <c r="S17" s="1">
        <v>2012</v>
      </c>
      <c r="T17" s="1">
        <v>2013</v>
      </c>
      <c r="U17" s="1">
        <v>2014</v>
      </c>
      <c r="V17" s="1">
        <v>2015</v>
      </c>
      <c r="W17" s="1">
        <v>2016</v>
      </c>
      <c r="X17" s="1">
        <v>2017</v>
      </c>
      <c r="Y17" s="1">
        <v>2018</v>
      </c>
      <c r="Z17" s="1">
        <v>2019</v>
      </c>
      <c r="AA17" s="1">
        <v>2020</v>
      </c>
      <c r="AB17" s="1">
        <v>2021</v>
      </c>
      <c r="AC17" s="1">
        <v>2022</v>
      </c>
      <c r="AD17" s="1">
        <v>2023</v>
      </c>
      <c r="AE17" s="1">
        <v>2024</v>
      </c>
      <c r="AF17" s="1">
        <v>2025</v>
      </c>
      <c r="AG17" s="1">
        <v>2026</v>
      </c>
      <c r="AH17" s="1">
        <v>2027</v>
      </c>
      <c r="AI17" s="1">
        <v>2028</v>
      </c>
      <c r="AJ17" s="1">
        <v>2029</v>
      </c>
      <c r="AK17" s="1">
        <v>2030</v>
      </c>
      <c r="AL17" s="1">
        <v>2031</v>
      </c>
      <c r="AM17" s="1">
        <v>2032</v>
      </c>
      <c r="AN17" s="1">
        <v>2033</v>
      </c>
      <c r="AO17" s="1">
        <v>2034</v>
      </c>
      <c r="AP17" s="1">
        <v>2035</v>
      </c>
      <c r="AQ17" s="1">
        <v>2036</v>
      </c>
      <c r="AR17" s="1">
        <v>2037</v>
      </c>
      <c r="AS17" s="1">
        <v>2038</v>
      </c>
      <c r="AT17" s="1">
        <v>2039</v>
      </c>
      <c r="AU17" s="1">
        <v>2040</v>
      </c>
      <c r="AV17" s="1">
        <v>2041</v>
      </c>
      <c r="AW17" s="1">
        <v>2042</v>
      </c>
      <c r="AX17" s="1">
        <v>2043</v>
      </c>
      <c r="AY17" s="1">
        <v>2044</v>
      </c>
      <c r="AZ17" s="1">
        <v>2045</v>
      </c>
      <c r="BA17" s="1">
        <v>2046</v>
      </c>
      <c r="BB17" s="1">
        <v>2047</v>
      </c>
      <c r="BC17" s="1">
        <v>2048</v>
      </c>
      <c r="BD17" s="1">
        <v>2049</v>
      </c>
      <c r="BE17" s="1">
        <v>2050</v>
      </c>
    </row>
    <row r="18" spans="1:57">
      <c r="A18" s="1" t="str">
        <f>'Population Definitions'!$A$2</f>
        <v>PWID_males</v>
      </c>
      <c r="C18" t="s">
        <v>58</v>
      </c>
      <c r="D18" s="3"/>
      <c r="E18" s="3">
        <v>0</v>
      </c>
      <c r="F18" s="4" t="s">
        <v>39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</row>
    <row r="19" spans="1:57">
      <c r="A19" s="1" t="str">
        <f>'Population Definitions'!$A$3</f>
        <v>PWID_females</v>
      </c>
      <c r="C19" t="s">
        <v>58</v>
      </c>
      <c r="D19" s="3"/>
      <c r="E19" s="3">
        <v>0</v>
      </c>
      <c r="F19" s="4" t="s">
        <v>39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</row>
    <row r="20" spans="1:57">
      <c r="A20" s="1" t="str">
        <f>'Population Definitions'!$A$4</f>
        <v>0-9_males</v>
      </c>
      <c r="C20" t="s">
        <v>58</v>
      </c>
      <c r="D20" s="3"/>
      <c r="E20" s="3"/>
      <c r="F20" s="4" t="s">
        <v>39</v>
      </c>
      <c r="G20" s="3">
        <v>0</v>
      </c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>
        <v>0</v>
      </c>
      <c r="V20" s="3">
        <v>0</v>
      </c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</row>
    <row r="21" spans="1:57">
      <c r="A21" s="1" t="str">
        <f>'Population Definitions'!$A$5</f>
        <v>0-9_females</v>
      </c>
      <c r="C21" t="s">
        <v>58</v>
      </c>
      <c r="D21" s="3"/>
      <c r="E21" s="3"/>
      <c r="F21" s="4" t="s">
        <v>39</v>
      </c>
      <c r="G21" s="3">
        <v>0</v>
      </c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>
        <v>0</v>
      </c>
      <c r="V21" s="3">
        <v>0</v>
      </c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</row>
    <row r="22" spans="1:57">
      <c r="A22" s="1" t="str">
        <f>'Population Definitions'!$A$6</f>
        <v>10-17_males</v>
      </c>
      <c r="C22" t="s">
        <v>58</v>
      </c>
      <c r="D22" s="3"/>
      <c r="E22" s="3"/>
      <c r="F22" s="4" t="s">
        <v>39</v>
      </c>
      <c r="G22" s="3">
        <v>0</v>
      </c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>
        <v>0</v>
      </c>
      <c r="V22" s="3">
        <v>0</v>
      </c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</row>
    <row r="23" spans="1:57">
      <c r="A23" s="1" t="str">
        <f>'Population Definitions'!$A$7</f>
        <v>10-17_females</v>
      </c>
      <c r="C23" t="s">
        <v>58</v>
      </c>
      <c r="D23" s="3"/>
      <c r="E23" s="3"/>
      <c r="F23" s="4" t="s">
        <v>39</v>
      </c>
      <c r="G23" s="3">
        <v>0</v>
      </c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>
        <v>0</v>
      </c>
      <c r="V23" s="3">
        <v>0</v>
      </c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</row>
    <row r="24" spans="1:57">
      <c r="A24" s="1" t="str">
        <f>'Population Definitions'!$A$8</f>
        <v>18-64_males</v>
      </c>
      <c r="C24" t="s">
        <v>58</v>
      </c>
      <c r="D24" s="3"/>
      <c r="E24" s="3"/>
      <c r="F24" s="4" t="s">
        <v>39</v>
      </c>
      <c r="G24" s="3">
        <v>0</v>
      </c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>
        <v>0</v>
      </c>
      <c r="V24" s="3">
        <v>0.2138208069657433</v>
      </c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</row>
    <row r="25" spans="1:57">
      <c r="A25" s="1" t="str">
        <f>'Population Definitions'!$A$9</f>
        <v>18-64_females</v>
      </c>
      <c r="C25" t="s">
        <v>58</v>
      </c>
      <c r="D25" s="3"/>
      <c r="E25" s="3"/>
      <c r="F25" s="4" t="s">
        <v>39</v>
      </c>
      <c r="G25" s="3">
        <v>0</v>
      </c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>
        <v>0</v>
      </c>
      <c r="V25" s="3">
        <v>0.2261988800083706</v>
      </c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</row>
    <row r="26" spans="1:57">
      <c r="A26" s="1" t="str">
        <f>'Population Definitions'!$A$10</f>
        <v>65+_males</v>
      </c>
      <c r="C26" t="s">
        <v>58</v>
      </c>
      <c r="D26" s="3"/>
      <c r="E26" s="3"/>
      <c r="F26" s="4" t="s">
        <v>39</v>
      </c>
      <c r="G26" s="3">
        <v>0</v>
      </c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>
        <v>0</v>
      </c>
      <c r="V26" s="3">
        <v>0.01225101165455674</v>
      </c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</row>
    <row r="27" spans="1:57">
      <c r="A27" s="1" t="str">
        <f>'Population Definitions'!$A$11</f>
        <v>65+_females</v>
      </c>
      <c r="C27" t="s">
        <v>58</v>
      </c>
      <c r="D27" s="3"/>
      <c r="E27" s="3"/>
      <c r="F27" s="4" t="s">
        <v>39</v>
      </c>
      <c r="G27" s="3">
        <v>0</v>
      </c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>
        <v>0</v>
      </c>
      <c r="V27" s="3">
        <v>0.01507800998373551</v>
      </c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</row>
    <row r="28" spans="1:57">
      <c r="A28" s="1" t="str">
        <f>'Population Definitions'!$A$12</f>
        <v>Prisoners_males</v>
      </c>
      <c r="C28" t="s">
        <v>58</v>
      </c>
      <c r="D28" s="3"/>
      <c r="E28" s="3">
        <v>0</v>
      </c>
      <c r="F28" s="4" t="s">
        <v>39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</row>
    <row r="29" spans="1:57">
      <c r="A29" s="1" t="str">
        <f>'Population Definitions'!$A$13</f>
        <v>Prisoners_females</v>
      </c>
      <c r="C29" t="s">
        <v>58</v>
      </c>
      <c r="D29" s="3"/>
      <c r="E29" s="3">
        <v>0</v>
      </c>
      <c r="F29" s="4" t="s">
        <v>39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</row>
    <row r="30" spans="1:57">
      <c r="A30" s="1" t="str">
        <f>'Population Definitions'!$A$14</f>
        <v>Prisoners_PWID_males</v>
      </c>
      <c r="C30" t="s">
        <v>58</v>
      </c>
      <c r="D30" s="3"/>
      <c r="E30" s="3">
        <v>0</v>
      </c>
      <c r="F30" s="4" t="s">
        <v>39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</row>
    <row r="31" spans="1:57">
      <c r="A31" s="1" t="str">
        <f>'Population Definitions'!$A$15</f>
        <v>Prisoners_PWID_females</v>
      </c>
      <c r="C31" t="s">
        <v>58</v>
      </c>
      <c r="D31" s="3"/>
      <c r="E31" s="3">
        <v>0</v>
      </c>
      <c r="F31" s="4" t="s">
        <v>39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</row>
    <row r="33" spans="1:57">
      <c r="A33" s="1" t="s">
        <v>100</v>
      </c>
      <c r="B33" s="1" t="s">
        <v>31</v>
      </c>
      <c r="C33" s="1" t="s">
        <v>32</v>
      </c>
      <c r="D33" s="1" t="s">
        <v>33</v>
      </c>
      <c r="E33" s="1" t="s">
        <v>38</v>
      </c>
      <c r="F33" s="1"/>
      <c r="G33" s="1">
        <v>2000</v>
      </c>
      <c r="H33" s="1">
        <v>2001</v>
      </c>
      <c r="I33" s="1">
        <v>2002</v>
      </c>
      <c r="J33" s="1">
        <v>2003</v>
      </c>
      <c r="K33" s="1">
        <v>2004</v>
      </c>
      <c r="L33" s="1">
        <v>2005</v>
      </c>
      <c r="M33" s="1">
        <v>2006</v>
      </c>
      <c r="N33" s="1">
        <v>2007</v>
      </c>
      <c r="O33" s="1">
        <v>2008</v>
      </c>
      <c r="P33" s="1">
        <v>2009</v>
      </c>
      <c r="Q33" s="1">
        <v>2010</v>
      </c>
      <c r="R33" s="1">
        <v>2011</v>
      </c>
      <c r="S33" s="1">
        <v>2012</v>
      </c>
      <c r="T33" s="1">
        <v>2013</v>
      </c>
      <c r="U33" s="1">
        <v>2014</v>
      </c>
      <c r="V33" s="1">
        <v>2015</v>
      </c>
      <c r="W33" s="1">
        <v>2016</v>
      </c>
      <c r="X33" s="1">
        <v>2017</v>
      </c>
      <c r="Y33" s="1">
        <v>2018</v>
      </c>
      <c r="Z33" s="1">
        <v>2019</v>
      </c>
      <c r="AA33" s="1">
        <v>2020</v>
      </c>
      <c r="AB33" s="1">
        <v>2021</v>
      </c>
      <c r="AC33" s="1">
        <v>2022</v>
      </c>
      <c r="AD33" s="1">
        <v>2023</v>
      </c>
      <c r="AE33" s="1">
        <v>2024</v>
      </c>
      <c r="AF33" s="1">
        <v>2025</v>
      </c>
      <c r="AG33" s="1">
        <v>2026</v>
      </c>
      <c r="AH33" s="1">
        <v>2027</v>
      </c>
      <c r="AI33" s="1">
        <v>2028</v>
      </c>
      <c r="AJ33" s="1">
        <v>2029</v>
      </c>
      <c r="AK33" s="1">
        <v>2030</v>
      </c>
      <c r="AL33" s="1">
        <v>2031</v>
      </c>
      <c r="AM33" s="1">
        <v>2032</v>
      </c>
      <c r="AN33" s="1">
        <v>2033</v>
      </c>
      <c r="AO33" s="1">
        <v>2034</v>
      </c>
      <c r="AP33" s="1">
        <v>2035</v>
      </c>
      <c r="AQ33" s="1">
        <v>2036</v>
      </c>
      <c r="AR33" s="1">
        <v>2037</v>
      </c>
      <c r="AS33" s="1">
        <v>2038</v>
      </c>
      <c r="AT33" s="1">
        <v>2039</v>
      </c>
      <c r="AU33" s="1">
        <v>2040</v>
      </c>
      <c r="AV33" s="1">
        <v>2041</v>
      </c>
      <c r="AW33" s="1">
        <v>2042</v>
      </c>
      <c r="AX33" s="1">
        <v>2043</v>
      </c>
      <c r="AY33" s="1">
        <v>2044</v>
      </c>
      <c r="AZ33" s="1">
        <v>2045</v>
      </c>
      <c r="BA33" s="1">
        <v>2046</v>
      </c>
      <c r="BB33" s="1">
        <v>2047</v>
      </c>
      <c r="BC33" s="1">
        <v>2048</v>
      </c>
      <c r="BD33" s="1">
        <v>2049</v>
      </c>
      <c r="BE33" s="1">
        <v>2050</v>
      </c>
    </row>
    <row r="34" spans="1:57">
      <c r="A34" s="1" t="str">
        <f>'Population Definitions'!$A$2</f>
        <v>PWID_males</v>
      </c>
      <c r="C34" t="s">
        <v>58</v>
      </c>
      <c r="D34" s="3"/>
      <c r="E34" s="3"/>
      <c r="F34" s="4" t="s">
        <v>39</v>
      </c>
      <c r="G34" s="3">
        <v>0.33257378071499</v>
      </c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>
        <v>0.33257378071499</v>
      </c>
      <c r="V34" s="3">
        <v>0</v>
      </c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</row>
    <row r="35" spans="1:57">
      <c r="A35" s="1" t="str">
        <f>'Population Definitions'!$A$3</f>
        <v>PWID_females</v>
      </c>
      <c r="C35" t="s">
        <v>58</v>
      </c>
      <c r="D35" s="3"/>
      <c r="E35" s="3"/>
      <c r="F35" s="4" t="s">
        <v>39</v>
      </c>
      <c r="G35" s="3">
        <v>0.09385123520605555</v>
      </c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>
        <v>0.09385123520605555</v>
      </c>
      <c r="V35" s="3">
        <v>0</v>
      </c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</row>
    <row r="36" spans="1:57">
      <c r="A36" s="1" t="str">
        <f>'Population Definitions'!$A$4</f>
        <v>0-9_males</v>
      </c>
      <c r="C36" t="s">
        <v>58</v>
      </c>
      <c r="D36" s="3"/>
      <c r="E36" s="3">
        <v>0</v>
      </c>
      <c r="F36" s="4" t="s">
        <v>39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</row>
    <row r="37" spans="1:57">
      <c r="A37" s="1" t="str">
        <f>'Population Definitions'!$A$5</f>
        <v>0-9_females</v>
      </c>
      <c r="C37" t="s">
        <v>58</v>
      </c>
      <c r="D37" s="3"/>
      <c r="E37" s="3">
        <v>0</v>
      </c>
      <c r="F37" s="4" t="s">
        <v>39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</row>
    <row r="38" spans="1:57">
      <c r="A38" s="1" t="str">
        <f>'Population Definitions'!$A$6</f>
        <v>10-17_males</v>
      </c>
      <c r="C38" t="s">
        <v>58</v>
      </c>
      <c r="D38" s="3"/>
      <c r="E38" s="3">
        <v>0</v>
      </c>
      <c r="F38" s="4" t="s">
        <v>39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</row>
    <row r="39" spans="1:57">
      <c r="A39" s="1" t="str">
        <f>'Population Definitions'!$A$7</f>
        <v>10-17_females</v>
      </c>
      <c r="C39" t="s">
        <v>58</v>
      </c>
      <c r="D39" s="3"/>
      <c r="E39" s="3">
        <v>0</v>
      </c>
      <c r="F39" s="4" t="s">
        <v>39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</row>
    <row r="40" spans="1:57">
      <c r="A40" s="1" t="str">
        <f>'Population Definitions'!$A$8</f>
        <v>18-64_males</v>
      </c>
      <c r="C40" t="s">
        <v>58</v>
      </c>
      <c r="D40" s="3"/>
      <c r="E40" s="3">
        <v>0</v>
      </c>
      <c r="F40" s="4" t="s">
        <v>39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</row>
    <row r="41" spans="1:57">
      <c r="A41" s="1" t="str">
        <f>'Population Definitions'!$A$9</f>
        <v>18-64_females</v>
      </c>
      <c r="C41" t="s">
        <v>58</v>
      </c>
      <c r="D41" s="3"/>
      <c r="E41" s="3">
        <v>0</v>
      </c>
      <c r="F41" s="4" t="s">
        <v>39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</row>
    <row r="42" spans="1:57">
      <c r="A42" s="1" t="str">
        <f>'Population Definitions'!$A$10</f>
        <v>65+_males</v>
      </c>
      <c r="C42" t="s">
        <v>58</v>
      </c>
      <c r="D42" s="3"/>
      <c r="E42" s="3">
        <v>0</v>
      </c>
      <c r="F42" s="4" t="s">
        <v>39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</row>
    <row r="43" spans="1:57">
      <c r="A43" s="1" t="str">
        <f>'Population Definitions'!$A$11</f>
        <v>65+_females</v>
      </c>
      <c r="C43" t="s">
        <v>58</v>
      </c>
      <c r="D43" s="3"/>
      <c r="E43" s="3">
        <v>0</v>
      </c>
      <c r="F43" s="4" t="s">
        <v>39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</row>
    <row r="44" spans="1:57">
      <c r="A44" s="1" t="str">
        <f>'Population Definitions'!$A$12</f>
        <v>Prisoners_males</v>
      </c>
      <c r="C44" t="s">
        <v>58</v>
      </c>
      <c r="D44" s="3"/>
      <c r="E44" s="3"/>
      <c r="F44" s="4" t="s">
        <v>39</v>
      </c>
      <c r="G44" s="3">
        <v>0.000944914422277357</v>
      </c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>
        <v>0.000944914422277357</v>
      </c>
      <c r="V44" s="3">
        <v>0</v>
      </c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</row>
    <row r="45" spans="1:57">
      <c r="A45" s="1" t="str">
        <f>'Population Definitions'!$A$13</f>
        <v>Prisoners_females</v>
      </c>
      <c r="C45" t="s">
        <v>58</v>
      </c>
      <c r="D45" s="3"/>
      <c r="E45" s="3"/>
      <c r="F45" s="4" t="s">
        <v>39</v>
      </c>
      <c r="G45" s="3">
        <v>3.224630396603184E-05</v>
      </c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>
        <v>3.224630396603184E-05</v>
      </c>
      <c r="V45" s="3">
        <v>0</v>
      </c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</row>
    <row r="46" spans="1:57">
      <c r="A46" s="1" t="str">
        <f>'Population Definitions'!$A$14</f>
        <v>Prisoners_PWID_males</v>
      </c>
      <c r="C46" t="s">
        <v>58</v>
      </c>
      <c r="D46" s="3"/>
      <c r="E46" s="3"/>
      <c r="F46" s="4" t="s">
        <v>39</v>
      </c>
      <c r="G46" s="3">
        <v>0.1017758939538748</v>
      </c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>
        <v>0.1017758939538748</v>
      </c>
      <c r="V46" s="3">
        <v>0</v>
      </c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</row>
    <row r="47" spans="1:57">
      <c r="A47" s="1" t="str">
        <f>'Population Definitions'!$A$15</f>
        <v>Prisoners_PWID_females</v>
      </c>
      <c r="C47" t="s">
        <v>58</v>
      </c>
      <c r="D47" s="3"/>
      <c r="E47" s="3"/>
      <c r="F47" s="4" t="s">
        <v>39</v>
      </c>
      <c r="G47" s="3">
        <v>0.003473220786430062</v>
      </c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>
        <v>0.003473220786430062</v>
      </c>
      <c r="V47" s="3">
        <v>0</v>
      </c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</row>
    <row r="49" spans="1:57">
      <c r="A49" s="1" t="s">
        <v>101</v>
      </c>
      <c r="B49" s="1" t="s">
        <v>31</v>
      </c>
      <c r="C49" s="1" t="s">
        <v>32</v>
      </c>
      <c r="D49" s="1" t="s">
        <v>33</v>
      </c>
      <c r="E49" s="1" t="s">
        <v>38</v>
      </c>
      <c r="F49" s="1"/>
      <c r="G49" s="1">
        <v>2000</v>
      </c>
      <c r="H49" s="1">
        <v>2001</v>
      </c>
      <c r="I49" s="1">
        <v>2002</v>
      </c>
      <c r="J49" s="1">
        <v>2003</v>
      </c>
      <c r="K49" s="1">
        <v>2004</v>
      </c>
      <c r="L49" s="1">
        <v>2005</v>
      </c>
      <c r="M49" s="1">
        <v>2006</v>
      </c>
      <c r="N49" s="1">
        <v>2007</v>
      </c>
      <c r="O49" s="1">
        <v>2008</v>
      </c>
      <c r="P49" s="1">
        <v>2009</v>
      </c>
      <c r="Q49" s="1">
        <v>2010</v>
      </c>
      <c r="R49" s="1">
        <v>2011</v>
      </c>
      <c r="S49" s="1">
        <v>2012</v>
      </c>
      <c r="T49" s="1">
        <v>2013</v>
      </c>
      <c r="U49" s="1">
        <v>2014</v>
      </c>
      <c r="V49" s="1">
        <v>2015</v>
      </c>
      <c r="W49" s="1">
        <v>2016</v>
      </c>
      <c r="X49" s="1">
        <v>2017</v>
      </c>
      <c r="Y49" s="1">
        <v>2018</v>
      </c>
      <c r="Z49" s="1">
        <v>2019</v>
      </c>
      <c r="AA49" s="1">
        <v>2020</v>
      </c>
      <c r="AB49" s="1">
        <v>2021</v>
      </c>
      <c r="AC49" s="1">
        <v>2022</v>
      </c>
      <c r="AD49" s="1">
        <v>2023</v>
      </c>
      <c r="AE49" s="1">
        <v>2024</v>
      </c>
      <c r="AF49" s="1">
        <v>2025</v>
      </c>
      <c r="AG49" s="1">
        <v>2026</v>
      </c>
      <c r="AH49" s="1">
        <v>2027</v>
      </c>
      <c r="AI49" s="1">
        <v>2028</v>
      </c>
      <c r="AJ49" s="1">
        <v>2029</v>
      </c>
      <c r="AK49" s="1">
        <v>2030</v>
      </c>
      <c r="AL49" s="1">
        <v>2031</v>
      </c>
      <c r="AM49" s="1">
        <v>2032</v>
      </c>
      <c r="AN49" s="1">
        <v>2033</v>
      </c>
      <c r="AO49" s="1">
        <v>2034</v>
      </c>
      <c r="AP49" s="1">
        <v>2035</v>
      </c>
      <c r="AQ49" s="1">
        <v>2036</v>
      </c>
      <c r="AR49" s="1">
        <v>2037</v>
      </c>
      <c r="AS49" s="1">
        <v>2038</v>
      </c>
      <c r="AT49" s="1">
        <v>2039</v>
      </c>
      <c r="AU49" s="1">
        <v>2040</v>
      </c>
      <c r="AV49" s="1">
        <v>2041</v>
      </c>
      <c r="AW49" s="1">
        <v>2042</v>
      </c>
      <c r="AX49" s="1">
        <v>2043</v>
      </c>
      <c r="AY49" s="1">
        <v>2044</v>
      </c>
      <c r="AZ49" s="1">
        <v>2045</v>
      </c>
      <c r="BA49" s="1">
        <v>2046</v>
      </c>
      <c r="BB49" s="1">
        <v>2047</v>
      </c>
      <c r="BC49" s="1">
        <v>2048</v>
      </c>
      <c r="BD49" s="1">
        <v>2049</v>
      </c>
      <c r="BE49" s="1">
        <v>2050</v>
      </c>
    </row>
    <row r="50" spans="1:57">
      <c r="A50" s="1" t="str">
        <f>'Population Definitions'!$A$2</f>
        <v>PWID_males</v>
      </c>
      <c r="C50" t="s">
        <v>58</v>
      </c>
      <c r="D50" s="3"/>
      <c r="E50" s="3"/>
      <c r="F50" s="4" t="s">
        <v>39</v>
      </c>
      <c r="G50" s="3">
        <v>0</v>
      </c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>
        <v>0</v>
      </c>
      <c r="V50" s="3">
        <v>0.33257378071499</v>
      </c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</row>
    <row r="51" spans="1:57">
      <c r="A51" s="1" t="str">
        <f>'Population Definitions'!$A$3</f>
        <v>PWID_females</v>
      </c>
      <c r="C51" t="s">
        <v>58</v>
      </c>
      <c r="D51" s="3"/>
      <c r="E51" s="3"/>
      <c r="F51" s="4" t="s">
        <v>39</v>
      </c>
      <c r="G51" s="3">
        <v>0</v>
      </c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>
        <v>0</v>
      </c>
      <c r="V51" s="3">
        <v>0.09385123520605555</v>
      </c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</row>
    <row r="52" spans="1:57">
      <c r="A52" s="1" t="str">
        <f>'Population Definitions'!$A$4</f>
        <v>0-9_males</v>
      </c>
      <c r="C52" t="s">
        <v>58</v>
      </c>
      <c r="D52" s="3"/>
      <c r="E52" s="3">
        <v>0</v>
      </c>
      <c r="F52" s="4" t="s">
        <v>39</v>
      </c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</row>
    <row r="53" spans="1:57">
      <c r="A53" s="1" t="str">
        <f>'Population Definitions'!$A$5</f>
        <v>0-9_females</v>
      </c>
      <c r="C53" t="s">
        <v>58</v>
      </c>
      <c r="D53" s="3"/>
      <c r="E53" s="3">
        <v>0</v>
      </c>
      <c r="F53" s="4" t="s">
        <v>39</v>
      </c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</row>
    <row r="54" spans="1:57">
      <c r="A54" s="1" t="str">
        <f>'Population Definitions'!$A$6</f>
        <v>10-17_males</v>
      </c>
      <c r="C54" t="s">
        <v>58</v>
      </c>
      <c r="D54" s="3"/>
      <c r="E54" s="3">
        <v>0</v>
      </c>
      <c r="F54" s="4" t="s">
        <v>39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</row>
    <row r="55" spans="1:57">
      <c r="A55" s="1" t="str">
        <f>'Population Definitions'!$A$7</f>
        <v>10-17_females</v>
      </c>
      <c r="C55" t="s">
        <v>58</v>
      </c>
      <c r="D55" s="3"/>
      <c r="E55" s="3">
        <v>0</v>
      </c>
      <c r="F55" s="4" t="s">
        <v>39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</row>
    <row r="56" spans="1:57">
      <c r="A56" s="1" t="str">
        <f>'Population Definitions'!$A$8</f>
        <v>18-64_males</v>
      </c>
      <c r="C56" t="s">
        <v>58</v>
      </c>
      <c r="D56" s="3"/>
      <c r="E56" s="3">
        <v>0</v>
      </c>
      <c r="F56" s="4" t="s">
        <v>39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</row>
    <row r="57" spans="1:57">
      <c r="A57" s="1" t="str">
        <f>'Population Definitions'!$A$9</f>
        <v>18-64_females</v>
      </c>
      <c r="C57" t="s">
        <v>58</v>
      </c>
      <c r="D57" s="3"/>
      <c r="E57" s="3">
        <v>0</v>
      </c>
      <c r="F57" s="4" t="s">
        <v>39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</row>
    <row r="58" spans="1:57">
      <c r="A58" s="1" t="str">
        <f>'Population Definitions'!$A$10</f>
        <v>65+_males</v>
      </c>
      <c r="C58" t="s">
        <v>58</v>
      </c>
      <c r="D58" s="3"/>
      <c r="E58" s="3">
        <v>0</v>
      </c>
      <c r="F58" s="4" t="s">
        <v>39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</row>
    <row r="59" spans="1:57">
      <c r="A59" s="1" t="str">
        <f>'Population Definitions'!$A$11</f>
        <v>65+_females</v>
      </c>
      <c r="C59" t="s">
        <v>58</v>
      </c>
      <c r="D59" s="3"/>
      <c r="E59" s="3">
        <v>0</v>
      </c>
      <c r="F59" s="4" t="s">
        <v>39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</row>
    <row r="60" spans="1:57">
      <c r="A60" s="1" t="str">
        <f>'Population Definitions'!$A$12</f>
        <v>Prisoners_males</v>
      </c>
      <c r="C60" t="s">
        <v>58</v>
      </c>
      <c r="D60" s="3"/>
      <c r="E60" s="3"/>
      <c r="F60" s="4" t="s">
        <v>39</v>
      </c>
      <c r="G60" s="3">
        <v>0</v>
      </c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>
        <v>0</v>
      </c>
      <c r="V60" s="3">
        <v>0.000944914422277357</v>
      </c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</row>
    <row r="61" spans="1:57">
      <c r="A61" s="1" t="str">
        <f>'Population Definitions'!$A$13</f>
        <v>Prisoners_females</v>
      </c>
      <c r="C61" t="s">
        <v>58</v>
      </c>
      <c r="D61" s="3"/>
      <c r="E61" s="3"/>
      <c r="F61" s="4" t="s">
        <v>39</v>
      </c>
      <c r="G61" s="3">
        <v>0</v>
      </c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>
        <v>0</v>
      </c>
      <c r="V61" s="3">
        <v>3.224630396603184E-05</v>
      </c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</row>
    <row r="62" spans="1:57">
      <c r="A62" s="1" t="str">
        <f>'Population Definitions'!$A$14</f>
        <v>Prisoners_PWID_males</v>
      </c>
      <c r="C62" t="s">
        <v>58</v>
      </c>
      <c r="D62" s="3"/>
      <c r="E62" s="3"/>
      <c r="F62" s="4" t="s">
        <v>39</v>
      </c>
      <c r="G62" s="3">
        <v>0</v>
      </c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>
        <v>0</v>
      </c>
      <c r="V62" s="3">
        <v>0.1017758939538748</v>
      </c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</row>
    <row r="63" spans="1:57">
      <c r="A63" s="1" t="str">
        <f>'Population Definitions'!$A$15</f>
        <v>Prisoners_PWID_females</v>
      </c>
      <c r="C63" t="s">
        <v>58</v>
      </c>
      <c r="D63" s="3"/>
      <c r="E63" s="3"/>
      <c r="F63" s="4" t="s">
        <v>39</v>
      </c>
      <c r="G63" s="3">
        <v>0</v>
      </c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>
        <v>0</v>
      </c>
      <c r="V63" s="3">
        <v>0.003473220786430062</v>
      </c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</row>
    <row r="65" spans="1:57">
      <c r="A65" s="1" t="s">
        <v>102</v>
      </c>
      <c r="B65" s="1" t="s">
        <v>31</v>
      </c>
      <c r="C65" s="1" t="s">
        <v>32</v>
      </c>
      <c r="D65" s="1" t="s">
        <v>33</v>
      </c>
      <c r="E65" s="1" t="s">
        <v>38</v>
      </c>
      <c r="F65" s="1"/>
      <c r="G65" s="1">
        <v>2000</v>
      </c>
      <c r="H65" s="1">
        <v>2001</v>
      </c>
      <c r="I65" s="1">
        <v>2002</v>
      </c>
      <c r="J65" s="1">
        <v>2003</v>
      </c>
      <c r="K65" s="1">
        <v>2004</v>
      </c>
      <c r="L65" s="1">
        <v>2005</v>
      </c>
      <c r="M65" s="1">
        <v>2006</v>
      </c>
      <c r="N65" s="1">
        <v>2007</v>
      </c>
      <c r="O65" s="1">
        <v>2008</v>
      </c>
      <c r="P65" s="1">
        <v>2009</v>
      </c>
      <c r="Q65" s="1">
        <v>2010</v>
      </c>
      <c r="R65" s="1">
        <v>2011</v>
      </c>
      <c r="S65" s="1">
        <v>2012</v>
      </c>
      <c r="T65" s="1">
        <v>2013</v>
      </c>
      <c r="U65" s="1">
        <v>2014</v>
      </c>
      <c r="V65" s="1">
        <v>2015</v>
      </c>
      <c r="W65" s="1">
        <v>2016</v>
      </c>
      <c r="X65" s="1">
        <v>2017</v>
      </c>
      <c r="Y65" s="1">
        <v>2018</v>
      </c>
      <c r="Z65" s="1">
        <v>2019</v>
      </c>
      <c r="AA65" s="1">
        <v>2020</v>
      </c>
      <c r="AB65" s="1">
        <v>2021</v>
      </c>
      <c r="AC65" s="1">
        <v>2022</v>
      </c>
      <c r="AD65" s="1">
        <v>2023</v>
      </c>
      <c r="AE65" s="1">
        <v>2024</v>
      </c>
      <c r="AF65" s="1">
        <v>2025</v>
      </c>
      <c r="AG65" s="1">
        <v>2026</v>
      </c>
      <c r="AH65" s="1">
        <v>2027</v>
      </c>
      <c r="AI65" s="1">
        <v>2028</v>
      </c>
      <c r="AJ65" s="1">
        <v>2029</v>
      </c>
      <c r="AK65" s="1">
        <v>2030</v>
      </c>
      <c r="AL65" s="1">
        <v>2031</v>
      </c>
      <c r="AM65" s="1">
        <v>2032</v>
      </c>
      <c r="AN65" s="1">
        <v>2033</v>
      </c>
      <c r="AO65" s="1">
        <v>2034</v>
      </c>
      <c r="AP65" s="1">
        <v>2035</v>
      </c>
      <c r="AQ65" s="1">
        <v>2036</v>
      </c>
      <c r="AR65" s="1">
        <v>2037</v>
      </c>
      <c r="AS65" s="1">
        <v>2038</v>
      </c>
      <c r="AT65" s="1">
        <v>2039</v>
      </c>
      <c r="AU65" s="1">
        <v>2040</v>
      </c>
      <c r="AV65" s="1">
        <v>2041</v>
      </c>
      <c r="AW65" s="1">
        <v>2042</v>
      </c>
      <c r="AX65" s="1">
        <v>2043</v>
      </c>
      <c r="AY65" s="1">
        <v>2044</v>
      </c>
      <c r="AZ65" s="1">
        <v>2045</v>
      </c>
      <c r="BA65" s="1">
        <v>2046</v>
      </c>
      <c r="BB65" s="1">
        <v>2047</v>
      </c>
      <c r="BC65" s="1">
        <v>2048</v>
      </c>
      <c r="BD65" s="1">
        <v>2049</v>
      </c>
      <c r="BE65" s="1">
        <v>2050</v>
      </c>
    </row>
    <row r="66" spans="1:57">
      <c r="A66" s="1" t="str">
        <f>'Population Definitions'!$A$2</f>
        <v>PWID_males</v>
      </c>
      <c r="C66" t="s">
        <v>63</v>
      </c>
      <c r="D66" s="3"/>
      <c r="E66" s="3"/>
      <c r="F66" s="4" t="s">
        <v>39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>
        <v>0.46</v>
      </c>
      <c r="W66" s="3">
        <v>0.23</v>
      </c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</row>
    <row r="67" spans="1:57">
      <c r="A67" s="1" t="str">
        <f>'Population Definitions'!$A$3</f>
        <v>PWID_females</v>
      </c>
      <c r="C67" t="s">
        <v>63</v>
      </c>
      <c r="D67" s="3"/>
      <c r="E67" s="3"/>
      <c r="F67" s="4" t="s">
        <v>39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>
        <v>0.46</v>
      </c>
      <c r="W67" s="3">
        <v>0.23</v>
      </c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</row>
    <row r="68" spans="1:57">
      <c r="A68" s="1" t="str">
        <f>'Population Definitions'!$A$4</f>
        <v>0-9_males</v>
      </c>
      <c r="C68" t="s">
        <v>63</v>
      </c>
      <c r="D68" s="3"/>
      <c r="E68" s="3"/>
      <c r="F68" s="4" t="s">
        <v>39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>
        <v>0.46</v>
      </c>
      <c r="W68" s="3">
        <v>0.23</v>
      </c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</row>
    <row r="69" spans="1:57">
      <c r="A69" s="1" t="str">
        <f>'Population Definitions'!$A$5</f>
        <v>0-9_females</v>
      </c>
      <c r="C69" t="s">
        <v>63</v>
      </c>
      <c r="D69" s="3"/>
      <c r="E69" s="3"/>
      <c r="F69" s="4" t="s">
        <v>39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>
        <v>0.46</v>
      </c>
      <c r="W69" s="3">
        <v>0.23</v>
      </c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</row>
    <row r="70" spans="1:57">
      <c r="A70" s="1" t="str">
        <f>'Population Definitions'!$A$6</f>
        <v>10-17_males</v>
      </c>
      <c r="C70" t="s">
        <v>63</v>
      </c>
      <c r="D70" s="3"/>
      <c r="E70" s="3"/>
      <c r="F70" s="4" t="s">
        <v>39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>
        <v>0.46</v>
      </c>
      <c r="W70" s="3">
        <v>0.23</v>
      </c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</row>
    <row r="71" spans="1:57">
      <c r="A71" s="1" t="str">
        <f>'Population Definitions'!$A$7</f>
        <v>10-17_females</v>
      </c>
      <c r="C71" t="s">
        <v>63</v>
      </c>
      <c r="D71" s="3"/>
      <c r="E71" s="3"/>
      <c r="F71" s="4" t="s">
        <v>39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>
        <v>0.46</v>
      </c>
      <c r="W71" s="3">
        <v>0.23</v>
      </c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</row>
    <row r="72" spans="1:57">
      <c r="A72" s="1" t="str">
        <f>'Population Definitions'!$A$8</f>
        <v>18-64_males</v>
      </c>
      <c r="C72" t="s">
        <v>63</v>
      </c>
      <c r="D72" s="3"/>
      <c r="E72" s="3"/>
      <c r="F72" s="4" t="s">
        <v>39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>
        <v>0.46</v>
      </c>
      <c r="W72" s="3">
        <v>0.23</v>
      </c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</row>
    <row r="73" spans="1:57">
      <c r="A73" s="1" t="str">
        <f>'Population Definitions'!$A$9</f>
        <v>18-64_females</v>
      </c>
      <c r="C73" t="s">
        <v>63</v>
      </c>
      <c r="D73" s="3"/>
      <c r="E73" s="3"/>
      <c r="F73" s="4" t="s">
        <v>39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>
        <v>0.46</v>
      </c>
      <c r="W73" s="3">
        <v>0.23</v>
      </c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</row>
    <row r="74" spans="1:57">
      <c r="A74" s="1" t="str">
        <f>'Population Definitions'!$A$10</f>
        <v>65+_males</v>
      </c>
      <c r="C74" t="s">
        <v>63</v>
      </c>
      <c r="D74" s="3"/>
      <c r="E74" s="3"/>
      <c r="F74" s="4" t="s">
        <v>39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>
        <v>0.46</v>
      </c>
      <c r="W74" s="3">
        <v>0.23</v>
      </c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</row>
    <row r="75" spans="1:57">
      <c r="A75" s="1" t="str">
        <f>'Population Definitions'!$A$11</f>
        <v>65+_females</v>
      </c>
      <c r="C75" t="s">
        <v>63</v>
      </c>
      <c r="D75" s="3"/>
      <c r="E75" s="3"/>
      <c r="F75" s="4" t="s">
        <v>39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>
        <v>0.46</v>
      </c>
      <c r="W75" s="3">
        <v>0.23</v>
      </c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</row>
    <row r="76" spans="1:57">
      <c r="A76" s="1" t="str">
        <f>'Population Definitions'!$A$12</f>
        <v>Prisoners_males</v>
      </c>
      <c r="C76" t="s">
        <v>63</v>
      </c>
      <c r="D76" s="3"/>
      <c r="E76" s="3"/>
      <c r="F76" s="4" t="s">
        <v>39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>
        <v>0.46</v>
      </c>
      <c r="W76" s="3">
        <v>0.23</v>
      </c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</row>
    <row r="77" spans="1:57">
      <c r="A77" s="1" t="str">
        <f>'Population Definitions'!$A$13</f>
        <v>Prisoners_females</v>
      </c>
      <c r="C77" t="s">
        <v>63</v>
      </c>
      <c r="D77" s="3"/>
      <c r="E77" s="3"/>
      <c r="F77" s="4" t="s">
        <v>39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>
        <v>0.46</v>
      </c>
      <c r="W77" s="3">
        <v>0.23</v>
      </c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</row>
    <row r="78" spans="1:57">
      <c r="A78" s="1" t="str">
        <f>'Population Definitions'!$A$14</f>
        <v>Prisoners_PWID_males</v>
      </c>
      <c r="C78" t="s">
        <v>63</v>
      </c>
      <c r="D78" s="3"/>
      <c r="E78" s="3"/>
      <c r="F78" s="4" t="s">
        <v>39</v>
      </c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>
        <v>0.46</v>
      </c>
      <c r="W78" s="3">
        <v>0.23</v>
      </c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/>
      <c r="BC78" s="3"/>
      <c r="BD78" s="3"/>
      <c r="BE78" s="3"/>
    </row>
    <row r="79" spans="1:57">
      <c r="A79" s="1" t="str">
        <f>'Population Definitions'!$A$15</f>
        <v>Prisoners_PWID_females</v>
      </c>
      <c r="C79" t="s">
        <v>63</v>
      </c>
      <c r="D79" s="3"/>
      <c r="E79" s="3"/>
      <c r="F79" s="4" t="s">
        <v>39</v>
      </c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>
        <v>0.46</v>
      </c>
      <c r="W79" s="3">
        <v>0.23</v>
      </c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3"/>
      <c r="BC79" s="3"/>
      <c r="BD79" s="3"/>
      <c r="BE79" s="3"/>
    </row>
    <row r="81" spans="1:57">
      <c r="A81" s="1" t="s">
        <v>103</v>
      </c>
      <c r="B81" s="1" t="s">
        <v>31</v>
      </c>
      <c r="C81" s="1" t="s">
        <v>32</v>
      </c>
      <c r="D81" s="1" t="s">
        <v>33</v>
      </c>
      <c r="E81" s="1" t="s">
        <v>38</v>
      </c>
      <c r="F81" s="1"/>
      <c r="G81" s="1">
        <v>2000</v>
      </c>
      <c r="H81" s="1">
        <v>2001</v>
      </c>
      <c r="I81" s="1">
        <v>2002</v>
      </c>
      <c r="J81" s="1">
        <v>2003</v>
      </c>
      <c r="K81" s="1">
        <v>2004</v>
      </c>
      <c r="L81" s="1">
        <v>2005</v>
      </c>
      <c r="M81" s="1">
        <v>2006</v>
      </c>
      <c r="N81" s="1">
        <v>2007</v>
      </c>
      <c r="O81" s="1">
        <v>2008</v>
      </c>
      <c r="P81" s="1">
        <v>2009</v>
      </c>
      <c r="Q81" s="1">
        <v>2010</v>
      </c>
      <c r="R81" s="1">
        <v>2011</v>
      </c>
      <c r="S81" s="1">
        <v>2012</v>
      </c>
      <c r="T81" s="1">
        <v>2013</v>
      </c>
      <c r="U81" s="1">
        <v>2014</v>
      </c>
      <c r="V81" s="1">
        <v>2015</v>
      </c>
      <c r="W81" s="1">
        <v>2016</v>
      </c>
      <c r="X81" s="1">
        <v>2017</v>
      </c>
      <c r="Y81" s="1">
        <v>2018</v>
      </c>
      <c r="Z81" s="1">
        <v>2019</v>
      </c>
      <c r="AA81" s="1">
        <v>2020</v>
      </c>
      <c r="AB81" s="1">
        <v>2021</v>
      </c>
      <c r="AC81" s="1">
        <v>2022</v>
      </c>
      <c r="AD81" s="1">
        <v>2023</v>
      </c>
      <c r="AE81" s="1">
        <v>2024</v>
      </c>
      <c r="AF81" s="1">
        <v>2025</v>
      </c>
      <c r="AG81" s="1">
        <v>2026</v>
      </c>
      <c r="AH81" s="1">
        <v>2027</v>
      </c>
      <c r="AI81" s="1">
        <v>2028</v>
      </c>
      <c r="AJ81" s="1">
        <v>2029</v>
      </c>
      <c r="AK81" s="1">
        <v>2030</v>
      </c>
      <c r="AL81" s="1">
        <v>2031</v>
      </c>
      <c r="AM81" s="1">
        <v>2032</v>
      </c>
      <c r="AN81" s="1">
        <v>2033</v>
      </c>
      <c r="AO81" s="1">
        <v>2034</v>
      </c>
      <c r="AP81" s="1">
        <v>2035</v>
      </c>
      <c r="AQ81" s="1">
        <v>2036</v>
      </c>
      <c r="AR81" s="1">
        <v>2037</v>
      </c>
      <c r="AS81" s="1">
        <v>2038</v>
      </c>
      <c r="AT81" s="1">
        <v>2039</v>
      </c>
      <c r="AU81" s="1">
        <v>2040</v>
      </c>
      <c r="AV81" s="1">
        <v>2041</v>
      </c>
      <c r="AW81" s="1">
        <v>2042</v>
      </c>
      <c r="AX81" s="1">
        <v>2043</v>
      </c>
      <c r="AY81" s="1">
        <v>2044</v>
      </c>
      <c r="AZ81" s="1">
        <v>2045</v>
      </c>
      <c r="BA81" s="1">
        <v>2046</v>
      </c>
      <c r="BB81" s="1">
        <v>2047</v>
      </c>
      <c r="BC81" s="1">
        <v>2048</v>
      </c>
      <c r="BD81" s="1">
        <v>2049</v>
      </c>
      <c r="BE81" s="1">
        <v>2050</v>
      </c>
    </row>
    <row r="82" spans="1:57">
      <c r="A82" s="1" t="str">
        <f>'Population Definitions'!$A$2</f>
        <v>PWID_males</v>
      </c>
      <c r="C82" t="s">
        <v>50</v>
      </c>
      <c r="D82" s="3"/>
      <c r="E82" s="3"/>
      <c r="F82" s="4" t="s">
        <v>39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>
        <v>0.5</v>
      </c>
      <c r="W82" s="3">
        <v>0.95</v>
      </c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</row>
    <row r="83" spans="1:57">
      <c r="A83" s="1" t="str">
        <f>'Population Definitions'!$A$3</f>
        <v>PWID_females</v>
      </c>
      <c r="C83" t="s">
        <v>50</v>
      </c>
      <c r="D83" s="3"/>
      <c r="E83" s="3"/>
      <c r="F83" s="4" t="s">
        <v>39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>
        <v>0.5</v>
      </c>
      <c r="W83" s="3">
        <v>0.95</v>
      </c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</row>
    <row r="84" spans="1:57">
      <c r="A84" s="1" t="str">
        <f>'Population Definitions'!$A$4</f>
        <v>0-9_males</v>
      </c>
      <c r="C84" t="s">
        <v>50</v>
      </c>
      <c r="D84" s="3"/>
      <c r="E84" s="3"/>
      <c r="F84" s="4" t="s">
        <v>39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>
        <v>0.5</v>
      </c>
      <c r="W84" s="3">
        <v>0.95</v>
      </c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</row>
    <row r="85" spans="1:57">
      <c r="A85" s="1" t="str">
        <f>'Population Definitions'!$A$5</f>
        <v>0-9_females</v>
      </c>
      <c r="C85" t="s">
        <v>50</v>
      </c>
      <c r="D85" s="3"/>
      <c r="E85" s="3"/>
      <c r="F85" s="4" t="s">
        <v>39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>
        <v>0.5</v>
      </c>
      <c r="W85" s="3">
        <v>0.95</v>
      </c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</row>
    <row r="86" spans="1:57">
      <c r="A86" s="1" t="str">
        <f>'Population Definitions'!$A$6</f>
        <v>10-17_males</v>
      </c>
      <c r="C86" t="s">
        <v>50</v>
      </c>
      <c r="D86" s="3"/>
      <c r="E86" s="3"/>
      <c r="F86" s="4" t="s">
        <v>39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>
        <v>0.5</v>
      </c>
      <c r="W86" s="3">
        <v>0.95</v>
      </c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</row>
    <row r="87" spans="1:57">
      <c r="A87" s="1" t="str">
        <f>'Population Definitions'!$A$7</f>
        <v>10-17_females</v>
      </c>
      <c r="C87" t="s">
        <v>50</v>
      </c>
      <c r="D87" s="3"/>
      <c r="E87" s="3"/>
      <c r="F87" s="4" t="s">
        <v>39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>
        <v>0.5</v>
      </c>
      <c r="W87" s="3">
        <v>0.95</v>
      </c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</row>
    <row r="88" spans="1:57">
      <c r="A88" s="1" t="str">
        <f>'Population Definitions'!$A$8</f>
        <v>18-64_males</v>
      </c>
      <c r="C88" t="s">
        <v>50</v>
      </c>
      <c r="D88" s="3"/>
      <c r="E88" s="3"/>
      <c r="F88" s="4" t="s">
        <v>39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>
        <v>0.5</v>
      </c>
      <c r="W88" s="3">
        <v>0.95</v>
      </c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</row>
    <row r="89" spans="1:57">
      <c r="A89" s="1" t="str">
        <f>'Population Definitions'!$A$9</f>
        <v>18-64_females</v>
      </c>
      <c r="C89" t="s">
        <v>50</v>
      </c>
      <c r="D89" s="3"/>
      <c r="E89" s="3"/>
      <c r="F89" s="4" t="s">
        <v>39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>
        <v>0.5</v>
      </c>
      <c r="W89" s="3">
        <v>0.95</v>
      </c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</row>
    <row r="90" spans="1:57">
      <c r="A90" s="1" t="str">
        <f>'Population Definitions'!$A$10</f>
        <v>65+_males</v>
      </c>
      <c r="C90" t="s">
        <v>50</v>
      </c>
      <c r="D90" s="3"/>
      <c r="E90" s="3"/>
      <c r="F90" s="4" t="s">
        <v>39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>
        <v>0.5</v>
      </c>
      <c r="W90" s="3">
        <v>0.95</v>
      </c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</row>
    <row r="91" spans="1:57">
      <c r="A91" s="1" t="str">
        <f>'Population Definitions'!$A$11</f>
        <v>65+_females</v>
      </c>
      <c r="C91" t="s">
        <v>50</v>
      </c>
      <c r="D91" s="3"/>
      <c r="E91" s="3"/>
      <c r="F91" s="4" t="s">
        <v>39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>
        <v>0.5</v>
      </c>
      <c r="W91" s="3">
        <v>0.95</v>
      </c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</row>
    <row r="92" spans="1:57">
      <c r="A92" s="1" t="str">
        <f>'Population Definitions'!$A$12</f>
        <v>Prisoners_males</v>
      </c>
      <c r="C92" t="s">
        <v>50</v>
      </c>
      <c r="D92" s="3"/>
      <c r="E92" s="3"/>
      <c r="F92" s="4" t="s">
        <v>39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>
        <v>0.5</v>
      </c>
      <c r="W92" s="3">
        <v>0.95</v>
      </c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</row>
    <row r="93" spans="1:57">
      <c r="A93" s="1" t="str">
        <f>'Population Definitions'!$A$13</f>
        <v>Prisoners_females</v>
      </c>
      <c r="C93" t="s">
        <v>50</v>
      </c>
      <c r="D93" s="3"/>
      <c r="E93" s="3"/>
      <c r="F93" s="4" t="s">
        <v>39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>
        <v>0.5</v>
      </c>
      <c r="W93" s="3">
        <v>0.95</v>
      </c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</row>
    <row r="94" spans="1:57">
      <c r="A94" s="1" t="str">
        <f>'Population Definitions'!$A$14</f>
        <v>Prisoners_PWID_males</v>
      </c>
      <c r="C94" t="s">
        <v>50</v>
      </c>
      <c r="D94" s="3"/>
      <c r="E94" s="3"/>
      <c r="F94" s="4" t="s">
        <v>39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>
        <v>0.5</v>
      </c>
      <c r="W94" s="3">
        <v>0.95</v>
      </c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</row>
    <row r="95" spans="1:57">
      <c r="A95" s="1" t="str">
        <f>'Population Definitions'!$A$15</f>
        <v>Prisoners_PWID_females</v>
      </c>
      <c r="C95" t="s">
        <v>50</v>
      </c>
      <c r="D95" s="3"/>
      <c r="E95" s="3"/>
      <c r="F95" s="4" t="s">
        <v>39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>
        <v>0.5</v>
      </c>
      <c r="W95" s="3">
        <v>0.95</v>
      </c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</row>
    <row r="97" spans="1:57">
      <c r="A97" s="1" t="s">
        <v>104</v>
      </c>
      <c r="B97" s="1" t="s">
        <v>31</v>
      </c>
      <c r="C97" s="1" t="s">
        <v>32</v>
      </c>
      <c r="D97" s="1" t="s">
        <v>33</v>
      </c>
      <c r="E97" s="1" t="s">
        <v>38</v>
      </c>
      <c r="F97" s="1"/>
      <c r="G97" s="1">
        <v>2000</v>
      </c>
      <c r="H97" s="1">
        <v>2001</v>
      </c>
      <c r="I97" s="1">
        <v>2002</v>
      </c>
      <c r="J97" s="1">
        <v>2003</v>
      </c>
      <c r="K97" s="1">
        <v>2004</v>
      </c>
      <c r="L97" s="1">
        <v>2005</v>
      </c>
      <c r="M97" s="1">
        <v>2006</v>
      </c>
      <c r="N97" s="1">
        <v>2007</v>
      </c>
      <c r="O97" s="1">
        <v>2008</v>
      </c>
      <c r="P97" s="1">
        <v>2009</v>
      </c>
      <c r="Q97" s="1">
        <v>2010</v>
      </c>
      <c r="R97" s="1">
        <v>2011</v>
      </c>
      <c r="S97" s="1">
        <v>2012</v>
      </c>
      <c r="T97" s="1">
        <v>2013</v>
      </c>
      <c r="U97" s="1">
        <v>2014</v>
      </c>
      <c r="V97" s="1">
        <v>2015</v>
      </c>
      <c r="W97" s="1">
        <v>2016</v>
      </c>
      <c r="X97" s="1">
        <v>2017</v>
      </c>
      <c r="Y97" s="1">
        <v>2018</v>
      </c>
      <c r="Z97" s="1">
        <v>2019</v>
      </c>
      <c r="AA97" s="1">
        <v>2020</v>
      </c>
      <c r="AB97" s="1">
        <v>2021</v>
      </c>
      <c r="AC97" s="1">
        <v>2022</v>
      </c>
      <c r="AD97" s="1">
        <v>2023</v>
      </c>
      <c r="AE97" s="1">
        <v>2024</v>
      </c>
      <c r="AF97" s="1">
        <v>2025</v>
      </c>
      <c r="AG97" s="1">
        <v>2026</v>
      </c>
      <c r="AH97" s="1">
        <v>2027</v>
      </c>
      <c r="AI97" s="1">
        <v>2028</v>
      </c>
      <c r="AJ97" s="1">
        <v>2029</v>
      </c>
      <c r="AK97" s="1">
        <v>2030</v>
      </c>
      <c r="AL97" s="1">
        <v>2031</v>
      </c>
      <c r="AM97" s="1">
        <v>2032</v>
      </c>
      <c r="AN97" s="1">
        <v>2033</v>
      </c>
      <c r="AO97" s="1">
        <v>2034</v>
      </c>
      <c r="AP97" s="1">
        <v>2035</v>
      </c>
      <c r="AQ97" s="1">
        <v>2036</v>
      </c>
      <c r="AR97" s="1">
        <v>2037</v>
      </c>
      <c r="AS97" s="1">
        <v>2038</v>
      </c>
      <c r="AT97" s="1">
        <v>2039</v>
      </c>
      <c r="AU97" s="1">
        <v>2040</v>
      </c>
      <c r="AV97" s="1">
        <v>2041</v>
      </c>
      <c r="AW97" s="1">
        <v>2042</v>
      </c>
      <c r="AX97" s="1">
        <v>2043</v>
      </c>
      <c r="AY97" s="1">
        <v>2044</v>
      </c>
      <c r="AZ97" s="1">
        <v>2045</v>
      </c>
      <c r="BA97" s="1">
        <v>2046</v>
      </c>
      <c r="BB97" s="1">
        <v>2047</v>
      </c>
      <c r="BC97" s="1">
        <v>2048</v>
      </c>
      <c r="BD97" s="1">
        <v>2049</v>
      </c>
      <c r="BE97" s="1">
        <v>2050</v>
      </c>
    </row>
    <row r="98" spans="1:57">
      <c r="A98" s="1" t="str">
        <f>'Population Definitions'!$A$2</f>
        <v>PWID_males</v>
      </c>
      <c r="B98" t="s">
        <v>62</v>
      </c>
      <c r="C98" t="s">
        <v>50</v>
      </c>
      <c r="D98" s="3"/>
      <c r="E98" s="3">
        <v>0</v>
      </c>
      <c r="F98" s="4" t="s">
        <v>39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</row>
    <row r="99" spans="1:57">
      <c r="A99" s="1" t="str">
        <f>'Population Definitions'!$A$3</f>
        <v>PWID_females</v>
      </c>
      <c r="B99" t="s">
        <v>62</v>
      </c>
      <c r="C99" t="s">
        <v>50</v>
      </c>
      <c r="D99" s="3"/>
      <c r="E99" s="3">
        <v>0</v>
      </c>
      <c r="F99" s="4" t="s">
        <v>39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</row>
    <row r="100" spans="1:57">
      <c r="A100" s="1" t="str">
        <f>'Population Definitions'!$A$4</f>
        <v>0-9_males</v>
      </c>
      <c r="B100" t="s">
        <v>62</v>
      </c>
      <c r="C100" t="s">
        <v>50</v>
      </c>
      <c r="D100" s="3"/>
      <c r="E100" s="3">
        <v>0</v>
      </c>
      <c r="F100" s="4" t="s">
        <v>39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</row>
    <row r="101" spans="1:57">
      <c r="A101" s="1" t="str">
        <f>'Population Definitions'!$A$5</f>
        <v>0-9_females</v>
      </c>
      <c r="B101" t="s">
        <v>62</v>
      </c>
      <c r="C101" t="s">
        <v>50</v>
      </c>
      <c r="D101" s="3"/>
      <c r="E101" s="3">
        <v>0</v>
      </c>
      <c r="F101" s="4" t="s">
        <v>39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</row>
    <row r="102" spans="1:57">
      <c r="A102" s="1" t="str">
        <f>'Population Definitions'!$A$6</f>
        <v>10-17_males</v>
      </c>
      <c r="B102" t="s">
        <v>62</v>
      </c>
      <c r="C102" t="s">
        <v>50</v>
      </c>
      <c r="D102" s="3"/>
      <c r="E102" s="3">
        <v>0</v>
      </c>
      <c r="F102" s="4" t="s">
        <v>39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</row>
    <row r="103" spans="1:57">
      <c r="A103" s="1" t="str">
        <f>'Population Definitions'!$A$7</f>
        <v>10-17_females</v>
      </c>
      <c r="B103" t="s">
        <v>62</v>
      </c>
      <c r="C103" t="s">
        <v>50</v>
      </c>
      <c r="D103" s="3"/>
      <c r="E103" s="3">
        <v>0</v>
      </c>
      <c r="F103" s="4" t="s">
        <v>39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</row>
    <row r="104" spans="1:57">
      <c r="A104" s="1" t="str">
        <f>'Population Definitions'!$A$8</f>
        <v>18-64_males</v>
      </c>
      <c r="B104" t="s">
        <v>62</v>
      </c>
      <c r="C104" t="s">
        <v>50</v>
      </c>
      <c r="D104" s="3"/>
      <c r="E104" s="3">
        <v>0</v>
      </c>
      <c r="F104" s="4" t="s">
        <v>39</v>
      </c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  <c r="AV104" s="3"/>
      <c r="AW104" s="3"/>
      <c r="AX104" s="3"/>
      <c r="AY104" s="3"/>
      <c r="AZ104" s="3"/>
      <c r="BA104" s="3"/>
      <c r="BB104" s="3"/>
      <c r="BC104" s="3"/>
      <c r="BD104" s="3"/>
      <c r="BE104" s="3"/>
    </row>
    <row r="105" spans="1:57">
      <c r="A105" s="1" t="str">
        <f>'Population Definitions'!$A$9</f>
        <v>18-64_females</v>
      </c>
      <c r="B105" t="s">
        <v>62</v>
      </c>
      <c r="C105" t="s">
        <v>50</v>
      </c>
      <c r="D105" s="3"/>
      <c r="E105" s="3">
        <v>0</v>
      </c>
      <c r="F105" s="4" t="s">
        <v>39</v>
      </c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/>
      <c r="AV105" s="3"/>
      <c r="AW105" s="3"/>
      <c r="AX105" s="3"/>
      <c r="AY105" s="3"/>
      <c r="AZ105" s="3"/>
      <c r="BA105" s="3"/>
      <c r="BB105" s="3"/>
      <c r="BC105" s="3"/>
      <c r="BD105" s="3"/>
      <c r="BE105" s="3"/>
    </row>
    <row r="106" spans="1:57">
      <c r="A106" s="1" t="str">
        <f>'Population Definitions'!$A$10</f>
        <v>65+_males</v>
      </c>
      <c r="B106" t="s">
        <v>62</v>
      </c>
      <c r="C106" t="s">
        <v>50</v>
      </c>
      <c r="D106" s="3"/>
      <c r="E106" s="3">
        <v>0</v>
      </c>
      <c r="F106" s="4" t="s">
        <v>39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</row>
    <row r="107" spans="1:57">
      <c r="A107" s="1" t="str">
        <f>'Population Definitions'!$A$11</f>
        <v>65+_females</v>
      </c>
      <c r="B107" t="s">
        <v>62</v>
      </c>
      <c r="C107" t="s">
        <v>50</v>
      </c>
      <c r="D107" s="3"/>
      <c r="E107" s="3">
        <v>0</v>
      </c>
      <c r="F107" s="4" t="s">
        <v>39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</row>
    <row r="108" spans="1:57">
      <c r="A108" s="1" t="str">
        <f>'Population Definitions'!$A$12</f>
        <v>Prisoners_males</v>
      </c>
      <c r="B108" t="s">
        <v>62</v>
      </c>
      <c r="C108" t="s">
        <v>50</v>
      </c>
      <c r="D108" s="3"/>
      <c r="E108" s="3">
        <v>0</v>
      </c>
      <c r="F108" s="4" t="s">
        <v>39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</row>
    <row r="109" spans="1:57">
      <c r="A109" s="1" t="str">
        <f>'Population Definitions'!$A$13</f>
        <v>Prisoners_females</v>
      </c>
      <c r="B109" t="s">
        <v>62</v>
      </c>
      <c r="C109" t="s">
        <v>50</v>
      </c>
      <c r="D109" s="3"/>
      <c r="E109" s="3">
        <v>0</v>
      </c>
      <c r="F109" s="4" t="s">
        <v>39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</row>
    <row r="110" spans="1:57">
      <c r="A110" s="1" t="str">
        <f>'Population Definitions'!$A$14</f>
        <v>Prisoners_PWID_males</v>
      </c>
      <c r="B110" t="s">
        <v>62</v>
      </c>
      <c r="C110" t="s">
        <v>50</v>
      </c>
      <c r="D110" s="3"/>
      <c r="E110" s="3">
        <v>0</v>
      </c>
      <c r="F110" s="4" t="s">
        <v>39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</row>
    <row r="111" spans="1:57">
      <c r="A111" s="1" t="str">
        <f>'Population Definitions'!$A$15</f>
        <v>Prisoners_PWID_females</v>
      </c>
      <c r="B111" t="s">
        <v>62</v>
      </c>
      <c r="C111" t="s">
        <v>50</v>
      </c>
      <c r="D111" s="3"/>
      <c r="E111" s="3">
        <v>0</v>
      </c>
      <c r="F111" s="4" t="s">
        <v>39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</row>
  </sheetData>
  <conditionalFormatting sqref="E10">
    <cfRule type="expression" dxfId="0" priority="17">
      <formula>COUNTIF(G10:BE10,"&lt;&gt;" &amp; "")&gt;0</formula>
    </cfRule>
    <cfRule type="expression" dxfId="1" priority="18">
      <formula>AND(COUNTIF(G10:BE10,"&lt;&gt;" &amp; "")&gt;0,NOT(ISBLANK(E10)))</formula>
    </cfRule>
  </conditionalFormatting>
  <conditionalFormatting sqref="E100">
    <cfRule type="expression" dxfId="0" priority="173">
      <formula>COUNTIF(G100:BE100,"&lt;&gt;" &amp; "")&gt;0</formula>
    </cfRule>
    <cfRule type="expression" dxfId="1" priority="174">
      <formula>AND(COUNTIF(G100:BE100,"&lt;&gt;" &amp; "")&gt;0,NOT(ISBLANK(E100)))</formula>
    </cfRule>
  </conditionalFormatting>
  <conditionalFormatting sqref="E101">
    <cfRule type="expression" dxfId="0" priority="175">
      <formula>COUNTIF(G101:BE101,"&lt;&gt;" &amp; "")&gt;0</formula>
    </cfRule>
    <cfRule type="expression" dxfId="1" priority="176">
      <formula>AND(COUNTIF(G101:BE101,"&lt;&gt;" &amp; "")&gt;0,NOT(ISBLANK(E101)))</formula>
    </cfRule>
  </conditionalFormatting>
  <conditionalFormatting sqref="E102">
    <cfRule type="expression" dxfId="0" priority="177">
      <formula>COUNTIF(G102:BE102,"&lt;&gt;" &amp; "")&gt;0</formula>
    </cfRule>
    <cfRule type="expression" dxfId="1" priority="178">
      <formula>AND(COUNTIF(G102:BE102,"&lt;&gt;" &amp; "")&gt;0,NOT(ISBLANK(E102)))</formula>
    </cfRule>
  </conditionalFormatting>
  <conditionalFormatting sqref="E103">
    <cfRule type="expression" dxfId="0" priority="179">
      <formula>COUNTIF(G103:BE103,"&lt;&gt;" &amp; "")&gt;0</formula>
    </cfRule>
    <cfRule type="expression" dxfId="1" priority="180">
      <formula>AND(COUNTIF(G103:BE103,"&lt;&gt;" &amp; "")&gt;0,NOT(ISBLANK(E103)))</formula>
    </cfRule>
  </conditionalFormatting>
  <conditionalFormatting sqref="E104">
    <cfRule type="expression" dxfId="0" priority="181">
      <formula>COUNTIF(G104:BE104,"&lt;&gt;" &amp; "")&gt;0</formula>
    </cfRule>
    <cfRule type="expression" dxfId="1" priority="182">
      <formula>AND(COUNTIF(G104:BE104,"&lt;&gt;" &amp; "")&gt;0,NOT(ISBLANK(E104)))</formula>
    </cfRule>
  </conditionalFormatting>
  <conditionalFormatting sqref="E105">
    <cfRule type="expression" dxfId="0" priority="183">
      <formula>COUNTIF(G105:BE105,"&lt;&gt;" &amp; "")&gt;0</formula>
    </cfRule>
    <cfRule type="expression" dxfId="1" priority="184">
      <formula>AND(COUNTIF(G105:BE105,"&lt;&gt;" &amp; "")&gt;0,NOT(ISBLANK(E105)))</formula>
    </cfRule>
  </conditionalFormatting>
  <conditionalFormatting sqref="E106">
    <cfRule type="expression" dxfId="0" priority="185">
      <formula>COUNTIF(G106:BE106,"&lt;&gt;" &amp; "")&gt;0</formula>
    </cfRule>
    <cfRule type="expression" dxfId="1" priority="186">
      <formula>AND(COUNTIF(G106:BE106,"&lt;&gt;" &amp; "")&gt;0,NOT(ISBLANK(E106)))</formula>
    </cfRule>
  </conditionalFormatting>
  <conditionalFormatting sqref="E107">
    <cfRule type="expression" dxfId="0" priority="187">
      <formula>COUNTIF(G107:BE107,"&lt;&gt;" &amp; "")&gt;0</formula>
    </cfRule>
    <cfRule type="expression" dxfId="1" priority="188">
      <formula>AND(COUNTIF(G107:BE107,"&lt;&gt;" &amp; "")&gt;0,NOT(ISBLANK(E107)))</formula>
    </cfRule>
  </conditionalFormatting>
  <conditionalFormatting sqref="E108">
    <cfRule type="expression" dxfId="0" priority="189">
      <formula>COUNTIF(G108:BE108,"&lt;&gt;" &amp; "")&gt;0</formula>
    </cfRule>
    <cfRule type="expression" dxfId="1" priority="190">
      <formula>AND(COUNTIF(G108:BE108,"&lt;&gt;" &amp; "")&gt;0,NOT(ISBLANK(E108)))</formula>
    </cfRule>
  </conditionalFormatting>
  <conditionalFormatting sqref="E109">
    <cfRule type="expression" dxfId="0" priority="191">
      <formula>COUNTIF(G109:BE109,"&lt;&gt;" &amp; "")&gt;0</formula>
    </cfRule>
    <cfRule type="expression" dxfId="1" priority="192">
      <formula>AND(COUNTIF(G109:BE109,"&lt;&gt;" &amp; "")&gt;0,NOT(ISBLANK(E109)))</formula>
    </cfRule>
  </conditionalFormatting>
  <conditionalFormatting sqref="E11">
    <cfRule type="expression" dxfId="0" priority="19">
      <formula>COUNTIF(G11:BE11,"&lt;&gt;" &amp; "")&gt;0</formula>
    </cfRule>
    <cfRule type="expression" dxfId="1" priority="20">
      <formula>AND(COUNTIF(G11:BE11,"&lt;&gt;" &amp; "")&gt;0,NOT(ISBLANK(E11)))</formula>
    </cfRule>
  </conditionalFormatting>
  <conditionalFormatting sqref="E110">
    <cfRule type="expression" dxfId="0" priority="193">
      <formula>COUNTIF(G110:BE110,"&lt;&gt;" &amp; "")&gt;0</formula>
    </cfRule>
    <cfRule type="expression" dxfId="1" priority="194">
      <formula>AND(COUNTIF(G110:BE110,"&lt;&gt;" &amp; "")&gt;0,NOT(ISBLANK(E110)))</formula>
    </cfRule>
  </conditionalFormatting>
  <conditionalFormatting sqref="E111">
    <cfRule type="expression" dxfId="0" priority="195">
      <formula>COUNTIF(G111:BE111,"&lt;&gt;" &amp; "")&gt;0</formula>
    </cfRule>
    <cfRule type="expression" dxfId="1" priority="196">
      <formula>AND(COUNTIF(G111:BE111,"&lt;&gt;" &amp; "")&gt;0,NOT(ISBLANK(E111)))</formula>
    </cfRule>
  </conditionalFormatting>
  <conditionalFormatting sqref="E12">
    <cfRule type="expression" dxfId="0" priority="21">
      <formula>COUNTIF(G12:BE12,"&lt;&gt;" &amp; "")&gt;0</formula>
    </cfRule>
    <cfRule type="expression" dxfId="1" priority="22">
      <formula>AND(COUNTIF(G12:BE12,"&lt;&gt;" &amp; "")&gt;0,NOT(ISBLANK(E12)))</formula>
    </cfRule>
  </conditionalFormatting>
  <conditionalFormatting sqref="E13">
    <cfRule type="expression" dxfId="0" priority="23">
      <formula>COUNTIF(G13:BE13,"&lt;&gt;" &amp; "")&gt;0</formula>
    </cfRule>
    <cfRule type="expression" dxfId="1" priority="24">
      <formula>AND(COUNTIF(G13:BE13,"&lt;&gt;" &amp; "")&gt;0,NOT(ISBLANK(E13)))</formula>
    </cfRule>
  </conditionalFormatting>
  <conditionalFormatting sqref="E14">
    <cfRule type="expression" dxfId="0" priority="25">
      <formula>COUNTIF(G14:BE14,"&lt;&gt;" &amp; "")&gt;0</formula>
    </cfRule>
    <cfRule type="expression" dxfId="1" priority="26">
      <formula>AND(COUNTIF(G14:BE14,"&lt;&gt;" &amp; "")&gt;0,NOT(ISBLANK(E14)))</formula>
    </cfRule>
  </conditionalFormatting>
  <conditionalFormatting sqref="E15">
    <cfRule type="expression" dxfId="0" priority="27">
      <formula>COUNTIF(G15:BE15,"&lt;&gt;" &amp; "")&gt;0</formula>
    </cfRule>
    <cfRule type="expression" dxfId="1" priority="28">
      <formula>AND(COUNTIF(G15:BE15,"&lt;&gt;" &amp; "")&gt;0,NOT(ISBLANK(E15)))</formula>
    </cfRule>
  </conditionalFormatting>
  <conditionalFormatting sqref="E18">
    <cfRule type="expression" dxfId="0" priority="29">
      <formula>COUNTIF(G18:BE18,"&lt;&gt;" &amp; "")&gt;0</formula>
    </cfRule>
    <cfRule type="expression" dxfId="1" priority="30">
      <formula>AND(COUNTIF(G18:BE18,"&lt;&gt;" &amp; "")&gt;0,NOT(ISBLANK(E18)))</formula>
    </cfRule>
  </conditionalFormatting>
  <conditionalFormatting sqref="E19">
    <cfRule type="expression" dxfId="0" priority="31">
      <formula>COUNTIF(G19:BE19,"&lt;&gt;" &amp; "")&gt;0</formula>
    </cfRule>
    <cfRule type="expression" dxfId="1" priority="32">
      <formula>AND(COUNTIF(G19:BE19,"&lt;&gt;" &amp; "")&gt;0,NOT(ISBLANK(E19)))</formula>
    </cfRule>
  </conditionalFormatting>
  <conditionalFormatting sqref="E2">
    <cfRule type="expression" dxfId="0" priority="1">
      <formula>COUNTIF(G2:BE2,"&lt;&gt;" &amp; "")&gt;0</formula>
    </cfRule>
    <cfRule type="expression" dxfId="1" priority="2">
      <formula>AND(COUNTIF(G2:BE2,"&lt;&gt;" &amp; "")&gt;0,NOT(ISBLANK(E2)))</formula>
    </cfRule>
  </conditionalFormatting>
  <conditionalFormatting sqref="E20">
    <cfRule type="expression" dxfId="0" priority="33">
      <formula>COUNTIF(G20:BE20,"&lt;&gt;" &amp; "")&gt;0</formula>
    </cfRule>
    <cfRule type="expression" dxfId="1" priority="34">
      <formula>AND(COUNTIF(G20:BE20,"&lt;&gt;" &amp; "")&gt;0,NOT(ISBLANK(E20)))</formula>
    </cfRule>
  </conditionalFormatting>
  <conditionalFormatting sqref="E21">
    <cfRule type="expression" dxfId="0" priority="35">
      <formula>COUNTIF(G21:BE21,"&lt;&gt;" &amp; "")&gt;0</formula>
    </cfRule>
    <cfRule type="expression" dxfId="1" priority="36">
      <formula>AND(COUNTIF(G21:BE21,"&lt;&gt;" &amp; "")&gt;0,NOT(ISBLANK(E21)))</formula>
    </cfRule>
  </conditionalFormatting>
  <conditionalFormatting sqref="E22">
    <cfRule type="expression" dxfId="0" priority="37">
      <formula>COUNTIF(G22:BE22,"&lt;&gt;" &amp; "")&gt;0</formula>
    </cfRule>
    <cfRule type="expression" dxfId="1" priority="38">
      <formula>AND(COUNTIF(G22:BE22,"&lt;&gt;" &amp; "")&gt;0,NOT(ISBLANK(E22)))</formula>
    </cfRule>
  </conditionalFormatting>
  <conditionalFormatting sqref="E23">
    <cfRule type="expression" dxfId="0" priority="39">
      <formula>COUNTIF(G23:BE23,"&lt;&gt;" &amp; "")&gt;0</formula>
    </cfRule>
    <cfRule type="expression" dxfId="1" priority="40">
      <formula>AND(COUNTIF(G23:BE23,"&lt;&gt;" &amp; "")&gt;0,NOT(ISBLANK(E23)))</formula>
    </cfRule>
  </conditionalFormatting>
  <conditionalFormatting sqref="E24">
    <cfRule type="expression" dxfId="0" priority="41">
      <formula>COUNTIF(G24:BE24,"&lt;&gt;" &amp; "")&gt;0</formula>
    </cfRule>
    <cfRule type="expression" dxfId="1" priority="42">
      <formula>AND(COUNTIF(G24:BE24,"&lt;&gt;" &amp; "")&gt;0,NOT(ISBLANK(E24)))</formula>
    </cfRule>
  </conditionalFormatting>
  <conditionalFormatting sqref="E25">
    <cfRule type="expression" dxfId="0" priority="43">
      <formula>COUNTIF(G25:BE25,"&lt;&gt;" &amp; "")&gt;0</formula>
    </cfRule>
    <cfRule type="expression" dxfId="1" priority="44">
      <formula>AND(COUNTIF(G25:BE25,"&lt;&gt;" &amp; "")&gt;0,NOT(ISBLANK(E25)))</formula>
    </cfRule>
  </conditionalFormatting>
  <conditionalFormatting sqref="E26">
    <cfRule type="expression" dxfId="0" priority="45">
      <formula>COUNTIF(G26:BE26,"&lt;&gt;" &amp; "")&gt;0</formula>
    </cfRule>
    <cfRule type="expression" dxfId="1" priority="46">
      <formula>AND(COUNTIF(G26:BE26,"&lt;&gt;" &amp; "")&gt;0,NOT(ISBLANK(E26)))</formula>
    </cfRule>
  </conditionalFormatting>
  <conditionalFormatting sqref="E27">
    <cfRule type="expression" dxfId="0" priority="47">
      <formula>COUNTIF(G27:BE27,"&lt;&gt;" &amp; "")&gt;0</formula>
    </cfRule>
    <cfRule type="expression" dxfId="1" priority="48">
      <formula>AND(COUNTIF(G27:BE27,"&lt;&gt;" &amp; "")&gt;0,NOT(ISBLANK(E27)))</formula>
    </cfRule>
  </conditionalFormatting>
  <conditionalFormatting sqref="E28">
    <cfRule type="expression" dxfId="0" priority="49">
      <formula>COUNTIF(G28:BE28,"&lt;&gt;" &amp; "")&gt;0</formula>
    </cfRule>
    <cfRule type="expression" dxfId="1" priority="50">
      <formula>AND(COUNTIF(G28:BE28,"&lt;&gt;" &amp; "")&gt;0,NOT(ISBLANK(E28)))</formula>
    </cfRule>
  </conditionalFormatting>
  <conditionalFormatting sqref="E29">
    <cfRule type="expression" dxfId="0" priority="51">
      <formula>COUNTIF(G29:BE29,"&lt;&gt;" &amp; "")&gt;0</formula>
    </cfRule>
    <cfRule type="expression" dxfId="1" priority="52">
      <formula>AND(COUNTIF(G29:BE29,"&lt;&gt;" &amp; "")&gt;0,NOT(ISBLANK(E29)))</formula>
    </cfRule>
  </conditionalFormatting>
  <conditionalFormatting sqref="E3">
    <cfRule type="expression" dxfId="0" priority="3">
      <formula>COUNTIF(G3:BE3,"&lt;&gt;" &amp; "")&gt;0</formula>
    </cfRule>
    <cfRule type="expression" dxfId="1" priority="4">
      <formula>AND(COUNTIF(G3:BE3,"&lt;&gt;" &amp; "")&gt;0,NOT(ISBLANK(E3)))</formula>
    </cfRule>
  </conditionalFormatting>
  <conditionalFormatting sqref="E30">
    <cfRule type="expression" dxfId="0" priority="53">
      <formula>COUNTIF(G30:BE30,"&lt;&gt;" &amp; "")&gt;0</formula>
    </cfRule>
    <cfRule type="expression" dxfId="1" priority="54">
      <formula>AND(COUNTIF(G30:BE30,"&lt;&gt;" &amp; "")&gt;0,NOT(ISBLANK(E30)))</formula>
    </cfRule>
  </conditionalFormatting>
  <conditionalFormatting sqref="E31">
    <cfRule type="expression" dxfId="0" priority="55">
      <formula>COUNTIF(G31:BE31,"&lt;&gt;" &amp; "")&gt;0</formula>
    </cfRule>
    <cfRule type="expression" dxfId="1" priority="56">
      <formula>AND(COUNTIF(G31:BE31,"&lt;&gt;" &amp; "")&gt;0,NOT(ISBLANK(E31)))</formula>
    </cfRule>
  </conditionalFormatting>
  <conditionalFormatting sqref="E34">
    <cfRule type="expression" dxfId="0" priority="57">
      <formula>COUNTIF(G34:BE34,"&lt;&gt;" &amp; "")&gt;0</formula>
    </cfRule>
    <cfRule type="expression" dxfId="1" priority="58">
      <formula>AND(COUNTIF(G34:BE34,"&lt;&gt;" &amp; "")&gt;0,NOT(ISBLANK(E34)))</formula>
    </cfRule>
  </conditionalFormatting>
  <conditionalFormatting sqref="E35">
    <cfRule type="expression" dxfId="0" priority="59">
      <formula>COUNTIF(G35:BE35,"&lt;&gt;" &amp; "")&gt;0</formula>
    </cfRule>
    <cfRule type="expression" dxfId="1" priority="60">
      <formula>AND(COUNTIF(G35:BE35,"&lt;&gt;" &amp; "")&gt;0,NOT(ISBLANK(E35)))</formula>
    </cfRule>
  </conditionalFormatting>
  <conditionalFormatting sqref="E36">
    <cfRule type="expression" dxfId="0" priority="61">
      <formula>COUNTIF(G36:BE36,"&lt;&gt;" &amp; "")&gt;0</formula>
    </cfRule>
    <cfRule type="expression" dxfId="1" priority="62">
      <formula>AND(COUNTIF(G36:BE36,"&lt;&gt;" &amp; "")&gt;0,NOT(ISBLANK(E36)))</formula>
    </cfRule>
  </conditionalFormatting>
  <conditionalFormatting sqref="E37">
    <cfRule type="expression" dxfId="0" priority="63">
      <formula>COUNTIF(G37:BE37,"&lt;&gt;" &amp; "")&gt;0</formula>
    </cfRule>
    <cfRule type="expression" dxfId="1" priority="64">
      <formula>AND(COUNTIF(G37:BE37,"&lt;&gt;" &amp; "")&gt;0,NOT(ISBLANK(E37)))</formula>
    </cfRule>
  </conditionalFormatting>
  <conditionalFormatting sqref="E38">
    <cfRule type="expression" dxfId="0" priority="65">
      <formula>COUNTIF(G38:BE38,"&lt;&gt;" &amp; "")&gt;0</formula>
    </cfRule>
    <cfRule type="expression" dxfId="1" priority="66">
      <formula>AND(COUNTIF(G38:BE38,"&lt;&gt;" &amp; "")&gt;0,NOT(ISBLANK(E38)))</formula>
    </cfRule>
  </conditionalFormatting>
  <conditionalFormatting sqref="E39">
    <cfRule type="expression" dxfId="0" priority="67">
      <formula>COUNTIF(G39:BE39,"&lt;&gt;" &amp; "")&gt;0</formula>
    </cfRule>
    <cfRule type="expression" dxfId="1" priority="68">
      <formula>AND(COUNTIF(G39:BE39,"&lt;&gt;" &amp; "")&gt;0,NOT(ISBLANK(E39)))</formula>
    </cfRule>
  </conditionalFormatting>
  <conditionalFormatting sqref="E4">
    <cfRule type="expression" dxfId="0" priority="5">
      <formula>COUNTIF(G4:BE4,"&lt;&gt;" &amp; "")&gt;0</formula>
    </cfRule>
    <cfRule type="expression" dxfId="1" priority="6">
      <formula>AND(COUNTIF(G4:BE4,"&lt;&gt;" &amp; "")&gt;0,NOT(ISBLANK(E4)))</formula>
    </cfRule>
  </conditionalFormatting>
  <conditionalFormatting sqref="E40">
    <cfRule type="expression" dxfId="0" priority="69">
      <formula>COUNTIF(G40:BE40,"&lt;&gt;" &amp; "")&gt;0</formula>
    </cfRule>
    <cfRule type="expression" dxfId="1" priority="70">
      <formula>AND(COUNTIF(G40:BE40,"&lt;&gt;" &amp; "")&gt;0,NOT(ISBLANK(E40)))</formula>
    </cfRule>
  </conditionalFormatting>
  <conditionalFormatting sqref="E41">
    <cfRule type="expression" dxfId="0" priority="71">
      <formula>COUNTIF(G41:BE41,"&lt;&gt;" &amp; "")&gt;0</formula>
    </cfRule>
    <cfRule type="expression" dxfId="1" priority="72">
      <formula>AND(COUNTIF(G41:BE41,"&lt;&gt;" &amp; "")&gt;0,NOT(ISBLANK(E41)))</formula>
    </cfRule>
  </conditionalFormatting>
  <conditionalFormatting sqref="E42">
    <cfRule type="expression" dxfId="0" priority="73">
      <formula>COUNTIF(G42:BE42,"&lt;&gt;" &amp; "")&gt;0</formula>
    </cfRule>
    <cfRule type="expression" dxfId="1" priority="74">
      <formula>AND(COUNTIF(G42:BE42,"&lt;&gt;" &amp; "")&gt;0,NOT(ISBLANK(E42)))</formula>
    </cfRule>
  </conditionalFormatting>
  <conditionalFormatting sqref="E43">
    <cfRule type="expression" dxfId="0" priority="75">
      <formula>COUNTIF(G43:BE43,"&lt;&gt;" &amp; "")&gt;0</formula>
    </cfRule>
    <cfRule type="expression" dxfId="1" priority="76">
      <formula>AND(COUNTIF(G43:BE43,"&lt;&gt;" &amp; "")&gt;0,NOT(ISBLANK(E43)))</formula>
    </cfRule>
  </conditionalFormatting>
  <conditionalFormatting sqref="E44">
    <cfRule type="expression" dxfId="0" priority="77">
      <formula>COUNTIF(G44:BE44,"&lt;&gt;" &amp; "")&gt;0</formula>
    </cfRule>
    <cfRule type="expression" dxfId="1" priority="78">
      <formula>AND(COUNTIF(G44:BE44,"&lt;&gt;" &amp; "")&gt;0,NOT(ISBLANK(E44)))</formula>
    </cfRule>
  </conditionalFormatting>
  <conditionalFormatting sqref="E45">
    <cfRule type="expression" dxfId="0" priority="79">
      <formula>COUNTIF(G45:BE45,"&lt;&gt;" &amp; "")&gt;0</formula>
    </cfRule>
    <cfRule type="expression" dxfId="1" priority="80">
      <formula>AND(COUNTIF(G45:BE45,"&lt;&gt;" &amp; "")&gt;0,NOT(ISBLANK(E45)))</formula>
    </cfRule>
  </conditionalFormatting>
  <conditionalFormatting sqref="E46">
    <cfRule type="expression" dxfId="0" priority="81">
      <formula>COUNTIF(G46:BE46,"&lt;&gt;" &amp; "")&gt;0</formula>
    </cfRule>
    <cfRule type="expression" dxfId="1" priority="82">
      <formula>AND(COUNTIF(G46:BE46,"&lt;&gt;" &amp; "")&gt;0,NOT(ISBLANK(E46)))</formula>
    </cfRule>
  </conditionalFormatting>
  <conditionalFormatting sqref="E47">
    <cfRule type="expression" dxfId="0" priority="83">
      <formula>COUNTIF(G47:BE47,"&lt;&gt;" &amp; "")&gt;0</formula>
    </cfRule>
    <cfRule type="expression" dxfId="1" priority="84">
      <formula>AND(COUNTIF(G47:BE47,"&lt;&gt;" &amp; "")&gt;0,NOT(ISBLANK(E47)))</formula>
    </cfRule>
  </conditionalFormatting>
  <conditionalFormatting sqref="E5">
    <cfRule type="expression" dxfId="0" priority="7">
      <formula>COUNTIF(G5:BE5,"&lt;&gt;" &amp; "")&gt;0</formula>
    </cfRule>
    <cfRule type="expression" dxfId="1" priority="8">
      <formula>AND(COUNTIF(G5:BE5,"&lt;&gt;" &amp; "")&gt;0,NOT(ISBLANK(E5)))</formula>
    </cfRule>
  </conditionalFormatting>
  <conditionalFormatting sqref="E50">
    <cfRule type="expression" dxfId="0" priority="85">
      <formula>COUNTIF(G50:BE50,"&lt;&gt;" &amp; "")&gt;0</formula>
    </cfRule>
    <cfRule type="expression" dxfId="1" priority="86">
      <formula>AND(COUNTIF(G50:BE50,"&lt;&gt;" &amp; "")&gt;0,NOT(ISBLANK(E50)))</formula>
    </cfRule>
  </conditionalFormatting>
  <conditionalFormatting sqref="E51">
    <cfRule type="expression" dxfId="0" priority="87">
      <formula>COUNTIF(G51:BE51,"&lt;&gt;" &amp; "")&gt;0</formula>
    </cfRule>
    <cfRule type="expression" dxfId="1" priority="88">
      <formula>AND(COUNTIF(G51:BE51,"&lt;&gt;" &amp; "")&gt;0,NOT(ISBLANK(E51)))</formula>
    </cfRule>
  </conditionalFormatting>
  <conditionalFormatting sqref="E52">
    <cfRule type="expression" dxfId="0" priority="89">
      <formula>COUNTIF(G52:BE52,"&lt;&gt;" &amp; "")&gt;0</formula>
    </cfRule>
    <cfRule type="expression" dxfId="1" priority="90">
      <formula>AND(COUNTIF(G52:BE52,"&lt;&gt;" &amp; "")&gt;0,NOT(ISBLANK(E52)))</formula>
    </cfRule>
  </conditionalFormatting>
  <conditionalFormatting sqref="E53">
    <cfRule type="expression" dxfId="0" priority="91">
      <formula>COUNTIF(G53:BE53,"&lt;&gt;" &amp; "")&gt;0</formula>
    </cfRule>
    <cfRule type="expression" dxfId="1" priority="92">
      <formula>AND(COUNTIF(G53:BE53,"&lt;&gt;" &amp; "")&gt;0,NOT(ISBLANK(E53)))</formula>
    </cfRule>
  </conditionalFormatting>
  <conditionalFormatting sqref="E54">
    <cfRule type="expression" dxfId="0" priority="93">
      <formula>COUNTIF(G54:BE54,"&lt;&gt;" &amp; "")&gt;0</formula>
    </cfRule>
    <cfRule type="expression" dxfId="1" priority="94">
      <formula>AND(COUNTIF(G54:BE54,"&lt;&gt;" &amp; "")&gt;0,NOT(ISBLANK(E54)))</formula>
    </cfRule>
  </conditionalFormatting>
  <conditionalFormatting sqref="E55">
    <cfRule type="expression" dxfId="0" priority="95">
      <formula>COUNTIF(G55:BE55,"&lt;&gt;" &amp; "")&gt;0</formula>
    </cfRule>
    <cfRule type="expression" dxfId="1" priority="96">
      <formula>AND(COUNTIF(G55:BE55,"&lt;&gt;" &amp; "")&gt;0,NOT(ISBLANK(E55)))</formula>
    </cfRule>
  </conditionalFormatting>
  <conditionalFormatting sqref="E56">
    <cfRule type="expression" dxfId="0" priority="97">
      <formula>COUNTIF(G56:BE56,"&lt;&gt;" &amp; "")&gt;0</formula>
    </cfRule>
    <cfRule type="expression" dxfId="1" priority="98">
      <formula>AND(COUNTIF(G56:BE56,"&lt;&gt;" &amp; "")&gt;0,NOT(ISBLANK(E56)))</formula>
    </cfRule>
  </conditionalFormatting>
  <conditionalFormatting sqref="E57">
    <cfRule type="expression" dxfId="0" priority="99">
      <formula>COUNTIF(G57:BE57,"&lt;&gt;" &amp; "")&gt;0</formula>
    </cfRule>
    <cfRule type="expression" dxfId="1" priority="100">
      <formula>AND(COUNTIF(G57:BE57,"&lt;&gt;" &amp; "")&gt;0,NOT(ISBLANK(E57)))</formula>
    </cfRule>
  </conditionalFormatting>
  <conditionalFormatting sqref="E58">
    <cfRule type="expression" dxfId="0" priority="101">
      <formula>COUNTIF(G58:BE58,"&lt;&gt;" &amp; "")&gt;0</formula>
    </cfRule>
    <cfRule type="expression" dxfId="1" priority="102">
      <formula>AND(COUNTIF(G58:BE58,"&lt;&gt;" &amp; "")&gt;0,NOT(ISBLANK(E58)))</formula>
    </cfRule>
  </conditionalFormatting>
  <conditionalFormatting sqref="E59">
    <cfRule type="expression" dxfId="0" priority="103">
      <formula>COUNTIF(G59:BE59,"&lt;&gt;" &amp; "")&gt;0</formula>
    </cfRule>
    <cfRule type="expression" dxfId="1" priority="104">
      <formula>AND(COUNTIF(G59:BE59,"&lt;&gt;" &amp; "")&gt;0,NOT(ISBLANK(E59)))</formula>
    </cfRule>
  </conditionalFormatting>
  <conditionalFormatting sqref="E6">
    <cfRule type="expression" dxfId="0" priority="9">
      <formula>COUNTIF(G6:BE6,"&lt;&gt;" &amp; "")&gt;0</formula>
    </cfRule>
    <cfRule type="expression" dxfId="1" priority="10">
      <formula>AND(COUNTIF(G6:BE6,"&lt;&gt;" &amp; "")&gt;0,NOT(ISBLANK(E6)))</formula>
    </cfRule>
  </conditionalFormatting>
  <conditionalFormatting sqref="E60">
    <cfRule type="expression" dxfId="0" priority="105">
      <formula>COUNTIF(G60:BE60,"&lt;&gt;" &amp; "")&gt;0</formula>
    </cfRule>
    <cfRule type="expression" dxfId="1" priority="106">
      <formula>AND(COUNTIF(G60:BE60,"&lt;&gt;" &amp; "")&gt;0,NOT(ISBLANK(E60)))</formula>
    </cfRule>
  </conditionalFormatting>
  <conditionalFormatting sqref="E61">
    <cfRule type="expression" dxfId="0" priority="107">
      <formula>COUNTIF(G61:BE61,"&lt;&gt;" &amp; "")&gt;0</formula>
    </cfRule>
    <cfRule type="expression" dxfId="1" priority="108">
      <formula>AND(COUNTIF(G61:BE61,"&lt;&gt;" &amp; "")&gt;0,NOT(ISBLANK(E61)))</formula>
    </cfRule>
  </conditionalFormatting>
  <conditionalFormatting sqref="E62">
    <cfRule type="expression" dxfId="0" priority="109">
      <formula>COUNTIF(G62:BE62,"&lt;&gt;" &amp; "")&gt;0</formula>
    </cfRule>
    <cfRule type="expression" dxfId="1" priority="110">
      <formula>AND(COUNTIF(G62:BE62,"&lt;&gt;" &amp; "")&gt;0,NOT(ISBLANK(E62)))</formula>
    </cfRule>
  </conditionalFormatting>
  <conditionalFormatting sqref="E63">
    <cfRule type="expression" dxfId="0" priority="111">
      <formula>COUNTIF(G63:BE63,"&lt;&gt;" &amp; "")&gt;0</formula>
    </cfRule>
    <cfRule type="expression" dxfId="1" priority="112">
      <formula>AND(COUNTIF(G63:BE63,"&lt;&gt;" &amp; "")&gt;0,NOT(ISBLANK(E63)))</formula>
    </cfRule>
  </conditionalFormatting>
  <conditionalFormatting sqref="E66">
    <cfRule type="expression" dxfId="0" priority="113">
      <formula>COUNTIF(G66:BE66,"&lt;&gt;" &amp; "")&gt;0</formula>
    </cfRule>
    <cfRule type="expression" dxfId="1" priority="114">
      <formula>AND(COUNTIF(G66:BE66,"&lt;&gt;" &amp; "")&gt;0,NOT(ISBLANK(E66)))</formula>
    </cfRule>
  </conditionalFormatting>
  <conditionalFormatting sqref="E67">
    <cfRule type="expression" dxfId="0" priority="115">
      <formula>COUNTIF(G67:BE67,"&lt;&gt;" &amp; "")&gt;0</formula>
    </cfRule>
    <cfRule type="expression" dxfId="1" priority="116">
      <formula>AND(COUNTIF(G67:BE67,"&lt;&gt;" &amp; "")&gt;0,NOT(ISBLANK(E67)))</formula>
    </cfRule>
  </conditionalFormatting>
  <conditionalFormatting sqref="E68">
    <cfRule type="expression" dxfId="0" priority="117">
      <formula>COUNTIF(G68:BE68,"&lt;&gt;" &amp; "")&gt;0</formula>
    </cfRule>
    <cfRule type="expression" dxfId="1" priority="118">
      <formula>AND(COUNTIF(G68:BE68,"&lt;&gt;" &amp; "")&gt;0,NOT(ISBLANK(E68)))</formula>
    </cfRule>
  </conditionalFormatting>
  <conditionalFormatting sqref="E69">
    <cfRule type="expression" dxfId="0" priority="119">
      <formula>COUNTIF(G69:BE69,"&lt;&gt;" &amp; "")&gt;0</formula>
    </cfRule>
    <cfRule type="expression" dxfId="1" priority="120">
      <formula>AND(COUNTIF(G69:BE69,"&lt;&gt;" &amp; "")&gt;0,NOT(ISBLANK(E69)))</formula>
    </cfRule>
  </conditionalFormatting>
  <conditionalFormatting sqref="E7">
    <cfRule type="expression" dxfId="0" priority="11">
      <formula>COUNTIF(G7:BE7,"&lt;&gt;" &amp; "")&gt;0</formula>
    </cfRule>
    <cfRule type="expression" dxfId="1" priority="12">
      <formula>AND(COUNTIF(G7:BE7,"&lt;&gt;" &amp; "")&gt;0,NOT(ISBLANK(E7)))</formula>
    </cfRule>
  </conditionalFormatting>
  <conditionalFormatting sqref="E70">
    <cfRule type="expression" dxfId="0" priority="121">
      <formula>COUNTIF(G70:BE70,"&lt;&gt;" &amp; "")&gt;0</formula>
    </cfRule>
    <cfRule type="expression" dxfId="1" priority="122">
      <formula>AND(COUNTIF(G70:BE70,"&lt;&gt;" &amp; "")&gt;0,NOT(ISBLANK(E70)))</formula>
    </cfRule>
  </conditionalFormatting>
  <conditionalFormatting sqref="E71">
    <cfRule type="expression" dxfId="0" priority="123">
      <formula>COUNTIF(G71:BE71,"&lt;&gt;" &amp; "")&gt;0</formula>
    </cfRule>
    <cfRule type="expression" dxfId="1" priority="124">
      <formula>AND(COUNTIF(G71:BE71,"&lt;&gt;" &amp; "")&gt;0,NOT(ISBLANK(E71)))</formula>
    </cfRule>
  </conditionalFormatting>
  <conditionalFormatting sqref="E72">
    <cfRule type="expression" dxfId="0" priority="125">
      <formula>COUNTIF(G72:BE72,"&lt;&gt;" &amp; "")&gt;0</formula>
    </cfRule>
    <cfRule type="expression" dxfId="1" priority="126">
      <formula>AND(COUNTIF(G72:BE72,"&lt;&gt;" &amp; "")&gt;0,NOT(ISBLANK(E72)))</formula>
    </cfRule>
  </conditionalFormatting>
  <conditionalFormatting sqref="E73">
    <cfRule type="expression" dxfId="0" priority="127">
      <formula>COUNTIF(G73:BE73,"&lt;&gt;" &amp; "")&gt;0</formula>
    </cfRule>
    <cfRule type="expression" dxfId="1" priority="128">
      <formula>AND(COUNTIF(G73:BE73,"&lt;&gt;" &amp; "")&gt;0,NOT(ISBLANK(E73)))</formula>
    </cfRule>
  </conditionalFormatting>
  <conditionalFormatting sqref="E74">
    <cfRule type="expression" dxfId="0" priority="129">
      <formula>COUNTIF(G74:BE74,"&lt;&gt;" &amp; "")&gt;0</formula>
    </cfRule>
    <cfRule type="expression" dxfId="1" priority="130">
      <formula>AND(COUNTIF(G74:BE74,"&lt;&gt;" &amp; "")&gt;0,NOT(ISBLANK(E74)))</formula>
    </cfRule>
  </conditionalFormatting>
  <conditionalFormatting sqref="E75">
    <cfRule type="expression" dxfId="0" priority="131">
      <formula>COUNTIF(G75:BE75,"&lt;&gt;" &amp; "")&gt;0</formula>
    </cfRule>
    <cfRule type="expression" dxfId="1" priority="132">
      <formula>AND(COUNTIF(G75:BE75,"&lt;&gt;" &amp; "")&gt;0,NOT(ISBLANK(E75)))</formula>
    </cfRule>
  </conditionalFormatting>
  <conditionalFormatting sqref="E76">
    <cfRule type="expression" dxfId="0" priority="133">
      <formula>COUNTIF(G76:BE76,"&lt;&gt;" &amp; "")&gt;0</formula>
    </cfRule>
    <cfRule type="expression" dxfId="1" priority="134">
      <formula>AND(COUNTIF(G76:BE76,"&lt;&gt;" &amp; "")&gt;0,NOT(ISBLANK(E76)))</formula>
    </cfRule>
  </conditionalFormatting>
  <conditionalFormatting sqref="E77">
    <cfRule type="expression" dxfId="0" priority="135">
      <formula>COUNTIF(G77:BE77,"&lt;&gt;" &amp; "")&gt;0</formula>
    </cfRule>
    <cfRule type="expression" dxfId="1" priority="136">
      <formula>AND(COUNTIF(G77:BE77,"&lt;&gt;" &amp; "")&gt;0,NOT(ISBLANK(E77)))</formula>
    </cfRule>
  </conditionalFormatting>
  <conditionalFormatting sqref="E78">
    <cfRule type="expression" dxfId="0" priority="137">
      <formula>COUNTIF(G78:BE78,"&lt;&gt;" &amp; "")&gt;0</formula>
    </cfRule>
    <cfRule type="expression" dxfId="1" priority="138">
      <formula>AND(COUNTIF(G78:BE78,"&lt;&gt;" &amp; "")&gt;0,NOT(ISBLANK(E78)))</formula>
    </cfRule>
  </conditionalFormatting>
  <conditionalFormatting sqref="E79">
    <cfRule type="expression" dxfId="0" priority="139">
      <formula>COUNTIF(G79:BE79,"&lt;&gt;" &amp; "")&gt;0</formula>
    </cfRule>
    <cfRule type="expression" dxfId="1" priority="140">
      <formula>AND(COUNTIF(G79:BE79,"&lt;&gt;" &amp; "")&gt;0,NOT(ISBLANK(E79)))</formula>
    </cfRule>
  </conditionalFormatting>
  <conditionalFormatting sqref="E8">
    <cfRule type="expression" dxfId="0" priority="13">
      <formula>COUNTIF(G8:BE8,"&lt;&gt;" &amp; "")&gt;0</formula>
    </cfRule>
    <cfRule type="expression" dxfId="1" priority="14">
      <formula>AND(COUNTIF(G8:BE8,"&lt;&gt;" &amp; "")&gt;0,NOT(ISBLANK(E8)))</formula>
    </cfRule>
  </conditionalFormatting>
  <conditionalFormatting sqref="E82">
    <cfRule type="expression" dxfId="0" priority="141">
      <formula>COUNTIF(G82:BE82,"&lt;&gt;" &amp; "")&gt;0</formula>
    </cfRule>
    <cfRule type="expression" dxfId="1" priority="142">
      <formula>AND(COUNTIF(G82:BE82,"&lt;&gt;" &amp; "")&gt;0,NOT(ISBLANK(E82)))</formula>
    </cfRule>
  </conditionalFormatting>
  <conditionalFormatting sqref="E83">
    <cfRule type="expression" dxfId="0" priority="143">
      <formula>COUNTIF(G83:BE83,"&lt;&gt;" &amp; "")&gt;0</formula>
    </cfRule>
    <cfRule type="expression" dxfId="1" priority="144">
      <formula>AND(COUNTIF(G83:BE83,"&lt;&gt;" &amp; "")&gt;0,NOT(ISBLANK(E83)))</formula>
    </cfRule>
  </conditionalFormatting>
  <conditionalFormatting sqref="E84">
    <cfRule type="expression" dxfId="0" priority="145">
      <formula>COUNTIF(G84:BE84,"&lt;&gt;" &amp; "")&gt;0</formula>
    </cfRule>
    <cfRule type="expression" dxfId="1" priority="146">
      <formula>AND(COUNTIF(G84:BE84,"&lt;&gt;" &amp; "")&gt;0,NOT(ISBLANK(E84)))</formula>
    </cfRule>
  </conditionalFormatting>
  <conditionalFormatting sqref="E85">
    <cfRule type="expression" dxfId="0" priority="147">
      <formula>COUNTIF(G85:BE85,"&lt;&gt;" &amp; "")&gt;0</formula>
    </cfRule>
    <cfRule type="expression" dxfId="1" priority="148">
      <formula>AND(COUNTIF(G85:BE85,"&lt;&gt;" &amp; "")&gt;0,NOT(ISBLANK(E85)))</formula>
    </cfRule>
  </conditionalFormatting>
  <conditionalFormatting sqref="E86">
    <cfRule type="expression" dxfId="0" priority="149">
      <formula>COUNTIF(G86:BE86,"&lt;&gt;" &amp; "")&gt;0</formula>
    </cfRule>
    <cfRule type="expression" dxfId="1" priority="150">
      <formula>AND(COUNTIF(G86:BE86,"&lt;&gt;" &amp; "")&gt;0,NOT(ISBLANK(E86)))</formula>
    </cfRule>
  </conditionalFormatting>
  <conditionalFormatting sqref="E87">
    <cfRule type="expression" dxfId="0" priority="151">
      <formula>COUNTIF(G87:BE87,"&lt;&gt;" &amp; "")&gt;0</formula>
    </cfRule>
    <cfRule type="expression" dxfId="1" priority="152">
      <formula>AND(COUNTIF(G87:BE87,"&lt;&gt;" &amp; "")&gt;0,NOT(ISBLANK(E87)))</formula>
    </cfRule>
  </conditionalFormatting>
  <conditionalFormatting sqref="E88">
    <cfRule type="expression" dxfId="0" priority="153">
      <formula>COUNTIF(G88:BE88,"&lt;&gt;" &amp; "")&gt;0</formula>
    </cfRule>
    <cfRule type="expression" dxfId="1" priority="154">
      <formula>AND(COUNTIF(G88:BE88,"&lt;&gt;" &amp; "")&gt;0,NOT(ISBLANK(E88)))</formula>
    </cfRule>
  </conditionalFormatting>
  <conditionalFormatting sqref="E89">
    <cfRule type="expression" dxfId="0" priority="155">
      <formula>COUNTIF(G89:BE89,"&lt;&gt;" &amp; "")&gt;0</formula>
    </cfRule>
    <cfRule type="expression" dxfId="1" priority="156">
      <formula>AND(COUNTIF(G89:BE89,"&lt;&gt;" &amp; "")&gt;0,NOT(ISBLANK(E89)))</formula>
    </cfRule>
  </conditionalFormatting>
  <conditionalFormatting sqref="E9">
    <cfRule type="expression" dxfId="0" priority="15">
      <formula>COUNTIF(G9:BE9,"&lt;&gt;" &amp; "")&gt;0</formula>
    </cfRule>
    <cfRule type="expression" dxfId="1" priority="16">
      <formula>AND(COUNTIF(G9:BE9,"&lt;&gt;" &amp; "")&gt;0,NOT(ISBLANK(E9)))</formula>
    </cfRule>
  </conditionalFormatting>
  <conditionalFormatting sqref="E90">
    <cfRule type="expression" dxfId="0" priority="157">
      <formula>COUNTIF(G90:BE90,"&lt;&gt;" &amp; "")&gt;0</formula>
    </cfRule>
    <cfRule type="expression" dxfId="1" priority="158">
      <formula>AND(COUNTIF(G90:BE90,"&lt;&gt;" &amp; "")&gt;0,NOT(ISBLANK(E90)))</formula>
    </cfRule>
  </conditionalFormatting>
  <conditionalFormatting sqref="E91">
    <cfRule type="expression" dxfId="0" priority="159">
      <formula>COUNTIF(G91:BE91,"&lt;&gt;" &amp; "")&gt;0</formula>
    </cfRule>
    <cfRule type="expression" dxfId="1" priority="160">
      <formula>AND(COUNTIF(G91:BE91,"&lt;&gt;" &amp; "")&gt;0,NOT(ISBLANK(E91)))</formula>
    </cfRule>
  </conditionalFormatting>
  <conditionalFormatting sqref="E92">
    <cfRule type="expression" dxfId="0" priority="161">
      <formula>COUNTIF(G92:BE92,"&lt;&gt;" &amp; "")&gt;0</formula>
    </cfRule>
    <cfRule type="expression" dxfId="1" priority="162">
      <formula>AND(COUNTIF(G92:BE92,"&lt;&gt;" &amp; "")&gt;0,NOT(ISBLANK(E92)))</formula>
    </cfRule>
  </conditionalFormatting>
  <conditionalFormatting sqref="E93">
    <cfRule type="expression" dxfId="0" priority="163">
      <formula>COUNTIF(G93:BE93,"&lt;&gt;" &amp; "")&gt;0</formula>
    </cfRule>
    <cfRule type="expression" dxfId="1" priority="164">
      <formula>AND(COUNTIF(G93:BE93,"&lt;&gt;" &amp; "")&gt;0,NOT(ISBLANK(E93)))</formula>
    </cfRule>
  </conditionalFormatting>
  <conditionalFormatting sqref="E94">
    <cfRule type="expression" dxfId="0" priority="165">
      <formula>COUNTIF(G94:BE94,"&lt;&gt;" &amp; "")&gt;0</formula>
    </cfRule>
    <cfRule type="expression" dxfId="1" priority="166">
      <formula>AND(COUNTIF(G94:BE94,"&lt;&gt;" &amp; "")&gt;0,NOT(ISBLANK(E94)))</formula>
    </cfRule>
  </conditionalFormatting>
  <conditionalFormatting sqref="E95">
    <cfRule type="expression" dxfId="0" priority="167">
      <formula>COUNTIF(G95:BE95,"&lt;&gt;" &amp; "")&gt;0</formula>
    </cfRule>
    <cfRule type="expression" dxfId="1" priority="168">
      <formula>AND(COUNTIF(G95:BE95,"&lt;&gt;" &amp; "")&gt;0,NOT(ISBLANK(E95)))</formula>
    </cfRule>
  </conditionalFormatting>
  <conditionalFormatting sqref="E98">
    <cfRule type="expression" dxfId="0" priority="169">
      <formula>COUNTIF(G98:BE98,"&lt;&gt;" &amp; "")&gt;0</formula>
    </cfRule>
    <cfRule type="expression" dxfId="1" priority="170">
      <formula>AND(COUNTIF(G98:BE98,"&lt;&gt;" &amp; "")&gt;0,NOT(ISBLANK(E98)))</formula>
    </cfRule>
  </conditionalFormatting>
  <conditionalFormatting sqref="E99">
    <cfRule type="expression" dxfId="0" priority="171">
      <formula>COUNTIF(G99:BE99,"&lt;&gt;" &amp; "")&gt;0</formula>
    </cfRule>
    <cfRule type="expression" dxfId="1" priority="172">
      <formula>AND(COUNTIF(G99:BE99,"&lt;&gt;" &amp; "")&gt;0,NOT(ISBLANK(E99)))</formula>
    </cfRule>
  </conditionalFormatting>
  <dataValidations count="98">
    <dataValidation type="list" allowBlank="1" showInputMessage="1" showErrorMessage="1" sqref="C2">
      <formula1>"N.A."</formula1>
    </dataValidation>
    <dataValidation type="list" allowBlank="1" showInputMessage="1" showErrorMessage="1" sqref="C3">
      <formula1>"N.A."</formula1>
    </dataValidation>
    <dataValidation type="list" allowBlank="1" showInputMessage="1" showErrorMessage="1" sqref="C4">
      <formula1>"N.A."</formula1>
    </dataValidation>
    <dataValidation type="list" allowBlank="1" showInputMessage="1" showErrorMessage="1" sqref="C5">
      <formula1>"N.A."</formula1>
    </dataValidation>
    <dataValidation type="list" allowBlank="1" showInputMessage="1" showErrorMessage="1" sqref="C6">
      <formula1>"N.A."</formula1>
    </dataValidation>
    <dataValidation type="list" allowBlank="1" showInputMessage="1" showErrorMessage="1" sqref="C7">
      <formula1>"N.A."</formula1>
    </dataValidation>
    <dataValidation type="list" allowBlank="1" showInputMessage="1" showErrorMessage="1" sqref="C8">
      <formula1>"N.A."</formula1>
    </dataValidation>
    <dataValidation type="list" allowBlank="1" showInputMessage="1" showErrorMessage="1" sqref="C9">
      <formula1>"N.A."</formula1>
    </dataValidation>
    <dataValidation type="list" allowBlank="1" showInputMessage="1" showErrorMessage="1" sqref="C10">
      <formula1>"N.A."</formula1>
    </dataValidation>
    <dataValidation type="list" allowBlank="1" showInputMessage="1" showErrorMessage="1" sqref="C11">
      <formula1>"N.A."</formula1>
    </dataValidation>
    <dataValidation type="list" allowBlank="1" showInputMessage="1" showErrorMessage="1" sqref="C12">
      <formula1>"N.A."</formula1>
    </dataValidation>
    <dataValidation type="list" allowBlank="1" showInputMessage="1" showErrorMessage="1" sqref="C13">
      <formula1>"N.A."</formula1>
    </dataValidation>
    <dataValidation type="list" allowBlank="1" showInputMessage="1" showErrorMessage="1" sqref="C14">
      <formula1>"N.A."</formula1>
    </dataValidation>
    <dataValidation type="list" allowBlank="1" showInputMessage="1" showErrorMessage="1" sqref="C15">
      <formula1>"N.A."</formula1>
    </dataValidation>
    <dataValidation type="list" allowBlank="1" showInputMessage="1" showErrorMessage="1" sqref="C18">
      <formula1>"N.A."</formula1>
    </dataValidation>
    <dataValidation type="list" allowBlank="1" showInputMessage="1" showErrorMessage="1" sqref="C19">
      <formula1>"N.A."</formula1>
    </dataValidation>
    <dataValidation type="list" allowBlank="1" showInputMessage="1" showErrorMessage="1" sqref="C20">
      <formula1>"N.A."</formula1>
    </dataValidation>
    <dataValidation type="list" allowBlank="1" showInputMessage="1" showErrorMessage="1" sqref="C21">
      <formula1>"N.A."</formula1>
    </dataValidation>
    <dataValidation type="list" allowBlank="1" showInputMessage="1" showErrorMessage="1" sqref="C22">
      <formula1>"N.A."</formula1>
    </dataValidation>
    <dataValidation type="list" allowBlank="1" showInputMessage="1" showErrorMessage="1" sqref="C23">
      <formula1>"N.A."</formula1>
    </dataValidation>
    <dataValidation type="list" allowBlank="1" showInputMessage="1" showErrorMessage="1" sqref="C24">
      <formula1>"N.A."</formula1>
    </dataValidation>
    <dataValidation type="list" allowBlank="1" showInputMessage="1" showErrorMessage="1" sqref="C25">
      <formula1>"N.A."</formula1>
    </dataValidation>
    <dataValidation type="list" allowBlank="1" showInputMessage="1" showErrorMessage="1" sqref="C26">
      <formula1>"N.A."</formula1>
    </dataValidation>
    <dataValidation type="list" allowBlank="1" showInputMessage="1" showErrorMessage="1" sqref="C27">
      <formula1>"N.A."</formula1>
    </dataValidation>
    <dataValidation type="list" allowBlank="1" showInputMessage="1" showErrorMessage="1" sqref="C28">
      <formula1>"N.A."</formula1>
    </dataValidation>
    <dataValidation type="list" allowBlank="1" showInputMessage="1" showErrorMessage="1" sqref="C29">
      <formula1>"N.A."</formula1>
    </dataValidation>
    <dataValidation type="list" allowBlank="1" showInputMessage="1" showErrorMessage="1" sqref="C30">
      <formula1>"N.A."</formula1>
    </dataValidation>
    <dataValidation type="list" allowBlank="1" showInputMessage="1" showErrorMessage="1" sqref="C31">
      <formula1>"N.A."</formula1>
    </dataValidation>
    <dataValidation type="list" allowBlank="1" showInputMessage="1" showErrorMessage="1" sqref="C34">
      <formula1>"N.A."</formula1>
    </dataValidation>
    <dataValidation type="list" allowBlank="1" showInputMessage="1" showErrorMessage="1" sqref="C35">
      <formula1>"N.A."</formula1>
    </dataValidation>
    <dataValidation type="list" allowBlank="1" showInputMessage="1" showErrorMessage="1" sqref="C36">
      <formula1>"N.A."</formula1>
    </dataValidation>
    <dataValidation type="list" allowBlank="1" showInputMessage="1" showErrorMessage="1" sqref="C37">
      <formula1>"N.A."</formula1>
    </dataValidation>
    <dataValidation type="list" allowBlank="1" showInputMessage="1" showErrorMessage="1" sqref="C38">
      <formula1>"N.A."</formula1>
    </dataValidation>
    <dataValidation type="list" allowBlank="1" showInputMessage="1" showErrorMessage="1" sqref="C39">
      <formula1>"N.A."</formula1>
    </dataValidation>
    <dataValidation type="list" allowBlank="1" showInputMessage="1" showErrorMessage="1" sqref="C40">
      <formula1>"N.A."</formula1>
    </dataValidation>
    <dataValidation type="list" allowBlank="1" showInputMessage="1" showErrorMessage="1" sqref="C41">
      <formula1>"N.A."</formula1>
    </dataValidation>
    <dataValidation type="list" allowBlank="1" showInputMessage="1" showErrorMessage="1" sqref="C42">
      <formula1>"N.A."</formula1>
    </dataValidation>
    <dataValidation type="list" allowBlank="1" showInputMessage="1" showErrorMessage="1" sqref="C43">
      <formula1>"N.A."</formula1>
    </dataValidation>
    <dataValidation type="list" allowBlank="1" showInputMessage="1" showErrorMessage="1" sqref="C44">
      <formula1>"N.A."</formula1>
    </dataValidation>
    <dataValidation type="list" allowBlank="1" showInputMessage="1" showErrorMessage="1" sqref="C45">
      <formula1>"N.A."</formula1>
    </dataValidation>
    <dataValidation type="list" allowBlank="1" showInputMessage="1" showErrorMessage="1" sqref="C46">
      <formula1>"N.A."</formula1>
    </dataValidation>
    <dataValidation type="list" allowBlank="1" showInputMessage="1" showErrorMessage="1" sqref="C47">
      <formula1>"N.A."</formula1>
    </dataValidation>
    <dataValidation type="list" allowBlank="1" showInputMessage="1" showErrorMessage="1" sqref="C50">
      <formula1>"N.A."</formula1>
    </dataValidation>
    <dataValidation type="list" allowBlank="1" showInputMessage="1" showErrorMessage="1" sqref="C51">
      <formula1>"N.A."</formula1>
    </dataValidation>
    <dataValidation type="list" allowBlank="1" showInputMessage="1" showErrorMessage="1" sqref="C52">
      <formula1>"N.A."</formula1>
    </dataValidation>
    <dataValidation type="list" allowBlank="1" showInputMessage="1" showErrorMessage="1" sqref="C53">
      <formula1>"N.A."</formula1>
    </dataValidation>
    <dataValidation type="list" allowBlank="1" showInputMessage="1" showErrorMessage="1" sqref="C54">
      <formula1>"N.A."</formula1>
    </dataValidation>
    <dataValidation type="list" allowBlank="1" showInputMessage="1" showErrorMessage="1" sqref="C55">
      <formula1>"N.A."</formula1>
    </dataValidation>
    <dataValidation type="list" allowBlank="1" showInputMessage="1" showErrorMessage="1" sqref="C56">
      <formula1>"N.A."</formula1>
    </dataValidation>
    <dataValidation type="list" allowBlank="1" showInputMessage="1" showErrorMessage="1" sqref="C57">
      <formula1>"N.A."</formula1>
    </dataValidation>
    <dataValidation type="list" allowBlank="1" showInputMessage="1" showErrorMessage="1" sqref="C58">
      <formula1>"N.A."</formula1>
    </dataValidation>
    <dataValidation type="list" allowBlank="1" showInputMessage="1" showErrorMessage="1" sqref="C59">
      <formula1>"N.A."</formula1>
    </dataValidation>
    <dataValidation type="list" allowBlank="1" showInputMessage="1" showErrorMessage="1" sqref="C60">
      <formula1>"N.A."</formula1>
    </dataValidation>
    <dataValidation type="list" allowBlank="1" showInputMessage="1" showErrorMessage="1" sqref="C61">
      <formula1>"N.A."</formula1>
    </dataValidation>
    <dataValidation type="list" allowBlank="1" showInputMessage="1" showErrorMessage="1" sqref="C62">
      <formula1>"N.A."</formula1>
    </dataValidation>
    <dataValidation type="list" allowBlank="1" showInputMessage="1" showErrorMessage="1" sqref="C63">
      <formula1>"N.A."</formula1>
    </dataValidation>
    <dataValidation type="list" allowBlank="1" showInputMessage="1" showErrorMessage="1" sqref="C66">
      <formula1>"Duration (years)"</formula1>
    </dataValidation>
    <dataValidation type="list" allowBlank="1" showInputMessage="1" showErrorMessage="1" sqref="C67">
      <formula1>"Duration (years)"</formula1>
    </dataValidation>
    <dataValidation type="list" allowBlank="1" showInputMessage="1" showErrorMessage="1" sqref="C68">
      <formula1>"Duration (years)"</formula1>
    </dataValidation>
    <dataValidation type="list" allowBlank="1" showInputMessage="1" showErrorMessage="1" sqref="C69">
      <formula1>"Duration (years)"</formula1>
    </dataValidation>
    <dataValidation type="list" allowBlank="1" showInputMessage="1" showErrorMessage="1" sqref="C70">
      <formula1>"Duration (years)"</formula1>
    </dataValidation>
    <dataValidation type="list" allowBlank="1" showInputMessage="1" showErrorMessage="1" sqref="C71">
      <formula1>"Duration (years)"</formula1>
    </dataValidation>
    <dataValidation type="list" allowBlank="1" showInputMessage="1" showErrorMessage="1" sqref="C72">
      <formula1>"Duration (years)"</formula1>
    </dataValidation>
    <dataValidation type="list" allowBlank="1" showInputMessage="1" showErrorMessage="1" sqref="C73">
      <formula1>"Duration (years)"</formula1>
    </dataValidation>
    <dataValidation type="list" allowBlank="1" showInputMessage="1" showErrorMessage="1" sqref="C74">
      <formula1>"Duration (years)"</formula1>
    </dataValidation>
    <dataValidation type="list" allowBlank="1" showInputMessage="1" showErrorMessage="1" sqref="C75">
      <formula1>"Duration (years)"</formula1>
    </dataValidation>
    <dataValidation type="list" allowBlank="1" showInputMessage="1" showErrorMessage="1" sqref="C76">
      <formula1>"Duration (years)"</formula1>
    </dataValidation>
    <dataValidation type="list" allowBlank="1" showInputMessage="1" showErrorMessage="1" sqref="C77">
      <formula1>"Duration (years)"</formula1>
    </dataValidation>
    <dataValidation type="list" allowBlank="1" showInputMessage="1" showErrorMessage="1" sqref="C78">
      <formula1>"Duration (years)"</formula1>
    </dataValidation>
    <dataValidation type="list" allowBlank="1" showInputMessage="1" showErrorMessage="1" sqref="C79">
      <formula1>"Duration (years)"</formula1>
    </dataValidation>
    <dataValidation type="list" allowBlank="1" showInputMessage="1" showErrorMessage="1" sqref="C82">
      <formula1>"Proportion"</formula1>
    </dataValidation>
    <dataValidation type="list" allowBlank="1" showInputMessage="1" showErrorMessage="1" sqref="C83">
      <formula1>"Proportion"</formula1>
    </dataValidation>
    <dataValidation type="list" allowBlank="1" showInputMessage="1" showErrorMessage="1" sqref="C84">
      <formula1>"Proportion"</formula1>
    </dataValidation>
    <dataValidation type="list" allowBlank="1" showInputMessage="1" showErrorMessage="1" sqref="C85">
      <formula1>"Proportion"</formula1>
    </dataValidation>
    <dataValidation type="list" allowBlank="1" showInputMessage="1" showErrorMessage="1" sqref="C86">
      <formula1>"Proportion"</formula1>
    </dataValidation>
    <dataValidation type="list" allowBlank="1" showInputMessage="1" showErrorMessage="1" sqref="C87">
      <formula1>"Proportion"</formula1>
    </dataValidation>
    <dataValidation type="list" allowBlank="1" showInputMessage="1" showErrorMessage="1" sqref="C88">
      <formula1>"Proportion"</formula1>
    </dataValidation>
    <dataValidation type="list" allowBlank="1" showInputMessage="1" showErrorMessage="1" sqref="C89">
      <formula1>"Proportion"</formula1>
    </dataValidation>
    <dataValidation type="list" allowBlank="1" showInputMessage="1" showErrorMessage="1" sqref="C90">
      <formula1>"Proportion"</formula1>
    </dataValidation>
    <dataValidation type="list" allowBlank="1" showInputMessage="1" showErrorMessage="1" sqref="C91">
      <formula1>"Proportion"</formula1>
    </dataValidation>
    <dataValidation type="list" allowBlank="1" showInputMessage="1" showErrorMessage="1" sqref="C92">
      <formula1>"Proportion"</formula1>
    </dataValidation>
    <dataValidation type="list" allowBlank="1" showInputMessage="1" showErrorMessage="1" sqref="C93">
      <formula1>"Proportion"</formula1>
    </dataValidation>
    <dataValidation type="list" allowBlank="1" showInputMessage="1" showErrorMessage="1" sqref="C94">
      <formula1>"Proportion"</formula1>
    </dataValidation>
    <dataValidation type="list" allowBlank="1" showInputMessage="1" showErrorMessage="1" sqref="C95">
      <formula1>"Proportion"</formula1>
    </dataValidation>
    <dataValidation type="list" allowBlank="1" showInputMessage="1" showErrorMessage="1" sqref="C98">
      <formula1>"Proportion"</formula1>
    </dataValidation>
    <dataValidation type="list" allowBlank="1" showInputMessage="1" showErrorMessage="1" sqref="C99">
      <formula1>"Proportion"</formula1>
    </dataValidation>
    <dataValidation type="list" allowBlank="1" showInputMessage="1" showErrorMessage="1" sqref="C100">
      <formula1>"Proportion"</formula1>
    </dataValidation>
    <dataValidation type="list" allowBlank="1" showInputMessage="1" showErrorMessage="1" sqref="C101">
      <formula1>"Proportion"</formula1>
    </dataValidation>
    <dataValidation type="list" allowBlank="1" showInputMessage="1" showErrorMessage="1" sqref="C102">
      <formula1>"Proportion"</formula1>
    </dataValidation>
    <dataValidation type="list" allowBlank="1" showInputMessage="1" showErrorMessage="1" sqref="C103">
      <formula1>"Proportion"</formula1>
    </dataValidation>
    <dataValidation type="list" allowBlank="1" showInputMessage="1" showErrorMessage="1" sqref="C104">
      <formula1>"Proportion"</formula1>
    </dataValidation>
    <dataValidation type="list" allowBlank="1" showInputMessage="1" showErrorMessage="1" sqref="C105">
      <formula1>"Proportion"</formula1>
    </dataValidation>
    <dataValidation type="list" allowBlank="1" showInputMessage="1" showErrorMessage="1" sqref="C106">
      <formula1>"Proportion"</formula1>
    </dataValidation>
    <dataValidation type="list" allowBlank="1" showInputMessage="1" showErrorMessage="1" sqref="C107">
      <formula1>"Proportion"</formula1>
    </dataValidation>
    <dataValidation type="list" allowBlank="1" showInputMessage="1" showErrorMessage="1" sqref="C108">
      <formula1>"Proportion"</formula1>
    </dataValidation>
    <dataValidation type="list" allowBlank="1" showInputMessage="1" showErrorMessage="1" sqref="C109">
      <formula1>"Proportion"</formula1>
    </dataValidation>
    <dataValidation type="list" allowBlank="1" showInputMessage="1" showErrorMessage="1" sqref="C110">
      <formula1>"Proportion"</formula1>
    </dataValidation>
    <dataValidation type="list" allowBlank="1" showInputMessage="1" showErrorMessage="1" sqref="C111">
      <formula1>"Proportion"</formula1>
    </dataValidation>
  </dataValidation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sheetPr>
    <tabColor rgb="FF808080"/>
  </sheetPr>
  <dimension ref="A1:BE63"/>
  <sheetViews>
    <sheetView workbookViewId="0"/>
  </sheetViews>
  <sheetFormatPr defaultRowHeight="15"/>
  <cols>
    <col min="1" max="1" width="49" customWidth="1"/>
    <col min="2" max="2" width="30.28515625" customWidth="1"/>
    <col min="3" max="3" width="19.28515625" customWidth="1"/>
    <col min="4" max="4" width="13.85546875" customWidth="1"/>
    <col min="5" max="5" width="10.5703125" customWidth="1"/>
    <col min="6" max="6" width="3.85546875" customWidth="1"/>
    <col min="7" max="57" width="9.42578125" customWidth="1"/>
  </cols>
  <sheetData>
    <row r="1" spans="1:57">
      <c r="A1" s="1" t="s">
        <v>105</v>
      </c>
      <c r="B1" s="1" t="s">
        <v>31</v>
      </c>
      <c r="C1" s="1" t="s">
        <v>32</v>
      </c>
      <c r="D1" s="1" t="s">
        <v>33</v>
      </c>
      <c r="E1" s="1" t="s">
        <v>38</v>
      </c>
      <c r="F1" s="1"/>
      <c r="G1" s="1">
        <v>2000</v>
      </c>
      <c r="H1" s="1">
        <v>2001</v>
      </c>
      <c r="I1" s="1">
        <v>2002</v>
      </c>
      <c r="J1" s="1">
        <v>2003</v>
      </c>
      <c r="K1" s="1">
        <v>2004</v>
      </c>
      <c r="L1" s="1">
        <v>2005</v>
      </c>
      <c r="M1" s="1">
        <v>2006</v>
      </c>
      <c r="N1" s="1">
        <v>2007</v>
      </c>
      <c r="O1" s="1">
        <v>2008</v>
      </c>
      <c r="P1" s="1">
        <v>2009</v>
      </c>
      <c r="Q1" s="1">
        <v>2010</v>
      </c>
      <c r="R1" s="1">
        <v>2011</v>
      </c>
      <c r="S1" s="1">
        <v>2012</v>
      </c>
      <c r="T1" s="1">
        <v>2013</v>
      </c>
      <c r="U1" s="1">
        <v>2014</v>
      </c>
      <c r="V1" s="1">
        <v>2015</v>
      </c>
      <c r="W1" s="1">
        <v>2016</v>
      </c>
      <c r="X1" s="1">
        <v>2017</v>
      </c>
      <c r="Y1" s="1">
        <v>2018</v>
      </c>
      <c r="Z1" s="1">
        <v>2019</v>
      </c>
      <c r="AA1" s="1">
        <v>2020</v>
      </c>
      <c r="AB1" s="1">
        <v>2021</v>
      </c>
      <c r="AC1" s="1">
        <v>2022</v>
      </c>
      <c r="AD1" s="1">
        <v>2023</v>
      </c>
      <c r="AE1" s="1">
        <v>2024</v>
      </c>
      <c r="AF1" s="1">
        <v>2025</v>
      </c>
      <c r="AG1" s="1">
        <v>2026</v>
      </c>
      <c r="AH1" s="1">
        <v>2027</v>
      </c>
      <c r="AI1" s="1">
        <v>2028</v>
      </c>
      <c r="AJ1" s="1">
        <v>2029</v>
      </c>
      <c r="AK1" s="1">
        <v>2030</v>
      </c>
      <c r="AL1" s="1">
        <v>2031</v>
      </c>
      <c r="AM1" s="1">
        <v>2032</v>
      </c>
      <c r="AN1" s="1">
        <v>2033</v>
      </c>
      <c r="AO1" s="1">
        <v>2034</v>
      </c>
      <c r="AP1" s="1">
        <v>2035</v>
      </c>
      <c r="AQ1" s="1">
        <v>2036</v>
      </c>
      <c r="AR1" s="1">
        <v>2037</v>
      </c>
      <c r="AS1" s="1">
        <v>2038</v>
      </c>
      <c r="AT1" s="1">
        <v>2039</v>
      </c>
      <c r="AU1" s="1">
        <v>2040</v>
      </c>
      <c r="AV1" s="1">
        <v>2041</v>
      </c>
      <c r="AW1" s="1">
        <v>2042</v>
      </c>
      <c r="AX1" s="1">
        <v>2043</v>
      </c>
      <c r="AY1" s="1">
        <v>2044</v>
      </c>
      <c r="AZ1" s="1">
        <v>2045</v>
      </c>
      <c r="BA1" s="1">
        <v>2046</v>
      </c>
      <c r="BB1" s="1">
        <v>2047</v>
      </c>
      <c r="BC1" s="1">
        <v>2048</v>
      </c>
      <c r="BD1" s="1">
        <v>2049</v>
      </c>
      <c r="BE1" s="1">
        <v>2050</v>
      </c>
    </row>
    <row r="2" spans="1:57">
      <c r="A2" s="1" t="str">
        <f>'Population Definitions'!$A$2</f>
        <v>PWID_males</v>
      </c>
      <c r="C2" t="s">
        <v>55</v>
      </c>
      <c r="D2" s="3"/>
      <c r="E2" s="3">
        <v>0.45</v>
      </c>
      <c r="F2" s="4" t="s">
        <v>39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</row>
    <row r="3" spans="1:57">
      <c r="A3" s="1" t="str">
        <f>'Population Definitions'!$A$3</f>
        <v>PWID_females</v>
      </c>
      <c r="C3" t="s">
        <v>55</v>
      </c>
      <c r="D3" s="3"/>
      <c r="E3" s="3">
        <v>0.45</v>
      </c>
      <c r="F3" s="4" t="s">
        <v>39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</row>
    <row r="4" spans="1:57">
      <c r="A4" s="1" t="str">
        <f>'Population Definitions'!$A$4</f>
        <v>0-9_males</v>
      </c>
      <c r="C4" t="s">
        <v>55</v>
      </c>
      <c r="D4" s="3"/>
      <c r="E4" s="3">
        <v>0.45</v>
      </c>
      <c r="F4" s="4" t="s">
        <v>39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</row>
    <row r="5" spans="1:57">
      <c r="A5" s="1" t="str">
        <f>'Population Definitions'!$A$5</f>
        <v>0-9_females</v>
      </c>
      <c r="C5" t="s">
        <v>55</v>
      </c>
      <c r="D5" s="3"/>
      <c r="E5" s="3">
        <v>0.45</v>
      </c>
      <c r="F5" s="4" t="s">
        <v>39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</row>
    <row r="6" spans="1:57">
      <c r="A6" s="1" t="str">
        <f>'Population Definitions'!$A$6</f>
        <v>10-17_males</v>
      </c>
      <c r="C6" t="s">
        <v>55</v>
      </c>
      <c r="D6" s="3"/>
      <c r="E6" s="3">
        <v>0.45</v>
      </c>
      <c r="F6" s="4" t="s">
        <v>39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</row>
    <row r="7" spans="1:57">
      <c r="A7" s="1" t="str">
        <f>'Population Definitions'!$A$7</f>
        <v>10-17_females</v>
      </c>
      <c r="C7" t="s">
        <v>55</v>
      </c>
      <c r="D7" s="3"/>
      <c r="E7" s="3">
        <v>0.45</v>
      </c>
      <c r="F7" s="4" t="s">
        <v>39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</row>
    <row r="8" spans="1:57">
      <c r="A8" s="1" t="str">
        <f>'Population Definitions'!$A$8</f>
        <v>18-64_males</v>
      </c>
      <c r="C8" t="s">
        <v>55</v>
      </c>
      <c r="D8" s="3"/>
      <c r="E8" s="3">
        <v>0.45</v>
      </c>
      <c r="F8" s="4" t="s">
        <v>39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</row>
    <row r="9" spans="1:57">
      <c r="A9" s="1" t="str">
        <f>'Population Definitions'!$A$9</f>
        <v>18-64_females</v>
      </c>
      <c r="C9" t="s">
        <v>55</v>
      </c>
      <c r="D9" s="3"/>
      <c r="E9" s="3">
        <v>0.45</v>
      </c>
      <c r="F9" s="4" t="s">
        <v>39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</row>
    <row r="10" spans="1:57">
      <c r="A10" s="1" t="str">
        <f>'Population Definitions'!$A$10</f>
        <v>65+_males</v>
      </c>
      <c r="C10" t="s">
        <v>55</v>
      </c>
      <c r="D10" s="3"/>
      <c r="E10" s="3">
        <v>0.45</v>
      </c>
      <c r="F10" s="4" t="s">
        <v>39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</row>
    <row r="11" spans="1:57">
      <c r="A11" s="1" t="str">
        <f>'Population Definitions'!$A$11</f>
        <v>65+_females</v>
      </c>
      <c r="C11" t="s">
        <v>55</v>
      </c>
      <c r="D11" s="3"/>
      <c r="E11" s="3">
        <v>0.45</v>
      </c>
      <c r="F11" s="4" t="s">
        <v>39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</row>
    <row r="12" spans="1:57">
      <c r="A12" s="1" t="str">
        <f>'Population Definitions'!$A$12</f>
        <v>Prisoners_males</v>
      </c>
      <c r="C12" t="s">
        <v>55</v>
      </c>
      <c r="D12" s="3"/>
      <c r="E12" s="3">
        <v>0.45</v>
      </c>
      <c r="F12" s="4" t="s">
        <v>39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</row>
    <row r="13" spans="1:57">
      <c r="A13" s="1" t="str">
        <f>'Population Definitions'!$A$13</f>
        <v>Prisoners_females</v>
      </c>
      <c r="C13" t="s">
        <v>55</v>
      </c>
      <c r="D13" s="3"/>
      <c r="E13" s="3">
        <v>0.45</v>
      </c>
      <c r="F13" s="4" t="s">
        <v>39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</row>
    <row r="14" spans="1:57">
      <c r="A14" s="1" t="str">
        <f>'Population Definitions'!$A$14</f>
        <v>Prisoners_PWID_males</v>
      </c>
      <c r="C14" t="s">
        <v>55</v>
      </c>
      <c r="D14" s="3"/>
      <c r="E14" s="3">
        <v>0.45</v>
      </c>
      <c r="F14" s="4" t="s">
        <v>39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</row>
    <row r="15" spans="1:57">
      <c r="A15" s="1" t="str">
        <f>'Population Definitions'!$A$15</f>
        <v>Prisoners_PWID_females</v>
      </c>
      <c r="C15" t="s">
        <v>55</v>
      </c>
      <c r="D15" s="3"/>
      <c r="E15" s="3">
        <v>0.45</v>
      </c>
      <c r="F15" s="4" t="s">
        <v>39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</row>
    <row r="17" spans="1:57">
      <c r="A17" s="1" t="s">
        <v>106</v>
      </c>
      <c r="B17" s="1" t="s">
        <v>31</v>
      </c>
      <c r="C17" s="1" t="s">
        <v>32</v>
      </c>
      <c r="D17" s="1" t="s">
        <v>33</v>
      </c>
      <c r="E17" s="1" t="s">
        <v>38</v>
      </c>
      <c r="F17" s="1"/>
      <c r="G17" s="1">
        <v>2000</v>
      </c>
      <c r="H17" s="1">
        <v>2001</v>
      </c>
      <c r="I17" s="1">
        <v>2002</v>
      </c>
      <c r="J17" s="1">
        <v>2003</v>
      </c>
      <c r="K17" s="1">
        <v>2004</v>
      </c>
      <c r="L17" s="1">
        <v>2005</v>
      </c>
      <c r="M17" s="1">
        <v>2006</v>
      </c>
      <c r="N17" s="1">
        <v>2007</v>
      </c>
      <c r="O17" s="1">
        <v>2008</v>
      </c>
      <c r="P17" s="1">
        <v>2009</v>
      </c>
      <c r="Q17" s="1">
        <v>2010</v>
      </c>
      <c r="R17" s="1">
        <v>2011</v>
      </c>
      <c r="S17" s="1">
        <v>2012</v>
      </c>
      <c r="T17" s="1">
        <v>2013</v>
      </c>
      <c r="U17" s="1">
        <v>2014</v>
      </c>
      <c r="V17" s="1">
        <v>2015</v>
      </c>
      <c r="W17" s="1">
        <v>2016</v>
      </c>
      <c r="X17" s="1">
        <v>2017</v>
      </c>
      <c r="Y17" s="1">
        <v>2018</v>
      </c>
      <c r="Z17" s="1">
        <v>2019</v>
      </c>
      <c r="AA17" s="1">
        <v>2020</v>
      </c>
      <c r="AB17" s="1">
        <v>2021</v>
      </c>
      <c r="AC17" s="1">
        <v>2022</v>
      </c>
      <c r="AD17" s="1">
        <v>2023</v>
      </c>
      <c r="AE17" s="1">
        <v>2024</v>
      </c>
      <c r="AF17" s="1">
        <v>2025</v>
      </c>
      <c r="AG17" s="1">
        <v>2026</v>
      </c>
      <c r="AH17" s="1">
        <v>2027</v>
      </c>
      <c r="AI17" s="1">
        <v>2028</v>
      </c>
      <c r="AJ17" s="1">
        <v>2029</v>
      </c>
      <c r="AK17" s="1">
        <v>2030</v>
      </c>
      <c r="AL17" s="1">
        <v>2031</v>
      </c>
      <c r="AM17" s="1">
        <v>2032</v>
      </c>
      <c r="AN17" s="1">
        <v>2033</v>
      </c>
      <c r="AO17" s="1">
        <v>2034</v>
      </c>
      <c r="AP17" s="1">
        <v>2035</v>
      </c>
      <c r="AQ17" s="1">
        <v>2036</v>
      </c>
      <c r="AR17" s="1">
        <v>2037</v>
      </c>
      <c r="AS17" s="1">
        <v>2038</v>
      </c>
      <c r="AT17" s="1">
        <v>2039</v>
      </c>
      <c r="AU17" s="1">
        <v>2040</v>
      </c>
      <c r="AV17" s="1">
        <v>2041</v>
      </c>
      <c r="AW17" s="1">
        <v>2042</v>
      </c>
      <c r="AX17" s="1">
        <v>2043</v>
      </c>
      <c r="AY17" s="1">
        <v>2044</v>
      </c>
      <c r="AZ17" s="1">
        <v>2045</v>
      </c>
      <c r="BA17" s="1">
        <v>2046</v>
      </c>
      <c r="BB17" s="1">
        <v>2047</v>
      </c>
      <c r="BC17" s="1">
        <v>2048</v>
      </c>
      <c r="BD17" s="1">
        <v>2049</v>
      </c>
      <c r="BE17" s="1">
        <v>2050</v>
      </c>
    </row>
    <row r="18" spans="1:57">
      <c r="A18" s="1" t="str">
        <f>'Population Definitions'!$A$2</f>
        <v>PWID_males</v>
      </c>
      <c r="C18" t="s">
        <v>55</v>
      </c>
      <c r="D18" s="3"/>
      <c r="E18" s="3">
        <v>0.328548</v>
      </c>
      <c r="F18" s="4" t="s">
        <v>39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</row>
    <row r="19" spans="1:57">
      <c r="A19" s="1" t="str">
        <f>'Population Definitions'!$A$3</f>
        <v>PWID_females</v>
      </c>
      <c r="C19" t="s">
        <v>55</v>
      </c>
      <c r="D19" s="3"/>
      <c r="E19" s="3">
        <v>0.328548</v>
      </c>
      <c r="F19" s="4" t="s">
        <v>39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</row>
    <row r="20" spans="1:57">
      <c r="A20" s="1" t="str">
        <f>'Population Definitions'!$A$4</f>
        <v>0-9_males</v>
      </c>
      <c r="C20" t="s">
        <v>55</v>
      </c>
      <c r="D20" s="3"/>
      <c r="E20" s="3">
        <v>0.328548</v>
      </c>
      <c r="F20" s="4" t="s">
        <v>39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</row>
    <row r="21" spans="1:57">
      <c r="A21" s="1" t="str">
        <f>'Population Definitions'!$A$5</f>
        <v>0-9_females</v>
      </c>
      <c r="C21" t="s">
        <v>55</v>
      </c>
      <c r="D21" s="3"/>
      <c r="E21" s="3">
        <v>0.328548</v>
      </c>
      <c r="F21" s="4" t="s">
        <v>39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</row>
    <row r="22" spans="1:57">
      <c r="A22" s="1" t="str">
        <f>'Population Definitions'!$A$6</f>
        <v>10-17_males</v>
      </c>
      <c r="C22" t="s">
        <v>55</v>
      </c>
      <c r="D22" s="3"/>
      <c r="E22" s="3">
        <v>0.328548</v>
      </c>
      <c r="F22" s="4" t="s">
        <v>39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</row>
    <row r="23" spans="1:57">
      <c r="A23" s="1" t="str">
        <f>'Population Definitions'!$A$7</f>
        <v>10-17_females</v>
      </c>
      <c r="C23" t="s">
        <v>55</v>
      </c>
      <c r="D23" s="3"/>
      <c r="E23" s="3">
        <v>0.328548</v>
      </c>
      <c r="F23" s="4" t="s">
        <v>39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</row>
    <row r="24" spans="1:57">
      <c r="A24" s="1" t="str">
        <f>'Population Definitions'!$A$8</f>
        <v>18-64_males</v>
      </c>
      <c r="C24" t="s">
        <v>55</v>
      </c>
      <c r="D24" s="3"/>
      <c r="E24" s="3">
        <v>0.328548</v>
      </c>
      <c r="F24" s="4" t="s">
        <v>39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</row>
    <row r="25" spans="1:57">
      <c r="A25" s="1" t="str">
        <f>'Population Definitions'!$A$9</f>
        <v>18-64_females</v>
      </c>
      <c r="C25" t="s">
        <v>55</v>
      </c>
      <c r="D25" s="3"/>
      <c r="E25" s="3">
        <v>0.328548</v>
      </c>
      <c r="F25" s="4" t="s">
        <v>39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</row>
    <row r="26" spans="1:57">
      <c r="A26" s="1" t="str">
        <f>'Population Definitions'!$A$10</f>
        <v>65+_males</v>
      </c>
      <c r="C26" t="s">
        <v>55</v>
      </c>
      <c r="D26" s="3"/>
      <c r="E26" s="3">
        <v>0.328548</v>
      </c>
      <c r="F26" s="4" t="s">
        <v>39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</row>
    <row r="27" spans="1:57">
      <c r="A27" s="1" t="str">
        <f>'Population Definitions'!$A$11</f>
        <v>65+_females</v>
      </c>
      <c r="C27" t="s">
        <v>55</v>
      </c>
      <c r="D27" s="3"/>
      <c r="E27" s="3">
        <v>0.328548</v>
      </c>
      <c r="F27" s="4" t="s">
        <v>39</v>
      </c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</row>
    <row r="28" spans="1:57">
      <c r="A28" s="1" t="str">
        <f>'Population Definitions'!$A$12</f>
        <v>Prisoners_males</v>
      </c>
      <c r="C28" t="s">
        <v>55</v>
      </c>
      <c r="D28" s="3"/>
      <c r="E28" s="3">
        <v>0.328548</v>
      </c>
      <c r="F28" s="4" t="s">
        <v>39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</row>
    <row r="29" spans="1:57">
      <c r="A29" s="1" t="str">
        <f>'Population Definitions'!$A$13</f>
        <v>Prisoners_females</v>
      </c>
      <c r="C29" t="s">
        <v>55</v>
      </c>
      <c r="D29" s="3"/>
      <c r="E29" s="3">
        <v>0.328548</v>
      </c>
      <c r="F29" s="4" t="s">
        <v>39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</row>
    <row r="30" spans="1:57">
      <c r="A30" s="1" t="str">
        <f>'Population Definitions'!$A$14</f>
        <v>Prisoners_PWID_males</v>
      </c>
      <c r="C30" t="s">
        <v>55</v>
      </c>
      <c r="D30" s="3"/>
      <c r="E30" s="3">
        <v>0.328548</v>
      </c>
      <c r="F30" s="4" t="s">
        <v>39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</row>
    <row r="31" spans="1:57">
      <c r="A31" s="1" t="str">
        <f>'Population Definitions'!$A$15</f>
        <v>Prisoners_PWID_females</v>
      </c>
      <c r="C31" t="s">
        <v>55</v>
      </c>
      <c r="D31" s="3"/>
      <c r="E31" s="3">
        <v>0.328548</v>
      </c>
      <c r="F31" s="4" t="s">
        <v>39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</row>
    <row r="33" spans="1:57">
      <c r="A33" s="1" t="s">
        <v>107</v>
      </c>
      <c r="B33" s="1" t="s">
        <v>31</v>
      </c>
      <c r="C33" s="1" t="s">
        <v>32</v>
      </c>
      <c r="D33" s="1" t="s">
        <v>33</v>
      </c>
      <c r="E33" s="1" t="s">
        <v>38</v>
      </c>
      <c r="F33" s="1"/>
      <c r="G33" s="1">
        <v>2000</v>
      </c>
      <c r="H33" s="1">
        <v>2001</v>
      </c>
      <c r="I33" s="1">
        <v>2002</v>
      </c>
      <c r="J33" s="1">
        <v>2003</v>
      </c>
      <c r="K33" s="1">
        <v>2004</v>
      </c>
      <c r="L33" s="1">
        <v>2005</v>
      </c>
      <c r="M33" s="1">
        <v>2006</v>
      </c>
      <c r="N33" s="1">
        <v>2007</v>
      </c>
      <c r="O33" s="1">
        <v>2008</v>
      </c>
      <c r="P33" s="1">
        <v>2009</v>
      </c>
      <c r="Q33" s="1">
        <v>2010</v>
      </c>
      <c r="R33" s="1">
        <v>2011</v>
      </c>
      <c r="S33" s="1">
        <v>2012</v>
      </c>
      <c r="T33" s="1">
        <v>2013</v>
      </c>
      <c r="U33" s="1">
        <v>2014</v>
      </c>
      <c r="V33" s="1">
        <v>2015</v>
      </c>
      <c r="W33" s="1">
        <v>2016</v>
      </c>
      <c r="X33" s="1">
        <v>2017</v>
      </c>
      <c r="Y33" s="1">
        <v>2018</v>
      </c>
      <c r="Z33" s="1">
        <v>2019</v>
      </c>
      <c r="AA33" s="1">
        <v>2020</v>
      </c>
      <c r="AB33" s="1">
        <v>2021</v>
      </c>
      <c r="AC33" s="1">
        <v>2022</v>
      </c>
      <c r="AD33" s="1">
        <v>2023</v>
      </c>
      <c r="AE33" s="1">
        <v>2024</v>
      </c>
      <c r="AF33" s="1">
        <v>2025</v>
      </c>
      <c r="AG33" s="1">
        <v>2026</v>
      </c>
      <c r="AH33" s="1">
        <v>2027</v>
      </c>
      <c r="AI33" s="1">
        <v>2028</v>
      </c>
      <c r="AJ33" s="1">
        <v>2029</v>
      </c>
      <c r="AK33" s="1">
        <v>2030</v>
      </c>
      <c r="AL33" s="1">
        <v>2031</v>
      </c>
      <c r="AM33" s="1">
        <v>2032</v>
      </c>
      <c r="AN33" s="1">
        <v>2033</v>
      </c>
      <c r="AO33" s="1">
        <v>2034</v>
      </c>
      <c r="AP33" s="1">
        <v>2035</v>
      </c>
      <c r="AQ33" s="1">
        <v>2036</v>
      </c>
      <c r="AR33" s="1">
        <v>2037</v>
      </c>
      <c r="AS33" s="1">
        <v>2038</v>
      </c>
      <c r="AT33" s="1">
        <v>2039</v>
      </c>
      <c r="AU33" s="1">
        <v>2040</v>
      </c>
      <c r="AV33" s="1">
        <v>2041</v>
      </c>
      <c r="AW33" s="1">
        <v>2042</v>
      </c>
      <c r="AX33" s="1">
        <v>2043</v>
      </c>
      <c r="AY33" s="1">
        <v>2044</v>
      </c>
      <c r="AZ33" s="1">
        <v>2045</v>
      </c>
      <c r="BA33" s="1">
        <v>2046</v>
      </c>
      <c r="BB33" s="1">
        <v>2047</v>
      </c>
      <c r="BC33" s="1">
        <v>2048</v>
      </c>
      <c r="BD33" s="1">
        <v>2049</v>
      </c>
      <c r="BE33" s="1">
        <v>2050</v>
      </c>
    </row>
    <row r="34" spans="1:57">
      <c r="A34" s="1" t="str">
        <f>'Population Definitions'!$A$2</f>
        <v>PWID_males</v>
      </c>
      <c r="B34" t="s">
        <v>62</v>
      </c>
      <c r="C34" t="s">
        <v>63</v>
      </c>
      <c r="D34" s="3"/>
      <c r="E34" s="3">
        <v>1</v>
      </c>
      <c r="F34" s="4" t="s">
        <v>39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</row>
    <row r="35" spans="1:57">
      <c r="A35" s="1" t="str">
        <f>'Population Definitions'!$A$3</f>
        <v>PWID_females</v>
      </c>
      <c r="B35" t="s">
        <v>62</v>
      </c>
      <c r="C35" t="s">
        <v>63</v>
      </c>
      <c r="D35" s="3"/>
      <c r="E35" s="3">
        <v>1</v>
      </c>
      <c r="F35" s="4" t="s">
        <v>39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</row>
    <row r="36" spans="1:57">
      <c r="A36" s="1" t="str">
        <f>'Population Definitions'!$A$4</f>
        <v>0-9_males</v>
      </c>
      <c r="B36" t="s">
        <v>62</v>
      </c>
      <c r="C36" t="s">
        <v>63</v>
      </c>
      <c r="D36" s="3"/>
      <c r="E36" s="3">
        <v>1</v>
      </c>
      <c r="F36" s="4" t="s">
        <v>39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</row>
    <row r="37" spans="1:57">
      <c r="A37" s="1" t="str">
        <f>'Population Definitions'!$A$5</f>
        <v>0-9_females</v>
      </c>
      <c r="B37" t="s">
        <v>62</v>
      </c>
      <c r="C37" t="s">
        <v>63</v>
      </c>
      <c r="D37" s="3"/>
      <c r="E37" s="3">
        <v>1</v>
      </c>
      <c r="F37" s="4" t="s">
        <v>39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</row>
    <row r="38" spans="1:57">
      <c r="A38" s="1" t="str">
        <f>'Population Definitions'!$A$6</f>
        <v>10-17_males</v>
      </c>
      <c r="B38" t="s">
        <v>62</v>
      </c>
      <c r="C38" t="s">
        <v>63</v>
      </c>
      <c r="D38" s="3"/>
      <c r="E38" s="3">
        <v>1</v>
      </c>
      <c r="F38" s="4" t="s">
        <v>39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</row>
    <row r="39" spans="1:57">
      <c r="A39" s="1" t="str">
        <f>'Population Definitions'!$A$7</f>
        <v>10-17_females</v>
      </c>
      <c r="B39" t="s">
        <v>62</v>
      </c>
      <c r="C39" t="s">
        <v>63</v>
      </c>
      <c r="D39" s="3"/>
      <c r="E39" s="3">
        <v>1</v>
      </c>
      <c r="F39" s="4" t="s">
        <v>39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</row>
    <row r="40" spans="1:57">
      <c r="A40" s="1" t="str">
        <f>'Population Definitions'!$A$8</f>
        <v>18-64_males</v>
      </c>
      <c r="B40" t="s">
        <v>62</v>
      </c>
      <c r="C40" t="s">
        <v>63</v>
      </c>
      <c r="D40" s="3"/>
      <c r="E40" s="3">
        <v>1</v>
      </c>
      <c r="F40" s="4" t="s">
        <v>39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</row>
    <row r="41" spans="1:57">
      <c r="A41" s="1" t="str">
        <f>'Population Definitions'!$A$9</f>
        <v>18-64_females</v>
      </c>
      <c r="B41" t="s">
        <v>62</v>
      </c>
      <c r="C41" t="s">
        <v>63</v>
      </c>
      <c r="D41" s="3"/>
      <c r="E41" s="3">
        <v>1</v>
      </c>
      <c r="F41" s="4" t="s">
        <v>39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</row>
    <row r="42" spans="1:57">
      <c r="A42" s="1" t="str">
        <f>'Population Definitions'!$A$10</f>
        <v>65+_males</v>
      </c>
      <c r="B42" t="s">
        <v>62</v>
      </c>
      <c r="C42" t="s">
        <v>63</v>
      </c>
      <c r="D42" s="3"/>
      <c r="E42" s="3">
        <v>1</v>
      </c>
      <c r="F42" s="4" t="s">
        <v>39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</row>
    <row r="43" spans="1:57">
      <c r="A43" s="1" t="str">
        <f>'Population Definitions'!$A$11</f>
        <v>65+_females</v>
      </c>
      <c r="B43" t="s">
        <v>62</v>
      </c>
      <c r="C43" t="s">
        <v>63</v>
      </c>
      <c r="D43" s="3"/>
      <c r="E43" s="3">
        <v>1</v>
      </c>
      <c r="F43" s="4" t="s">
        <v>39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</row>
    <row r="44" spans="1:57">
      <c r="A44" s="1" t="str">
        <f>'Population Definitions'!$A$12</f>
        <v>Prisoners_males</v>
      </c>
      <c r="B44" t="s">
        <v>62</v>
      </c>
      <c r="C44" t="s">
        <v>63</v>
      </c>
      <c r="D44" s="3"/>
      <c r="E44" s="3">
        <v>1</v>
      </c>
      <c r="F44" s="4" t="s">
        <v>39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</row>
    <row r="45" spans="1:57">
      <c r="A45" s="1" t="str">
        <f>'Population Definitions'!$A$13</f>
        <v>Prisoners_females</v>
      </c>
      <c r="B45" t="s">
        <v>62</v>
      </c>
      <c r="C45" t="s">
        <v>63</v>
      </c>
      <c r="D45" s="3"/>
      <c r="E45" s="3">
        <v>1</v>
      </c>
      <c r="F45" s="4" t="s">
        <v>39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</row>
    <row r="46" spans="1:57">
      <c r="A46" s="1" t="str">
        <f>'Population Definitions'!$A$14</f>
        <v>Prisoners_PWID_males</v>
      </c>
      <c r="B46" t="s">
        <v>62</v>
      </c>
      <c r="C46" t="s">
        <v>63</v>
      </c>
      <c r="D46" s="3"/>
      <c r="E46" s="3">
        <v>1</v>
      </c>
      <c r="F46" s="4" t="s">
        <v>39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</row>
    <row r="47" spans="1:57">
      <c r="A47" s="1" t="str">
        <f>'Population Definitions'!$A$15</f>
        <v>Prisoners_PWID_females</v>
      </c>
      <c r="B47" t="s">
        <v>62</v>
      </c>
      <c r="C47" t="s">
        <v>63</v>
      </c>
      <c r="D47" s="3"/>
      <c r="E47" s="3">
        <v>1</v>
      </c>
      <c r="F47" s="4" t="s">
        <v>39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</row>
    <row r="49" spans="1:57">
      <c r="A49" s="1" t="s">
        <v>108</v>
      </c>
      <c r="B49" s="1" t="s">
        <v>31</v>
      </c>
      <c r="C49" s="1" t="s">
        <v>32</v>
      </c>
      <c r="D49" s="1" t="s">
        <v>33</v>
      </c>
      <c r="E49" s="1" t="s">
        <v>38</v>
      </c>
      <c r="F49" s="1"/>
      <c r="G49" s="1">
        <v>2000</v>
      </c>
      <c r="H49" s="1">
        <v>2001</v>
      </c>
      <c r="I49" s="1">
        <v>2002</v>
      </c>
      <c r="J49" s="1">
        <v>2003</v>
      </c>
      <c r="K49" s="1">
        <v>2004</v>
      </c>
      <c r="L49" s="1">
        <v>2005</v>
      </c>
      <c r="M49" s="1">
        <v>2006</v>
      </c>
      <c r="N49" s="1">
        <v>2007</v>
      </c>
      <c r="O49" s="1">
        <v>2008</v>
      </c>
      <c r="P49" s="1">
        <v>2009</v>
      </c>
      <c r="Q49" s="1">
        <v>2010</v>
      </c>
      <c r="R49" s="1">
        <v>2011</v>
      </c>
      <c r="S49" s="1">
        <v>2012</v>
      </c>
      <c r="T49" s="1">
        <v>2013</v>
      </c>
      <c r="U49" s="1">
        <v>2014</v>
      </c>
      <c r="V49" s="1">
        <v>2015</v>
      </c>
      <c r="W49" s="1">
        <v>2016</v>
      </c>
      <c r="X49" s="1">
        <v>2017</v>
      </c>
      <c r="Y49" s="1">
        <v>2018</v>
      </c>
      <c r="Z49" s="1">
        <v>2019</v>
      </c>
      <c r="AA49" s="1">
        <v>2020</v>
      </c>
      <c r="AB49" s="1">
        <v>2021</v>
      </c>
      <c r="AC49" s="1">
        <v>2022</v>
      </c>
      <c r="AD49" s="1">
        <v>2023</v>
      </c>
      <c r="AE49" s="1">
        <v>2024</v>
      </c>
      <c r="AF49" s="1">
        <v>2025</v>
      </c>
      <c r="AG49" s="1">
        <v>2026</v>
      </c>
      <c r="AH49" s="1">
        <v>2027</v>
      </c>
      <c r="AI49" s="1">
        <v>2028</v>
      </c>
      <c r="AJ49" s="1">
        <v>2029</v>
      </c>
      <c r="AK49" s="1">
        <v>2030</v>
      </c>
      <c r="AL49" s="1">
        <v>2031</v>
      </c>
      <c r="AM49" s="1">
        <v>2032</v>
      </c>
      <c r="AN49" s="1">
        <v>2033</v>
      </c>
      <c r="AO49" s="1">
        <v>2034</v>
      </c>
      <c r="AP49" s="1">
        <v>2035</v>
      </c>
      <c r="AQ49" s="1">
        <v>2036</v>
      </c>
      <c r="AR49" s="1">
        <v>2037</v>
      </c>
      <c r="AS49" s="1">
        <v>2038</v>
      </c>
      <c r="AT49" s="1">
        <v>2039</v>
      </c>
      <c r="AU49" s="1">
        <v>2040</v>
      </c>
      <c r="AV49" s="1">
        <v>2041</v>
      </c>
      <c r="AW49" s="1">
        <v>2042</v>
      </c>
      <c r="AX49" s="1">
        <v>2043</v>
      </c>
      <c r="AY49" s="1">
        <v>2044</v>
      </c>
      <c r="AZ49" s="1">
        <v>2045</v>
      </c>
      <c r="BA49" s="1">
        <v>2046</v>
      </c>
      <c r="BB49" s="1">
        <v>2047</v>
      </c>
      <c r="BC49" s="1">
        <v>2048</v>
      </c>
      <c r="BD49" s="1">
        <v>2049</v>
      </c>
      <c r="BE49" s="1">
        <v>2050</v>
      </c>
    </row>
    <row r="50" spans="1:57">
      <c r="A50" s="1" t="str">
        <f>'Population Definitions'!$A$2</f>
        <v>PWID_males</v>
      </c>
      <c r="B50" t="s">
        <v>62</v>
      </c>
      <c r="C50" t="s">
        <v>63</v>
      </c>
      <c r="D50" s="3"/>
      <c r="E50" s="3">
        <v>1</v>
      </c>
      <c r="F50" s="4" t="s">
        <v>39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</row>
    <row r="51" spans="1:57">
      <c r="A51" s="1" t="str">
        <f>'Population Definitions'!$A$3</f>
        <v>PWID_females</v>
      </c>
      <c r="B51" t="s">
        <v>62</v>
      </c>
      <c r="C51" t="s">
        <v>63</v>
      </c>
      <c r="D51" s="3"/>
      <c r="E51" s="3">
        <v>1</v>
      </c>
      <c r="F51" s="4" t="s">
        <v>39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</row>
    <row r="52" spans="1:57">
      <c r="A52" s="1" t="str">
        <f>'Population Definitions'!$A$4</f>
        <v>0-9_males</v>
      </c>
      <c r="B52" t="s">
        <v>62</v>
      </c>
      <c r="C52" t="s">
        <v>63</v>
      </c>
      <c r="D52" s="3"/>
      <c r="E52" s="3">
        <v>1</v>
      </c>
      <c r="F52" s="4" t="s">
        <v>39</v>
      </c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</row>
    <row r="53" spans="1:57">
      <c r="A53" s="1" t="str">
        <f>'Population Definitions'!$A$5</f>
        <v>0-9_females</v>
      </c>
      <c r="B53" t="s">
        <v>62</v>
      </c>
      <c r="C53" t="s">
        <v>63</v>
      </c>
      <c r="D53" s="3"/>
      <c r="E53" s="3">
        <v>1</v>
      </c>
      <c r="F53" s="4" t="s">
        <v>39</v>
      </c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</row>
    <row r="54" spans="1:57">
      <c r="A54" s="1" t="str">
        <f>'Population Definitions'!$A$6</f>
        <v>10-17_males</v>
      </c>
      <c r="B54" t="s">
        <v>62</v>
      </c>
      <c r="C54" t="s">
        <v>63</v>
      </c>
      <c r="D54" s="3"/>
      <c r="E54" s="3">
        <v>1</v>
      </c>
      <c r="F54" s="4" t="s">
        <v>39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</row>
    <row r="55" spans="1:57">
      <c r="A55" s="1" t="str">
        <f>'Population Definitions'!$A$7</f>
        <v>10-17_females</v>
      </c>
      <c r="B55" t="s">
        <v>62</v>
      </c>
      <c r="C55" t="s">
        <v>63</v>
      </c>
      <c r="D55" s="3"/>
      <c r="E55" s="3">
        <v>1</v>
      </c>
      <c r="F55" s="4" t="s">
        <v>39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</row>
    <row r="56" spans="1:57">
      <c r="A56" s="1" t="str">
        <f>'Population Definitions'!$A$8</f>
        <v>18-64_males</v>
      </c>
      <c r="B56" t="s">
        <v>62</v>
      </c>
      <c r="C56" t="s">
        <v>63</v>
      </c>
      <c r="D56" s="3"/>
      <c r="E56" s="3">
        <v>1</v>
      </c>
      <c r="F56" s="4" t="s">
        <v>39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</row>
    <row r="57" spans="1:57">
      <c r="A57" s="1" t="str">
        <f>'Population Definitions'!$A$9</f>
        <v>18-64_females</v>
      </c>
      <c r="B57" t="s">
        <v>62</v>
      </c>
      <c r="C57" t="s">
        <v>63</v>
      </c>
      <c r="D57" s="3"/>
      <c r="E57" s="3">
        <v>1</v>
      </c>
      <c r="F57" s="4" t="s">
        <v>39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</row>
    <row r="58" spans="1:57">
      <c r="A58" s="1" t="str">
        <f>'Population Definitions'!$A$10</f>
        <v>65+_males</v>
      </c>
      <c r="B58" t="s">
        <v>62</v>
      </c>
      <c r="C58" t="s">
        <v>63</v>
      </c>
      <c r="D58" s="3"/>
      <c r="E58" s="3">
        <v>1</v>
      </c>
      <c r="F58" s="4" t="s">
        <v>39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</row>
    <row r="59" spans="1:57">
      <c r="A59" s="1" t="str">
        <f>'Population Definitions'!$A$11</f>
        <v>65+_females</v>
      </c>
      <c r="B59" t="s">
        <v>62</v>
      </c>
      <c r="C59" t="s">
        <v>63</v>
      </c>
      <c r="D59" s="3"/>
      <c r="E59" s="3">
        <v>1</v>
      </c>
      <c r="F59" s="4" t="s">
        <v>39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</row>
    <row r="60" spans="1:57">
      <c r="A60" s="1" t="str">
        <f>'Population Definitions'!$A$12</f>
        <v>Prisoners_males</v>
      </c>
      <c r="B60" t="s">
        <v>62</v>
      </c>
      <c r="C60" t="s">
        <v>63</v>
      </c>
      <c r="D60" s="3"/>
      <c r="E60" s="3">
        <v>1</v>
      </c>
      <c r="F60" s="4" t="s">
        <v>39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</row>
    <row r="61" spans="1:57">
      <c r="A61" s="1" t="str">
        <f>'Population Definitions'!$A$13</f>
        <v>Prisoners_females</v>
      </c>
      <c r="B61" t="s">
        <v>62</v>
      </c>
      <c r="C61" t="s">
        <v>63</v>
      </c>
      <c r="D61" s="3"/>
      <c r="E61" s="3">
        <v>1</v>
      </c>
      <c r="F61" s="4" t="s">
        <v>39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</row>
    <row r="62" spans="1:57">
      <c r="A62" s="1" t="str">
        <f>'Population Definitions'!$A$14</f>
        <v>Prisoners_PWID_males</v>
      </c>
      <c r="B62" t="s">
        <v>62</v>
      </c>
      <c r="C62" t="s">
        <v>63</v>
      </c>
      <c r="D62" s="3"/>
      <c r="E62" s="3">
        <v>1</v>
      </c>
      <c r="F62" s="4" t="s">
        <v>39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</row>
    <row r="63" spans="1:57">
      <c r="A63" s="1" t="str">
        <f>'Population Definitions'!$A$15</f>
        <v>Prisoners_PWID_females</v>
      </c>
      <c r="B63" t="s">
        <v>62</v>
      </c>
      <c r="C63" t="s">
        <v>63</v>
      </c>
      <c r="D63" s="3"/>
      <c r="E63" s="3">
        <v>1</v>
      </c>
      <c r="F63" s="4" t="s">
        <v>39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</row>
  </sheetData>
  <conditionalFormatting sqref="E10">
    <cfRule type="expression" dxfId="0" priority="17">
      <formula>COUNTIF(G10:BE10,"&lt;&gt;" &amp; "")&gt;0</formula>
    </cfRule>
    <cfRule type="expression" dxfId="1" priority="18">
      <formula>AND(COUNTIF(G10:BE10,"&lt;&gt;" &amp; "")&gt;0,NOT(ISBLANK(E10)))</formula>
    </cfRule>
  </conditionalFormatting>
  <conditionalFormatting sqref="E11">
    <cfRule type="expression" dxfId="0" priority="19">
      <formula>COUNTIF(G11:BE11,"&lt;&gt;" &amp; "")&gt;0</formula>
    </cfRule>
    <cfRule type="expression" dxfId="1" priority="20">
      <formula>AND(COUNTIF(G11:BE11,"&lt;&gt;" &amp; "")&gt;0,NOT(ISBLANK(E11)))</formula>
    </cfRule>
  </conditionalFormatting>
  <conditionalFormatting sqref="E12">
    <cfRule type="expression" dxfId="0" priority="21">
      <formula>COUNTIF(G12:BE12,"&lt;&gt;" &amp; "")&gt;0</formula>
    </cfRule>
    <cfRule type="expression" dxfId="1" priority="22">
      <formula>AND(COUNTIF(G12:BE12,"&lt;&gt;" &amp; "")&gt;0,NOT(ISBLANK(E12)))</formula>
    </cfRule>
  </conditionalFormatting>
  <conditionalFormatting sqref="E13">
    <cfRule type="expression" dxfId="0" priority="23">
      <formula>COUNTIF(G13:BE13,"&lt;&gt;" &amp; "")&gt;0</formula>
    </cfRule>
    <cfRule type="expression" dxfId="1" priority="24">
      <formula>AND(COUNTIF(G13:BE13,"&lt;&gt;" &amp; "")&gt;0,NOT(ISBLANK(E13)))</formula>
    </cfRule>
  </conditionalFormatting>
  <conditionalFormatting sqref="E14">
    <cfRule type="expression" dxfId="0" priority="25">
      <formula>COUNTIF(G14:BE14,"&lt;&gt;" &amp; "")&gt;0</formula>
    </cfRule>
    <cfRule type="expression" dxfId="1" priority="26">
      <formula>AND(COUNTIF(G14:BE14,"&lt;&gt;" &amp; "")&gt;0,NOT(ISBLANK(E14)))</formula>
    </cfRule>
  </conditionalFormatting>
  <conditionalFormatting sqref="E15">
    <cfRule type="expression" dxfId="0" priority="27">
      <formula>COUNTIF(G15:BE15,"&lt;&gt;" &amp; "")&gt;0</formula>
    </cfRule>
    <cfRule type="expression" dxfId="1" priority="28">
      <formula>AND(COUNTIF(G15:BE15,"&lt;&gt;" &amp; "")&gt;0,NOT(ISBLANK(E15)))</formula>
    </cfRule>
  </conditionalFormatting>
  <conditionalFormatting sqref="E18">
    <cfRule type="expression" dxfId="0" priority="29">
      <formula>COUNTIF(G18:BE18,"&lt;&gt;" &amp; "")&gt;0</formula>
    </cfRule>
    <cfRule type="expression" dxfId="1" priority="30">
      <formula>AND(COUNTIF(G18:BE18,"&lt;&gt;" &amp; "")&gt;0,NOT(ISBLANK(E18)))</formula>
    </cfRule>
  </conditionalFormatting>
  <conditionalFormatting sqref="E19">
    <cfRule type="expression" dxfId="0" priority="31">
      <formula>COUNTIF(G19:BE19,"&lt;&gt;" &amp; "")&gt;0</formula>
    </cfRule>
    <cfRule type="expression" dxfId="1" priority="32">
      <formula>AND(COUNTIF(G19:BE19,"&lt;&gt;" &amp; "")&gt;0,NOT(ISBLANK(E19)))</formula>
    </cfRule>
  </conditionalFormatting>
  <conditionalFormatting sqref="E2">
    <cfRule type="expression" dxfId="0" priority="1">
      <formula>COUNTIF(G2:BE2,"&lt;&gt;" &amp; "")&gt;0</formula>
    </cfRule>
    <cfRule type="expression" dxfId="1" priority="2">
      <formula>AND(COUNTIF(G2:BE2,"&lt;&gt;" &amp; "")&gt;0,NOT(ISBLANK(E2)))</formula>
    </cfRule>
  </conditionalFormatting>
  <conditionalFormatting sqref="E20">
    <cfRule type="expression" dxfId="0" priority="33">
      <formula>COUNTIF(G20:BE20,"&lt;&gt;" &amp; "")&gt;0</formula>
    </cfRule>
    <cfRule type="expression" dxfId="1" priority="34">
      <formula>AND(COUNTIF(G20:BE20,"&lt;&gt;" &amp; "")&gt;0,NOT(ISBLANK(E20)))</formula>
    </cfRule>
  </conditionalFormatting>
  <conditionalFormatting sqref="E21">
    <cfRule type="expression" dxfId="0" priority="35">
      <formula>COUNTIF(G21:BE21,"&lt;&gt;" &amp; "")&gt;0</formula>
    </cfRule>
    <cfRule type="expression" dxfId="1" priority="36">
      <formula>AND(COUNTIF(G21:BE21,"&lt;&gt;" &amp; "")&gt;0,NOT(ISBLANK(E21)))</formula>
    </cfRule>
  </conditionalFormatting>
  <conditionalFormatting sqref="E22">
    <cfRule type="expression" dxfId="0" priority="37">
      <formula>COUNTIF(G22:BE22,"&lt;&gt;" &amp; "")&gt;0</formula>
    </cfRule>
    <cfRule type="expression" dxfId="1" priority="38">
      <formula>AND(COUNTIF(G22:BE22,"&lt;&gt;" &amp; "")&gt;0,NOT(ISBLANK(E22)))</formula>
    </cfRule>
  </conditionalFormatting>
  <conditionalFormatting sqref="E23">
    <cfRule type="expression" dxfId="0" priority="39">
      <formula>COUNTIF(G23:BE23,"&lt;&gt;" &amp; "")&gt;0</formula>
    </cfRule>
    <cfRule type="expression" dxfId="1" priority="40">
      <formula>AND(COUNTIF(G23:BE23,"&lt;&gt;" &amp; "")&gt;0,NOT(ISBLANK(E23)))</formula>
    </cfRule>
  </conditionalFormatting>
  <conditionalFormatting sqref="E24">
    <cfRule type="expression" dxfId="0" priority="41">
      <formula>COUNTIF(G24:BE24,"&lt;&gt;" &amp; "")&gt;0</formula>
    </cfRule>
    <cfRule type="expression" dxfId="1" priority="42">
      <formula>AND(COUNTIF(G24:BE24,"&lt;&gt;" &amp; "")&gt;0,NOT(ISBLANK(E24)))</formula>
    </cfRule>
  </conditionalFormatting>
  <conditionalFormatting sqref="E25">
    <cfRule type="expression" dxfId="0" priority="43">
      <formula>COUNTIF(G25:BE25,"&lt;&gt;" &amp; "")&gt;0</formula>
    </cfRule>
    <cfRule type="expression" dxfId="1" priority="44">
      <formula>AND(COUNTIF(G25:BE25,"&lt;&gt;" &amp; "")&gt;0,NOT(ISBLANK(E25)))</formula>
    </cfRule>
  </conditionalFormatting>
  <conditionalFormatting sqref="E26">
    <cfRule type="expression" dxfId="0" priority="45">
      <formula>COUNTIF(G26:BE26,"&lt;&gt;" &amp; "")&gt;0</formula>
    </cfRule>
    <cfRule type="expression" dxfId="1" priority="46">
      <formula>AND(COUNTIF(G26:BE26,"&lt;&gt;" &amp; "")&gt;0,NOT(ISBLANK(E26)))</formula>
    </cfRule>
  </conditionalFormatting>
  <conditionalFormatting sqref="E27">
    <cfRule type="expression" dxfId="0" priority="47">
      <formula>COUNTIF(G27:BE27,"&lt;&gt;" &amp; "")&gt;0</formula>
    </cfRule>
    <cfRule type="expression" dxfId="1" priority="48">
      <formula>AND(COUNTIF(G27:BE27,"&lt;&gt;" &amp; "")&gt;0,NOT(ISBLANK(E27)))</formula>
    </cfRule>
  </conditionalFormatting>
  <conditionalFormatting sqref="E28">
    <cfRule type="expression" dxfId="0" priority="49">
      <formula>COUNTIF(G28:BE28,"&lt;&gt;" &amp; "")&gt;0</formula>
    </cfRule>
    <cfRule type="expression" dxfId="1" priority="50">
      <formula>AND(COUNTIF(G28:BE28,"&lt;&gt;" &amp; "")&gt;0,NOT(ISBLANK(E28)))</formula>
    </cfRule>
  </conditionalFormatting>
  <conditionalFormatting sqref="E29">
    <cfRule type="expression" dxfId="0" priority="51">
      <formula>COUNTIF(G29:BE29,"&lt;&gt;" &amp; "")&gt;0</formula>
    </cfRule>
    <cfRule type="expression" dxfId="1" priority="52">
      <formula>AND(COUNTIF(G29:BE29,"&lt;&gt;" &amp; "")&gt;0,NOT(ISBLANK(E29)))</formula>
    </cfRule>
  </conditionalFormatting>
  <conditionalFormatting sqref="E3">
    <cfRule type="expression" dxfId="0" priority="3">
      <formula>COUNTIF(G3:BE3,"&lt;&gt;" &amp; "")&gt;0</formula>
    </cfRule>
    <cfRule type="expression" dxfId="1" priority="4">
      <formula>AND(COUNTIF(G3:BE3,"&lt;&gt;" &amp; "")&gt;0,NOT(ISBLANK(E3)))</formula>
    </cfRule>
  </conditionalFormatting>
  <conditionalFormatting sqref="E30">
    <cfRule type="expression" dxfId="0" priority="53">
      <formula>COUNTIF(G30:BE30,"&lt;&gt;" &amp; "")&gt;0</formula>
    </cfRule>
    <cfRule type="expression" dxfId="1" priority="54">
      <formula>AND(COUNTIF(G30:BE30,"&lt;&gt;" &amp; "")&gt;0,NOT(ISBLANK(E30)))</formula>
    </cfRule>
  </conditionalFormatting>
  <conditionalFormatting sqref="E31">
    <cfRule type="expression" dxfId="0" priority="55">
      <formula>COUNTIF(G31:BE31,"&lt;&gt;" &amp; "")&gt;0</formula>
    </cfRule>
    <cfRule type="expression" dxfId="1" priority="56">
      <formula>AND(COUNTIF(G31:BE31,"&lt;&gt;" &amp; "")&gt;0,NOT(ISBLANK(E31)))</formula>
    </cfRule>
  </conditionalFormatting>
  <conditionalFormatting sqref="E34">
    <cfRule type="expression" dxfId="0" priority="57">
      <formula>COUNTIF(G34:BE34,"&lt;&gt;" &amp; "")&gt;0</formula>
    </cfRule>
    <cfRule type="expression" dxfId="1" priority="58">
      <formula>AND(COUNTIF(G34:BE34,"&lt;&gt;" &amp; "")&gt;0,NOT(ISBLANK(E34)))</formula>
    </cfRule>
  </conditionalFormatting>
  <conditionalFormatting sqref="E35">
    <cfRule type="expression" dxfId="0" priority="59">
      <formula>COUNTIF(G35:BE35,"&lt;&gt;" &amp; "")&gt;0</formula>
    </cfRule>
    <cfRule type="expression" dxfId="1" priority="60">
      <formula>AND(COUNTIF(G35:BE35,"&lt;&gt;" &amp; "")&gt;0,NOT(ISBLANK(E35)))</formula>
    </cfRule>
  </conditionalFormatting>
  <conditionalFormatting sqref="E36">
    <cfRule type="expression" dxfId="0" priority="61">
      <formula>COUNTIF(G36:BE36,"&lt;&gt;" &amp; "")&gt;0</formula>
    </cfRule>
    <cfRule type="expression" dxfId="1" priority="62">
      <formula>AND(COUNTIF(G36:BE36,"&lt;&gt;" &amp; "")&gt;0,NOT(ISBLANK(E36)))</formula>
    </cfRule>
  </conditionalFormatting>
  <conditionalFormatting sqref="E37">
    <cfRule type="expression" dxfId="0" priority="63">
      <formula>COUNTIF(G37:BE37,"&lt;&gt;" &amp; "")&gt;0</formula>
    </cfRule>
    <cfRule type="expression" dxfId="1" priority="64">
      <formula>AND(COUNTIF(G37:BE37,"&lt;&gt;" &amp; "")&gt;0,NOT(ISBLANK(E37)))</formula>
    </cfRule>
  </conditionalFormatting>
  <conditionalFormatting sqref="E38">
    <cfRule type="expression" dxfId="0" priority="65">
      <formula>COUNTIF(G38:BE38,"&lt;&gt;" &amp; "")&gt;0</formula>
    </cfRule>
    <cfRule type="expression" dxfId="1" priority="66">
      <formula>AND(COUNTIF(G38:BE38,"&lt;&gt;" &amp; "")&gt;0,NOT(ISBLANK(E38)))</formula>
    </cfRule>
  </conditionalFormatting>
  <conditionalFormatting sqref="E39">
    <cfRule type="expression" dxfId="0" priority="67">
      <formula>COUNTIF(G39:BE39,"&lt;&gt;" &amp; "")&gt;0</formula>
    </cfRule>
    <cfRule type="expression" dxfId="1" priority="68">
      <formula>AND(COUNTIF(G39:BE39,"&lt;&gt;" &amp; "")&gt;0,NOT(ISBLANK(E39)))</formula>
    </cfRule>
  </conditionalFormatting>
  <conditionalFormatting sqref="E4">
    <cfRule type="expression" dxfId="0" priority="5">
      <formula>COUNTIF(G4:BE4,"&lt;&gt;" &amp; "")&gt;0</formula>
    </cfRule>
    <cfRule type="expression" dxfId="1" priority="6">
      <formula>AND(COUNTIF(G4:BE4,"&lt;&gt;" &amp; "")&gt;0,NOT(ISBLANK(E4)))</formula>
    </cfRule>
  </conditionalFormatting>
  <conditionalFormatting sqref="E40">
    <cfRule type="expression" dxfId="0" priority="69">
      <formula>COUNTIF(G40:BE40,"&lt;&gt;" &amp; "")&gt;0</formula>
    </cfRule>
    <cfRule type="expression" dxfId="1" priority="70">
      <formula>AND(COUNTIF(G40:BE40,"&lt;&gt;" &amp; "")&gt;0,NOT(ISBLANK(E40)))</formula>
    </cfRule>
  </conditionalFormatting>
  <conditionalFormatting sqref="E41">
    <cfRule type="expression" dxfId="0" priority="71">
      <formula>COUNTIF(G41:BE41,"&lt;&gt;" &amp; "")&gt;0</formula>
    </cfRule>
    <cfRule type="expression" dxfId="1" priority="72">
      <formula>AND(COUNTIF(G41:BE41,"&lt;&gt;" &amp; "")&gt;0,NOT(ISBLANK(E41)))</formula>
    </cfRule>
  </conditionalFormatting>
  <conditionalFormatting sqref="E42">
    <cfRule type="expression" dxfId="0" priority="73">
      <formula>COUNTIF(G42:BE42,"&lt;&gt;" &amp; "")&gt;0</formula>
    </cfRule>
    <cfRule type="expression" dxfId="1" priority="74">
      <formula>AND(COUNTIF(G42:BE42,"&lt;&gt;" &amp; "")&gt;0,NOT(ISBLANK(E42)))</formula>
    </cfRule>
  </conditionalFormatting>
  <conditionalFormatting sqref="E43">
    <cfRule type="expression" dxfId="0" priority="75">
      <formula>COUNTIF(G43:BE43,"&lt;&gt;" &amp; "")&gt;0</formula>
    </cfRule>
    <cfRule type="expression" dxfId="1" priority="76">
      <formula>AND(COUNTIF(G43:BE43,"&lt;&gt;" &amp; "")&gt;0,NOT(ISBLANK(E43)))</formula>
    </cfRule>
  </conditionalFormatting>
  <conditionalFormatting sqref="E44">
    <cfRule type="expression" dxfId="0" priority="77">
      <formula>COUNTIF(G44:BE44,"&lt;&gt;" &amp; "")&gt;0</formula>
    </cfRule>
    <cfRule type="expression" dxfId="1" priority="78">
      <formula>AND(COUNTIF(G44:BE44,"&lt;&gt;" &amp; "")&gt;0,NOT(ISBLANK(E44)))</formula>
    </cfRule>
  </conditionalFormatting>
  <conditionalFormatting sqref="E45">
    <cfRule type="expression" dxfId="0" priority="79">
      <formula>COUNTIF(G45:BE45,"&lt;&gt;" &amp; "")&gt;0</formula>
    </cfRule>
    <cfRule type="expression" dxfId="1" priority="80">
      <formula>AND(COUNTIF(G45:BE45,"&lt;&gt;" &amp; "")&gt;0,NOT(ISBLANK(E45)))</formula>
    </cfRule>
  </conditionalFormatting>
  <conditionalFormatting sqref="E46">
    <cfRule type="expression" dxfId="0" priority="81">
      <formula>COUNTIF(G46:BE46,"&lt;&gt;" &amp; "")&gt;0</formula>
    </cfRule>
    <cfRule type="expression" dxfId="1" priority="82">
      <formula>AND(COUNTIF(G46:BE46,"&lt;&gt;" &amp; "")&gt;0,NOT(ISBLANK(E46)))</formula>
    </cfRule>
  </conditionalFormatting>
  <conditionalFormatting sqref="E47">
    <cfRule type="expression" dxfId="0" priority="83">
      <formula>COUNTIF(G47:BE47,"&lt;&gt;" &amp; "")&gt;0</formula>
    </cfRule>
    <cfRule type="expression" dxfId="1" priority="84">
      <formula>AND(COUNTIF(G47:BE47,"&lt;&gt;" &amp; "")&gt;0,NOT(ISBLANK(E47)))</formula>
    </cfRule>
  </conditionalFormatting>
  <conditionalFormatting sqref="E5">
    <cfRule type="expression" dxfId="0" priority="7">
      <formula>COUNTIF(G5:BE5,"&lt;&gt;" &amp; "")&gt;0</formula>
    </cfRule>
    <cfRule type="expression" dxfId="1" priority="8">
      <formula>AND(COUNTIF(G5:BE5,"&lt;&gt;" &amp; "")&gt;0,NOT(ISBLANK(E5)))</formula>
    </cfRule>
  </conditionalFormatting>
  <conditionalFormatting sqref="E50">
    <cfRule type="expression" dxfId="0" priority="85">
      <formula>COUNTIF(G50:BE50,"&lt;&gt;" &amp; "")&gt;0</formula>
    </cfRule>
    <cfRule type="expression" dxfId="1" priority="86">
      <formula>AND(COUNTIF(G50:BE50,"&lt;&gt;" &amp; "")&gt;0,NOT(ISBLANK(E50)))</formula>
    </cfRule>
  </conditionalFormatting>
  <conditionalFormatting sqref="E51">
    <cfRule type="expression" dxfId="0" priority="87">
      <formula>COUNTIF(G51:BE51,"&lt;&gt;" &amp; "")&gt;0</formula>
    </cfRule>
    <cfRule type="expression" dxfId="1" priority="88">
      <formula>AND(COUNTIF(G51:BE51,"&lt;&gt;" &amp; "")&gt;0,NOT(ISBLANK(E51)))</formula>
    </cfRule>
  </conditionalFormatting>
  <conditionalFormatting sqref="E52">
    <cfRule type="expression" dxfId="0" priority="89">
      <formula>COUNTIF(G52:BE52,"&lt;&gt;" &amp; "")&gt;0</formula>
    </cfRule>
    <cfRule type="expression" dxfId="1" priority="90">
      <formula>AND(COUNTIF(G52:BE52,"&lt;&gt;" &amp; "")&gt;0,NOT(ISBLANK(E52)))</formula>
    </cfRule>
  </conditionalFormatting>
  <conditionalFormatting sqref="E53">
    <cfRule type="expression" dxfId="0" priority="91">
      <formula>COUNTIF(G53:BE53,"&lt;&gt;" &amp; "")&gt;0</formula>
    </cfRule>
    <cfRule type="expression" dxfId="1" priority="92">
      <formula>AND(COUNTIF(G53:BE53,"&lt;&gt;" &amp; "")&gt;0,NOT(ISBLANK(E53)))</formula>
    </cfRule>
  </conditionalFormatting>
  <conditionalFormatting sqref="E54">
    <cfRule type="expression" dxfId="0" priority="93">
      <formula>COUNTIF(G54:BE54,"&lt;&gt;" &amp; "")&gt;0</formula>
    </cfRule>
    <cfRule type="expression" dxfId="1" priority="94">
      <formula>AND(COUNTIF(G54:BE54,"&lt;&gt;" &amp; "")&gt;0,NOT(ISBLANK(E54)))</formula>
    </cfRule>
  </conditionalFormatting>
  <conditionalFormatting sqref="E55">
    <cfRule type="expression" dxfId="0" priority="95">
      <formula>COUNTIF(G55:BE55,"&lt;&gt;" &amp; "")&gt;0</formula>
    </cfRule>
    <cfRule type="expression" dxfId="1" priority="96">
      <formula>AND(COUNTIF(G55:BE55,"&lt;&gt;" &amp; "")&gt;0,NOT(ISBLANK(E55)))</formula>
    </cfRule>
  </conditionalFormatting>
  <conditionalFormatting sqref="E56">
    <cfRule type="expression" dxfId="0" priority="97">
      <formula>COUNTIF(G56:BE56,"&lt;&gt;" &amp; "")&gt;0</formula>
    </cfRule>
    <cfRule type="expression" dxfId="1" priority="98">
      <formula>AND(COUNTIF(G56:BE56,"&lt;&gt;" &amp; "")&gt;0,NOT(ISBLANK(E56)))</formula>
    </cfRule>
  </conditionalFormatting>
  <conditionalFormatting sqref="E57">
    <cfRule type="expression" dxfId="0" priority="99">
      <formula>COUNTIF(G57:BE57,"&lt;&gt;" &amp; "")&gt;0</formula>
    </cfRule>
    <cfRule type="expression" dxfId="1" priority="100">
      <formula>AND(COUNTIF(G57:BE57,"&lt;&gt;" &amp; "")&gt;0,NOT(ISBLANK(E57)))</formula>
    </cfRule>
  </conditionalFormatting>
  <conditionalFormatting sqref="E58">
    <cfRule type="expression" dxfId="0" priority="101">
      <formula>COUNTIF(G58:BE58,"&lt;&gt;" &amp; "")&gt;0</formula>
    </cfRule>
    <cfRule type="expression" dxfId="1" priority="102">
      <formula>AND(COUNTIF(G58:BE58,"&lt;&gt;" &amp; "")&gt;0,NOT(ISBLANK(E58)))</formula>
    </cfRule>
  </conditionalFormatting>
  <conditionalFormatting sqref="E59">
    <cfRule type="expression" dxfId="0" priority="103">
      <formula>COUNTIF(G59:BE59,"&lt;&gt;" &amp; "")&gt;0</formula>
    </cfRule>
    <cfRule type="expression" dxfId="1" priority="104">
      <formula>AND(COUNTIF(G59:BE59,"&lt;&gt;" &amp; "")&gt;0,NOT(ISBLANK(E59)))</formula>
    </cfRule>
  </conditionalFormatting>
  <conditionalFormatting sqref="E6">
    <cfRule type="expression" dxfId="0" priority="9">
      <formula>COUNTIF(G6:BE6,"&lt;&gt;" &amp; "")&gt;0</formula>
    </cfRule>
    <cfRule type="expression" dxfId="1" priority="10">
      <formula>AND(COUNTIF(G6:BE6,"&lt;&gt;" &amp; "")&gt;0,NOT(ISBLANK(E6)))</formula>
    </cfRule>
  </conditionalFormatting>
  <conditionalFormatting sqref="E60">
    <cfRule type="expression" dxfId="0" priority="105">
      <formula>COUNTIF(G60:BE60,"&lt;&gt;" &amp; "")&gt;0</formula>
    </cfRule>
    <cfRule type="expression" dxfId="1" priority="106">
      <formula>AND(COUNTIF(G60:BE60,"&lt;&gt;" &amp; "")&gt;0,NOT(ISBLANK(E60)))</formula>
    </cfRule>
  </conditionalFormatting>
  <conditionalFormatting sqref="E61">
    <cfRule type="expression" dxfId="0" priority="107">
      <formula>COUNTIF(G61:BE61,"&lt;&gt;" &amp; "")&gt;0</formula>
    </cfRule>
    <cfRule type="expression" dxfId="1" priority="108">
      <formula>AND(COUNTIF(G61:BE61,"&lt;&gt;" &amp; "")&gt;0,NOT(ISBLANK(E61)))</formula>
    </cfRule>
  </conditionalFormatting>
  <conditionalFormatting sqref="E62">
    <cfRule type="expression" dxfId="0" priority="109">
      <formula>COUNTIF(G62:BE62,"&lt;&gt;" &amp; "")&gt;0</formula>
    </cfRule>
    <cfRule type="expression" dxfId="1" priority="110">
      <formula>AND(COUNTIF(G62:BE62,"&lt;&gt;" &amp; "")&gt;0,NOT(ISBLANK(E62)))</formula>
    </cfRule>
  </conditionalFormatting>
  <conditionalFormatting sqref="E63">
    <cfRule type="expression" dxfId="0" priority="111">
      <formula>COUNTIF(G63:BE63,"&lt;&gt;" &amp; "")&gt;0</formula>
    </cfRule>
    <cfRule type="expression" dxfId="1" priority="112">
      <formula>AND(COUNTIF(G63:BE63,"&lt;&gt;" &amp; "")&gt;0,NOT(ISBLANK(E63)))</formula>
    </cfRule>
  </conditionalFormatting>
  <conditionalFormatting sqref="E7">
    <cfRule type="expression" dxfId="0" priority="11">
      <formula>COUNTIF(G7:BE7,"&lt;&gt;" &amp; "")&gt;0</formula>
    </cfRule>
    <cfRule type="expression" dxfId="1" priority="12">
      <formula>AND(COUNTIF(G7:BE7,"&lt;&gt;" &amp; "")&gt;0,NOT(ISBLANK(E7)))</formula>
    </cfRule>
  </conditionalFormatting>
  <conditionalFormatting sqref="E8">
    <cfRule type="expression" dxfId="0" priority="13">
      <formula>COUNTIF(G8:BE8,"&lt;&gt;" &amp; "")&gt;0</formula>
    </cfRule>
    <cfRule type="expression" dxfId="1" priority="14">
      <formula>AND(COUNTIF(G8:BE8,"&lt;&gt;" &amp; "")&gt;0,NOT(ISBLANK(E8)))</formula>
    </cfRule>
  </conditionalFormatting>
  <conditionalFormatting sqref="E9">
    <cfRule type="expression" dxfId="0" priority="15">
      <formula>COUNTIF(G9:BE9,"&lt;&gt;" &amp; "")&gt;0</formula>
    </cfRule>
    <cfRule type="expression" dxfId="1" priority="16">
      <formula>AND(COUNTIF(G9:BE9,"&lt;&gt;" &amp; "")&gt;0,NOT(ISBLANK(E9)))</formula>
    </cfRule>
  </conditionalFormatting>
  <dataValidations count="56">
    <dataValidation type="list" allowBlank="1" showInputMessage="1" showErrorMessage="1" sqref="C2">
      <formula1>"Rate (per year)"</formula1>
    </dataValidation>
    <dataValidation type="list" allowBlank="1" showInputMessage="1" showErrorMessage="1" sqref="C3">
      <formula1>"Rate (per year)"</formula1>
    </dataValidation>
    <dataValidation type="list" allowBlank="1" showInputMessage="1" showErrorMessage="1" sqref="C4">
      <formula1>"Rate (per year)"</formula1>
    </dataValidation>
    <dataValidation type="list" allowBlank="1" showInputMessage="1" showErrorMessage="1" sqref="C5">
      <formula1>"Rate (per year)"</formula1>
    </dataValidation>
    <dataValidation type="list" allowBlank="1" showInputMessage="1" showErrorMessage="1" sqref="C6">
      <formula1>"Rate (per year)"</formula1>
    </dataValidation>
    <dataValidation type="list" allowBlank="1" showInputMessage="1" showErrorMessage="1" sqref="C7">
      <formula1>"Rate (per year)"</formula1>
    </dataValidation>
    <dataValidation type="list" allowBlank="1" showInputMessage="1" showErrorMessage="1" sqref="C8">
      <formula1>"Rate (per year)"</formula1>
    </dataValidation>
    <dataValidation type="list" allowBlank="1" showInputMessage="1" showErrorMessage="1" sqref="C9">
      <formula1>"Rate (per year)"</formula1>
    </dataValidation>
    <dataValidation type="list" allowBlank="1" showInputMessage="1" showErrorMessage="1" sqref="C10">
      <formula1>"Rate (per year)"</formula1>
    </dataValidation>
    <dataValidation type="list" allowBlank="1" showInputMessage="1" showErrorMessage="1" sqref="C11">
      <formula1>"Rate (per year)"</formula1>
    </dataValidation>
    <dataValidation type="list" allowBlank="1" showInputMessage="1" showErrorMessage="1" sqref="C12">
      <formula1>"Rate (per year)"</formula1>
    </dataValidation>
    <dataValidation type="list" allowBlank="1" showInputMessage="1" showErrorMessage="1" sqref="C13">
      <formula1>"Rate (per year)"</formula1>
    </dataValidation>
    <dataValidation type="list" allowBlank="1" showInputMessage="1" showErrorMessage="1" sqref="C14">
      <formula1>"Rate (per year)"</formula1>
    </dataValidation>
    <dataValidation type="list" allowBlank="1" showInputMessage="1" showErrorMessage="1" sqref="C15">
      <formula1>"Rate (per year)"</formula1>
    </dataValidation>
    <dataValidation type="list" allowBlank="1" showInputMessage="1" showErrorMessage="1" sqref="C18">
      <formula1>"Rate (per year)"</formula1>
    </dataValidation>
    <dataValidation type="list" allowBlank="1" showInputMessage="1" showErrorMessage="1" sqref="C19">
      <formula1>"Rate (per year)"</formula1>
    </dataValidation>
    <dataValidation type="list" allowBlank="1" showInputMessage="1" showErrorMessage="1" sqref="C20">
      <formula1>"Rate (per year)"</formula1>
    </dataValidation>
    <dataValidation type="list" allowBlank="1" showInputMessage="1" showErrorMessage="1" sqref="C21">
      <formula1>"Rate (per year)"</formula1>
    </dataValidation>
    <dataValidation type="list" allowBlank="1" showInputMessage="1" showErrorMessage="1" sqref="C22">
      <formula1>"Rate (per year)"</formula1>
    </dataValidation>
    <dataValidation type="list" allowBlank="1" showInputMessage="1" showErrorMessage="1" sqref="C23">
      <formula1>"Rate (per year)"</formula1>
    </dataValidation>
    <dataValidation type="list" allowBlank="1" showInputMessage="1" showErrorMessage="1" sqref="C24">
      <formula1>"Rate (per year)"</formula1>
    </dataValidation>
    <dataValidation type="list" allowBlank="1" showInputMessage="1" showErrorMessage="1" sqref="C25">
      <formula1>"Rate (per year)"</formula1>
    </dataValidation>
    <dataValidation type="list" allowBlank="1" showInputMessage="1" showErrorMessage="1" sqref="C26">
      <formula1>"Rate (per year)"</formula1>
    </dataValidation>
    <dataValidation type="list" allowBlank="1" showInputMessage="1" showErrorMessage="1" sqref="C27">
      <formula1>"Rate (per year)"</formula1>
    </dataValidation>
    <dataValidation type="list" allowBlank="1" showInputMessage="1" showErrorMessage="1" sqref="C28">
      <formula1>"Rate (per year)"</formula1>
    </dataValidation>
    <dataValidation type="list" allowBlank="1" showInputMessage="1" showErrorMessage="1" sqref="C29">
      <formula1>"Rate (per year)"</formula1>
    </dataValidation>
    <dataValidation type="list" allowBlank="1" showInputMessage="1" showErrorMessage="1" sqref="C30">
      <formula1>"Rate (per year)"</formula1>
    </dataValidation>
    <dataValidation type="list" allowBlank="1" showInputMessage="1" showErrorMessage="1" sqref="C31">
      <formula1>"Rate (per year)"</formula1>
    </dataValidation>
    <dataValidation type="list" allowBlank="1" showInputMessage="1" showErrorMessage="1" sqref="C34">
      <formula1>"Duration (years)"</formula1>
    </dataValidation>
    <dataValidation type="list" allowBlank="1" showInputMessage="1" showErrorMessage="1" sqref="C35">
      <formula1>"Duration (years)"</formula1>
    </dataValidation>
    <dataValidation type="list" allowBlank="1" showInputMessage="1" showErrorMessage="1" sqref="C36">
      <formula1>"Duration (years)"</formula1>
    </dataValidation>
    <dataValidation type="list" allowBlank="1" showInputMessage="1" showErrorMessage="1" sqref="C37">
      <formula1>"Duration (years)"</formula1>
    </dataValidation>
    <dataValidation type="list" allowBlank="1" showInputMessage="1" showErrorMessage="1" sqref="C38">
      <formula1>"Duration (years)"</formula1>
    </dataValidation>
    <dataValidation type="list" allowBlank="1" showInputMessage="1" showErrorMessage="1" sqref="C39">
      <formula1>"Duration (years)"</formula1>
    </dataValidation>
    <dataValidation type="list" allowBlank="1" showInputMessage="1" showErrorMessage="1" sqref="C40">
      <formula1>"Duration (years)"</formula1>
    </dataValidation>
    <dataValidation type="list" allowBlank="1" showInputMessage="1" showErrorMessage="1" sqref="C41">
      <formula1>"Duration (years)"</formula1>
    </dataValidation>
    <dataValidation type="list" allowBlank="1" showInputMessage="1" showErrorMessage="1" sqref="C42">
      <formula1>"Duration (years)"</formula1>
    </dataValidation>
    <dataValidation type="list" allowBlank="1" showInputMessage="1" showErrorMessage="1" sqref="C43">
      <formula1>"Duration (years)"</formula1>
    </dataValidation>
    <dataValidation type="list" allowBlank="1" showInputMessage="1" showErrorMessage="1" sqref="C44">
      <formula1>"Duration (years)"</formula1>
    </dataValidation>
    <dataValidation type="list" allowBlank="1" showInputMessage="1" showErrorMessage="1" sqref="C45">
      <formula1>"Duration (years)"</formula1>
    </dataValidation>
    <dataValidation type="list" allowBlank="1" showInputMessage="1" showErrorMessage="1" sqref="C46">
      <formula1>"Duration (years)"</formula1>
    </dataValidation>
    <dataValidation type="list" allowBlank="1" showInputMessage="1" showErrorMessage="1" sqref="C47">
      <formula1>"Duration (years)"</formula1>
    </dataValidation>
    <dataValidation type="list" allowBlank="1" showInputMessage="1" showErrorMessage="1" sqref="C50">
      <formula1>"Duration (years)"</formula1>
    </dataValidation>
    <dataValidation type="list" allowBlank="1" showInputMessage="1" showErrorMessage="1" sqref="C51">
      <formula1>"Duration (years)"</formula1>
    </dataValidation>
    <dataValidation type="list" allowBlank="1" showInputMessage="1" showErrorMessage="1" sqref="C52">
      <formula1>"Duration (years)"</formula1>
    </dataValidation>
    <dataValidation type="list" allowBlank="1" showInputMessage="1" showErrorMessage="1" sqref="C53">
      <formula1>"Duration (years)"</formula1>
    </dataValidation>
    <dataValidation type="list" allowBlank="1" showInputMessage="1" showErrorMessage="1" sqref="C54">
      <formula1>"Duration (years)"</formula1>
    </dataValidation>
    <dataValidation type="list" allowBlank="1" showInputMessage="1" showErrorMessage="1" sqref="C55">
      <formula1>"Duration (years)"</formula1>
    </dataValidation>
    <dataValidation type="list" allowBlank="1" showInputMessage="1" showErrorMessage="1" sqref="C56">
      <formula1>"Duration (years)"</formula1>
    </dataValidation>
    <dataValidation type="list" allowBlank="1" showInputMessage="1" showErrorMessage="1" sqref="C57">
      <formula1>"Duration (years)"</formula1>
    </dataValidation>
    <dataValidation type="list" allowBlank="1" showInputMessage="1" showErrorMessage="1" sqref="C58">
      <formula1>"Duration (years)"</formula1>
    </dataValidation>
    <dataValidation type="list" allowBlank="1" showInputMessage="1" showErrorMessage="1" sqref="C59">
      <formula1>"Duration (years)"</formula1>
    </dataValidation>
    <dataValidation type="list" allowBlank="1" showInputMessage="1" showErrorMessage="1" sqref="C60">
      <formula1>"Duration (years)"</formula1>
    </dataValidation>
    <dataValidation type="list" allowBlank="1" showInputMessage="1" showErrorMessage="1" sqref="C61">
      <formula1>"Duration (years)"</formula1>
    </dataValidation>
    <dataValidation type="list" allowBlank="1" showInputMessage="1" showErrorMessage="1" sqref="C62">
      <formula1>"Duration (years)"</formula1>
    </dataValidation>
    <dataValidation type="list" allowBlank="1" showInputMessage="1" showErrorMessage="1" sqref="C63">
      <formula1>"Duration (years)"</formula1>
    </dataValidation>
  </dataValidation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sheetPr>
    <tabColor rgb="FF808080"/>
  </sheetPr>
  <dimension ref="A1:BE288"/>
  <sheetViews>
    <sheetView workbookViewId="0"/>
  </sheetViews>
  <sheetFormatPr defaultRowHeight="15"/>
  <cols>
    <col min="1" max="1" width="104" customWidth="1"/>
    <col min="2" max="2" width="12.7109375" customWidth="1"/>
    <col min="3" max="3" width="10.5703125" customWidth="1"/>
    <col min="4" max="4" width="13.85546875" customWidth="1"/>
    <col min="5" max="5" width="10.5703125" customWidth="1"/>
    <col min="6" max="57" width="9.42578125" customWidth="1"/>
  </cols>
  <sheetData>
    <row r="1" spans="1:55">
      <c r="A1" s="1" t="s">
        <v>109</v>
      </c>
      <c r="B1" s="1" t="s">
        <v>31</v>
      </c>
      <c r="C1" s="1" t="s">
        <v>32</v>
      </c>
      <c r="D1" s="1" t="s">
        <v>33</v>
      </c>
      <c r="E1" s="1">
        <v>2000</v>
      </c>
      <c r="F1" s="1">
        <v>2001</v>
      </c>
      <c r="G1" s="1">
        <v>2002</v>
      </c>
      <c r="H1" s="1">
        <v>2003</v>
      </c>
      <c r="I1" s="1">
        <v>2004</v>
      </c>
      <c r="J1" s="1">
        <v>2005</v>
      </c>
      <c r="K1" s="1">
        <v>2006</v>
      </c>
      <c r="L1" s="1">
        <v>2007</v>
      </c>
      <c r="M1" s="1">
        <v>2008</v>
      </c>
      <c r="N1" s="1">
        <v>2009</v>
      </c>
      <c r="O1" s="1">
        <v>2010</v>
      </c>
      <c r="P1" s="1">
        <v>2011</v>
      </c>
      <c r="Q1" s="1">
        <v>2012</v>
      </c>
      <c r="R1" s="1">
        <v>2013</v>
      </c>
      <c r="S1" s="1">
        <v>2014</v>
      </c>
      <c r="T1" s="1">
        <v>2015</v>
      </c>
      <c r="U1" s="1">
        <v>2016</v>
      </c>
      <c r="V1" s="1">
        <v>2017</v>
      </c>
      <c r="W1" s="1">
        <v>2018</v>
      </c>
      <c r="X1" s="1">
        <v>2019</v>
      </c>
      <c r="Y1" s="1">
        <v>2020</v>
      </c>
      <c r="Z1" s="1">
        <v>2021</v>
      </c>
      <c r="AA1" s="1">
        <v>2022</v>
      </c>
      <c r="AB1" s="1">
        <v>2023</v>
      </c>
      <c r="AC1" s="1">
        <v>2024</v>
      </c>
      <c r="AD1" s="1">
        <v>2025</v>
      </c>
      <c r="AE1" s="1">
        <v>2026</v>
      </c>
      <c r="AF1" s="1">
        <v>2027</v>
      </c>
      <c r="AG1" s="1">
        <v>2028</v>
      </c>
      <c r="AH1" s="1">
        <v>2029</v>
      </c>
      <c r="AI1" s="1">
        <v>2030</v>
      </c>
      <c r="AJ1" s="1">
        <v>2031</v>
      </c>
      <c r="AK1" s="1">
        <v>2032</v>
      </c>
      <c r="AL1" s="1">
        <v>2033</v>
      </c>
      <c r="AM1" s="1">
        <v>2034</v>
      </c>
      <c r="AN1" s="1">
        <v>2035</v>
      </c>
      <c r="AO1" s="1">
        <v>2036</v>
      </c>
      <c r="AP1" s="1">
        <v>2037</v>
      </c>
      <c r="AQ1" s="1">
        <v>2038</v>
      </c>
      <c r="AR1" s="1">
        <v>2039</v>
      </c>
      <c r="AS1" s="1">
        <v>2040</v>
      </c>
      <c r="AT1" s="1">
        <v>2041</v>
      </c>
      <c r="AU1" s="1">
        <v>2042</v>
      </c>
      <c r="AV1" s="1">
        <v>2043</v>
      </c>
      <c r="AW1" s="1">
        <v>2044</v>
      </c>
      <c r="AX1" s="1">
        <v>2045</v>
      </c>
      <c r="AY1" s="1">
        <v>2046</v>
      </c>
      <c r="AZ1" s="1">
        <v>2047</v>
      </c>
      <c r="BA1" s="1">
        <v>2048</v>
      </c>
      <c r="BB1" s="1">
        <v>2049</v>
      </c>
      <c r="BC1" s="1">
        <v>2050</v>
      </c>
    </row>
    <row r="2" spans="1:55">
      <c r="A2" s="1" t="str">
        <f>'Population Definitions'!$A$2</f>
        <v>PWID_males</v>
      </c>
      <c r="C2" t="s">
        <v>36</v>
      </c>
      <c r="D2" s="3"/>
      <c r="E2" s="3">
        <v>0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</row>
    <row r="3" spans="1:55">
      <c r="A3" s="1" t="str">
        <f>'Population Definitions'!$A$3</f>
        <v>PWID_females</v>
      </c>
      <c r="C3" t="s">
        <v>36</v>
      </c>
      <c r="D3" s="3"/>
      <c r="E3" s="3">
        <v>0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</row>
    <row r="4" spans="1:55">
      <c r="A4" s="1" t="str">
        <f>'Population Definitions'!$A$4</f>
        <v>0-9_males</v>
      </c>
      <c r="C4" t="s">
        <v>36</v>
      </c>
      <c r="D4" s="3"/>
      <c r="E4" s="3">
        <v>0</v>
      </c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</row>
    <row r="5" spans="1:55">
      <c r="A5" s="1" t="str">
        <f>'Population Definitions'!$A$5</f>
        <v>0-9_females</v>
      </c>
      <c r="C5" t="s">
        <v>36</v>
      </c>
      <c r="D5" s="3"/>
      <c r="E5" s="3">
        <v>0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</row>
    <row r="6" spans="1:55">
      <c r="A6" s="1" t="str">
        <f>'Population Definitions'!$A$6</f>
        <v>10-17_males</v>
      </c>
      <c r="C6" t="s">
        <v>36</v>
      </c>
      <c r="D6" s="3"/>
      <c r="E6" s="3">
        <v>0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</row>
    <row r="7" spans="1:55">
      <c r="A7" s="1" t="str">
        <f>'Population Definitions'!$A$7</f>
        <v>10-17_females</v>
      </c>
      <c r="C7" t="s">
        <v>36</v>
      </c>
      <c r="D7" s="3"/>
      <c r="E7" s="3">
        <v>0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</row>
    <row r="8" spans="1:55">
      <c r="A8" s="1" t="str">
        <f>'Population Definitions'!$A$8</f>
        <v>18-64_males</v>
      </c>
      <c r="C8" t="s">
        <v>36</v>
      </c>
      <c r="D8" s="3"/>
      <c r="E8" s="3">
        <v>0</v>
      </c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</row>
    <row r="9" spans="1:55">
      <c r="A9" s="1" t="str">
        <f>'Population Definitions'!$A$9</f>
        <v>18-64_females</v>
      </c>
      <c r="C9" t="s">
        <v>36</v>
      </c>
      <c r="D9" s="3"/>
      <c r="E9" s="3">
        <v>0</v>
      </c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</row>
    <row r="10" spans="1:55">
      <c r="A10" s="1" t="str">
        <f>'Population Definitions'!$A$10</f>
        <v>65+_males</v>
      </c>
      <c r="C10" t="s">
        <v>36</v>
      </c>
      <c r="D10" s="3"/>
      <c r="E10" s="3">
        <v>0</v>
      </c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</row>
    <row r="11" spans="1:55">
      <c r="A11" s="1" t="str">
        <f>'Population Definitions'!$A$11</f>
        <v>65+_females</v>
      </c>
      <c r="C11" t="s">
        <v>36</v>
      </c>
      <c r="D11" s="3"/>
      <c r="E11" s="3">
        <v>0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</row>
    <row r="12" spans="1:55">
      <c r="A12" s="1" t="str">
        <f>'Population Definitions'!$A$12</f>
        <v>Prisoners_males</v>
      </c>
      <c r="C12" t="s">
        <v>36</v>
      </c>
      <c r="D12" s="3"/>
      <c r="E12" s="3">
        <v>0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</row>
    <row r="13" spans="1:55">
      <c r="A13" s="1" t="str">
        <f>'Population Definitions'!$A$13</f>
        <v>Prisoners_females</v>
      </c>
      <c r="C13" t="s">
        <v>36</v>
      </c>
      <c r="D13" s="3"/>
      <c r="E13" s="3">
        <v>0</v>
      </c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</row>
    <row r="14" spans="1:55">
      <c r="A14" s="1" t="str">
        <f>'Population Definitions'!$A$14</f>
        <v>Prisoners_PWID_males</v>
      </c>
      <c r="C14" t="s">
        <v>36</v>
      </c>
      <c r="D14" s="3"/>
      <c r="E14" s="3">
        <v>0</v>
      </c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</row>
    <row r="15" spans="1:55">
      <c r="A15" s="1" t="str">
        <f>'Population Definitions'!$A$15</f>
        <v>Prisoners_PWID_females</v>
      </c>
      <c r="C15" t="s">
        <v>36</v>
      </c>
      <c r="D15" s="3"/>
      <c r="E15" s="3">
        <v>0</v>
      </c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</row>
    <row r="16" spans="1:55">
      <c r="A16" s="1" t="s">
        <v>110</v>
      </c>
      <c r="C16" t="s">
        <v>36</v>
      </c>
      <c r="D16" s="3"/>
      <c r="E16" s="3">
        <v>0.0154997892021923</v>
      </c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>
        <v>0.04649936760657689</v>
      </c>
      <c r="U16" s="3">
        <v>0.04807646403042822</v>
      </c>
      <c r="V16" s="3">
        <v>0.04982755104930754</v>
      </c>
      <c r="W16" s="3">
        <v>0.05161038157769531</v>
      </c>
      <c r="X16" s="3">
        <v>0.05361922346486601</v>
      </c>
      <c r="Y16" s="3">
        <v>0.05585438638890231</v>
      </c>
      <c r="Z16" s="3">
        <v>0.04046917716562751</v>
      </c>
      <c r="AA16" s="3">
        <v>0.04333025092472258</v>
      </c>
      <c r="AB16" s="3">
        <v>0.04659827845141262</v>
      </c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</row>
    <row r="18" spans="1:57">
      <c r="A18" s="1" t="s">
        <v>111</v>
      </c>
      <c r="B18" s="1" t="s">
        <v>31</v>
      </c>
      <c r="C18" s="1" t="s">
        <v>32</v>
      </c>
      <c r="D18" s="1" t="s">
        <v>33</v>
      </c>
      <c r="E18" s="1" t="s">
        <v>38</v>
      </c>
      <c r="F18" s="1"/>
      <c r="G18" s="1">
        <v>2000</v>
      </c>
      <c r="H18" s="1">
        <v>2001</v>
      </c>
      <c r="I18" s="1">
        <v>2002</v>
      </c>
      <c r="J18" s="1">
        <v>2003</v>
      </c>
      <c r="K18" s="1">
        <v>2004</v>
      </c>
      <c r="L18" s="1">
        <v>2005</v>
      </c>
      <c r="M18" s="1">
        <v>2006</v>
      </c>
      <c r="N18" s="1">
        <v>2007</v>
      </c>
      <c r="O18" s="1">
        <v>2008</v>
      </c>
      <c r="P18" s="1">
        <v>2009</v>
      </c>
      <c r="Q18" s="1">
        <v>2010</v>
      </c>
      <c r="R18" s="1">
        <v>2011</v>
      </c>
      <c r="S18" s="1">
        <v>2012</v>
      </c>
      <c r="T18" s="1">
        <v>2013</v>
      </c>
      <c r="U18" s="1">
        <v>2014</v>
      </c>
      <c r="V18" s="1">
        <v>2015</v>
      </c>
      <c r="W18" s="1">
        <v>2016</v>
      </c>
      <c r="X18" s="1">
        <v>2017</v>
      </c>
      <c r="Y18" s="1">
        <v>2018</v>
      </c>
      <c r="Z18" s="1">
        <v>2019</v>
      </c>
      <c r="AA18" s="1">
        <v>2020</v>
      </c>
      <c r="AB18" s="1">
        <v>2021</v>
      </c>
      <c r="AC18" s="1">
        <v>2022</v>
      </c>
      <c r="AD18" s="1">
        <v>2023</v>
      </c>
      <c r="AE18" s="1">
        <v>2024</v>
      </c>
      <c r="AF18" s="1">
        <v>2025</v>
      </c>
      <c r="AG18" s="1">
        <v>2026</v>
      </c>
      <c r="AH18" s="1">
        <v>2027</v>
      </c>
      <c r="AI18" s="1">
        <v>2028</v>
      </c>
      <c r="AJ18" s="1">
        <v>2029</v>
      </c>
      <c r="AK18" s="1">
        <v>2030</v>
      </c>
      <c r="AL18" s="1">
        <v>2031</v>
      </c>
      <c r="AM18" s="1">
        <v>2032</v>
      </c>
      <c r="AN18" s="1">
        <v>2033</v>
      </c>
      <c r="AO18" s="1">
        <v>2034</v>
      </c>
      <c r="AP18" s="1">
        <v>2035</v>
      </c>
      <c r="AQ18" s="1">
        <v>2036</v>
      </c>
      <c r="AR18" s="1">
        <v>2037</v>
      </c>
      <c r="AS18" s="1">
        <v>2038</v>
      </c>
      <c r="AT18" s="1">
        <v>2039</v>
      </c>
      <c r="AU18" s="1">
        <v>2040</v>
      </c>
      <c r="AV18" s="1">
        <v>2041</v>
      </c>
      <c r="AW18" s="1">
        <v>2042</v>
      </c>
      <c r="AX18" s="1">
        <v>2043</v>
      </c>
      <c r="AY18" s="1">
        <v>2044</v>
      </c>
      <c r="AZ18" s="1">
        <v>2045</v>
      </c>
      <c r="BA18" s="1">
        <v>2046</v>
      </c>
      <c r="BB18" s="1">
        <v>2047</v>
      </c>
      <c r="BC18" s="1">
        <v>2048</v>
      </c>
      <c r="BD18" s="1">
        <v>2049</v>
      </c>
      <c r="BE18" s="1">
        <v>2050</v>
      </c>
    </row>
    <row r="19" spans="1:57">
      <c r="A19" s="1" t="str">
        <f>'Population Definitions'!$A$2</f>
        <v>PWID_males</v>
      </c>
      <c r="C19" t="s">
        <v>34</v>
      </c>
      <c r="D19" s="3"/>
      <c r="E19" s="3"/>
      <c r="F19" s="4" t="s">
        <v>39</v>
      </c>
      <c r="G19" s="3">
        <v>0</v>
      </c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</row>
    <row r="20" spans="1:57">
      <c r="A20" s="1" t="str">
        <f>'Population Definitions'!$A$3</f>
        <v>PWID_females</v>
      </c>
      <c r="C20" t="s">
        <v>34</v>
      </c>
      <c r="D20" s="3"/>
      <c r="E20" s="3"/>
      <c r="F20" s="4" t="s">
        <v>39</v>
      </c>
      <c r="G20" s="3">
        <v>0</v>
      </c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</row>
    <row r="21" spans="1:57">
      <c r="A21" s="1" t="str">
        <f>'Population Definitions'!$A$4</f>
        <v>0-9_males</v>
      </c>
      <c r="C21" t="s">
        <v>34</v>
      </c>
      <c r="D21" s="3"/>
      <c r="E21" s="3"/>
      <c r="F21" s="4" t="s">
        <v>39</v>
      </c>
      <c r="G21" s="3">
        <v>0</v>
      </c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</row>
    <row r="22" spans="1:57">
      <c r="A22" s="1" t="str">
        <f>'Population Definitions'!$A$5</f>
        <v>0-9_females</v>
      </c>
      <c r="C22" t="s">
        <v>34</v>
      </c>
      <c r="D22" s="3"/>
      <c r="E22" s="3"/>
      <c r="F22" s="4" t="s">
        <v>39</v>
      </c>
      <c r="G22" s="3">
        <v>0</v>
      </c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</row>
    <row r="23" spans="1:57">
      <c r="A23" s="1" t="str">
        <f>'Population Definitions'!$A$6</f>
        <v>10-17_males</v>
      </c>
      <c r="C23" t="s">
        <v>34</v>
      </c>
      <c r="D23" s="3"/>
      <c r="E23" s="3"/>
      <c r="F23" s="4" t="s">
        <v>39</v>
      </c>
      <c r="G23" s="3">
        <v>0</v>
      </c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</row>
    <row r="24" spans="1:57">
      <c r="A24" s="1" t="str">
        <f>'Population Definitions'!$A$7</f>
        <v>10-17_females</v>
      </c>
      <c r="C24" t="s">
        <v>34</v>
      </c>
      <c r="D24" s="3"/>
      <c r="E24" s="3"/>
      <c r="F24" s="4" t="s">
        <v>39</v>
      </c>
      <c r="G24" s="3">
        <v>0</v>
      </c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</row>
    <row r="25" spans="1:57">
      <c r="A25" s="1" t="str">
        <f>'Population Definitions'!$A$8</f>
        <v>18-64_males</v>
      </c>
      <c r="C25" t="s">
        <v>34</v>
      </c>
      <c r="D25" s="3"/>
      <c r="E25" s="3"/>
      <c r="F25" s="4" t="s">
        <v>39</v>
      </c>
      <c r="G25" s="3">
        <v>0</v>
      </c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</row>
    <row r="26" spans="1:57">
      <c r="A26" s="1" t="str">
        <f>'Population Definitions'!$A$9</f>
        <v>18-64_females</v>
      </c>
      <c r="C26" t="s">
        <v>34</v>
      </c>
      <c r="D26" s="3"/>
      <c r="E26" s="3"/>
      <c r="F26" s="4" t="s">
        <v>39</v>
      </c>
      <c r="G26" s="3">
        <v>0</v>
      </c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</row>
    <row r="27" spans="1:57">
      <c r="A27" s="1" t="str">
        <f>'Population Definitions'!$A$10</f>
        <v>65+_males</v>
      </c>
      <c r="C27" t="s">
        <v>34</v>
      </c>
      <c r="D27" s="3"/>
      <c r="E27" s="3"/>
      <c r="F27" s="4" t="s">
        <v>39</v>
      </c>
      <c r="G27" s="3">
        <v>0</v>
      </c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</row>
    <row r="28" spans="1:57">
      <c r="A28" s="1" t="str">
        <f>'Population Definitions'!$A$11</f>
        <v>65+_females</v>
      </c>
      <c r="C28" t="s">
        <v>34</v>
      </c>
      <c r="D28" s="3"/>
      <c r="E28" s="3"/>
      <c r="F28" s="4" t="s">
        <v>39</v>
      </c>
      <c r="G28" s="3">
        <v>0</v>
      </c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</row>
    <row r="29" spans="1:57">
      <c r="A29" s="1" t="str">
        <f>'Population Definitions'!$A$12</f>
        <v>Prisoners_males</v>
      </c>
      <c r="C29" t="s">
        <v>34</v>
      </c>
      <c r="D29" s="3"/>
      <c r="E29" s="3"/>
      <c r="F29" s="4" t="s">
        <v>39</v>
      </c>
      <c r="G29" s="3">
        <v>0</v>
      </c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</row>
    <row r="30" spans="1:57">
      <c r="A30" s="1" t="str">
        <f>'Population Definitions'!$A$13</f>
        <v>Prisoners_females</v>
      </c>
      <c r="C30" t="s">
        <v>34</v>
      </c>
      <c r="D30" s="3"/>
      <c r="E30" s="3"/>
      <c r="F30" s="4" t="s">
        <v>39</v>
      </c>
      <c r="G30" s="3">
        <v>0</v>
      </c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</row>
    <row r="31" spans="1:57">
      <c r="A31" s="1" t="str">
        <f>'Population Definitions'!$A$14</f>
        <v>Prisoners_PWID_males</v>
      </c>
      <c r="C31" t="s">
        <v>34</v>
      </c>
      <c r="D31" s="3"/>
      <c r="E31" s="3"/>
      <c r="F31" s="4" t="s">
        <v>39</v>
      </c>
      <c r="G31" s="3">
        <v>0</v>
      </c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</row>
    <row r="32" spans="1:57">
      <c r="A32" s="1" t="str">
        <f>'Population Definitions'!$A$15</f>
        <v>Prisoners_PWID_females</v>
      </c>
      <c r="C32" t="s">
        <v>34</v>
      </c>
      <c r="D32" s="3"/>
      <c r="E32" s="3"/>
      <c r="F32" s="4" t="s">
        <v>39</v>
      </c>
      <c r="G32" s="3">
        <v>0</v>
      </c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</row>
    <row r="33" spans="1:57">
      <c r="A33" s="1" t="s">
        <v>110</v>
      </c>
      <c r="C33" t="s">
        <v>34</v>
      </c>
      <c r="D33" s="3"/>
      <c r="E33" s="3"/>
      <c r="F33" s="4" t="s">
        <v>39</v>
      </c>
      <c r="G33" s="3">
        <v>26.922</v>
      </c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>
        <v>26.922</v>
      </c>
      <c r="V33" s="3">
        <v>80.76600000000001</v>
      </c>
      <c r="W33" s="3">
        <v>43.501</v>
      </c>
      <c r="X33" s="3">
        <v>48.138</v>
      </c>
      <c r="Y33" s="3">
        <v>25.888</v>
      </c>
      <c r="Z33" s="3">
        <v>1</v>
      </c>
      <c r="AA33" s="3">
        <v>2072</v>
      </c>
      <c r="AB33" s="3">
        <v>54.039</v>
      </c>
      <c r="AC33" s="3">
        <v>1</v>
      </c>
      <c r="AD33" s="3">
        <v>1</v>
      </c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</row>
    <row r="35" spans="1:57">
      <c r="A35" s="1" t="s">
        <v>112</v>
      </c>
      <c r="B35" s="1" t="s">
        <v>31</v>
      </c>
      <c r="C35" s="1" t="s">
        <v>32</v>
      </c>
      <c r="D35" s="1" t="s">
        <v>33</v>
      </c>
      <c r="E35" s="1" t="s">
        <v>38</v>
      </c>
      <c r="F35" s="1"/>
      <c r="G35" s="1">
        <v>2000</v>
      </c>
      <c r="H35" s="1">
        <v>2001</v>
      </c>
      <c r="I35" s="1">
        <v>2002</v>
      </c>
      <c r="J35" s="1">
        <v>2003</v>
      </c>
      <c r="K35" s="1">
        <v>2004</v>
      </c>
      <c r="L35" s="1">
        <v>2005</v>
      </c>
      <c r="M35" s="1">
        <v>2006</v>
      </c>
      <c r="N35" s="1">
        <v>2007</v>
      </c>
      <c r="O35" s="1">
        <v>2008</v>
      </c>
      <c r="P35" s="1">
        <v>2009</v>
      </c>
      <c r="Q35" s="1">
        <v>2010</v>
      </c>
      <c r="R35" s="1">
        <v>2011</v>
      </c>
      <c r="S35" s="1">
        <v>2012</v>
      </c>
      <c r="T35" s="1">
        <v>2013</v>
      </c>
      <c r="U35" s="1">
        <v>2014</v>
      </c>
      <c r="V35" s="1">
        <v>2015</v>
      </c>
      <c r="W35" s="1">
        <v>2016</v>
      </c>
      <c r="X35" s="1">
        <v>2017</v>
      </c>
      <c r="Y35" s="1">
        <v>2018</v>
      </c>
      <c r="Z35" s="1">
        <v>2019</v>
      </c>
      <c r="AA35" s="1">
        <v>2020</v>
      </c>
      <c r="AB35" s="1">
        <v>2021</v>
      </c>
      <c r="AC35" s="1">
        <v>2022</v>
      </c>
      <c r="AD35" s="1">
        <v>2023</v>
      </c>
      <c r="AE35" s="1">
        <v>2024</v>
      </c>
      <c r="AF35" s="1">
        <v>2025</v>
      </c>
      <c r="AG35" s="1">
        <v>2026</v>
      </c>
      <c r="AH35" s="1">
        <v>2027</v>
      </c>
      <c r="AI35" s="1">
        <v>2028</v>
      </c>
      <c r="AJ35" s="1">
        <v>2029</v>
      </c>
      <c r="AK35" s="1">
        <v>2030</v>
      </c>
      <c r="AL35" s="1">
        <v>2031</v>
      </c>
      <c r="AM35" s="1">
        <v>2032</v>
      </c>
      <c r="AN35" s="1">
        <v>2033</v>
      </c>
      <c r="AO35" s="1">
        <v>2034</v>
      </c>
      <c r="AP35" s="1">
        <v>2035</v>
      </c>
      <c r="AQ35" s="1">
        <v>2036</v>
      </c>
      <c r="AR35" s="1">
        <v>2037</v>
      </c>
      <c r="AS35" s="1">
        <v>2038</v>
      </c>
      <c r="AT35" s="1">
        <v>2039</v>
      </c>
      <c r="AU35" s="1">
        <v>2040</v>
      </c>
      <c r="AV35" s="1">
        <v>2041</v>
      </c>
      <c r="AW35" s="1">
        <v>2042</v>
      </c>
      <c r="AX35" s="1">
        <v>2043</v>
      </c>
      <c r="AY35" s="1">
        <v>2044</v>
      </c>
      <c r="AZ35" s="1">
        <v>2045</v>
      </c>
      <c r="BA35" s="1">
        <v>2046</v>
      </c>
      <c r="BB35" s="1">
        <v>2047</v>
      </c>
      <c r="BC35" s="1">
        <v>2048</v>
      </c>
      <c r="BD35" s="1">
        <v>2049</v>
      </c>
      <c r="BE35" s="1">
        <v>2050</v>
      </c>
    </row>
    <row r="36" spans="1:57">
      <c r="A36" s="1" t="str">
        <f>'Population Definitions'!$A$2</f>
        <v>PWID_males</v>
      </c>
      <c r="C36" t="s">
        <v>34</v>
      </c>
      <c r="D36" s="3"/>
      <c r="E36" s="3"/>
      <c r="F36" s="4" t="s">
        <v>39</v>
      </c>
      <c r="G36" s="3">
        <v>0</v>
      </c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</row>
    <row r="37" spans="1:57">
      <c r="A37" s="1" t="str">
        <f>'Population Definitions'!$A$3</f>
        <v>PWID_females</v>
      </c>
      <c r="C37" t="s">
        <v>34</v>
      </c>
      <c r="D37" s="3"/>
      <c r="E37" s="3"/>
      <c r="F37" s="4" t="s">
        <v>39</v>
      </c>
      <c r="G37" s="3">
        <v>0</v>
      </c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</row>
    <row r="38" spans="1:57">
      <c r="A38" s="1" t="str">
        <f>'Population Definitions'!$A$4</f>
        <v>0-9_males</v>
      </c>
      <c r="C38" t="s">
        <v>34</v>
      </c>
      <c r="D38" s="3"/>
      <c r="E38" s="3"/>
      <c r="F38" s="4" t="s">
        <v>39</v>
      </c>
      <c r="G38" s="3">
        <v>0</v>
      </c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</row>
    <row r="39" spans="1:57">
      <c r="A39" s="1" t="str">
        <f>'Population Definitions'!$A$5</f>
        <v>0-9_females</v>
      </c>
      <c r="C39" t="s">
        <v>34</v>
      </c>
      <c r="D39" s="3"/>
      <c r="E39" s="3"/>
      <c r="F39" s="4" t="s">
        <v>39</v>
      </c>
      <c r="G39" s="3">
        <v>0</v>
      </c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</row>
    <row r="40" spans="1:57">
      <c r="A40" s="1" t="str">
        <f>'Population Definitions'!$A$6</f>
        <v>10-17_males</v>
      </c>
      <c r="C40" t="s">
        <v>34</v>
      </c>
      <c r="D40" s="3"/>
      <c r="E40" s="3"/>
      <c r="F40" s="4" t="s">
        <v>39</v>
      </c>
      <c r="G40" s="3">
        <v>0</v>
      </c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</row>
    <row r="41" spans="1:57">
      <c r="A41" s="1" t="str">
        <f>'Population Definitions'!$A$7</f>
        <v>10-17_females</v>
      </c>
      <c r="C41" t="s">
        <v>34</v>
      </c>
      <c r="D41" s="3"/>
      <c r="E41" s="3"/>
      <c r="F41" s="4" t="s">
        <v>39</v>
      </c>
      <c r="G41" s="3">
        <v>0</v>
      </c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</row>
    <row r="42" spans="1:57">
      <c r="A42" s="1" t="str">
        <f>'Population Definitions'!$A$8</f>
        <v>18-64_males</v>
      </c>
      <c r="C42" t="s">
        <v>34</v>
      </c>
      <c r="D42" s="3"/>
      <c r="E42" s="3"/>
      <c r="F42" s="4" t="s">
        <v>39</v>
      </c>
      <c r="G42" s="3">
        <v>0</v>
      </c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</row>
    <row r="43" spans="1:57">
      <c r="A43" s="1" t="str">
        <f>'Population Definitions'!$A$9</f>
        <v>18-64_females</v>
      </c>
      <c r="C43" t="s">
        <v>34</v>
      </c>
      <c r="D43" s="3"/>
      <c r="E43" s="3"/>
      <c r="F43" s="4" t="s">
        <v>39</v>
      </c>
      <c r="G43" s="3">
        <v>0</v>
      </c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</row>
    <row r="44" spans="1:57">
      <c r="A44" s="1" t="str">
        <f>'Population Definitions'!$A$10</f>
        <v>65+_males</v>
      </c>
      <c r="C44" t="s">
        <v>34</v>
      </c>
      <c r="D44" s="3"/>
      <c r="E44" s="3"/>
      <c r="F44" s="4" t="s">
        <v>39</v>
      </c>
      <c r="G44" s="3">
        <v>0</v>
      </c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</row>
    <row r="45" spans="1:57">
      <c r="A45" s="1" t="str">
        <f>'Population Definitions'!$A$11</f>
        <v>65+_females</v>
      </c>
      <c r="C45" t="s">
        <v>34</v>
      </c>
      <c r="D45" s="3"/>
      <c r="E45" s="3"/>
      <c r="F45" s="4" t="s">
        <v>39</v>
      </c>
      <c r="G45" s="3">
        <v>0</v>
      </c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</row>
    <row r="46" spans="1:57">
      <c r="A46" s="1" t="str">
        <f>'Population Definitions'!$A$12</f>
        <v>Prisoners_males</v>
      </c>
      <c r="C46" t="s">
        <v>34</v>
      </c>
      <c r="D46" s="3"/>
      <c r="E46" s="3"/>
      <c r="F46" s="4" t="s">
        <v>39</v>
      </c>
      <c r="G46" s="3">
        <v>0</v>
      </c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</row>
    <row r="47" spans="1:57">
      <c r="A47" s="1" t="str">
        <f>'Population Definitions'!$A$13</f>
        <v>Prisoners_females</v>
      </c>
      <c r="C47" t="s">
        <v>34</v>
      </c>
      <c r="D47" s="3"/>
      <c r="E47" s="3"/>
      <c r="F47" s="4" t="s">
        <v>39</v>
      </c>
      <c r="G47" s="3">
        <v>0</v>
      </c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</row>
    <row r="48" spans="1:57">
      <c r="A48" s="1" t="str">
        <f>'Population Definitions'!$A$14</f>
        <v>Prisoners_PWID_males</v>
      </c>
      <c r="C48" t="s">
        <v>34</v>
      </c>
      <c r="D48" s="3"/>
      <c r="E48" s="3"/>
      <c r="F48" s="4" t="s">
        <v>39</v>
      </c>
      <c r="G48" s="3">
        <v>0</v>
      </c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</row>
    <row r="49" spans="1:57">
      <c r="A49" s="1" t="str">
        <f>'Population Definitions'!$A$15</f>
        <v>Prisoners_PWID_females</v>
      </c>
      <c r="C49" t="s">
        <v>34</v>
      </c>
      <c r="D49" s="3"/>
      <c r="E49" s="3"/>
      <c r="F49" s="4" t="s">
        <v>39</v>
      </c>
      <c r="G49" s="3">
        <v>0</v>
      </c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</row>
    <row r="50" spans="1:57">
      <c r="A50" s="1" t="s">
        <v>110</v>
      </c>
      <c r="C50" t="s">
        <v>34</v>
      </c>
      <c r="D50" s="3"/>
      <c r="E50" s="3"/>
      <c r="F50" s="4" t="s">
        <v>39</v>
      </c>
      <c r="G50" s="3">
        <v>0</v>
      </c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</row>
    <row r="52" spans="1:57">
      <c r="A52" s="1" t="s">
        <v>113</v>
      </c>
      <c r="B52" s="1" t="s">
        <v>31</v>
      </c>
      <c r="C52" s="1" t="s">
        <v>32</v>
      </c>
      <c r="D52" s="1" t="s">
        <v>33</v>
      </c>
      <c r="E52" s="1" t="s">
        <v>38</v>
      </c>
      <c r="F52" s="1"/>
      <c r="G52" s="1">
        <v>2000</v>
      </c>
      <c r="H52" s="1">
        <v>2001</v>
      </c>
      <c r="I52" s="1">
        <v>2002</v>
      </c>
      <c r="J52" s="1">
        <v>2003</v>
      </c>
      <c r="K52" s="1">
        <v>2004</v>
      </c>
      <c r="L52" s="1">
        <v>2005</v>
      </c>
      <c r="M52" s="1">
        <v>2006</v>
      </c>
      <c r="N52" s="1">
        <v>2007</v>
      </c>
      <c r="O52" s="1">
        <v>2008</v>
      </c>
      <c r="P52" s="1">
        <v>2009</v>
      </c>
      <c r="Q52" s="1">
        <v>2010</v>
      </c>
      <c r="R52" s="1">
        <v>2011</v>
      </c>
      <c r="S52" s="1">
        <v>2012</v>
      </c>
      <c r="T52" s="1">
        <v>2013</v>
      </c>
      <c r="U52" s="1">
        <v>2014</v>
      </c>
      <c r="V52" s="1">
        <v>2015</v>
      </c>
      <c r="W52" s="1">
        <v>2016</v>
      </c>
      <c r="X52" s="1">
        <v>2017</v>
      </c>
      <c r="Y52" s="1">
        <v>2018</v>
      </c>
      <c r="Z52" s="1">
        <v>2019</v>
      </c>
      <c r="AA52" s="1">
        <v>2020</v>
      </c>
      <c r="AB52" s="1">
        <v>2021</v>
      </c>
      <c r="AC52" s="1">
        <v>2022</v>
      </c>
      <c r="AD52" s="1">
        <v>2023</v>
      </c>
      <c r="AE52" s="1">
        <v>2024</v>
      </c>
      <c r="AF52" s="1">
        <v>2025</v>
      </c>
      <c r="AG52" s="1">
        <v>2026</v>
      </c>
      <c r="AH52" s="1">
        <v>2027</v>
      </c>
      <c r="AI52" s="1">
        <v>2028</v>
      </c>
      <c r="AJ52" s="1">
        <v>2029</v>
      </c>
      <c r="AK52" s="1">
        <v>2030</v>
      </c>
      <c r="AL52" s="1">
        <v>2031</v>
      </c>
      <c r="AM52" s="1">
        <v>2032</v>
      </c>
      <c r="AN52" s="1">
        <v>2033</v>
      </c>
      <c r="AO52" s="1">
        <v>2034</v>
      </c>
      <c r="AP52" s="1">
        <v>2035</v>
      </c>
      <c r="AQ52" s="1">
        <v>2036</v>
      </c>
      <c r="AR52" s="1">
        <v>2037</v>
      </c>
      <c r="AS52" s="1">
        <v>2038</v>
      </c>
      <c r="AT52" s="1">
        <v>2039</v>
      </c>
      <c r="AU52" s="1">
        <v>2040</v>
      </c>
      <c r="AV52" s="1">
        <v>2041</v>
      </c>
      <c r="AW52" s="1">
        <v>2042</v>
      </c>
      <c r="AX52" s="1">
        <v>2043</v>
      </c>
      <c r="AY52" s="1">
        <v>2044</v>
      </c>
      <c r="AZ52" s="1">
        <v>2045</v>
      </c>
      <c r="BA52" s="1">
        <v>2046</v>
      </c>
      <c r="BB52" s="1">
        <v>2047</v>
      </c>
      <c r="BC52" s="1">
        <v>2048</v>
      </c>
      <c r="BD52" s="1">
        <v>2049</v>
      </c>
      <c r="BE52" s="1">
        <v>2050</v>
      </c>
    </row>
    <row r="53" spans="1:57">
      <c r="A53" s="1" t="str">
        <f>'Population Definitions'!$A$2</f>
        <v>PWID_males</v>
      </c>
      <c r="C53" t="s">
        <v>34</v>
      </c>
      <c r="D53" s="3"/>
      <c r="E53" s="3"/>
      <c r="F53" s="4" t="s">
        <v>39</v>
      </c>
      <c r="G53" s="3">
        <v>0</v>
      </c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</row>
    <row r="54" spans="1:57">
      <c r="A54" s="1" t="str">
        <f>'Population Definitions'!$A$3</f>
        <v>PWID_females</v>
      </c>
      <c r="C54" t="s">
        <v>34</v>
      </c>
      <c r="D54" s="3"/>
      <c r="E54" s="3"/>
      <c r="F54" s="4" t="s">
        <v>39</v>
      </c>
      <c r="G54" s="3">
        <v>0</v>
      </c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</row>
    <row r="55" spans="1:57">
      <c r="A55" s="1" t="str">
        <f>'Population Definitions'!$A$4</f>
        <v>0-9_males</v>
      </c>
      <c r="C55" t="s">
        <v>34</v>
      </c>
      <c r="D55" s="3"/>
      <c r="E55" s="3"/>
      <c r="F55" s="4" t="s">
        <v>39</v>
      </c>
      <c r="G55" s="3">
        <v>0</v>
      </c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</row>
    <row r="56" spans="1:57">
      <c r="A56" s="1" t="str">
        <f>'Population Definitions'!$A$5</f>
        <v>0-9_females</v>
      </c>
      <c r="C56" t="s">
        <v>34</v>
      </c>
      <c r="D56" s="3"/>
      <c r="E56" s="3"/>
      <c r="F56" s="4" t="s">
        <v>39</v>
      </c>
      <c r="G56" s="3">
        <v>0</v>
      </c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</row>
    <row r="57" spans="1:57">
      <c r="A57" s="1" t="str">
        <f>'Population Definitions'!$A$6</f>
        <v>10-17_males</v>
      </c>
      <c r="C57" t="s">
        <v>34</v>
      </c>
      <c r="D57" s="3"/>
      <c r="E57" s="3"/>
      <c r="F57" s="4" t="s">
        <v>39</v>
      </c>
      <c r="G57" s="3">
        <v>0</v>
      </c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</row>
    <row r="58" spans="1:57">
      <c r="A58" s="1" t="str">
        <f>'Population Definitions'!$A$7</f>
        <v>10-17_females</v>
      </c>
      <c r="C58" t="s">
        <v>34</v>
      </c>
      <c r="D58" s="3"/>
      <c r="E58" s="3"/>
      <c r="F58" s="4" t="s">
        <v>39</v>
      </c>
      <c r="G58" s="3">
        <v>0</v>
      </c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</row>
    <row r="59" spans="1:57">
      <c r="A59" s="1" t="str">
        <f>'Population Definitions'!$A$8</f>
        <v>18-64_males</v>
      </c>
      <c r="C59" t="s">
        <v>34</v>
      </c>
      <c r="D59" s="3"/>
      <c r="E59" s="3"/>
      <c r="F59" s="4" t="s">
        <v>39</v>
      </c>
      <c r="G59" s="3">
        <v>0</v>
      </c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</row>
    <row r="60" spans="1:57">
      <c r="A60" s="1" t="str">
        <f>'Population Definitions'!$A$9</f>
        <v>18-64_females</v>
      </c>
      <c r="C60" t="s">
        <v>34</v>
      </c>
      <c r="D60" s="3"/>
      <c r="E60" s="3"/>
      <c r="F60" s="4" t="s">
        <v>39</v>
      </c>
      <c r="G60" s="3">
        <v>0</v>
      </c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</row>
    <row r="61" spans="1:57">
      <c r="A61" s="1" t="str">
        <f>'Population Definitions'!$A$10</f>
        <v>65+_males</v>
      </c>
      <c r="C61" t="s">
        <v>34</v>
      </c>
      <c r="D61" s="3"/>
      <c r="E61" s="3"/>
      <c r="F61" s="4" t="s">
        <v>39</v>
      </c>
      <c r="G61" s="3">
        <v>0</v>
      </c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</row>
    <row r="62" spans="1:57">
      <c r="A62" s="1" t="str">
        <f>'Population Definitions'!$A$11</f>
        <v>65+_females</v>
      </c>
      <c r="C62" t="s">
        <v>34</v>
      </c>
      <c r="D62" s="3"/>
      <c r="E62" s="3"/>
      <c r="F62" s="4" t="s">
        <v>39</v>
      </c>
      <c r="G62" s="3">
        <v>0</v>
      </c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</row>
    <row r="63" spans="1:57">
      <c r="A63" s="1" t="str">
        <f>'Population Definitions'!$A$12</f>
        <v>Prisoners_males</v>
      </c>
      <c r="C63" t="s">
        <v>34</v>
      </c>
      <c r="D63" s="3"/>
      <c r="E63" s="3"/>
      <c r="F63" s="4" t="s">
        <v>39</v>
      </c>
      <c r="G63" s="3">
        <v>0</v>
      </c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</row>
    <row r="64" spans="1:57">
      <c r="A64" s="1" t="str">
        <f>'Population Definitions'!$A$13</f>
        <v>Prisoners_females</v>
      </c>
      <c r="C64" t="s">
        <v>34</v>
      </c>
      <c r="D64" s="3"/>
      <c r="E64" s="3"/>
      <c r="F64" s="4" t="s">
        <v>39</v>
      </c>
      <c r="G64" s="3">
        <v>0</v>
      </c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</row>
    <row r="65" spans="1:57">
      <c r="A65" s="1" t="str">
        <f>'Population Definitions'!$A$14</f>
        <v>Prisoners_PWID_males</v>
      </c>
      <c r="C65" t="s">
        <v>34</v>
      </c>
      <c r="D65" s="3"/>
      <c r="E65" s="3"/>
      <c r="F65" s="4" t="s">
        <v>39</v>
      </c>
      <c r="G65" s="3">
        <v>0</v>
      </c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</row>
    <row r="66" spans="1:57">
      <c r="A66" s="1" t="str">
        <f>'Population Definitions'!$A$15</f>
        <v>Prisoners_PWID_females</v>
      </c>
      <c r="C66" t="s">
        <v>34</v>
      </c>
      <c r="D66" s="3"/>
      <c r="E66" s="3"/>
      <c r="F66" s="4" t="s">
        <v>39</v>
      </c>
      <c r="G66" s="3">
        <v>0</v>
      </c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</row>
    <row r="67" spans="1:57">
      <c r="A67" s="1" t="s">
        <v>110</v>
      </c>
      <c r="C67" t="s">
        <v>34</v>
      </c>
      <c r="D67" s="3"/>
      <c r="E67" s="3"/>
      <c r="F67" s="4" t="s">
        <v>39</v>
      </c>
      <c r="G67" s="3">
        <v>107528</v>
      </c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>
        <v>107528</v>
      </c>
      <c r="W67" s="3">
        <v>106743</v>
      </c>
      <c r="X67" s="3">
        <v>105927</v>
      </c>
      <c r="Y67" s="3">
        <v>105090</v>
      </c>
      <c r="Z67" s="3">
        <v>104258</v>
      </c>
      <c r="AA67" s="3">
        <v>103445</v>
      </c>
      <c r="AB67" s="3">
        <v>100883</v>
      </c>
      <c r="AC67" s="3">
        <v>100030</v>
      </c>
      <c r="AD67" s="3">
        <v>99213</v>
      </c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</row>
    <row r="69" spans="1:57">
      <c r="A69" s="1" t="s">
        <v>114</v>
      </c>
      <c r="B69" s="1" t="s">
        <v>31</v>
      </c>
      <c r="C69" s="1" t="s">
        <v>32</v>
      </c>
      <c r="D69" s="1" t="s">
        <v>33</v>
      </c>
      <c r="E69" s="1" t="s">
        <v>38</v>
      </c>
      <c r="F69" s="1"/>
      <c r="G69" s="1">
        <v>2000</v>
      </c>
      <c r="H69" s="1">
        <v>2001</v>
      </c>
      <c r="I69" s="1">
        <v>2002</v>
      </c>
      <c r="J69" s="1">
        <v>2003</v>
      </c>
      <c r="K69" s="1">
        <v>2004</v>
      </c>
      <c r="L69" s="1">
        <v>2005</v>
      </c>
      <c r="M69" s="1">
        <v>2006</v>
      </c>
      <c r="N69" s="1">
        <v>2007</v>
      </c>
      <c r="O69" s="1">
        <v>2008</v>
      </c>
      <c r="P69" s="1">
        <v>2009</v>
      </c>
      <c r="Q69" s="1">
        <v>2010</v>
      </c>
      <c r="R69" s="1">
        <v>2011</v>
      </c>
      <c r="S69" s="1">
        <v>2012</v>
      </c>
      <c r="T69" s="1">
        <v>2013</v>
      </c>
      <c r="U69" s="1">
        <v>2014</v>
      </c>
      <c r="V69" s="1">
        <v>2015</v>
      </c>
      <c r="W69" s="1">
        <v>2016</v>
      </c>
      <c r="X69" s="1">
        <v>2017</v>
      </c>
      <c r="Y69" s="1">
        <v>2018</v>
      </c>
      <c r="Z69" s="1">
        <v>2019</v>
      </c>
      <c r="AA69" s="1">
        <v>2020</v>
      </c>
      <c r="AB69" s="1">
        <v>2021</v>
      </c>
      <c r="AC69" s="1">
        <v>2022</v>
      </c>
      <c r="AD69" s="1">
        <v>2023</v>
      </c>
      <c r="AE69" s="1">
        <v>2024</v>
      </c>
      <c r="AF69" s="1">
        <v>2025</v>
      </c>
      <c r="AG69" s="1">
        <v>2026</v>
      </c>
      <c r="AH69" s="1">
        <v>2027</v>
      </c>
      <c r="AI69" s="1">
        <v>2028</v>
      </c>
      <c r="AJ69" s="1">
        <v>2029</v>
      </c>
      <c r="AK69" s="1">
        <v>2030</v>
      </c>
      <c r="AL69" s="1">
        <v>2031</v>
      </c>
      <c r="AM69" s="1">
        <v>2032</v>
      </c>
      <c r="AN69" s="1">
        <v>2033</v>
      </c>
      <c r="AO69" s="1">
        <v>2034</v>
      </c>
      <c r="AP69" s="1">
        <v>2035</v>
      </c>
      <c r="AQ69" s="1">
        <v>2036</v>
      </c>
      <c r="AR69" s="1">
        <v>2037</v>
      </c>
      <c r="AS69" s="1">
        <v>2038</v>
      </c>
      <c r="AT69" s="1">
        <v>2039</v>
      </c>
      <c r="AU69" s="1">
        <v>2040</v>
      </c>
      <c r="AV69" s="1">
        <v>2041</v>
      </c>
      <c r="AW69" s="1">
        <v>2042</v>
      </c>
      <c r="AX69" s="1">
        <v>2043</v>
      </c>
      <c r="AY69" s="1">
        <v>2044</v>
      </c>
      <c r="AZ69" s="1">
        <v>2045</v>
      </c>
      <c r="BA69" s="1">
        <v>2046</v>
      </c>
      <c r="BB69" s="1">
        <v>2047</v>
      </c>
      <c r="BC69" s="1">
        <v>2048</v>
      </c>
      <c r="BD69" s="1">
        <v>2049</v>
      </c>
      <c r="BE69" s="1">
        <v>2050</v>
      </c>
    </row>
    <row r="70" spans="1:57">
      <c r="A70" s="1" t="str">
        <f>'Population Definitions'!$A$2</f>
        <v>PWID_males</v>
      </c>
      <c r="C70" t="s">
        <v>34</v>
      </c>
      <c r="D70" s="3"/>
      <c r="E70" s="3"/>
      <c r="F70" s="4" t="s">
        <v>39</v>
      </c>
      <c r="G70" s="3">
        <v>0</v>
      </c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</row>
    <row r="71" spans="1:57">
      <c r="A71" s="1" t="str">
        <f>'Population Definitions'!$A$3</f>
        <v>PWID_females</v>
      </c>
      <c r="C71" t="s">
        <v>34</v>
      </c>
      <c r="D71" s="3"/>
      <c r="E71" s="3"/>
      <c r="F71" s="4" t="s">
        <v>39</v>
      </c>
      <c r="G71" s="3">
        <v>0</v>
      </c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</row>
    <row r="72" spans="1:57">
      <c r="A72" s="1" t="str">
        <f>'Population Definitions'!$A$4</f>
        <v>0-9_males</v>
      </c>
      <c r="C72" t="s">
        <v>34</v>
      </c>
      <c r="D72" s="3"/>
      <c r="E72" s="3"/>
      <c r="F72" s="4" t="s">
        <v>39</v>
      </c>
      <c r="G72" s="3">
        <v>0</v>
      </c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</row>
    <row r="73" spans="1:57">
      <c r="A73" s="1" t="str">
        <f>'Population Definitions'!$A$5</f>
        <v>0-9_females</v>
      </c>
      <c r="C73" t="s">
        <v>34</v>
      </c>
      <c r="D73" s="3"/>
      <c r="E73" s="3"/>
      <c r="F73" s="4" t="s">
        <v>39</v>
      </c>
      <c r="G73" s="3">
        <v>0</v>
      </c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</row>
    <row r="74" spans="1:57">
      <c r="A74" s="1" t="str">
        <f>'Population Definitions'!$A$6</f>
        <v>10-17_males</v>
      </c>
      <c r="C74" t="s">
        <v>34</v>
      </c>
      <c r="D74" s="3"/>
      <c r="E74" s="3"/>
      <c r="F74" s="4" t="s">
        <v>39</v>
      </c>
      <c r="G74" s="3">
        <v>0</v>
      </c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</row>
    <row r="75" spans="1:57">
      <c r="A75" s="1" t="str">
        <f>'Population Definitions'!$A$7</f>
        <v>10-17_females</v>
      </c>
      <c r="C75" t="s">
        <v>34</v>
      </c>
      <c r="D75" s="3"/>
      <c r="E75" s="3"/>
      <c r="F75" s="4" t="s">
        <v>39</v>
      </c>
      <c r="G75" s="3">
        <v>0</v>
      </c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</row>
    <row r="76" spans="1:57">
      <c r="A76" s="1" t="str">
        <f>'Population Definitions'!$A$8</f>
        <v>18-64_males</v>
      </c>
      <c r="C76" t="s">
        <v>34</v>
      </c>
      <c r="D76" s="3"/>
      <c r="E76" s="3"/>
      <c r="F76" s="4" t="s">
        <v>39</v>
      </c>
      <c r="G76" s="3">
        <v>0</v>
      </c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</row>
    <row r="77" spans="1:57">
      <c r="A77" s="1" t="str">
        <f>'Population Definitions'!$A$9</f>
        <v>18-64_females</v>
      </c>
      <c r="C77" t="s">
        <v>34</v>
      </c>
      <c r="D77" s="3"/>
      <c r="E77" s="3"/>
      <c r="F77" s="4" t="s">
        <v>39</v>
      </c>
      <c r="G77" s="3">
        <v>0</v>
      </c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</row>
    <row r="78" spans="1:57">
      <c r="A78" s="1" t="str">
        <f>'Population Definitions'!$A$10</f>
        <v>65+_males</v>
      </c>
      <c r="C78" t="s">
        <v>34</v>
      </c>
      <c r="D78" s="3"/>
      <c r="E78" s="3"/>
      <c r="F78" s="4" t="s">
        <v>39</v>
      </c>
      <c r="G78" s="3">
        <v>0</v>
      </c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/>
      <c r="BC78" s="3"/>
      <c r="BD78" s="3"/>
      <c r="BE78" s="3"/>
    </row>
    <row r="79" spans="1:57">
      <c r="A79" s="1" t="str">
        <f>'Population Definitions'!$A$11</f>
        <v>65+_females</v>
      </c>
      <c r="C79" t="s">
        <v>34</v>
      </c>
      <c r="D79" s="3"/>
      <c r="E79" s="3"/>
      <c r="F79" s="4" t="s">
        <v>39</v>
      </c>
      <c r="G79" s="3">
        <v>0</v>
      </c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3"/>
      <c r="BC79" s="3"/>
      <c r="BD79" s="3"/>
      <c r="BE79" s="3"/>
    </row>
    <row r="80" spans="1:57">
      <c r="A80" s="1" t="str">
        <f>'Population Definitions'!$A$12</f>
        <v>Prisoners_males</v>
      </c>
      <c r="C80" t="s">
        <v>34</v>
      </c>
      <c r="D80" s="3"/>
      <c r="E80" s="3"/>
      <c r="F80" s="4" t="s">
        <v>39</v>
      </c>
      <c r="G80" s="3">
        <v>0</v>
      </c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</row>
    <row r="81" spans="1:57">
      <c r="A81" s="1" t="str">
        <f>'Population Definitions'!$A$13</f>
        <v>Prisoners_females</v>
      </c>
      <c r="C81" t="s">
        <v>34</v>
      </c>
      <c r="D81" s="3"/>
      <c r="E81" s="3"/>
      <c r="F81" s="4" t="s">
        <v>39</v>
      </c>
      <c r="G81" s="3">
        <v>0</v>
      </c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</row>
    <row r="82" spans="1:57">
      <c r="A82" s="1" t="str">
        <f>'Population Definitions'!$A$14</f>
        <v>Prisoners_PWID_males</v>
      </c>
      <c r="C82" t="s">
        <v>34</v>
      </c>
      <c r="D82" s="3"/>
      <c r="E82" s="3"/>
      <c r="F82" s="4" t="s">
        <v>39</v>
      </c>
      <c r="G82" s="3">
        <v>0</v>
      </c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</row>
    <row r="83" spans="1:57">
      <c r="A83" s="1" t="str">
        <f>'Population Definitions'!$A$15</f>
        <v>Prisoners_PWID_females</v>
      </c>
      <c r="C83" t="s">
        <v>34</v>
      </c>
      <c r="D83" s="3"/>
      <c r="E83" s="3"/>
      <c r="F83" s="4" t="s">
        <v>39</v>
      </c>
      <c r="G83" s="3">
        <v>0</v>
      </c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</row>
    <row r="84" spans="1:57">
      <c r="A84" s="1" t="s">
        <v>110</v>
      </c>
      <c r="C84" t="s">
        <v>34</v>
      </c>
      <c r="D84" s="3"/>
      <c r="E84" s="3"/>
      <c r="F84" s="4" t="s">
        <v>39</v>
      </c>
      <c r="G84" s="3">
        <v>0</v>
      </c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</row>
    <row r="86" spans="1:57">
      <c r="A86" s="1" t="s">
        <v>115</v>
      </c>
      <c r="B86" s="1" t="s">
        <v>31</v>
      </c>
      <c r="C86" s="1" t="s">
        <v>32</v>
      </c>
      <c r="D86" s="1" t="s">
        <v>33</v>
      </c>
      <c r="E86" s="1" t="s">
        <v>38</v>
      </c>
      <c r="F86" s="1"/>
      <c r="G86" s="1">
        <v>2000</v>
      </c>
      <c r="H86" s="1">
        <v>2001</v>
      </c>
      <c r="I86" s="1">
        <v>2002</v>
      </c>
      <c r="J86" s="1">
        <v>2003</v>
      </c>
      <c r="K86" s="1">
        <v>2004</v>
      </c>
      <c r="L86" s="1">
        <v>2005</v>
      </c>
      <c r="M86" s="1">
        <v>2006</v>
      </c>
      <c r="N86" s="1">
        <v>2007</v>
      </c>
      <c r="O86" s="1">
        <v>2008</v>
      </c>
      <c r="P86" s="1">
        <v>2009</v>
      </c>
      <c r="Q86" s="1">
        <v>2010</v>
      </c>
      <c r="R86" s="1">
        <v>2011</v>
      </c>
      <c r="S86" s="1">
        <v>2012</v>
      </c>
      <c r="T86" s="1">
        <v>2013</v>
      </c>
      <c r="U86" s="1">
        <v>2014</v>
      </c>
      <c r="V86" s="1">
        <v>2015</v>
      </c>
      <c r="W86" s="1">
        <v>2016</v>
      </c>
      <c r="X86" s="1">
        <v>2017</v>
      </c>
      <c r="Y86" s="1">
        <v>2018</v>
      </c>
      <c r="Z86" s="1">
        <v>2019</v>
      </c>
      <c r="AA86" s="1">
        <v>2020</v>
      </c>
      <c r="AB86" s="1">
        <v>2021</v>
      </c>
      <c r="AC86" s="1">
        <v>2022</v>
      </c>
      <c r="AD86" s="1">
        <v>2023</v>
      </c>
      <c r="AE86" s="1">
        <v>2024</v>
      </c>
      <c r="AF86" s="1">
        <v>2025</v>
      </c>
      <c r="AG86" s="1">
        <v>2026</v>
      </c>
      <c r="AH86" s="1">
        <v>2027</v>
      </c>
      <c r="AI86" s="1">
        <v>2028</v>
      </c>
      <c r="AJ86" s="1">
        <v>2029</v>
      </c>
      <c r="AK86" s="1">
        <v>2030</v>
      </c>
      <c r="AL86" s="1">
        <v>2031</v>
      </c>
      <c r="AM86" s="1">
        <v>2032</v>
      </c>
      <c r="AN86" s="1">
        <v>2033</v>
      </c>
      <c r="AO86" s="1">
        <v>2034</v>
      </c>
      <c r="AP86" s="1">
        <v>2035</v>
      </c>
      <c r="AQ86" s="1">
        <v>2036</v>
      </c>
      <c r="AR86" s="1">
        <v>2037</v>
      </c>
      <c r="AS86" s="1">
        <v>2038</v>
      </c>
      <c r="AT86" s="1">
        <v>2039</v>
      </c>
      <c r="AU86" s="1">
        <v>2040</v>
      </c>
      <c r="AV86" s="1">
        <v>2041</v>
      </c>
      <c r="AW86" s="1">
        <v>2042</v>
      </c>
      <c r="AX86" s="1">
        <v>2043</v>
      </c>
      <c r="AY86" s="1">
        <v>2044</v>
      </c>
      <c r="AZ86" s="1">
        <v>2045</v>
      </c>
      <c r="BA86" s="1">
        <v>2046</v>
      </c>
      <c r="BB86" s="1">
        <v>2047</v>
      </c>
      <c r="BC86" s="1">
        <v>2048</v>
      </c>
      <c r="BD86" s="1">
        <v>2049</v>
      </c>
      <c r="BE86" s="1">
        <v>2050</v>
      </c>
    </row>
    <row r="87" spans="1:57">
      <c r="A87" s="1" t="str">
        <f>'Population Definitions'!$A$2</f>
        <v>PWID_males</v>
      </c>
      <c r="C87" t="s">
        <v>34</v>
      </c>
      <c r="D87" s="3"/>
      <c r="E87" s="3"/>
      <c r="F87" s="4" t="s">
        <v>39</v>
      </c>
      <c r="G87" s="3">
        <v>0</v>
      </c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</row>
    <row r="88" spans="1:57">
      <c r="A88" s="1" t="str">
        <f>'Population Definitions'!$A$3</f>
        <v>PWID_females</v>
      </c>
      <c r="C88" t="s">
        <v>34</v>
      </c>
      <c r="D88" s="3"/>
      <c r="E88" s="3"/>
      <c r="F88" s="4" t="s">
        <v>39</v>
      </c>
      <c r="G88" s="3">
        <v>0</v>
      </c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</row>
    <row r="89" spans="1:57">
      <c r="A89" s="1" t="str">
        <f>'Population Definitions'!$A$4</f>
        <v>0-9_males</v>
      </c>
      <c r="C89" t="s">
        <v>34</v>
      </c>
      <c r="D89" s="3"/>
      <c r="E89" s="3"/>
      <c r="F89" s="4" t="s">
        <v>39</v>
      </c>
      <c r="G89" s="3">
        <v>0</v>
      </c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</row>
    <row r="90" spans="1:57">
      <c r="A90" s="1" t="str">
        <f>'Population Definitions'!$A$5</f>
        <v>0-9_females</v>
      </c>
      <c r="C90" t="s">
        <v>34</v>
      </c>
      <c r="D90" s="3"/>
      <c r="E90" s="3"/>
      <c r="F90" s="4" t="s">
        <v>39</v>
      </c>
      <c r="G90" s="3">
        <v>0</v>
      </c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</row>
    <row r="91" spans="1:57">
      <c r="A91" s="1" t="str">
        <f>'Population Definitions'!$A$6</f>
        <v>10-17_males</v>
      </c>
      <c r="C91" t="s">
        <v>34</v>
      </c>
      <c r="D91" s="3"/>
      <c r="E91" s="3"/>
      <c r="F91" s="4" t="s">
        <v>39</v>
      </c>
      <c r="G91" s="3">
        <v>0</v>
      </c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</row>
    <row r="92" spans="1:57">
      <c r="A92" s="1" t="str">
        <f>'Population Definitions'!$A$7</f>
        <v>10-17_females</v>
      </c>
      <c r="C92" t="s">
        <v>34</v>
      </c>
      <c r="D92" s="3"/>
      <c r="E92" s="3"/>
      <c r="F92" s="4" t="s">
        <v>39</v>
      </c>
      <c r="G92" s="3">
        <v>0</v>
      </c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</row>
    <row r="93" spans="1:57">
      <c r="A93" s="1" t="str">
        <f>'Population Definitions'!$A$8</f>
        <v>18-64_males</v>
      </c>
      <c r="C93" t="s">
        <v>34</v>
      </c>
      <c r="D93" s="3"/>
      <c r="E93" s="3"/>
      <c r="F93" s="4" t="s">
        <v>39</v>
      </c>
      <c r="G93" s="3">
        <v>0</v>
      </c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</row>
    <row r="94" spans="1:57">
      <c r="A94" s="1" t="str">
        <f>'Population Definitions'!$A$9</f>
        <v>18-64_females</v>
      </c>
      <c r="C94" t="s">
        <v>34</v>
      </c>
      <c r="D94" s="3"/>
      <c r="E94" s="3"/>
      <c r="F94" s="4" t="s">
        <v>39</v>
      </c>
      <c r="G94" s="3">
        <v>0</v>
      </c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</row>
    <row r="95" spans="1:57">
      <c r="A95" s="1" t="str">
        <f>'Population Definitions'!$A$10</f>
        <v>65+_males</v>
      </c>
      <c r="C95" t="s">
        <v>34</v>
      </c>
      <c r="D95" s="3"/>
      <c r="E95" s="3"/>
      <c r="F95" s="4" t="s">
        <v>39</v>
      </c>
      <c r="G95" s="3">
        <v>0</v>
      </c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</row>
    <row r="96" spans="1:57">
      <c r="A96" s="1" t="str">
        <f>'Population Definitions'!$A$11</f>
        <v>65+_females</v>
      </c>
      <c r="C96" t="s">
        <v>34</v>
      </c>
      <c r="D96" s="3"/>
      <c r="E96" s="3"/>
      <c r="F96" s="4" t="s">
        <v>39</v>
      </c>
      <c r="G96" s="3">
        <v>0</v>
      </c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</row>
    <row r="97" spans="1:57">
      <c r="A97" s="1" t="str">
        <f>'Population Definitions'!$A$12</f>
        <v>Prisoners_males</v>
      </c>
      <c r="C97" t="s">
        <v>34</v>
      </c>
      <c r="D97" s="3"/>
      <c r="E97" s="3"/>
      <c r="F97" s="4" t="s">
        <v>39</v>
      </c>
      <c r="G97" s="3">
        <v>0</v>
      </c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</row>
    <row r="98" spans="1:57">
      <c r="A98" s="1" t="str">
        <f>'Population Definitions'!$A$13</f>
        <v>Prisoners_females</v>
      </c>
      <c r="C98" t="s">
        <v>34</v>
      </c>
      <c r="D98" s="3"/>
      <c r="E98" s="3"/>
      <c r="F98" s="4" t="s">
        <v>39</v>
      </c>
      <c r="G98" s="3">
        <v>0</v>
      </c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</row>
    <row r="99" spans="1:57">
      <c r="A99" s="1" t="str">
        <f>'Population Definitions'!$A$14</f>
        <v>Prisoners_PWID_males</v>
      </c>
      <c r="C99" t="s">
        <v>34</v>
      </c>
      <c r="D99" s="3"/>
      <c r="E99" s="3"/>
      <c r="F99" s="4" t="s">
        <v>39</v>
      </c>
      <c r="G99" s="3">
        <v>0</v>
      </c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</row>
    <row r="100" spans="1:57">
      <c r="A100" s="1" t="str">
        <f>'Population Definitions'!$A$15</f>
        <v>Prisoners_PWID_females</v>
      </c>
      <c r="C100" t="s">
        <v>34</v>
      </c>
      <c r="D100" s="3"/>
      <c r="E100" s="3"/>
      <c r="F100" s="4" t="s">
        <v>39</v>
      </c>
      <c r="G100" s="3">
        <v>0</v>
      </c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</row>
    <row r="101" spans="1:57">
      <c r="A101" s="1" t="s">
        <v>110</v>
      </c>
      <c r="C101" t="s">
        <v>34</v>
      </c>
      <c r="D101" s="3"/>
      <c r="E101" s="3"/>
      <c r="F101" s="4" t="s">
        <v>39</v>
      </c>
      <c r="G101" s="3">
        <v>500</v>
      </c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>
        <v>500</v>
      </c>
      <c r="W101" s="3">
        <v>500</v>
      </c>
      <c r="X101" s="3">
        <v>500</v>
      </c>
      <c r="Y101" s="3">
        <v>500</v>
      </c>
      <c r="Z101" s="3">
        <v>500</v>
      </c>
      <c r="AA101" s="3">
        <v>500</v>
      </c>
      <c r="AB101" s="3">
        <v>500</v>
      </c>
      <c r="AC101" s="3">
        <v>500</v>
      </c>
      <c r="AD101" s="3">
        <v>500</v>
      </c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</row>
    <row r="103" spans="1:57">
      <c r="A103" s="1" t="s">
        <v>116</v>
      </c>
      <c r="B103" s="1" t="s">
        <v>31</v>
      </c>
      <c r="C103" s="1" t="s">
        <v>32</v>
      </c>
      <c r="D103" s="1" t="s">
        <v>33</v>
      </c>
      <c r="E103" s="1" t="s">
        <v>38</v>
      </c>
      <c r="F103" s="1"/>
      <c r="G103" s="1">
        <v>2000</v>
      </c>
      <c r="H103" s="1">
        <v>2001</v>
      </c>
      <c r="I103" s="1">
        <v>2002</v>
      </c>
      <c r="J103" s="1">
        <v>2003</v>
      </c>
      <c r="K103" s="1">
        <v>2004</v>
      </c>
      <c r="L103" s="1">
        <v>2005</v>
      </c>
      <c r="M103" s="1">
        <v>2006</v>
      </c>
      <c r="N103" s="1">
        <v>2007</v>
      </c>
      <c r="O103" s="1">
        <v>2008</v>
      </c>
      <c r="P103" s="1">
        <v>2009</v>
      </c>
      <c r="Q103" s="1">
        <v>2010</v>
      </c>
      <c r="R103" s="1">
        <v>2011</v>
      </c>
      <c r="S103" s="1">
        <v>2012</v>
      </c>
      <c r="T103" s="1">
        <v>2013</v>
      </c>
      <c r="U103" s="1">
        <v>2014</v>
      </c>
      <c r="V103" s="1">
        <v>2015</v>
      </c>
      <c r="W103" s="1">
        <v>2016</v>
      </c>
      <c r="X103" s="1">
        <v>2017</v>
      </c>
      <c r="Y103" s="1">
        <v>2018</v>
      </c>
      <c r="Z103" s="1">
        <v>2019</v>
      </c>
      <c r="AA103" s="1">
        <v>2020</v>
      </c>
      <c r="AB103" s="1">
        <v>2021</v>
      </c>
      <c r="AC103" s="1">
        <v>2022</v>
      </c>
      <c r="AD103" s="1">
        <v>2023</v>
      </c>
      <c r="AE103" s="1">
        <v>2024</v>
      </c>
      <c r="AF103" s="1">
        <v>2025</v>
      </c>
      <c r="AG103" s="1">
        <v>2026</v>
      </c>
      <c r="AH103" s="1">
        <v>2027</v>
      </c>
      <c r="AI103" s="1">
        <v>2028</v>
      </c>
      <c r="AJ103" s="1">
        <v>2029</v>
      </c>
      <c r="AK103" s="1">
        <v>2030</v>
      </c>
      <c r="AL103" s="1">
        <v>2031</v>
      </c>
      <c r="AM103" s="1">
        <v>2032</v>
      </c>
      <c r="AN103" s="1">
        <v>2033</v>
      </c>
      <c r="AO103" s="1">
        <v>2034</v>
      </c>
      <c r="AP103" s="1">
        <v>2035</v>
      </c>
      <c r="AQ103" s="1">
        <v>2036</v>
      </c>
      <c r="AR103" s="1">
        <v>2037</v>
      </c>
      <c r="AS103" s="1">
        <v>2038</v>
      </c>
      <c r="AT103" s="1">
        <v>2039</v>
      </c>
      <c r="AU103" s="1">
        <v>2040</v>
      </c>
      <c r="AV103" s="1">
        <v>2041</v>
      </c>
      <c r="AW103" s="1">
        <v>2042</v>
      </c>
      <c r="AX103" s="1">
        <v>2043</v>
      </c>
      <c r="AY103" s="1">
        <v>2044</v>
      </c>
      <c r="AZ103" s="1">
        <v>2045</v>
      </c>
      <c r="BA103" s="1">
        <v>2046</v>
      </c>
      <c r="BB103" s="1">
        <v>2047</v>
      </c>
      <c r="BC103" s="1">
        <v>2048</v>
      </c>
      <c r="BD103" s="1">
        <v>2049</v>
      </c>
      <c r="BE103" s="1">
        <v>2050</v>
      </c>
    </row>
    <row r="104" spans="1:57">
      <c r="A104" s="1" t="str">
        <f>'Population Definitions'!$A$2</f>
        <v>PWID_males</v>
      </c>
      <c r="C104" t="s">
        <v>34</v>
      </c>
      <c r="D104" s="3"/>
      <c r="E104" s="3"/>
      <c r="F104" s="4" t="s">
        <v>39</v>
      </c>
      <c r="G104" s="3">
        <v>0</v>
      </c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  <c r="AV104" s="3"/>
      <c r="AW104" s="3"/>
      <c r="AX104" s="3"/>
      <c r="AY104" s="3"/>
      <c r="AZ104" s="3"/>
      <c r="BA104" s="3"/>
      <c r="BB104" s="3"/>
      <c r="BC104" s="3"/>
      <c r="BD104" s="3"/>
      <c r="BE104" s="3"/>
    </row>
    <row r="105" spans="1:57">
      <c r="A105" s="1" t="str">
        <f>'Population Definitions'!$A$3</f>
        <v>PWID_females</v>
      </c>
      <c r="C105" t="s">
        <v>34</v>
      </c>
      <c r="D105" s="3"/>
      <c r="E105" s="3"/>
      <c r="F105" s="4" t="s">
        <v>39</v>
      </c>
      <c r="G105" s="3">
        <v>0</v>
      </c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/>
      <c r="AV105" s="3"/>
      <c r="AW105" s="3"/>
      <c r="AX105" s="3"/>
      <c r="AY105" s="3"/>
      <c r="AZ105" s="3"/>
      <c r="BA105" s="3"/>
      <c r="BB105" s="3"/>
      <c r="BC105" s="3"/>
      <c r="BD105" s="3"/>
      <c r="BE105" s="3"/>
    </row>
    <row r="106" spans="1:57">
      <c r="A106" s="1" t="str">
        <f>'Population Definitions'!$A$4</f>
        <v>0-9_males</v>
      </c>
      <c r="C106" t="s">
        <v>34</v>
      </c>
      <c r="D106" s="3"/>
      <c r="E106" s="3"/>
      <c r="F106" s="4" t="s">
        <v>39</v>
      </c>
      <c r="G106" s="3">
        <v>0</v>
      </c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</row>
    <row r="107" spans="1:57">
      <c r="A107" s="1" t="str">
        <f>'Population Definitions'!$A$5</f>
        <v>0-9_females</v>
      </c>
      <c r="C107" t="s">
        <v>34</v>
      </c>
      <c r="D107" s="3"/>
      <c r="E107" s="3"/>
      <c r="F107" s="4" t="s">
        <v>39</v>
      </c>
      <c r="G107" s="3">
        <v>0</v>
      </c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</row>
    <row r="108" spans="1:57">
      <c r="A108" s="1" t="str">
        <f>'Population Definitions'!$A$6</f>
        <v>10-17_males</v>
      </c>
      <c r="C108" t="s">
        <v>34</v>
      </c>
      <c r="D108" s="3"/>
      <c r="E108" s="3"/>
      <c r="F108" s="4" t="s">
        <v>39</v>
      </c>
      <c r="G108" s="3">
        <v>0</v>
      </c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</row>
    <row r="109" spans="1:57">
      <c r="A109" s="1" t="str">
        <f>'Population Definitions'!$A$7</f>
        <v>10-17_females</v>
      </c>
      <c r="C109" t="s">
        <v>34</v>
      </c>
      <c r="D109" s="3"/>
      <c r="E109" s="3"/>
      <c r="F109" s="4" t="s">
        <v>39</v>
      </c>
      <c r="G109" s="3">
        <v>0</v>
      </c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</row>
    <row r="110" spans="1:57">
      <c r="A110" s="1" t="str">
        <f>'Population Definitions'!$A$8</f>
        <v>18-64_males</v>
      </c>
      <c r="C110" t="s">
        <v>34</v>
      </c>
      <c r="D110" s="3"/>
      <c r="E110" s="3"/>
      <c r="F110" s="4" t="s">
        <v>39</v>
      </c>
      <c r="G110" s="3">
        <v>0</v>
      </c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</row>
    <row r="111" spans="1:57">
      <c r="A111" s="1" t="str">
        <f>'Population Definitions'!$A$9</f>
        <v>18-64_females</v>
      </c>
      <c r="C111" t="s">
        <v>34</v>
      </c>
      <c r="D111" s="3"/>
      <c r="E111" s="3"/>
      <c r="F111" s="4" t="s">
        <v>39</v>
      </c>
      <c r="G111" s="3">
        <v>0</v>
      </c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</row>
    <row r="112" spans="1:57">
      <c r="A112" s="1" t="str">
        <f>'Population Definitions'!$A$10</f>
        <v>65+_males</v>
      </c>
      <c r="C112" t="s">
        <v>34</v>
      </c>
      <c r="D112" s="3"/>
      <c r="E112" s="3"/>
      <c r="F112" s="4" t="s">
        <v>39</v>
      </c>
      <c r="G112" s="3">
        <v>0</v>
      </c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</row>
    <row r="113" spans="1:57">
      <c r="A113" s="1" t="str">
        <f>'Population Definitions'!$A$11</f>
        <v>65+_females</v>
      </c>
      <c r="C113" t="s">
        <v>34</v>
      </c>
      <c r="D113" s="3"/>
      <c r="E113" s="3"/>
      <c r="F113" s="4" t="s">
        <v>39</v>
      </c>
      <c r="G113" s="3">
        <v>0</v>
      </c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</row>
    <row r="114" spans="1:57">
      <c r="A114" s="1" t="str">
        <f>'Population Definitions'!$A$12</f>
        <v>Prisoners_males</v>
      </c>
      <c r="C114" t="s">
        <v>34</v>
      </c>
      <c r="D114" s="3"/>
      <c r="E114" s="3"/>
      <c r="F114" s="4" t="s">
        <v>39</v>
      </c>
      <c r="G114" s="3">
        <v>0</v>
      </c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</row>
    <row r="115" spans="1:57">
      <c r="A115" s="1" t="str">
        <f>'Population Definitions'!$A$13</f>
        <v>Prisoners_females</v>
      </c>
      <c r="C115" t="s">
        <v>34</v>
      </c>
      <c r="D115" s="3"/>
      <c r="E115" s="3"/>
      <c r="F115" s="4" t="s">
        <v>39</v>
      </c>
      <c r="G115" s="3">
        <v>0</v>
      </c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</row>
    <row r="116" spans="1:57">
      <c r="A116" s="1" t="str">
        <f>'Population Definitions'!$A$14</f>
        <v>Prisoners_PWID_males</v>
      </c>
      <c r="C116" t="s">
        <v>34</v>
      </c>
      <c r="D116" s="3"/>
      <c r="E116" s="3"/>
      <c r="F116" s="4" t="s">
        <v>39</v>
      </c>
      <c r="G116" s="3">
        <v>0</v>
      </c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</row>
    <row r="117" spans="1:57">
      <c r="A117" s="1" t="str">
        <f>'Population Definitions'!$A$15</f>
        <v>Prisoners_PWID_females</v>
      </c>
      <c r="C117" t="s">
        <v>34</v>
      </c>
      <c r="D117" s="3"/>
      <c r="E117" s="3"/>
      <c r="F117" s="4" t="s">
        <v>39</v>
      </c>
      <c r="G117" s="3">
        <v>0</v>
      </c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</row>
    <row r="118" spans="1:57">
      <c r="A118" s="1" t="s">
        <v>110</v>
      </c>
      <c r="C118" t="s">
        <v>34</v>
      </c>
      <c r="D118" s="3"/>
      <c r="E118" s="3"/>
      <c r="F118" s="4" t="s">
        <v>39</v>
      </c>
      <c r="G118" s="3">
        <v>0</v>
      </c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</row>
    <row r="120" spans="1:57">
      <c r="A120" s="1" t="s">
        <v>117</v>
      </c>
      <c r="B120" s="1" t="s">
        <v>31</v>
      </c>
      <c r="C120" s="1" t="s">
        <v>32</v>
      </c>
      <c r="D120" s="1" t="s">
        <v>33</v>
      </c>
      <c r="E120" s="1" t="s">
        <v>38</v>
      </c>
      <c r="F120" s="1"/>
      <c r="G120" s="1">
        <v>2000</v>
      </c>
      <c r="H120" s="1">
        <v>2001</v>
      </c>
      <c r="I120" s="1">
        <v>2002</v>
      </c>
      <c r="J120" s="1">
        <v>2003</v>
      </c>
      <c r="K120" s="1">
        <v>2004</v>
      </c>
      <c r="L120" s="1">
        <v>2005</v>
      </c>
      <c r="M120" s="1">
        <v>2006</v>
      </c>
      <c r="N120" s="1">
        <v>2007</v>
      </c>
      <c r="O120" s="1">
        <v>2008</v>
      </c>
      <c r="P120" s="1">
        <v>2009</v>
      </c>
      <c r="Q120" s="1">
        <v>2010</v>
      </c>
      <c r="R120" s="1">
        <v>2011</v>
      </c>
      <c r="S120" s="1">
        <v>2012</v>
      </c>
      <c r="T120" s="1">
        <v>2013</v>
      </c>
      <c r="U120" s="1">
        <v>2014</v>
      </c>
      <c r="V120" s="1">
        <v>2015</v>
      </c>
      <c r="W120" s="1">
        <v>2016</v>
      </c>
      <c r="X120" s="1">
        <v>2017</v>
      </c>
      <c r="Y120" s="1">
        <v>2018</v>
      </c>
      <c r="Z120" s="1">
        <v>2019</v>
      </c>
      <c r="AA120" s="1">
        <v>2020</v>
      </c>
      <c r="AB120" s="1">
        <v>2021</v>
      </c>
      <c r="AC120" s="1">
        <v>2022</v>
      </c>
      <c r="AD120" s="1">
        <v>2023</v>
      </c>
      <c r="AE120" s="1">
        <v>2024</v>
      </c>
      <c r="AF120" s="1">
        <v>2025</v>
      </c>
      <c r="AG120" s="1">
        <v>2026</v>
      </c>
      <c r="AH120" s="1">
        <v>2027</v>
      </c>
      <c r="AI120" s="1">
        <v>2028</v>
      </c>
      <c r="AJ120" s="1">
        <v>2029</v>
      </c>
      <c r="AK120" s="1">
        <v>2030</v>
      </c>
      <c r="AL120" s="1">
        <v>2031</v>
      </c>
      <c r="AM120" s="1">
        <v>2032</v>
      </c>
      <c r="AN120" s="1">
        <v>2033</v>
      </c>
      <c r="AO120" s="1">
        <v>2034</v>
      </c>
      <c r="AP120" s="1">
        <v>2035</v>
      </c>
      <c r="AQ120" s="1">
        <v>2036</v>
      </c>
      <c r="AR120" s="1">
        <v>2037</v>
      </c>
      <c r="AS120" s="1">
        <v>2038</v>
      </c>
      <c r="AT120" s="1">
        <v>2039</v>
      </c>
      <c r="AU120" s="1">
        <v>2040</v>
      </c>
      <c r="AV120" s="1">
        <v>2041</v>
      </c>
      <c r="AW120" s="1">
        <v>2042</v>
      </c>
      <c r="AX120" s="1">
        <v>2043</v>
      </c>
      <c r="AY120" s="1">
        <v>2044</v>
      </c>
      <c r="AZ120" s="1">
        <v>2045</v>
      </c>
      <c r="BA120" s="1">
        <v>2046</v>
      </c>
      <c r="BB120" s="1">
        <v>2047</v>
      </c>
      <c r="BC120" s="1">
        <v>2048</v>
      </c>
      <c r="BD120" s="1">
        <v>2049</v>
      </c>
      <c r="BE120" s="1">
        <v>2050</v>
      </c>
    </row>
    <row r="121" spans="1:57">
      <c r="A121" s="1" t="str">
        <f>'Population Definitions'!$A$2</f>
        <v>PWID_males</v>
      </c>
      <c r="C121" t="s">
        <v>34</v>
      </c>
      <c r="D121" s="3"/>
      <c r="E121" s="3"/>
      <c r="F121" s="4" t="s">
        <v>39</v>
      </c>
      <c r="G121" s="3">
        <v>0</v>
      </c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</row>
    <row r="122" spans="1:57">
      <c r="A122" s="1" t="str">
        <f>'Population Definitions'!$A$3</f>
        <v>PWID_females</v>
      </c>
      <c r="C122" t="s">
        <v>34</v>
      </c>
      <c r="D122" s="3"/>
      <c r="E122" s="3"/>
      <c r="F122" s="4" t="s">
        <v>39</v>
      </c>
      <c r="G122" s="3">
        <v>0</v>
      </c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</row>
    <row r="123" spans="1:57">
      <c r="A123" s="1" t="str">
        <f>'Population Definitions'!$A$4</f>
        <v>0-9_males</v>
      </c>
      <c r="C123" t="s">
        <v>34</v>
      </c>
      <c r="D123" s="3"/>
      <c r="E123" s="3"/>
      <c r="F123" s="4" t="s">
        <v>39</v>
      </c>
      <c r="G123" s="3">
        <v>0</v>
      </c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</row>
    <row r="124" spans="1:57">
      <c r="A124" s="1" t="str">
        <f>'Population Definitions'!$A$5</f>
        <v>0-9_females</v>
      </c>
      <c r="C124" t="s">
        <v>34</v>
      </c>
      <c r="D124" s="3"/>
      <c r="E124" s="3"/>
      <c r="F124" s="4" t="s">
        <v>39</v>
      </c>
      <c r="G124" s="3">
        <v>0</v>
      </c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</row>
    <row r="125" spans="1:57">
      <c r="A125" s="1" t="str">
        <f>'Population Definitions'!$A$6</f>
        <v>10-17_males</v>
      </c>
      <c r="C125" t="s">
        <v>34</v>
      </c>
      <c r="D125" s="3"/>
      <c r="E125" s="3"/>
      <c r="F125" s="4" t="s">
        <v>39</v>
      </c>
      <c r="G125" s="3">
        <v>0</v>
      </c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</row>
    <row r="126" spans="1:57">
      <c r="A126" s="1" t="str">
        <f>'Population Definitions'!$A$7</f>
        <v>10-17_females</v>
      </c>
      <c r="C126" t="s">
        <v>34</v>
      </c>
      <c r="D126" s="3"/>
      <c r="E126" s="3"/>
      <c r="F126" s="4" t="s">
        <v>39</v>
      </c>
      <c r="G126" s="3">
        <v>0</v>
      </c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</row>
    <row r="127" spans="1:57">
      <c r="A127" s="1" t="str">
        <f>'Population Definitions'!$A$8</f>
        <v>18-64_males</v>
      </c>
      <c r="C127" t="s">
        <v>34</v>
      </c>
      <c r="D127" s="3"/>
      <c r="E127" s="3"/>
      <c r="F127" s="4" t="s">
        <v>39</v>
      </c>
      <c r="G127" s="3">
        <v>0</v>
      </c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</row>
    <row r="128" spans="1:57">
      <c r="A128" s="1" t="str">
        <f>'Population Definitions'!$A$9</f>
        <v>18-64_females</v>
      </c>
      <c r="C128" t="s">
        <v>34</v>
      </c>
      <c r="D128" s="3"/>
      <c r="E128" s="3"/>
      <c r="F128" s="4" t="s">
        <v>39</v>
      </c>
      <c r="G128" s="3">
        <v>0</v>
      </c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</row>
    <row r="129" spans="1:57">
      <c r="A129" s="1" t="str">
        <f>'Population Definitions'!$A$10</f>
        <v>65+_males</v>
      </c>
      <c r="C129" t="s">
        <v>34</v>
      </c>
      <c r="D129" s="3"/>
      <c r="E129" s="3"/>
      <c r="F129" s="4" t="s">
        <v>39</v>
      </c>
      <c r="G129" s="3">
        <v>0</v>
      </c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</row>
    <row r="130" spans="1:57">
      <c r="A130" s="1" t="str">
        <f>'Population Definitions'!$A$11</f>
        <v>65+_females</v>
      </c>
      <c r="C130" t="s">
        <v>34</v>
      </c>
      <c r="D130" s="3"/>
      <c r="E130" s="3"/>
      <c r="F130" s="4" t="s">
        <v>39</v>
      </c>
      <c r="G130" s="3">
        <v>0</v>
      </c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  <c r="AG130" s="3"/>
      <c r="AH130" s="3"/>
      <c r="AI130" s="3"/>
      <c r="AJ130" s="3"/>
      <c r="AK130" s="3"/>
      <c r="AL130" s="3"/>
      <c r="AM130" s="3"/>
      <c r="AN130" s="3"/>
      <c r="AO130" s="3"/>
      <c r="AP130" s="3"/>
      <c r="AQ130" s="3"/>
      <c r="AR130" s="3"/>
      <c r="AS130" s="3"/>
      <c r="AT130" s="3"/>
      <c r="AU130" s="3"/>
      <c r="AV130" s="3"/>
      <c r="AW130" s="3"/>
      <c r="AX130" s="3"/>
      <c r="AY130" s="3"/>
      <c r="AZ130" s="3"/>
      <c r="BA130" s="3"/>
      <c r="BB130" s="3"/>
      <c r="BC130" s="3"/>
      <c r="BD130" s="3"/>
      <c r="BE130" s="3"/>
    </row>
    <row r="131" spans="1:57">
      <c r="A131" s="1" t="str">
        <f>'Population Definitions'!$A$12</f>
        <v>Prisoners_males</v>
      </c>
      <c r="C131" t="s">
        <v>34</v>
      </c>
      <c r="D131" s="3"/>
      <c r="E131" s="3"/>
      <c r="F131" s="4" t="s">
        <v>39</v>
      </c>
      <c r="G131" s="3">
        <v>0</v>
      </c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  <c r="AG131" s="3"/>
      <c r="AH131" s="3"/>
      <c r="AI131" s="3"/>
      <c r="AJ131" s="3"/>
      <c r="AK131" s="3"/>
      <c r="AL131" s="3"/>
      <c r="AM131" s="3"/>
      <c r="AN131" s="3"/>
      <c r="AO131" s="3"/>
      <c r="AP131" s="3"/>
      <c r="AQ131" s="3"/>
      <c r="AR131" s="3"/>
      <c r="AS131" s="3"/>
      <c r="AT131" s="3"/>
      <c r="AU131" s="3"/>
      <c r="AV131" s="3"/>
      <c r="AW131" s="3"/>
      <c r="AX131" s="3"/>
      <c r="AY131" s="3"/>
      <c r="AZ131" s="3"/>
      <c r="BA131" s="3"/>
      <c r="BB131" s="3"/>
      <c r="BC131" s="3"/>
      <c r="BD131" s="3"/>
      <c r="BE131" s="3"/>
    </row>
    <row r="132" spans="1:57">
      <c r="A132" s="1" t="str">
        <f>'Population Definitions'!$A$13</f>
        <v>Prisoners_females</v>
      </c>
      <c r="C132" t="s">
        <v>34</v>
      </c>
      <c r="D132" s="3"/>
      <c r="E132" s="3"/>
      <c r="F132" s="4" t="s">
        <v>39</v>
      </c>
      <c r="G132" s="3">
        <v>0</v>
      </c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</row>
    <row r="133" spans="1:57">
      <c r="A133" s="1" t="str">
        <f>'Population Definitions'!$A$14</f>
        <v>Prisoners_PWID_males</v>
      </c>
      <c r="C133" t="s">
        <v>34</v>
      </c>
      <c r="D133" s="3"/>
      <c r="E133" s="3"/>
      <c r="F133" s="4" t="s">
        <v>39</v>
      </c>
      <c r="G133" s="3">
        <v>0</v>
      </c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</row>
    <row r="134" spans="1:57">
      <c r="A134" s="1" t="str">
        <f>'Population Definitions'!$A$15</f>
        <v>Prisoners_PWID_females</v>
      </c>
      <c r="C134" t="s">
        <v>34</v>
      </c>
      <c r="D134" s="3"/>
      <c r="E134" s="3"/>
      <c r="F134" s="4" t="s">
        <v>39</v>
      </c>
      <c r="G134" s="3">
        <v>0</v>
      </c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</row>
    <row r="135" spans="1:57">
      <c r="A135" s="1" t="s">
        <v>110</v>
      </c>
      <c r="C135" t="s">
        <v>34</v>
      </c>
      <c r="D135" s="3"/>
      <c r="E135" s="3"/>
      <c r="F135" s="4" t="s">
        <v>39</v>
      </c>
      <c r="G135" s="3">
        <v>0</v>
      </c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</row>
    <row r="137" spans="1:57">
      <c r="A137" s="1" t="s">
        <v>118</v>
      </c>
      <c r="B137" s="1" t="s">
        <v>31</v>
      </c>
      <c r="C137" s="1" t="s">
        <v>32</v>
      </c>
      <c r="D137" s="1" t="s">
        <v>33</v>
      </c>
      <c r="E137" s="1" t="s">
        <v>38</v>
      </c>
      <c r="F137" s="1"/>
      <c r="G137" s="1">
        <v>2000</v>
      </c>
      <c r="H137" s="1">
        <v>2001</v>
      </c>
      <c r="I137" s="1">
        <v>2002</v>
      </c>
      <c r="J137" s="1">
        <v>2003</v>
      </c>
      <c r="K137" s="1">
        <v>2004</v>
      </c>
      <c r="L137" s="1">
        <v>2005</v>
      </c>
      <c r="M137" s="1">
        <v>2006</v>
      </c>
      <c r="N137" s="1">
        <v>2007</v>
      </c>
      <c r="O137" s="1">
        <v>2008</v>
      </c>
      <c r="P137" s="1">
        <v>2009</v>
      </c>
      <c r="Q137" s="1">
        <v>2010</v>
      </c>
      <c r="R137" s="1">
        <v>2011</v>
      </c>
      <c r="S137" s="1">
        <v>2012</v>
      </c>
      <c r="T137" s="1">
        <v>2013</v>
      </c>
      <c r="U137" s="1">
        <v>2014</v>
      </c>
      <c r="V137" s="1">
        <v>2015</v>
      </c>
      <c r="W137" s="1">
        <v>2016</v>
      </c>
      <c r="X137" s="1">
        <v>2017</v>
      </c>
      <c r="Y137" s="1">
        <v>2018</v>
      </c>
      <c r="Z137" s="1">
        <v>2019</v>
      </c>
      <c r="AA137" s="1">
        <v>2020</v>
      </c>
      <c r="AB137" s="1">
        <v>2021</v>
      </c>
      <c r="AC137" s="1">
        <v>2022</v>
      </c>
      <c r="AD137" s="1">
        <v>2023</v>
      </c>
      <c r="AE137" s="1">
        <v>2024</v>
      </c>
      <c r="AF137" s="1">
        <v>2025</v>
      </c>
      <c r="AG137" s="1">
        <v>2026</v>
      </c>
      <c r="AH137" s="1">
        <v>2027</v>
      </c>
      <c r="AI137" s="1">
        <v>2028</v>
      </c>
      <c r="AJ137" s="1">
        <v>2029</v>
      </c>
      <c r="AK137" s="1">
        <v>2030</v>
      </c>
      <c r="AL137" s="1">
        <v>2031</v>
      </c>
      <c r="AM137" s="1">
        <v>2032</v>
      </c>
      <c r="AN137" s="1">
        <v>2033</v>
      </c>
      <c r="AO137" s="1">
        <v>2034</v>
      </c>
      <c r="AP137" s="1">
        <v>2035</v>
      </c>
      <c r="AQ137" s="1">
        <v>2036</v>
      </c>
      <c r="AR137" s="1">
        <v>2037</v>
      </c>
      <c r="AS137" s="1">
        <v>2038</v>
      </c>
      <c r="AT137" s="1">
        <v>2039</v>
      </c>
      <c r="AU137" s="1">
        <v>2040</v>
      </c>
      <c r="AV137" s="1">
        <v>2041</v>
      </c>
      <c r="AW137" s="1">
        <v>2042</v>
      </c>
      <c r="AX137" s="1">
        <v>2043</v>
      </c>
      <c r="AY137" s="1">
        <v>2044</v>
      </c>
      <c r="AZ137" s="1">
        <v>2045</v>
      </c>
      <c r="BA137" s="1">
        <v>2046</v>
      </c>
      <c r="BB137" s="1">
        <v>2047</v>
      </c>
      <c r="BC137" s="1">
        <v>2048</v>
      </c>
      <c r="BD137" s="1">
        <v>2049</v>
      </c>
      <c r="BE137" s="1">
        <v>2050</v>
      </c>
    </row>
    <row r="138" spans="1:57">
      <c r="A138" s="1" t="str">
        <f>'Population Definitions'!$A$2</f>
        <v>PWID_males</v>
      </c>
      <c r="C138" t="s">
        <v>34</v>
      </c>
      <c r="D138" s="3"/>
      <c r="E138" s="3"/>
      <c r="F138" s="4" t="s">
        <v>39</v>
      </c>
      <c r="G138" s="3">
        <v>0</v>
      </c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</row>
    <row r="139" spans="1:57">
      <c r="A139" s="1" t="str">
        <f>'Population Definitions'!$A$3</f>
        <v>PWID_females</v>
      </c>
      <c r="C139" t="s">
        <v>34</v>
      </c>
      <c r="D139" s="3"/>
      <c r="E139" s="3"/>
      <c r="F139" s="4" t="s">
        <v>39</v>
      </c>
      <c r="G139" s="3">
        <v>0</v>
      </c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</row>
    <row r="140" spans="1:57">
      <c r="A140" s="1" t="str">
        <f>'Population Definitions'!$A$4</f>
        <v>0-9_males</v>
      </c>
      <c r="C140" t="s">
        <v>34</v>
      </c>
      <c r="D140" s="3"/>
      <c r="E140" s="3"/>
      <c r="F140" s="4" t="s">
        <v>39</v>
      </c>
      <c r="G140" s="3">
        <v>0</v>
      </c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</row>
    <row r="141" spans="1:57">
      <c r="A141" s="1" t="str">
        <f>'Population Definitions'!$A$5</f>
        <v>0-9_females</v>
      </c>
      <c r="C141" t="s">
        <v>34</v>
      </c>
      <c r="D141" s="3"/>
      <c r="E141" s="3"/>
      <c r="F141" s="4" t="s">
        <v>39</v>
      </c>
      <c r="G141" s="3">
        <v>0</v>
      </c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</row>
    <row r="142" spans="1:57">
      <c r="A142" s="1" t="str">
        <f>'Population Definitions'!$A$6</f>
        <v>10-17_males</v>
      </c>
      <c r="C142" t="s">
        <v>34</v>
      </c>
      <c r="D142" s="3"/>
      <c r="E142" s="3"/>
      <c r="F142" s="4" t="s">
        <v>39</v>
      </c>
      <c r="G142" s="3">
        <v>0</v>
      </c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</row>
    <row r="143" spans="1:57">
      <c r="A143" s="1" t="str">
        <f>'Population Definitions'!$A$7</f>
        <v>10-17_females</v>
      </c>
      <c r="C143" t="s">
        <v>34</v>
      </c>
      <c r="D143" s="3"/>
      <c r="E143" s="3"/>
      <c r="F143" s="4" t="s">
        <v>39</v>
      </c>
      <c r="G143" s="3">
        <v>0</v>
      </c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</row>
    <row r="144" spans="1:57">
      <c r="A144" s="1" t="str">
        <f>'Population Definitions'!$A$8</f>
        <v>18-64_males</v>
      </c>
      <c r="C144" t="s">
        <v>34</v>
      </c>
      <c r="D144" s="3"/>
      <c r="E144" s="3"/>
      <c r="F144" s="4" t="s">
        <v>39</v>
      </c>
      <c r="G144" s="3">
        <v>0</v>
      </c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</row>
    <row r="145" spans="1:57">
      <c r="A145" s="1" t="str">
        <f>'Population Definitions'!$A$9</f>
        <v>18-64_females</v>
      </c>
      <c r="C145" t="s">
        <v>34</v>
      </c>
      <c r="D145" s="3"/>
      <c r="E145" s="3"/>
      <c r="F145" s="4" t="s">
        <v>39</v>
      </c>
      <c r="G145" s="3">
        <v>0</v>
      </c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</row>
    <row r="146" spans="1:57">
      <c r="A146" s="1" t="str">
        <f>'Population Definitions'!$A$10</f>
        <v>65+_males</v>
      </c>
      <c r="C146" t="s">
        <v>34</v>
      </c>
      <c r="D146" s="3"/>
      <c r="E146" s="3"/>
      <c r="F146" s="4" t="s">
        <v>39</v>
      </c>
      <c r="G146" s="3">
        <v>0</v>
      </c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</row>
    <row r="147" spans="1:57">
      <c r="A147" s="1" t="str">
        <f>'Population Definitions'!$A$11</f>
        <v>65+_females</v>
      </c>
      <c r="C147" t="s">
        <v>34</v>
      </c>
      <c r="D147" s="3"/>
      <c r="E147" s="3"/>
      <c r="F147" s="4" t="s">
        <v>39</v>
      </c>
      <c r="G147" s="3">
        <v>0</v>
      </c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</row>
    <row r="148" spans="1:57">
      <c r="A148" s="1" t="str">
        <f>'Population Definitions'!$A$12</f>
        <v>Prisoners_males</v>
      </c>
      <c r="C148" t="s">
        <v>34</v>
      </c>
      <c r="D148" s="3"/>
      <c r="E148" s="3"/>
      <c r="F148" s="4" t="s">
        <v>39</v>
      </c>
      <c r="G148" s="3">
        <v>0</v>
      </c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</row>
    <row r="149" spans="1:57">
      <c r="A149" s="1" t="str">
        <f>'Population Definitions'!$A$13</f>
        <v>Prisoners_females</v>
      </c>
      <c r="C149" t="s">
        <v>34</v>
      </c>
      <c r="D149" s="3"/>
      <c r="E149" s="3"/>
      <c r="F149" s="4" t="s">
        <v>39</v>
      </c>
      <c r="G149" s="3">
        <v>0</v>
      </c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</row>
    <row r="150" spans="1:57">
      <c r="A150" s="1" t="str">
        <f>'Population Definitions'!$A$14</f>
        <v>Prisoners_PWID_males</v>
      </c>
      <c r="C150" t="s">
        <v>34</v>
      </c>
      <c r="D150" s="3"/>
      <c r="E150" s="3"/>
      <c r="F150" s="4" t="s">
        <v>39</v>
      </c>
      <c r="G150" s="3">
        <v>0</v>
      </c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</row>
    <row r="151" spans="1:57">
      <c r="A151" s="1" t="str">
        <f>'Population Definitions'!$A$15</f>
        <v>Prisoners_PWID_females</v>
      </c>
      <c r="C151" t="s">
        <v>34</v>
      </c>
      <c r="D151" s="3"/>
      <c r="E151" s="3"/>
      <c r="F151" s="4" t="s">
        <v>39</v>
      </c>
      <c r="G151" s="3">
        <v>0</v>
      </c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</row>
    <row r="152" spans="1:57">
      <c r="A152" s="1" t="s">
        <v>110</v>
      </c>
      <c r="C152" t="s">
        <v>34</v>
      </c>
      <c r="D152" s="3"/>
      <c r="E152" s="3"/>
      <c r="F152" s="4" t="s">
        <v>39</v>
      </c>
      <c r="G152" s="3">
        <v>130855.7407407407</v>
      </c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>
        <v>209975</v>
      </c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</row>
    <row r="154" spans="1:57">
      <c r="A154" s="1" t="s">
        <v>119</v>
      </c>
      <c r="B154" s="1" t="s">
        <v>31</v>
      </c>
      <c r="C154" s="1" t="s">
        <v>32</v>
      </c>
      <c r="D154" s="1" t="s">
        <v>33</v>
      </c>
      <c r="E154" s="1" t="s">
        <v>38</v>
      </c>
      <c r="F154" s="1"/>
      <c r="G154" s="1">
        <v>2000</v>
      </c>
      <c r="H154" s="1">
        <v>2001</v>
      </c>
      <c r="I154" s="1">
        <v>2002</v>
      </c>
      <c r="J154" s="1">
        <v>2003</v>
      </c>
      <c r="K154" s="1">
        <v>2004</v>
      </c>
      <c r="L154" s="1">
        <v>2005</v>
      </c>
      <c r="M154" s="1">
        <v>2006</v>
      </c>
      <c r="N154" s="1">
        <v>2007</v>
      </c>
      <c r="O154" s="1">
        <v>2008</v>
      </c>
      <c r="P154" s="1">
        <v>2009</v>
      </c>
      <c r="Q154" s="1">
        <v>2010</v>
      </c>
      <c r="R154" s="1">
        <v>2011</v>
      </c>
      <c r="S154" s="1">
        <v>2012</v>
      </c>
      <c r="T154" s="1">
        <v>2013</v>
      </c>
      <c r="U154" s="1">
        <v>2014</v>
      </c>
      <c r="V154" s="1">
        <v>2015</v>
      </c>
      <c r="W154" s="1">
        <v>2016</v>
      </c>
      <c r="X154" s="1">
        <v>2017</v>
      </c>
      <c r="Y154" s="1">
        <v>2018</v>
      </c>
      <c r="Z154" s="1">
        <v>2019</v>
      </c>
      <c r="AA154" s="1">
        <v>2020</v>
      </c>
      <c r="AB154" s="1">
        <v>2021</v>
      </c>
      <c r="AC154" s="1">
        <v>2022</v>
      </c>
      <c r="AD154" s="1">
        <v>2023</v>
      </c>
      <c r="AE154" s="1">
        <v>2024</v>
      </c>
      <c r="AF154" s="1">
        <v>2025</v>
      </c>
      <c r="AG154" s="1">
        <v>2026</v>
      </c>
      <c r="AH154" s="1">
        <v>2027</v>
      </c>
      <c r="AI154" s="1">
        <v>2028</v>
      </c>
      <c r="AJ154" s="1">
        <v>2029</v>
      </c>
      <c r="AK154" s="1">
        <v>2030</v>
      </c>
      <c r="AL154" s="1">
        <v>2031</v>
      </c>
      <c r="AM154" s="1">
        <v>2032</v>
      </c>
      <c r="AN154" s="1">
        <v>2033</v>
      </c>
      <c r="AO154" s="1">
        <v>2034</v>
      </c>
      <c r="AP154" s="1">
        <v>2035</v>
      </c>
      <c r="AQ154" s="1">
        <v>2036</v>
      </c>
      <c r="AR154" s="1">
        <v>2037</v>
      </c>
      <c r="AS154" s="1">
        <v>2038</v>
      </c>
      <c r="AT154" s="1">
        <v>2039</v>
      </c>
      <c r="AU154" s="1">
        <v>2040</v>
      </c>
      <c r="AV154" s="1">
        <v>2041</v>
      </c>
      <c r="AW154" s="1">
        <v>2042</v>
      </c>
      <c r="AX154" s="1">
        <v>2043</v>
      </c>
      <c r="AY154" s="1">
        <v>2044</v>
      </c>
      <c r="AZ154" s="1">
        <v>2045</v>
      </c>
      <c r="BA154" s="1">
        <v>2046</v>
      </c>
      <c r="BB154" s="1">
        <v>2047</v>
      </c>
      <c r="BC154" s="1">
        <v>2048</v>
      </c>
      <c r="BD154" s="1">
        <v>2049</v>
      </c>
      <c r="BE154" s="1">
        <v>2050</v>
      </c>
    </row>
    <row r="155" spans="1:57">
      <c r="A155" s="1" t="str">
        <f>'Population Definitions'!$A$2</f>
        <v>PWID_males</v>
      </c>
      <c r="C155" t="s">
        <v>34</v>
      </c>
      <c r="D155" s="3"/>
      <c r="E155" s="3"/>
      <c r="F155" s="4" t="s">
        <v>39</v>
      </c>
      <c r="G155" s="3">
        <v>0</v>
      </c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</row>
    <row r="156" spans="1:57">
      <c r="A156" s="1" t="str">
        <f>'Population Definitions'!$A$3</f>
        <v>PWID_females</v>
      </c>
      <c r="C156" t="s">
        <v>34</v>
      </c>
      <c r="D156" s="3"/>
      <c r="E156" s="3"/>
      <c r="F156" s="4" t="s">
        <v>39</v>
      </c>
      <c r="G156" s="3">
        <v>0</v>
      </c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  <c r="AG156" s="3"/>
      <c r="AH156" s="3"/>
      <c r="AI156" s="3"/>
      <c r="AJ156" s="3"/>
      <c r="AK156" s="3"/>
      <c r="AL156" s="3"/>
      <c r="AM156" s="3"/>
      <c r="AN156" s="3"/>
      <c r="AO156" s="3"/>
      <c r="AP156" s="3"/>
      <c r="AQ156" s="3"/>
      <c r="AR156" s="3"/>
      <c r="AS156" s="3"/>
      <c r="AT156" s="3"/>
      <c r="AU156" s="3"/>
      <c r="AV156" s="3"/>
      <c r="AW156" s="3"/>
      <c r="AX156" s="3"/>
      <c r="AY156" s="3"/>
      <c r="AZ156" s="3"/>
      <c r="BA156" s="3"/>
      <c r="BB156" s="3"/>
      <c r="BC156" s="3"/>
      <c r="BD156" s="3"/>
      <c r="BE156" s="3"/>
    </row>
    <row r="157" spans="1:57">
      <c r="A157" s="1" t="str">
        <f>'Population Definitions'!$A$4</f>
        <v>0-9_males</v>
      </c>
      <c r="C157" t="s">
        <v>34</v>
      </c>
      <c r="D157" s="3"/>
      <c r="E157" s="3"/>
      <c r="F157" s="4" t="s">
        <v>39</v>
      </c>
      <c r="G157" s="3">
        <v>0</v>
      </c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  <c r="AG157" s="3"/>
      <c r="AH157" s="3"/>
      <c r="AI157" s="3"/>
      <c r="AJ157" s="3"/>
      <c r="AK157" s="3"/>
      <c r="AL157" s="3"/>
      <c r="AM157" s="3"/>
      <c r="AN157" s="3"/>
      <c r="AO157" s="3"/>
      <c r="AP157" s="3"/>
      <c r="AQ157" s="3"/>
      <c r="AR157" s="3"/>
      <c r="AS157" s="3"/>
      <c r="AT157" s="3"/>
      <c r="AU157" s="3"/>
      <c r="AV157" s="3"/>
      <c r="AW157" s="3"/>
      <c r="AX157" s="3"/>
      <c r="AY157" s="3"/>
      <c r="AZ157" s="3"/>
      <c r="BA157" s="3"/>
      <c r="BB157" s="3"/>
      <c r="BC157" s="3"/>
      <c r="BD157" s="3"/>
      <c r="BE157" s="3"/>
    </row>
    <row r="158" spans="1:57">
      <c r="A158" s="1" t="str">
        <f>'Population Definitions'!$A$5</f>
        <v>0-9_females</v>
      </c>
      <c r="C158" t="s">
        <v>34</v>
      </c>
      <c r="D158" s="3"/>
      <c r="E158" s="3"/>
      <c r="F158" s="4" t="s">
        <v>39</v>
      </c>
      <c r="G158" s="3">
        <v>0</v>
      </c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</row>
    <row r="159" spans="1:57">
      <c r="A159" s="1" t="str">
        <f>'Population Definitions'!$A$6</f>
        <v>10-17_males</v>
      </c>
      <c r="C159" t="s">
        <v>34</v>
      </c>
      <c r="D159" s="3"/>
      <c r="E159" s="3"/>
      <c r="F159" s="4" t="s">
        <v>39</v>
      </c>
      <c r="G159" s="3">
        <v>0</v>
      </c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</row>
    <row r="160" spans="1:57">
      <c r="A160" s="1" t="str">
        <f>'Population Definitions'!$A$7</f>
        <v>10-17_females</v>
      </c>
      <c r="C160" t="s">
        <v>34</v>
      </c>
      <c r="D160" s="3"/>
      <c r="E160" s="3"/>
      <c r="F160" s="4" t="s">
        <v>39</v>
      </c>
      <c r="G160" s="3">
        <v>0</v>
      </c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</row>
    <row r="161" spans="1:57">
      <c r="A161" s="1" t="str">
        <f>'Population Definitions'!$A$8</f>
        <v>18-64_males</v>
      </c>
      <c r="C161" t="s">
        <v>34</v>
      </c>
      <c r="D161" s="3"/>
      <c r="E161" s="3"/>
      <c r="F161" s="4" t="s">
        <v>39</v>
      </c>
      <c r="G161" s="3">
        <v>0</v>
      </c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</row>
    <row r="162" spans="1:57">
      <c r="A162" s="1" t="str">
        <f>'Population Definitions'!$A$9</f>
        <v>18-64_females</v>
      </c>
      <c r="C162" t="s">
        <v>34</v>
      </c>
      <c r="D162" s="3"/>
      <c r="E162" s="3"/>
      <c r="F162" s="4" t="s">
        <v>39</v>
      </c>
      <c r="G162" s="3">
        <v>0</v>
      </c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</row>
    <row r="163" spans="1:57">
      <c r="A163" s="1" t="str">
        <f>'Population Definitions'!$A$10</f>
        <v>65+_males</v>
      </c>
      <c r="C163" t="s">
        <v>34</v>
      </c>
      <c r="D163" s="3"/>
      <c r="E163" s="3"/>
      <c r="F163" s="4" t="s">
        <v>39</v>
      </c>
      <c r="G163" s="3">
        <v>0</v>
      </c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</row>
    <row r="164" spans="1:57">
      <c r="A164" s="1" t="str">
        <f>'Population Definitions'!$A$11</f>
        <v>65+_females</v>
      </c>
      <c r="C164" t="s">
        <v>34</v>
      </c>
      <c r="D164" s="3"/>
      <c r="E164" s="3"/>
      <c r="F164" s="4" t="s">
        <v>39</v>
      </c>
      <c r="G164" s="3">
        <v>0</v>
      </c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</row>
    <row r="165" spans="1:57">
      <c r="A165" s="1" t="str">
        <f>'Population Definitions'!$A$12</f>
        <v>Prisoners_males</v>
      </c>
      <c r="C165" t="s">
        <v>34</v>
      </c>
      <c r="D165" s="3"/>
      <c r="E165" s="3"/>
      <c r="F165" s="4" t="s">
        <v>39</v>
      </c>
      <c r="G165" s="3">
        <v>0</v>
      </c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</row>
    <row r="166" spans="1:57">
      <c r="A166" s="1" t="str">
        <f>'Population Definitions'!$A$13</f>
        <v>Prisoners_females</v>
      </c>
      <c r="C166" t="s">
        <v>34</v>
      </c>
      <c r="D166" s="3"/>
      <c r="E166" s="3"/>
      <c r="F166" s="4" t="s">
        <v>39</v>
      </c>
      <c r="G166" s="3">
        <v>0</v>
      </c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</row>
    <row r="167" spans="1:57">
      <c r="A167" s="1" t="str">
        <f>'Population Definitions'!$A$14</f>
        <v>Prisoners_PWID_males</v>
      </c>
      <c r="C167" t="s">
        <v>34</v>
      </c>
      <c r="D167" s="3"/>
      <c r="E167" s="3"/>
      <c r="F167" s="4" t="s">
        <v>39</v>
      </c>
      <c r="G167" s="3">
        <v>0</v>
      </c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</row>
    <row r="168" spans="1:57">
      <c r="A168" s="1" t="str">
        <f>'Population Definitions'!$A$15</f>
        <v>Prisoners_PWID_females</v>
      </c>
      <c r="C168" t="s">
        <v>34</v>
      </c>
      <c r="D168" s="3"/>
      <c r="E168" s="3"/>
      <c r="F168" s="4" t="s">
        <v>39</v>
      </c>
      <c r="G168" s="3">
        <v>0</v>
      </c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</row>
    <row r="169" spans="1:57">
      <c r="A169" s="1" t="s">
        <v>110</v>
      </c>
      <c r="C169" t="s">
        <v>34</v>
      </c>
      <c r="D169" s="3"/>
      <c r="E169" s="3"/>
      <c r="F169" s="4" t="s">
        <v>39</v>
      </c>
      <c r="G169" s="3">
        <v>7713.62962962963</v>
      </c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>
        <v>12337</v>
      </c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</row>
    <row r="171" spans="1:57">
      <c r="A171" s="1" t="s">
        <v>120</v>
      </c>
      <c r="B171" s="1" t="s">
        <v>31</v>
      </c>
      <c r="C171" s="1" t="s">
        <v>32</v>
      </c>
      <c r="D171" s="1" t="s">
        <v>33</v>
      </c>
      <c r="E171" s="1" t="s">
        <v>38</v>
      </c>
      <c r="F171" s="1"/>
      <c r="G171" s="1">
        <v>2000</v>
      </c>
      <c r="H171" s="1">
        <v>2001</v>
      </c>
      <c r="I171" s="1">
        <v>2002</v>
      </c>
      <c r="J171" s="1">
        <v>2003</v>
      </c>
      <c r="K171" s="1">
        <v>2004</v>
      </c>
      <c r="L171" s="1">
        <v>2005</v>
      </c>
      <c r="M171" s="1">
        <v>2006</v>
      </c>
      <c r="N171" s="1">
        <v>2007</v>
      </c>
      <c r="O171" s="1">
        <v>2008</v>
      </c>
      <c r="P171" s="1">
        <v>2009</v>
      </c>
      <c r="Q171" s="1">
        <v>2010</v>
      </c>
      <c r="R171" s="1">
        <v>2011</v>
      </c>
      <c r="S171" s="1">
        <v>2012</v>
      </c>
      <c r="T171" s="1">
        <v>2013</v>
      </c>
      <c r="U171" s="1">
        <v>2014</v>
      </c>
      <c r="V171" s="1">
        <v>2015</v>
      </c>
      <c r="W171" s="1">
        <v>2016</v>
      </c>
      <c r="X171" s="1">
        <v>2017</v>
      </c>
      <c r="Y171" s="1">
        <v>2018</v>
      </c>
      <c r="Z171" s="1">
        <v>2019</v>
      </c>
      <c r="AA171" s="1">
        <v>2020</v>
      </c>
      <c r="AB171" s="1">
        <v>2021</v>
      </c>
      <c r="AC171" s="1">
        <v>2022</v>
      </c>
      <c r="AD171" s="1">
        <v>2023</v>
      </c>
      <c r="AE171" s="1">
        <v>2024</v>
      </c>
      <c r="AF171" s="1">
        <v>2025</v>
      </c>
      <c r="AG171" s="1">
        <v>2026</v>
      </c>
      <c r="AH171" s="1">
        <v>2027</v>
      </c>
      <c r="AI171" s="1">
        <v>2028</v>
      </c>
      <c r="AJ171" s="1">
        <v>2029</v>
      </c>
      <c r="AK171" s="1">
        <v>2030</v>
      </c>
      <c r="AL171" s="1">
        <v>2031</v>
      </c>
      <c r="AM171" s="1">
        <v>2032</v>
      </c>
      <c r="AN171" s="1">
        <v>2033</v>
      </c>
      <c r="AO171" s="1">
        <v>2034</v>
      </c>
      <c r="AP171" s="1">
        <v>2035</v>
      </c>
      <c r="AQ171" s="1">
        <v>2036</v>
      </c>
      <c r="AR171" s="1">
        <v>2037</v>
      </c>
      <c r="AS171" s="1">
        <v>2038</v>
      </c>
      <c r="AT171" s="1">
        <v>2039</v>
      </c>
      <c r="AU171" s="1">
        <v>2040</v>
      </c>
      <c r="AV171" s="1">
        <v>2041</v>
      </c>
      <c r="AW171" s="1">
        <v>2042</v>
      </c>
      <c r="AX171" s="1">
        <v>2043</v>
      </c>
      <c r="AY171" s="1">
        <v>2044</v>
      </c>
      <c r="AZ171" s="1">
        <v>2045</v>
      </c>
      <c r="BA171" s="1">
        <v>2046</v>
      </c>
      <c r="BB171" s="1">
        <v>2047</v>
      </c>
      <c r="BC171" s="1">
        <v>2048</v>
      </c>
      <c r="BD171" s="1">
        <v>2049</v>
      </c>
      <c r="BE171" s="1">
        <v>2050</v>
      </c>
    </row>
    <row r="172" spans="1:57">
      <c r="A172" s="1" t="str">
        <f>'Population Definitions'!$A$2</f>
        <v>PWID_males</v>
      </c>
      <c r="C172" t="s">
        <v>34</v>
      </c>
      <c r="D172" s="3"/>
      <c r="E172" s="3"/>
      <c r="F172" s="4" t="s">
        <v>39</v>
      </c>
      <c r="G172" s="3">
        <v>0</v>
      </c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</row>
    <row r="173" spans="1:57">
      <c r="A173" s="1" t="str">
        <f>'Population Definitions'!$A$3</f>
        <v>PWID_females</v>
      </c>
      <c r="C173" t="s">
        <v>34</v>
      </c>
      <c r="D173" s="3"/>
      <c r="E173" s="3"/>
      <c r="F173" s="4" t="s">
        <v>39</v>
      </c>
      <c r="G173" s="3">
        <v>0</v>
      </c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</row>
    <row r="174" spans="1:57">
      <c r="A174" s="1" t="str">
        <f>'Population Definitions'!$A$4</f>
        <v>0-9_males</v>
      </c>
      <c r="C174" t="s">
        <v>34</v>
      </c>
      <c r="D174" s="3"/>
      <c r="E174" s="3"/>
      <c r="F174" s="4" t="s">
        <v>39</v>
      </c>
      <c r="G174" s="3">
        <v>0</v>
      </c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</row>
    <row r="175" spans="1:57">
      <c r="A175" s="1" t="str">
        <f>'Population Definitions'!$A$5</f>
        <v>0-9_females</v>
      </c>
      <c r="C175" t="s">
        <v>34</v>
      </c>
      <c r="D175" s="3"/>
      <c r="E175" s="3"/>
      <c r="F175" s="4" t="s">
        <v>39</v>
      </c>
      <c r="G175" s="3">
        <v>0</v>
      </c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</row>
    <row r="176" spans="1:57">
      <c r="A176" s="1" t="str">
        <f>'Population Definitions'!$A$6</f>
        <v>10-17_males</v>
      </c>
      <c r="C176" t="s">
        <v>34</v>
      </c>
      <c r="D176" s="3"/>
      <c r="E176" s="3"/>
      <c r="F176" s="4" t="s">
        <v>39</v>
      </c>
      <c r="G176" s="3">
        <v>0</v>
      </c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</row>
    <row r="177" spans="1:57">
      <c r="A177" s="1" t="str">
        <f>'Population Definitions'!$A$7</f>
        <v>10-17_females</v>
      </c>
      <c r="C177" t="s">
        <v>34</v>
      </c>
      <c r="D177" s="3"/>
      <c r="E177" s="3"/>
      <c r="F177" s="4" t="s">
        <v>39</v>
      </c>
      <c r="G177" s="3">
        <v>0</v>
      </c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</row>
    <row r="178" spans="1:57">
      <c r="A178" s="1" t="str">
        <f>'Population Definitions'!$A$8</f>
        <v>18-64_males</v>
      </c>
      <c r="C178" t="s">
        <v>34</v>
      </c>
      <c r="D178" s="3"/>
      <c r="E178" s="3"/>
      <c r="F178" s="4" t="s">
        <v>39</v>
      </c>
      <c r="G178" s="3">
        <v>0</v>
      </c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</row>
    <row r="179" spans="1:57">
      <c r="A179" s="1" t="str">
        <f>'Population Definitions'!$A$9</f>
        <v>18-64_females</v>
      </c>
      <c r="C179" t="s">
        <v>34</v>
      </c>
      <c r="D179" s="3"/>
      <c r="E179" s="3"/>
      <c r="F179" s="4" t="s">
        <v>39</v>
      </c>
      <c r="G179" s="3">
        <v>0</v>
      </c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</row>
    <row r="180" spans="1:57">
      <c r="A180" s="1" t="str">
        <f>'Population Definitions'!$A$10</f>
        <v>65+_males</v>
      </c>
      <c r="C180" t="s">
        <v>34</v>
      </c>
      <c r="D180" s="3"/>
      <c r="E180" s="3"/>
      <c r="F180" s="4" t="s">
        <v>39</v>
      </c>
      <c r="G180" s="3">
        <v>0</v>
      </c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</row>
    <row r="181" spans="1:57">
      <c r="A181" s="1" t="str">
        <f>'Population Definitions'!$A$11</f>
        <v>65+_females</v>
      </c>
      <c r="C181" t="s">
        <v>34</v>
      </c>
      <c r="D181" s="3"/>
      <c r="E181" s="3"/>
      <c r="F181" s="4" t="s">
        <v>39</v>
      </c>
      <c r="G181" s="3">
        <v>0</v>
      </c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</row>
    <row r="182" spans="1:57">
      <c r="A182" s="1" t="str">
        <f>'Population Definitions'!$A$12</f>
        <v>Prisoners_males</v>
      </c>
      <c r="C182" t="s">
        <v>34</v>
      </c>
      <c r="D182" s="3"/>
      <c r="E182" s="3"/>
      <c r="F182" s="4" t="s">
        <v>39</v>
      </c>
      <c r="G182" s="3">
        <v>0</v>
      </c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  <c r="AG182" s="3"/>
      <c r="AH182" s="3"/>
      <c r="AI182" s="3"/>
      <c r="AJ182" s="3"/>
      <c r="AK182" s="3"/>
      <c r="AL182" s="3"/>
      <c r="AM182" s="3"/>
      <c r="AN182" s="3"/>
      <c r="AO182" s="3"/>
      <c r="AP182" s="3"/>
      <c r="AQ182" s="3"/>
      <c r="AR182" s="3"/>
      <c r="AS182" s="3"/>
      <c r="AT182" s="3"/>
      <c r="AU182" s="3"/>
      <c r="AV182" s="3"/>
      <c r="AW182" s="3"/>
      <c r="AX182" s="3"/>
      <c r="AY182" s="3"/>
      <c r="AZ182" s="3"/>
      <c r="BA182" s="3"/>
      <c r="BB182" s="3"/>
      <c r="BC182" s="3"/>
      <c r="BD182" s="3"/>
      <c r="BE182" s="3"/>
    </row>
    <row r="183" spans="1:57">
      <c r="A183" s="1" t="str">
        <f>'Population Definitions'!$A$13</f>
        <v>Prisoners_females</v>
      </c>
      <c r="C183" t="s">
        <v>34</v>
      </c>
      <c r="D183" s="3"/>
      <c r="E183" s="3"/>
      <c r="F183" s="4" t="s">
        <v>39</v>
      </c>
      <c r="G183" s="3">
        <v>0</v>
      </c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  <c r="AG183" s="3"/>
      <c r="AH183" s="3"/>
      <c r="AI183" s="3"/>
      <c r="AJ183" s="3"/>
      <c r="AK183" s="3"/>
      <c r="AL183" s="3"/>
      <c r="AM183" s="3"/>
      <c r="AN183" s="3"/>
      <c r="AO183" s="3"/>
      <c r="AP183" s="3"/>
      <c r="AQ183" s="3"/>
      <c r="AR183" s="3"/>
      <c r="AS183" s="3"/>
      <c r="AT183" s="3"/>
      <c r="AU183" s="3"/>
      <c r="AV183" s="3"/>
      <c r="AW183" s="3"/>
      <c r="AX183" s="3"/>
      <c r="AY183" s="3"/>
      <c r="AZ183" s="3"/>
      <c r="BA183" s="3"/>
      <c r="BB183" s="3"/>
      <c r="BC183" s="3"/>
      <c r="BD183" s="3"/>
      <c r="BE183" s="3"/>
    </row>
    <row r="184" spans="1:57">
      <c r="A184" s="1" t="str">
        <f>'Population Definitions'!$A$14</f>
        <v>Prisoners_PWID_males</v>
      </c>
      <c r="C184" t="s">
        <v>34</v>
      </c>
      <c r="D184" s="3"/>
      <c r="E184" s="3"/>
      <c r="F184" s="4" t="s">
        <v>39</v>
      </c>
      <c r="G184" s="3">
        <v>0</v>
      </c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</row>
    <row r="185" spans="1:57">
      <c r="A185" s="1" t="str">
        <f>'Population Definitions'!$A$15</f>
        <v>Prisoners_PWID_females</v>
      </c>
      <c r="C185" t="s">
        <v>34</v>
      </c>
      <c r="D185" s="3"/>
      <c r="E185" s="3"/>
      <c r="F185" s="4" t="s">
        <v>39</v>
      </c>
      <c r="G185" s="3">
        <v>0</v>
      </c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</row>
    <row r="186" spans="1:57">
      <c r="A186" s="1" t="s">
        <v>110</v>
      </c>
      <c r="C186" t="s">
        <v>34</v>
      </c>
      <c r="D186" s="3"/>
      <c r="E186" s="3"/>
      <c r="F186" s="4" t="s">
        <v>39</v>
      </c>
      <c r="G186" s="3">
        <v>0</v>
      </c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</row>
    <row r="188" spans="1:57">
      <c r="A188" s="1" t="s">
        <v>121</v>
      </c>
      <c r="B188" s="1" t="s">
        <v>31</v>
      </c>
      <c r="C188" s="1" t="s">
        <v>32</v>
      </c>
      <c r="D188" s="1" t="s">
        <v>33</v>
      </c>
      <c r="E188" s="1" t="s">
        <v>38</v>
      </c>
      <c r="F188" s="1"/>
      <c r="G188" s="1">
        <v>2000</v>
      </c>
      <c r="H188" s="1">
        <v>2001</v>
      </c>
      <c r="I188" s="1">
        <v>2002</v>
      </c>
      <c r="J188" s="1">
        <v>2003</v>
      </c>
      <c r="K188" s="1">
        <v>2004</v>
      </c>
      <c r="L188" s="1">
        <v>2005</v>
      </c>
      <c r="M188" s="1">
        <v>2006</v>
      </c>
      <c r="N188" s="1">
        <v>2007</v>
      </c>
      <c r="O188" s="1">
        <v>2008</v>
      </c>
      <c r="P188" s="1">
        <v>2009</v>
      </c>
      <c r="Q188" s="1">
        <v>2010</v>
      </c>
      <c r="R188" s="1">
        <v>2011</v>
      </c>
      <c r="S188" s="1">
        <v>2012</v>
      </c>
      <c r="T188" s="1">
        <v>2013</v>
      </c>
      <c r="U188" s="1">
        <v>2014</v>
      </c>
      <c r="V188" s="1">
        <v>2015</v>
      </c>
      <c r="W188" s="1">
        <v>2016</v>
      </c>
      <c r="X188" s="1">
        <v>2017</v>
      </c>
      <c r="Y188" s="1">
        <v>2018</v>
      </c>
      <c r="Z188" s="1">
        <v>2019</v>
      </c>
      <c r="AA188" s="1">
        <v>2020</v>
      </c>
      <c r="AB188" s="1">
        <v>2021</v>
      </c>
      <c r="AC188" s="1">
        <v>2022</v>
      </c>
      <c r="AD188" s="1">
        <v>2023</v>
      </c>
      <c r="AE188" s="1">
        <v>2024</v>
      </c>
      <c r="AF188" s="1">
        <v>2025</v>
      </c>
      <c r="AG188" s="1">
        <v>2026</v>
      </c>
      <c r="AH188" s="1">
        <v>2027</v>
      </c>
      <c r="AI188" s="1">
        <v>2028</v>
      </c>
      <c r="AJ188" s="1">
        <v>2029</v>
      </c>
      <c r="AK188" s="1">
        <v>2030</v>
      </c>
      <c r="AL188" s="1">
        <v>2031</v>
      </c>
      <c r="AM188" s="1">
        <v>2032</v>
      </c>
      <c r="AN188" s="1">
        <v>2033</v>
      </c>
      <c r="AO188" s="1">
        <v>2034</v>
      </c>
      <c r="AP188" s="1">
        <v>2035</v>
      </c>
      <c r="AQ188" s="1">
        <v>2036</v>
      </c>
      <c r="AR188" s="1">
        <v>2037</v>
      </c>
      <c r="AS188" s="1">
        <v>2038</v>
      </c>
      <c r="AT188" s="1">
        <v>2039</v>
      </c>
      <c r="AU188" s="1">
        <v>2040</v>
      </c>
      <c r="AV188" s="1">
        <v>2041</v>
      </c>
      <c r="AW188" s="1">
        <v>2042</v>
      </c>
      <c r="AX188" s="1">
        <v>2043</v>
      </c>
      <c r="AY188" s="1">
        <v>2044</v>
      </c>
      <c r="AZ188" s="1">
        <v>2045</v>
      </c>
      <c r="BA188" s="1">
        <v>2046</v>
      </c>
      <c r="BB188" s="1">
        <v>2047</v>
      </c>
      <c r="BC188" s="1">
        <v>2048</v>
      </c>
      <c r="BD188" s="1">
        <v>2049</v>
      </c>
      <c r="BE188" s="1">
        <v>2050</v>
      </c>
    </row>
    <row r="189" spans="1:57">
      <c r="A189" s="1" t="str">
        <f>'Population Definitions'!$A$2</f>
        <v>PWID_males</v>
      </c>
      <c r="C189" t="s">
        <v>34</v>
      </c>
      <c r="D189" s="3"/>
      <c r="E189" s="3"/>
      <c r="F189" s="4" t="s">
        <v>39</v>
      </c>
      <c r="G189" s="3">
        <v>0</v>
      </c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</row>
    <row r="190" spans="1:57">
      <c r="A190" s="1" t="str">
        <f>'Population Definitions'!$A$3</f>
        <v>PWID_females</v>
      </c>
      <c r="C190" t="s">
        <v>34</v>
      </c>
      <c r="D190" s="3"/>
      <c r="E190" s="3"/>
      <c r="F190" s="4" t="s">
        <v>39</v>
      </c>
      <c r="G190" s="3">
        <v>0</v>
      </c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</row>
    <row r="191" spans="1:57">
      <c r="A191" s="1" t="str">
        <f>'Population Definitions'!$A$4</f>
        <v>0-9_males</v>
      </c>
      <c r="C191" t="s">
        <v>34</v>
      </c>
      <c r="D191" s="3"/>
      <c r="E191" s="3"/>
      <c r="F191" s="4" t="s">
        <v>39</v>
      </c>
      <c r="G191" s="3">
        <v>0</v>
      </c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</row>
    <row r="192" spans="1:57">
      <c r="A192" s="1" t="str">
        <f>'Population Definitions'!$A$5</f>
        <v>0-9_females</v>
      </c>
      <c r="C192" t="s">
        <v>34</v>
      </c>
      <c r="D192" s="3"/>
      <c r="E192" s="3"/>
      <c r="F192" s="4" t="s">
        <v>39</v>
      </c>
      <c r="G192" s="3">
        <v>0</v>
      </c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</row>
    <row r="193" spans="1:57">
      <c r="A193" s="1" t="str">
        <f>'Population Definitions'!$A$6</f>
        <v>10-17_males</v>
      </c>
      <c r="C193" t="s">
        <v>34</v>
      </c>
      <c r="D193" s="3"/>
      <c r="E193" s="3"/>
      <c r="F193" s="4" t="s">
        <v>39</v>
      </c>
      <c r="G193" s="3">
        <v>0</v>
      </c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</row>
    <row r="194" spans="1:57">
      <c r="A194" s="1" t="str">
        <f>'Population Definitions'!$A$7</f>
        <v>10-17_females</v>
      </c>
      <c r="C194" t="s">
        <v>34</v>
      </c>
      <c r="D194" s="3"/>
      <c r="E194" s="3"/>
      <c r="F194" s="4" t="s">
        <v>39</v>
      </c>
      <c r="G194" s="3">
        <v>0</v>
      </c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</row>
    <row r="195" spans="1:57">
      <c r="A195" s="1" t="str">
        <f>'Population Definitions'!$A$8</f>
        <v>18-64_males</v>
      </c>
      <c r="C195" t="s">
        <v>34</v>
      </c>
      <c r="D195" s="3"/>
      <c r="E195" s="3"/>
      <c r="F195" s="4" t="s">
        <v>39</v>
      </c>
      <c r="G195" s="3">
        <v>0</v>
      </c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</row>
    <row r="196" spans="1:57">
      <c r="A196" s="1" t="str">
        <f>'Population Definitions'!$A$9</f>
        <v>18-64_females</v>
      </c>
      <c r="C196" t="s">
        <v>34</v>
      </c>
      <c r="D196" s="3"/>
      <c r="E196" s="3"/>
      <c r="F196" s="4" t="s">
        <v>39</v>
      </c>
      <c r="G196" s="3">
        <v>0</v>
      </c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</row>
    <row r="197" spans="1:57">
      <c r="A197" s="1" t="str">
        <f>'Population Definitions'!$A$10</f>
        <v>65+_males</v>
      </c>
      <c r="C197" t="s">
        <v>34</v>
      </c>
      <c r="D197" s="3"/>
      <c r="E197" s="3"/>
      <c r="F197" s="4" t="s">
        <v>39</v>
      </c>
      <c r="G197" s="3">
        <v>0</v>
      </c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</row>
    <row r="198" spans="1:57">
      <c r="A198" s="1" t="str">
        <f>'Population Definitions'!$A$11</f>
        <v>65+_females</v>
      </c>
      <c r="C198" t="s">
        <v>34</v>
      </c>
      <c r="D198" s="3"/>
      <c r="E198" s="3"/>
      <c r="F198" s="4" t="s">
        <v>39</v>
      </c>
      <c r="G198" s="3">
        <v>0</v>
      </c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</row>
    <row r="199" spans="1:57">
      <c r="A199" s="1" t="str">
        <f>'Population Definitions'!$A$12</f>
        <v>Prisoners_males</v>
      </c>
      <c r="C199" t="s">
        <v>34</v>
      </c>
      <c r="D199" s="3"/>
      <c r="E199" s="3"/>
      <c r="F199" s="4" t="s">
        <v>39</v>
      </c>
      <c r="G199" s="3">
        <v>0</v>
      </c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</row>
    <row r="200" spans="1:57">
      <c r="A200" s="1" t="str">
        <f>'Population Definitions'!$A$13</f>
        <v>Prisoners_females</v>
      </c>
      <c r="C200" t="s">
        <v>34</v>
      </c>
      <c r="D200" s="3"/>
      <c r="E200" s="3"/>
      <c r="F200" s="4" t="s">
        <v>39</v>
      </c>
      <c r="G200" s="3">
        <v>0</v>
      </c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</row>
    <row r="201" spans="1:57">
      <c r="A201" s="1" t="str">
        <f>'Population Definitions'!$A$14</f>
        <v>Prisoners_PWID_males</v>
      </c>
      <c r="C201" t="s">
        <v>34</v>
      </c>
      <c r="D201" s="3"/>
      <c r="E201" s="3"/>
      <c r="F201" s="4" t="s">
        <v>39</v>
      </c>
      <c r="G201" s="3">
        <v>0</v>
      </c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</row>
    <row r="202" spans="1:57">
      <c r="A202" s="1" t="str">
        <f>'Population Definitions'!$A$15</f>
        <v>Prisoners_PWID_females</v>
      </c>
      <c r="C202" t="s">
        <v>34</v>
      </c>
      <c r="D202" s="3"/>
      <c r="E202" s="3"/>
      <c r="F202" s="4" t="s">
        <v>39</v>
      </c>
      <c r="G202" s="3">
        <v>0</v>
      </c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</row>
    <row r="203" spans="1:57">
      <c r="A203" s="1" t="s">
        <v>110</v>
      </c>
      <c r="C203" t="s">
        <v>34</v>
      </c>
      <c r="D203" s="3"/>
      <c r="E203" s="3"/>
      <c r="F203" s="4" t="s">
        <v>39</v>
      </c>
      <c r="G203" s="3">
        <v>0</v>
      </c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</row>
    <row r="205" spans="1:57">
      <c r="A205" s="1" t="s">
        <v>122</v>
      </c>
      <c r="B205" s="1" t="s">
        <v>31</v>
      </c>
      <c r="C205" s="1" t="s">
        <v>32</v>
      </c>
      <c r="D205" s="1" t="s">
        <v>33</v>
      </c>
      <c r="E205" s="1" t="s">
        <v>38</v>
      </c>
      <c r="F205" s="1"/>
      <c r="G205" s="1">
        <v>2000</v>
      </c>
      <c r="H205" s="1">
        <v>2001</v>
      </c>
      <c r="I205" s="1">
        <v>2002</v>
      </c>
      <c r="J205" s="1">
        <v>2003</v>
      </c>
      <c r="K205" s="1">
        <v>2004</v>
      </c>
      <c r="L205" s="1">
        <v>2005</v>
      </c>
      <c r="M205" s="1">
        <v>2006</v>
      </c>
      <c r="N205" s="1">
        <v>2007</v>
      </c>
      <c r="O205" s="1">
        <v>2008</v>
      </c>
      <c r="P205" s="1">
        <v>2009</v>
      </c>
      <c r="Q205" s="1">
        <v>2010</v>
      </c>
      <c r="R205" s="1">
        <v>2011</v>
      </c>
      <c r="S205" s="1">
        <v>2012</v>
      </c>
      <c r="T205" s="1">
        <v>2013</v>
      </c>
      <c r="U205" s="1">
        <v>2014</v>
      </c>
      <c r="V205" s="1">
        <v>2015</v>
      </c>
      <c r="W205" s="1">
        <v>2016</v>
      </c>
      <c r="X205" s="1">
        <v>2017</v>
      </c>
      <c r="Y205" s="1">
        <v>2018</v>
      </c>
      <c r="Z205" s="1">
        <v>2019</v>
      </c>
      <c r="AA205" s="1">
        <v>2020</v>
      </c>
      <c r="AB205" s="1">
        <v>2021</v>
      </c>
      <c r="AC205" s="1">
        <v>2022</v>
      </c>
      <c r="AD205" s="1">
        <v>2023</v>
      </c>
      <c r="AE205" s="1">
        <v>2024</v>
      </c>
      <c r="AF205" s="1">
        <v>2025</v>
      </c>
      <c r="AG205" s="1">
        <v>2026</v>
      </c>
      <c r="AH205" s="1">
        <v>2027</v>
      </c>
      <c r="AI205" s="1">
        <v>2028</v>
      </c>
      <c r="AJ205" s="1">
        <v>2029</v>
      </c>
      <c r="AK205" s="1">
        <v>2030</v>
      </c>
      <c r="AL205" s="1">
        <v>2031</v>
      </c>
      <c r="AM205" s="1">
        <v>2032</v>
      </c>
      <c r="AN205" s="1">
        <v>2033</v>
      </c>
      <c r="AO205" s="1">
        <v>2034</v>
      </c>
      <c r="AP205" s="1">
        <v>2035</v>
      </c>
      <c r="AQ205" s="1">
        <v>2036</v>
      </c>
      <c r="AR205" s="1">
        <v>2037</v>
      </c>
      <c r="AS205" s="1">
        <v>2038</v>
      </c>
      <c r="AT205" s="1">
        <v>2039</v>
      </c>
      <c r="AU205" s="1">
        <v>2040</v>
      </c>
      <c r="AV205" s="1">
        <v>2041</v>
      </c>
      <c r="AW205" s="1">
        <v>2042</v>
      </c>
      <c r="AX205" s="1">
        <v>2043</v>
      </c>
      <c r="AY205" s="1">
        <v>2044</v>
      </c>
      <c r="AZ205" s="1">
        <v>2045</v>
      </c>
      <c r="BA205" s="1">
        <v>2046</v>
      </c>
      <c r="BB205" s="1">
        <v>2047</v>
      </c>
      <c r="BC205" s="1">
        <v>2048</v>
      </c>
      <c r="BD205" s="1">
        <v>2049</v>
      </c>
      <c r="BE205" s="1">
        <v>2050</v>
      </c>
    </row>
    <row r="206" spans="1:57">
      <c r="A206" s="1" t="str">
        <f>'Population Definitions'!$A$2</f>
        <v>PWID_males</v>
      </c>
      <c r="C206" t="s">
        <v>34</v>
      </c>
      <c r="D206" s="3"/>
      <c r="E206" s="3"/>
      <c r="F206" s="4" t="s">
        <v>39</v>
      </c>
      <c r="G206" s="3">
        <v>0</v>
      </c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</row>
    <row r="207" spans="1:57">
      <c r="A207" s="1" t="str">
        <f>'Population Definitions'!$A$3</f>
        <v>PWID_females</v>
      </c>
      <c r="C207" t="s">
        <v>34</v>
      </c>
      <c r="D207" s="3"/>
      <c r="E207" s="3"/>
      <c r="F207" s="4" t="s">
        <v>39</v>
      </c>
      <c r="G207" s="3">
        <v>0</v>
      </c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</row>
    <row r="208" spans="1:57">
      <c r="A208" s="1" t="str">
        <f>'Population Definitions'!$A$4</f>
        <v>0-9_males</v>
      </c>
      <c r="C208" t="s">
        <v>34</v>
      </c>
      <c r="D208" s="3"/>
      <c r="E208" s="3"/>
      <c r="F208" s="4" t="s">
        <v>39</v>
      </c>
      <c r="G208" s="3">
        <v>0</v>
      </c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  <c r="AD208" s="3"/>
      <c r="AE208" s="3"/>
      <c r="AF208" s="3"/>
      <c r="AG208" s="3"/>
      <c r="AH208" s="3"/>
      <c r="AI208" s="3"/>
      <c r="AJ208" s="3"/>
      <c r="AK208" s="3"/>
      <c r="AL208" s="3"/>
      <c r="AM208" s="3"/>
      <c r="AN208" s="3"/>
      <c r="AO208" s="3"/>
      <c r="AP208" s="3"/>
      <c r="AQ208" s="3"/>
      <c r="AR208" s="3"/>
      <c r="AS208" s="3"/>
      <c r="AT208" s="3"/>
      <c r="AU208" s="3"/>
      <c r="AV208" s="3"/>
      <c r="AW208" s="3"/>
      <c r="AX208" s="3"/>
      <c r="AY208" s="3"/>
      <c r="AZ208" s="3"/>
      <c r="BA208" s="3"/>
      <c r="BB208" s="3"/>
      <c r="BC208" s="3"/>
      <c r="BD208" s="3"/>
      <c r="BE208" s="3"/>
    </row>
    <row r="209" spans="1:57">
      <c r="A209" s="1" t="str">
        <f>'Population Definitions'!$A$5</f>
        <v>0-9_females</v>
      </c>
      <c r="C209" t="s">
        <v>34</v>
      </c>
      <c r="D209" s="3"/>
      <c r="E209" s="3"/>
      <c r="F209" s="4" t="s">
        <v>39</v>
      </c>
      <c r="G209" s="3">
        <v>0</v>
      </c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  <c r="AD209" s="3"/>
      <c r="AE209" s="3"/>
      <c r="AF209" s="3"/>
      <c r="AG209" s="3"/>
      <c r="AH209" s="3"/>
      <c r="AI209" s="3"/>
      <c r="AJ209" s="3"/>
      <c r="AK209" s="3"/>
      <c r="AL209" s="3"/>
      <c r="AM209" s="3"/>
      <c r="AN209" s="3"/>
      <c r="AO209" s="3"/>
      <c r="AP209" s="3"/>
      <c r="AQ209" s="3"/>
      <c r="AR209" s="3"/>
      <c r="AS209" s="3"/>
      <c r="AT209" s="3"/>
      <c r="AU209" s="3"/>
      <c r="AV209" s="3"/>
      <c r="AW209" s="3"/>
      <c r="AX209" s="3"/>
      <c r="AY209" s="3"/>
      <c r="AZ209" s="3"/>
      <c r="BA209" s="3"/>
      <c r="BB209" s="3"/>
      <c r="BC209" s="3"/>
      <c r="BD209" s="3"/>
      <c r="BE209" s="3"/>
    </row>
    <row r="210" spans="1:57">
      <c r="A210" s="1" t="str">
        <f>'Population Definitions'!$A$6</f>
        <v>10-17_males</v>
      </c>
      <c r="C210" t="s">
        <v>34</v>
      </c>
      <c r="D210" s="3"/>
      <c r="E210" s="3"/>
      <c r="F210" s="4" t="s">
        <v>39</v>
      </c>
      <c r="G210" s="3">
        <v>0</v>
      </c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</row>
    <row r="211" spans="1:57">
      <c r="A211" s="1" t="str">
        <f>'Population Definitions'!$A$7</f>
        <v>10-17_females</v>
      </c>
      <c r="C211" t="s">
        <v>34</v>
      </c>
      <c r="D211" s="3"/>
      <c r="E211" s="3"/>
      <c r="F211" s="4" t="s">
        <v>39</v>
      </c>
      <c r="G211" s="3">
        <v>0</v>
      </c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</row>
    <row r="212" spans="1:57">
      <c r="A212" s="1" t="str">
        <f>'Population Definitions'!$A$8</f>
        <v>18-64_males</v>
      </c>
      <c r="C212" t="s">
        <v>34</v>
      </c>
      <c r="D212" s="3"/>
      <c r="E212" s="3"/>
      <c r="F212" s="4" t="s">
        <v>39</v>
      </c>
      <c r="G212" s="3">
        <v>0</v>
      </c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</row>
    <row r="213" spans="1:57">
      <c r="A213" s="1" t="str">
        <f>'Population Definitions'!$A$9</f>
        <v>18-64_females</v>
      </c>
      <c r="C213" t="s">
        <v>34</v>
      </c>
      <c r="D213" s="3"/>
      <c r="E213" s="3"/>
      <c r="F213" s="4" t="s">
        <v>39</v>
      </c>
      <c r="G213" s="3">
        <v>0</v>
      </c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</row>
    <row r="214" spans="1:57">
      <c r="A214" s="1" t="str">
        <f>'Population Definitions'!$A$10</f>
        <v>65+_males</v>
      </c>
      <c r="C214" t="s">
        <v>34</v>
      </c>
      <c r="D214" s="3"/>
      <c r="E214" s="3"/>
      <c r="F214" s="4" t="s">
        <v>39</v>
      </c>
      <c r="G214" s="3">
        <v>0</v>
      </c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</row>
    <row r="215" spans="1:57">
      <c r="A215" s="1" t="str">
        <f>'Population Definitions'!$A$11</f>
        <v>65+_females</v>
      </c>
      <c r="C215" t="s">
        <v>34</v>
      </c>
      <c r="D215" s="3"/>
      <c r="E215" s="3"/>
      <c r="F215" s="4" t="s">
        <v>39</v>
      </c>
      <c r="G215" s="3">
        <v>0</v>
      </c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</row>
    <row r="216" spans="1:57">
      <c r="A216" s="1" t="str">
        <f>'Population Definitions'!$A$12</f>
        <v>Prisoners_males</v>
      </c>
      <c r="C216" t="s">
        <v>34</v>
      </c>
      <c r="D216" s="3"/>
      <c r="E216" s="3"/>
      <c r="F216" s="4" t="s">
        <v>39</v>
      </c>
      <c r="G216" s="3">
        <v>0</v>
      </c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</row>
    <row r="217" spans="1:57">
      <c r="A217" s="1" t="str">
        <f>'Population Definitions'!$A$13</f>
        <v>Prisoners_females</v>
      </c>
      <c r="C217" t="s">
        <v>34</v>
      </c>
      <c r="D217" s="3"/>
      <c r="E217" s="3"/>
      <c r="F217" s="4" t="s">
        <v>39</v>
      </c>
      <c r="G217" s="3">
        <v>0</v>
      </c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</row>
    <row r="218" spans="1:57">
      <c r="A218" s="1" t="str">
        <f>'Population Definitions'!$A$14</f>
        <v>Prisoners_PWID_males</v>
      </c>
      <c r="C218" t="s">
        <v>34</v>
      </c>
      <c r="D218" s="3"/>
      <c r="E218" s="3"/>
      <c r="F218" s="4" t="s">
        <v>39</v>
      </c>
      <c r="G218" s="3">
        <v>0</v>
      </c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</row>
    <row r="219" spans="1:57">
      <c r="A219" s="1" t="str">
        <f>'Population Definitions'!$A$15</f>
        <v>Prisoners_PWID_females</v>
      </c>
      <c r="C219" t="s">
        <v>34</v>
      </c>
      <c r="D219" s="3"/>
      <c r="E219" s="3"/>
      <c r="F219" s="4" t="s">
        <v>39</v>
      </c>
      <c r="G219" s="3">
        <v>0</v>
      </c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</row>
    <row r="220" spans="1:57">
      <c r="A220" s="1" t="s">
        <v>110</v>
      </c>
      <c r="C220" t="s">
        <v>34</v>
      </c>
      <c r="D220" s="3"/>
      <c r="E220" s="3"/>
      <c r="F220" s="4" t="s">
        <v>39</v>
      </c>
      <c r="G220" s="3">
        <v>0</v>
      </c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</row>
    <row r="222" spans="1:57">
      <c r="A222" s="1" t="s">
        <v>123</v>
      </c>
      <c r="B222" s="1" t="s">
        <v>31</v>
      </c>
      <c r="C222" s="1" t="s">
        <v>32</v>
      </c>
      <c r="D222" s="1" t="s">
        <v>33</v>
      </c>
      <c r="E222" s="1" t="s">
        <v>38</v>
      </c>
      <c r="F222" s="1"/>
      <c r="G222" s="1">
        <v>2000</v>
      </c>
      <c r="H222" s="1">
        <v>2001</v>
      </c>
      <c r="I222" s="1">
        <v>2002</v>
      </c>
      <c r="J222" s="1">
        <v>2003</v>
      </c>
      <c r="K222" s="1">
        <v>2004</v>
      </c>
      <c r="L222" s="1">
        <v>2005</v>
      </c>
      <c r="M222" s="1">
        <v>2006</v>
      </c>
      <c r="N222" s="1">
        <v>2007</v>
      </c>
      <c r="O222" s="1">
        <v>2008</v>
      </c>
      <c r="P222" s="1">
        <v>2009</v>
      </c>
      <c r="Q222" s="1">
        <v>2010</v>
      </c>
      <c r="R222" s="1">
        <v>2011</v>
      </c>
      <c r="S222" s="1">
        <v>2012</v>
      </c>
      <c r="T222" s="1">
        <v>2013</v>
      </c>
      <c r="U222" s="1">
        <v>2014</v>
      </c>
      <c r="V222" s="1">
        <v>2015</v>
      </c>
      <c r="W222" s="1">
        <v>2016</v>
      </c>
      <c r="X222" s="1">
        <v>2017</v>
      </c>
      <c r="Y222" s="1">
        <v>2018</v>
      </c>
      <c r="Z222" s="1">
        <v>2019</v>
      </c>
      <c r="AA222" s="1">
        <v>2020</v>
      </c>
      <c r="AB222" s="1">
        <v>2021</v>
      </c>
      <c r="AC222" s="1">
        <v>2022</v>
      </c>
      <c r="AD222" s="1">
        <v>2023</v>
      </c>
      <c r="AE222" s="1">
        <v>2024</v>
      </c>
      <c r="AF222" s="1">
        <v>2025</v>
      </c>
      <c r="AG222" s="1">
        <v>2026</v>
      </c>
      <c r="AH222" s="1">
        <v>2027</v>
      </c>
      <c r="AI222" s="1">
        <v>2028</v>
      </c>
      <c r="AJ222" s="1">
        <v>2029</v>
      </c>
      <c r="AK222" s="1">
        <v>2030</v>
      </c>
      <c r="AL222" s="1">
        <v>2031</v>
      </c>
      <c r="AM222" s="1">
        <v>2032</v>
      </c>
      <c r="AN222" s="1">
        <v>2033</v>
      </c>
      <c r="AO222" s="1">
        <v>2034</v>
      </c>
      <c r="AP222" s="1">
        <v>2035</v>
      </c>
      <c r="AQ222" s="1">
        <v>2036</v>
      </c>
      <c r="AR222" s="1">
        <v>2037</v>
      </c>
      <c r="AS222" s="1">
        <v>2038</v>
      </c>
      <c r="AT222" s="1">
        <v>2039</v>
      </c>
      <c r="AU222" s="1">
        <v>2040</v>
      </c>
      <c r="AV222" s="1">
        <v>2041</v>
      </c>
      <c r="AW222" s="1">
        <v>2042</v>
      </c>
      <c r="AX222" s="1">
        <v>2043</v>
      </c>
      <c r="AY222" s="1">
        <v>2044</v>
      </c>
      <c r="AZ222" s="1">
        <v>2045</v>
      </c>
      <c r="BA222" s="1">
        <v>2046</v>
      </c>
      <c r="BB222" s="1">
        <v>2047</v>
      </c>
      <c r="BC222" s="1">
        <v>2048</v>
      </c>
      <c r="BD222" s="1">
        <v>2049</v>
      </c>
      <c r="BE222" s="1">
        <v>2050</v>
      </c>
    </row>
    <row r="223" spans="1:57">
      <c r="A223" s="1" t="str">
        <f>'Population Definitions'!$A$2</f>
        <v>PWID_males</v>
      </c>
      <c r="C223" t="s">
        <v>34</v>
      </c>
      <c r="D223" s="3"/>
      <c r="E223" s="3"/>
      <c r="F223" s="4" t="s">
        <v>39</v>
      </c>
      <c r="G223" s="3">
        <v>0</v>
      </c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</row>
    <row r="224" spans="1:57">
      <c r="A224" s="1" t="str">
        <f>'Population Definitions'!$A$3</f>
        <v>PWID_females</v>
      </c>
      <c r="C224" t="s">
        <v>34</v>
      </c>
      <c r="D224" s="3"/>
      <c r="E224" s="3"/>
      <c r="F224" s="4" t="s">
        <v>39</v>
      </c>
      <c r="G224" s="3">
        <v>0</v>
      </c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  <c r="BE224" s="3"/>
    </row>
    <row r="225" spans="1:57">
      <c r="A225" s="1" t="str">
        <f>'Population Definitions'!$A$4</f>
        <v>0-9_males</v>
      </c>
      <c r="C225" t="s">
        <v>34</v>
      </c>
      <c r="D225" s="3"/>
      <c r="E225" s="3"/>
      <c r="F225" s="4" t="s">
        <v>39</v>
      </c>
      <c r="G225" s="3">
        <v>0</v>
      </c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/>
      <c r="BD225" s="3"/>
      <c r="BE225" s="3"/>
    </row>
    <row r="226" spans="1:57">
      <c r="A226" s="1" t="str">
        <f>'Population Definitions'!$A$5</f>
        <v>0-9_females</v>
      </c>
      <c r="C226" t="s">
        <v>34</v>
      </c>
      <c r="D226" s="3"/>
      <c r="E226" s="3"/>
      <c r="F226" s="4" t="s">
        <v>39</v>
      </c>
      <c r="G226" s="3">
        <v>0</v>
      </c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</row>
    <row r="227" spans="1:57">
      <c r="A227" s="1" t="str">
        <f>'Population Definitions'!$A$6</f>
        <v>10-17_males</v>
      </c>
      <c r="C227" t="s">
        <v>34</v>
      </c>
      <c r="D227" s="3"/>
      <c r="E227" s="3"/>
      <c r="F227" s="4" t="s">
        <v>39</v>
      </c>
      <c r="G227" s="3">
        <v>0</v>
      </c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</row>
    <row r="228" spans="1:57">
      <c r="A228" s="1" t="str">
        <f>'Population Definitions'!$A$7</f>
        <v>10-17_females</v>
      </c>
      <c r="C228" t="s">
        <v>34</v>
      </c>
      <c r="D228" s="3"/>
      <c r="E228" s="3"/>
      <c r="F228" s="4" t="s">
        <v>39</v>
      </c>
      <c r="G228" s="3">
        <v>0</v>
      </c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</row>
    <row r="229" spans="1:57">
      <c r="A229" s="1" t="str">
        <f>'Population Definitions'!$A$8</f>
        <v>18-64_males</v>
      </c>
      <c r="C229" t="s">
        <v>34</v>
      </c>
      <c r="D229" s="3"/>
      <c r="E229" s="3"/>
      <c r="F229" s="4" t="s">
        <v>39</v>
      </c>
      <c r="G229" s="3">
        <v>0</v>
      </c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</row>
    <row r="230" spans="1:57">
      <c r="A230" s="1" t="str">
        <f>'Population Definitions'!$A$9</f>
        <v>18-64_females</v>
      </c>
      <c r="C230" t="s">
        <v>34</v>
      </c>
      <c r="D230" s="3"/>
      <c r="E230" s="3"/>
      <c r="F230" s="4" t="s">
        <v>39</v>
      </c>
      <c r="G230" s="3">
        <v>0</v>
      </c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</row>
    <row r="231" spans="1:57">
      <c r="A231" s="1" t="str">
        <f>'Population Definitions'!$A$10</f>
        <v>65+_males</v>
      </c>
      <c r="C231" t="s">
        <v>34</v>
      </c>
      <c r="D231" s="3"/>
      <c r="E231" s="3"/>
      <c r="F231" s="4" t="s">
        <v>39</v>
      </c>
      <c r="G231" s="3">
        <v>0</v>
      </c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</row>
    <row r="232" spans="1:57">
      <c r="A232" s="1" t="str">
        <f>'Population Definitions'!$A$11</f>
        <v>65+_females</v>
      </c>
      <c r="C232" t="s">
        <v>34</v>
      </c>
      <c r="D232" s="3"/>
      <c r="E232" s="3"/>
      <c r="F232" s="4" t="s">
        <v>39</v>
      </c>
      <c r="G232" s="3">
        <v>0</v>
      </c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</row>
    <row r="233" spans="1:57">
      <c r="A233" s="1" t="str">
        <f>'Population Definitions'!$A$12</f>
        <v>Prisoners_males</v>
      </c>
      <c r="C233" t="s">
        <v>34</v>
      </c>
      <c r="D233" s="3"/>
      <c r="E233" s="3"/>
      <c r="F233" s="4" t="s">
        <v>39</v>
      </c>
      <c r="G233" s="3">
        <v>0</v>
      </c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</row>
    <row r="234" spans="1:57">
      <c r="A234" s="1" t="str">
        <f>'Population Definitions'!$A$13</f>
        <v>Prisoners_females</v>
      </c>
      <c r="C234" t="s">
        <v>34</v>
      </c>
      <c r="D234" s="3"/>
      <c r="E234" s="3"/>
      <c r="F234" s="4" t="s">
        <v>39</v>
      </c>
      <c r="G234" s="3">
        <v>0</v>
      </c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  <c r="AF234" s="3"/>
      <c r="AG234" s="3"/>
      <c r="AH234" s="3"/>
      <c r="AI234" s="3"/>
      <c r="AJ234" s="3"/>
      <c r="AK234" s="3"/>
      <c r="AL234" s="3"/>
      <c r="AM234" s="3"/>
      <c r="AN234" s="3"/>
      <c r="AO234" s="3"/>
      <c r="AP234" s="3"/>
      <c r="AQ234" s="3"/>
      <c r="AR234" s="3"/>
      <c r="AS234" s="3"/>
      <c r="AT234" s="3"/>
      <c r="AU234" s="3"/>
      <c r="AV234" s="3"/>
      <c r="AW234" s="3"/>
      <c r="AX234" s="3"/>
      <c r="AY234" s="3"/>
      <c r="AZ234" s="3"/>
      <c r="BA234" s="3"/>
      <c r="BB234" s="3"/>
      <c r="BC234" s="3"/>
      <c r="BD234" s="3"/>
      <c r="BE234" s="3"/>
    </row>
    <row r="235" spans="1:57">
      <c r="A235" s="1" t="str">
        <f>'Population Definitions'!$A$14</f>
        <v>Prisoners_PWID_males</v>
      </c>
      <c r="C235" t="s">
        <v>34</v>
      </c>
      <c r="D235" s="3"/>
      <c r="E235" s="3"/>
      <c r="F235" s="4" t="s">
        <v>39</v>
      </c>
      <c r="G235" s="3">
        <v>0</v>
      </c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  <c r="AF235" s="3"/>
      <c r="AG235" s="3"/>
      <c r="AH235" s="3"/>
      <c r="AI235" s="3"/>
      <c r="AJ235" s="3"/>
      <c r="AK235" s="3"/>
      <c r="AL235" s="3"/>
      <c r="AM235" s="3"/>
      <c r="AN235" s="3"/>
      <c r="AO235" s="3"/>
      <c r="AP235" s="3"/>
      <c r="AQ235" s="3"/>
      <c r="AR235" s="3"/>
      <c r="AS235" s="3"/>
      <c r="AT235" s="3"/>
      <c r="AU235" s="3"/>
      <c r="AV235" s="3"/>
      <c r="AW235" s="3"/>
      <c r="AX235" s="3"/>
      <c r="AY235" s="3"/>
      <c r="AZ235" s="3"/>
      <c r="BA235" s="3"/>
      <c r="BB235" s="3"/>
      <c r="BC235" s="3"/>
      <c r="BD235" s="3"/>
      <c r="BE235" s="3"/>
    </row>
    <row r="236" spans="1:57">
      <c r="A236" s="1" t="str">
        <f>'Population Definitions'!$A$15</f>
        <v>Prisoners_PWID_females</v>
      </c>
      <c r="C236" t="s">
        <v>34</v>
      </c>
      <c r="D236" s="3"/>
      <c r="E236" s="3"/>
      <c r="F236" s="4" t="s">
        <v>39</v>
      </c>
      <c r="G236" s="3">
        <v>0</v>
      </c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</row>
    <row r="237" spans="1:57">
      <c r="A237" s="1" t="s">
        <v>110</v>
      </c>
      <c r="C237" t="s">
        <v>34</v>
      </c>
      <c r="D237" s="3"/>
      <c r="E237" s="3"/>
      <c r="F237" s="4" t="s">
        <v>39</v>
      </c>
      <c r="G237" s="3">
        <v>0</v>
      </c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</row>
    <row r="239" spans="1:57">
      <c r="A239" s="1" t="s">
        <v>124</v>
      </c>
      <c r="B239" s="1" t="s">
        <v>31</v>
      </c>
      <c r="C239" s="1" t="s">
        <v>32</v>
      </c>
      <c r="D239" s="1" t="s">
        <v>33</v>
      </c>
      <c r="E239" s="1" t="s">
        <v>38</v>
      </c>
      <c r="F239" s="1"/>
      <c r="G239" s="1">
        <v>2000</v>
      </c>
      <c r="H239" s="1">
        <v>2001</v>
      </c>
      <c r="I239" s="1">
        <v>2002</v>
      </c>
      <c r="J239" s="1">
        <v>2003</v>
      </c>
      <c r="K239" s="1">
        <v>2004</v>
      </c>
      <c r="L239" s="1">
        <v>2005</v>
      </c>
      <c r="M239" s="1">
        <v>2006</v>
      </c>
      <c r="N239" s="1">
        <v>2007</v>
      </c>
      <c r="O239" s="1">
        <v>2008</v>
      </c>
      <c r="P239" s="1">
        <v>2009</v>
      </c>
      <c r="Q239" s="1">
        <v>2010</v>
      </c>
      <c r="R239" s="1">
        <v>2011</v>
      </c>
      <c r="S239" s="1">
        <v>2012</v>
      </c>
      <c r="T239" s="1">
        <v>2013</v>
      </c>
      <c r="U239" s="1">
        <v>2014</v>
      </c>
      <c r="V239" s="1">
        <v>2015</v>
      </c>
      <c r="W239" s="1">
        <v>2016</v>
      </c>
      <c r="X239" s="1">
        <v>2017</v>
      </c>
      <c r="Y239" s="1">
        <v>2018</v>
      </c>
      <c r="Z239" s="1">
        <v>2019</v>
      </c>
      <c r="AA239" s="1">
        <v>2020</v>
      </c>
      <c r="AB239" s="1">
        <v>2021</v>
      </c>
      <c r="AC239" s="1">
        <v>2022</v>
      </c>
      <c r="AD239" s="1">
        <v>2023</v>
      </c>
      <c r="AE239" s="1">
        <v>2024</v>
      </c>
      <c r="AF239" s="1">
        <v>2025</v>
      </c>
      <c r="AG239" s="1">
        <v>2026</v>
      </c>
      <c r="AH239" s="1">
        <v>2027</v>
      </c>
      <c r="AI239" s="1">
        <v>2028</v>
      </c>
      <c r="AJ239" s="1">
        <v>2029</v>
      </c>
      <c r="AK239" s="1">
        <v>2030</v>
      </c>
      <c r="AL239" s="1">
        <v>2031</v>
      </c>
      <c r="AM239" s="1">
        <v>2032</v>
      </c>
      <c r="AN239" s="1">
        <v>2033</v>
      </c>
      <c r="AO239" s="1">
        <v>2034</v>
      </c>
      <c r="AP239" s="1">
        <v>2035</v>
      </c>
      <c r="AQ239" s="1">
        <v>2036</v>
      </c>
      <c r="AR239" s="1">
        <v>2037</v>
      </c>
      <c r="AS239" s="1">
        <v>2038</v>
      </c>
      <c r="AT239" s="1">
        <v>2039</v>
      </c>
      <c r="AU239" s="1">
        <v>2040</v>
      </c>
      <c r="AV239" s="1">
        <v>2041</v>
      </c>
      <c r="AW239" s="1">
        <v>2042</v>
      </c>
      <c r="AX239" s="1">
        <v>2043</v>
      </c>
      <c r="AY239" s="1">
        <v>2044</v>
      </c>
      <c r="AZ239" s="1">
        <v>2045</v>
      </c>
      <c r="BA239" s="1">
        <v>2046</v>
      </c>
      <c r="BB239" s="1">
        <v>2047</v>
      </c>
      <c r="BC239" s="1">
        <v>2048</v>
      </c>
      <c r="BD239" s="1">
        <v>2049</v>
      </c>
      <c r="BE239" s="1">
        <v>2050</v>
      </c>
    </row>
    <row r="240" spans="1:57">
      <c r="A240" s="1" t="str">
        <f>'Population Definitions'!$A$2</f>
        <v>PWID_males</v>
      </c>
      <c r="C240" t="s">
        <v>34</v>
      </c>
      <c r="D240" s="3"/>
      <c r="E240" s="3"/>
      <c r="F240" s="4" t="s">
        <v>39</v>
      </c>
      <c r="G240" s="3">
        <v>0</v>
      </c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/>
      <c r="BA240" s="3"/>
      <c r="BB240" s="3"/>
      <c r="BC240" s="3"/>
      <c r="BD240" s="3"/>
      <c r="BE240" s="3"/>
    </row>
    <row r="241" spans="1:57">
      <c r="A241" s="1" t="str">
        <f>'Population Definitions'!$A$3</f>
        <v>PWID_females</v>
      </c>
      <c r="C241" t="s">
        <v>34</v>
      </c>
      <c r="D241" s="3"/>
      <c r="E241" s="3"/>
      <c r="F241" s="4" t="s">
        <v>39</v>
      </c>
      <c r="G241" s="3">
        <v>0</v>
      </c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/>
      <c r="BA241" s="3"/>
      <c r="BB241" s="3"/>
      <c r="BC241" s="3"/>
      <c r="BD241" s="3"/>
      <c r="BE241" s="3"/>
    </row>
    <row r="242" spans="1:57">
      <c r="A242" s="1" t="str">
        <f>'Population Definitions'!$A$4</f>
        <v>0-9_males</v>
      </c>
      <c r="C242" t="s">
        <v>34</v>
      </c>
      <c r="D242" s="3"/>
      <c r="E242" s="3"/>
      <c r="F242" s="4" t="s">
        <v>39</v>
      </c>
      <c r="G242" s="3">
        <v>0</v>
      </c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</row>
    <row r="243" spans="1:57">
      <c r="A243" s="1" t="str">
        <f>'Population Definitions'!$A$5</f>
        <v>0-9_females</v>
      </c>
      <c r="C243" t="s">
        <v>34</v>
      </c>
      <c r="D243" s="3"/>
      <c r="E243" s="3"/>
      <c r="F243" s="4" t="s">
        <v>39</v>
      </c>
      <c r="G243" s="3">
        <v>0</v>
      </c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</row>
    <row r="244" spans="1:57">
      <c r="A244" s="1" t="str">
        <f>'Population Definitions'!$A$6</f>
        <v>10-17_males</v>
      </c>
      <c r="C244" t="s">
        <v>34</v>
      </c>
      <c r="D244" s="3"/>
      <c r="E244" s="3"/>
      <c r="F244" s="4" t="s">
        <v>39</v>
      </c>
      <c r="G244" s="3">
        <v>0</v>
      </c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</row>
    <row r="245" spans="1:57">
      <c r="A245" s="1" t="str">
        <f>'Population Definitions'!$A$7</f>
        <v>10-17_females</v>
      </c>
      <c r="C245" t="s">
        <v>34</v>
      </c>
      <c r="D245" s="3"/>
      <c r="E245" s="3"/>
      <c r="F245" s="4" t="s">
        <v>39</v>
      </c>
      <c r="G245" s="3">
        <v>0</v>
      </c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</row>
    <row r="246" spans="1:57">
      <c r="A246" s="1" t="str">
        <f>'Population Definitions'!$A$8</f>
        <v>18-64_males</v>
      </c>
      <c r="C246" t="s">
        <v>34</v>
      </c>
      <c r="D246" s="3"/>
      <c r="E246" s="3"/>
      <c r="F246" s="4" t="s">
        <v>39</v>
      </c>
      <c r="G246" s="3">
        <v>0</v>
      </c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</row>
    <row r="247" spans="1:57">
      <c r="A247" s="1" t="str">
        <f>'Population Definitions'!$A$9</f>
        <v>18-64_females</v>
      </c>
      <c r="C247" t="s">
        <v>34</v>
      </c>
      <c r="D247" s="3"/>
      <c r="E247" s="3"/>
      <c r="F247" s="4" t="s">
        <v>39</v>
      </c>
      <c r="G247" s="3">
        <v>0</v>
      </c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</row>
    <row r="248" spans="1:57">
      <c r="A248" s="1" t="str">
        <f>'Population Definitions'!$A$10</f>
        <v>65+_males</v>
      </c>
      <c r="C248" t="s">
        <v>34</v>
      </c>
      <c r="D248" s="3"/>
      <c r="E248" s="3"/>
      <c r="F248" s="4" t="s">
        <v>39</v>
      </c>
      <c r="G248" s="3">
        <v>0</v>
      </c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</row>
    <row r="249" spans="1:57">
      <c r="A249" s="1" t="str">
        <f>'Population Definitions'!$A$11</f>
        <v>65+_females</v>
      </c>
      <c r="C249" t="s">
        <v>34</v>
      </c>
      <c r="D249" s="3"/>
      <c r="E249" s="3"/>
      <c r="F249" s="4" t="s">
        <v>39</v>
      </c>
      <c r="G249" s="3">
        <v>0</v>
      </c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</row>
    <row r="250" spans="1:57">
      <c r="A250" s="1" t="str">
        <f>'Population Definitions'!$A$12</f>
        <v>Prisoners_males</v>
      </c>
      <c r="C250" t="s">
        <v>34</v>
      </c>
      <c r="D250" s="3"/>
      <c r="E250" s="3"/>
      <c r="F250" s="4" t="s">
        <v>39</v>
      </c>
      <c r="G250" s="3">
        <v>0</v>
      </c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</row>
    <row r="251" spans="1:57">
      <c r="A251" s="1" t="str">
        <f>'Population Definitions'!$A$13</f>
        <v>Prisoners_females</v>
      </c>
      <c r="C251" t="s">
        <v>34</v>
      </c>
      <c r="D251" s="3"/>
      <c r="E251" s="3"/>
      <c r="F251" s="4" t="s">
        <v>39</v>
      </c>
      <c r="G251" s="3">
        <v>0</v>
      </c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</row>
    <row r="252" spans="1:57">
      <c r="A252" s="1" t="str">
        <f>'Population Definitions'!$A$14</f>
        <v>Prisoners_PWID_males</v>
      </c>
      <c r="C252" t="s">
        <v>34</v>
      </c>
      <c r="D252" s="3"/>
      <c r="E252" s="3"/>
      <c r="F252" s="4" t="s">
        <v>39</v>
      </c>
      <c r="G252" s="3">
        <v>0</v>
      </c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</row>
    <row r="253" spans="1:57">
      <c r="A253" s="1" t="str">
        <f>'Population Definitions'!$A$15</f>
        <v>Prisoners_PWID_females</v>
      </c>
      <c r="C253" t="s">
        <v>34</v>
      </c>
      <c r="D253" s="3"/>
      <c r="E253" s="3"/>
      <c r="F253" s="4" t="s">
        <v>39</v>
      </c>
      <c r="G253" s="3">
        <v>0</v>
      </c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</row>
    <row r="254" spans="1:57">
      <c r="A254" s="1" t="s">
        <v>110</v>
      </c>
      <c r="C254" t="s">
        <v>34</v>
      </c>
      <c r="D254" s="3"/>
      <c r="E254" s="3"/>
      <c r="F254" s="4" t="s">
        <v>39</v>
      </c>
      <c r="G254" s="3">
        <v>0</v>
      </c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</row>
    <row r="256" spans="1:57">
      <c r="A256" s="1" t="s">
        <v>125</v>
      </c>
      <c r="B256" s="1" t="s">
        <v>31</v>
      </c>
      <c r="C256" s="1" t="s">
        <v>32</v>
      </c>
      <c r="D256" s="1" t="s">
        <v>33</v>
      </c>
      <c r="E256" s="1" t="s">
        <v>38</v>
      </c>
      <c r="F256" s="1"/>
      <c r="G256" s="1">
        <v>2000</v>
      </c>
      <c r="H256" s="1">
        <v>2001</v>
      </c>
      <c r="I256" s="1">
        <v>2002</v>
      </c>
      <c r="J256" s="1">
        <v>2003</v>
      </c>
      <c r="K256" s="1">
        <v>2004</v>
      </c>
      <c r="L256" s="1">
        <v>2005</v>
      </c>
      <c r="M256" s="1">
        <v>2006</v>
      </c>
      <c r="N256" s="1">
        <v>2007</v>
      </c>
      <c r="O256" s="1">
        <v>2008</v>
      </c>
      <c r="P256" s="1">
        <v>2009</v>
      </c>
      <c r="Q256" s="1">
        <v>2010</v>
      </c>
      <c r="R256" s="1">
        <v>2011</v>
      </c>
      <c r="S256" s="1">
        <v>2012</v>
      </c>
      <c r="T256" s="1">
        <v>2013</v>
      </c>
      <c r="U256" s="1">
        <v>2014</v>
      </c>
      <c r="V256" s="1">
        <v>2015</v>
      </c>
      <c r="W256" s="1">
        <v>2016</v>
      </c>
      <c r="X256" s="1">
        <v>2017</v>
      </c>
      <c r="Y256" s="1">
        <v>2018</v>
      </c>
      <c r="Z256" s="1">
        <v>2019</v>
      </c>
      <c r="AA256" s="1">
        <v>2020</v>
      </c>
      <c r="AB256" s="1">
        <v>2021</v>
      </c>
      <c r="AC256" s="1">
        <v>2022</v>
      </c>
      <c r="AD256" s="1">
        <v>2023</v>
      </c>
      <c r="AE256" s="1">
        <v>2024</v>
      </c>
      <c r="AF256" s="1">
        <v>2025</v>
      </c>
      <c r="AG256" s="1">
        <v>2026</v>
      </c>
      <c r="AH256" s="1">
        <v>2027</v>
      </c>
      <c r="AI256" s="1">
        <v>2028</v>
      </c>
      <c r="AJ256" s="1">
        <v>2029</v>
      </c>
      <c r="AK256" s="1">
        <v>2030</v>
      </c>
      <c r="AL256" s="1">
        <v>2031</v>
      </c>
      <c r="AM256" s="1">
        <v>2032</v>
      </c>
      <c r="AN256" s="1">
        <v>2033</v>
      </c>
      <c r="AO256" s="1">
        <v>2034</v>
      </c>
      <c r="AP256" s="1">
        <v>2035</v>
      </c>
      <c r="AQ256" s="1">
        <v>2036</v>
      </c>
      <c r="AR256" s="1">
        <v>2037</v>
      </c>
      <c r="AS256" s="1">
        <v>2038</v>
      </c>
      <c r="AT256" s="1">
        <v>2039</v>
      </c>
      <c r="AU256" s="1">
        <v>2040</v>
      </c>
      <c r="AV256" s="1">
        <v>2041</v>
      </c>
      <c r="AW256" s="1">
        <v>2042</v>
      </c>
      <c r="AX256" s="1">
        <v>2043</v>
      </c>
      <c r="AY256" s="1">
        <v>2044</v>
      </c>
      <c r="AZ256" s="1">
        <v>2045</v>
      </c>
      <c r="BA256" s="1">
        <v>2046</v>
      </c>
      <c r="BB256" s="1">
        <v>2047</v>
      </c>
      <c r="BC256" s="1">
        <v>2048</v>
      </c>
      <c r="BD256" s="1">
        <v>2049</v>
      </c>
      <c r="BE256" s="1">
        <v>2050</v>
      </c>
    </row>
    <row r="257" spans="1:57">
      <c r="A257" s="1" t="str">
        <f>'Population Definitions'!$A$2</f>
        <v>PWID_males</v>
      </c>
      <c r="C257" t="s">
        <v>34</v>
      </c>
      <c r="D257" s="3"/>
      <c r="E257" s="3"/>
      <c r="F257" s="4" t="s">
        <v>39</v>
      </c>
      <c r="G257" s="3">
        <v>0</v>
      </c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/>
      <c r="AZ257" s="3"/>
      <c r="BA257" s="3"/>
      <c r="BB257" s="3"/>
      <c r="BC257" s="3"/>
      <c r="BD257" s="3"/>
      <c r="BE257" s="3"/>
    </row>
    <row r="258" spans="1:57">
      <c r="A258" s="1" t="str">
        <f>'Population Definitions'!$A$3</f>
        <v>PWID_females</v>
      </c>
      <c r="C258" t="s">
        <v>34</v>
      </c>
      <c r="D258" s="3"/>
      <c r="E258" s="3"/>
      <c r="F258" s="4" t="s">
        <v>39</v>
      </c>
      <c r="G258" s="3">
        <v>0</v>
      </c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</row>
    <row r="259" spans="1:57">
      <c r="A259" s="1" t="str">
        <f>'Population Definitions'!$A$4</f>
        <v>0-9_males</v>
      </c>
      <c r="C259" t="s">
        <v>34</v>
      </c>
      <c r="D259" s="3"/>
      <c r="E259" s="3"/>
      <c r="F259" s="4" t="s">
        <v>39</v>
      </c>
      <c r="G259" s="3">
        <v>0</v>
      </c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</row>
    <row r="260" spans="1:57">
      <c r="A260" s="1" t="str">
        <f>'Population Definitions'!$A$5</f>
        <v>0-9_females</v>
      </c>
      <c r="C260" t="s">
        <v>34</v>
      </c>
      <c r="D260" s="3"/>
      <c r="E260" s="3"/>
      <c r="F260" s="4" t="s">
        <v>39</v>
      </c>
      <c r="G260" s="3">
        <v>0</v>
      </c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  <c r="AE260" s="3"/>
      <c r="AF260" s="3"/>
      <c r="AG260" s="3"/>
      <c r="AH260" s="3"/>
      <c r="AI260" s="3"/>
      <c r="AJ260" s="3"/>
      <c r="AK260" s="3"/>
      <c r="AL260" s="3"/>
      <c r="AM260" s="3"/>
      <c r="AN260" s="3"/>
      <c r="AO260" s="3"/>
      <c r="AP260" s="3"/>
      <c r="AQ260" s="3"/>
      <c r="AR260" s="3"/>
      <c r="AS260" s="3"/>
      <c r="AT260" s="3"/>
      <c r="AU260" s="3"/>
      <c r="AV260" s="3"/>
      <c r="AW260" s="3"/>
      <c r="AX260" s="3"/>
      <c r="AY260" s="3"/>
      <c r="AZ260" s="3"/>
      <c r="BA260" s="3"/>
      <c r="BB260" s="3"/>
      <c r="BC260" s="3"/>
      <c r="BD260" s="3"/>
      <c r="BE260" s="3"/>
    </row>
    <row r="261" spans="1:57">
      <c r="A261" s="1" t="str">
        <f>'Population Definitions'!$A$6</f>
        <v>10-17_males</v>
      </c>
      <c r="C261" t="s">
        <v>34</v>
      </c>
      <c r="D261" s="3"/>
      <c r="E261" s="3"/>
      <c r="F261" s="4" t="s">
        <v>39</v>
      </c>
      <c r="G261" s="3">
        <v>0</v>
      </c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  <c r="AE261" s="3"/>
      <c r="AF261" s="3"/>
      <c r="AG261" s="3"/>
      <c r="AH261" s="3"/>
      <c r="AI261" s="3"/>
      <c r="AJ261" s="3"/>
      <c r="AK261" s="3"/>
      <c r="AL261" s="3"/>
      <c r="AM261" s="3"/>
      <c r="AN261" s="3"/>
      <c r="AO261" s="3"/>
      <c r="AP261" s="3"/>
      <c r="AQ261" s="3"/>
      <c r="AR261" s="3"/>
      <c r="AS261" s="3"/>
      <c r="AT261" s="3"/>
      <c r="AU261" s="3"/>
      <c r="AV261" s="3"/>
      <c r="AW261" s="3"/>
      <c r="AX261" s="3"/>
      <c r="AY261" s="3"/>
      <c r="AZ261" s="3"/>
      <c r="BA261" s="3"/>
      <c r="BB261" s="3"/>
      <c r="BC261" s="3"/>
      <c r="BD261" s="3"/>
      <c r="BE261" s="3"/>
    </row>
    <row r="262" spans="1:57">
      <c r="A262" s="1" t="str">
        <f>'Population Definitions'!$A$7</f>
        <v>10-17_females</v>
      </c>
      <c r="C262" t="s">
        <v>34</v>
      </c>
      <c r="D262" s="3"/>
      <c r="E262" s="3"/>
      <c r="F262" s="4" t="s">
        <v>39</v>
      </c>
      <c r="G262" s="3">
        <v>0</v>
      </c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  <c r="BE262" s="3"/>
    </row>
    <row r="263" spans="1:57">
      <c r="A263" s="1" t="str">
        <f>'Population Definitions'!$A$8</f>
        <v>18-64_males</v>
      </c>
      <c r="C263" t="s">
        <v>34</v>
      </c>
      <c r="D263" s="3"/>
      <c r="E263" s="3"/>
      <c r="F263" s="4" t="s">
        <v>39</v>
      </c>
      <c r="G263" s="3">
        <v>0</v>
      </c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  <c r="BD263" s="3"/>
      <c r="BE263" s="3"/>
    </row>
    <row r="264" spans="1:57">
      <c r="A264" s="1" t="str">
        <f>'Population Definitions'!$A$9</f>
        <v>18-64_females</v>
      </c>
      <c r="C264" t="s">
        <v>34</v>
      </c>
      <c r="D264" s="3"/>
      <c r="E264" s="3"/>
      <c r="F264" s="4" t="s">
        <v>39</v>
      </c>
      <c r="G264" s="3">
        <v>0</v>
      </c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/>
      <c r="BD264" s="3"/>
      <c r="BE264" s="3"/>
    </row>
    <row r="265" spans="1:57">
      <c r="A265" s="1" t="str">
        <f>'Population Definitions'!$A$10</f>
        <v>65+_males</v>
      </c>
      <c r="C265" t="s">
        <v>34</v>
      </c>
      <c r="D265" s="3"/>
      <c r="E265" s="3"/>
      <c r="F265" s="4" t="s">
        <v>39</v>
      </c>
      <c r="G265" s="3">
        <v>0</v>
      </c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  <c r="BD265" s="3"/>
      <c r="BE265" s="3"/>
    </row>
    <row r="266" spans="1:57">
      <c r="A266" s="1" t="str">
        <f>'Population Definitions'!$A$11</f>
        <v>65+_females</v>
      </c>
      <c r="C266" t="s">
        <v>34</v>
      </c>
      <c r="D266" s="3"/>
      <c r="E266" s="3"/>
      <c r="F266" s="4" t="s">
        <v>39</v>
      </c>
      <c r="G266" s="3">
        <v>0</v>
      </c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  <c r="BD266" s="3"/>
      <c r="BE266" s="3"/>
    </row>
    <row r="267" spans="1:57">
      <c r="A267" s="1" t="str">
        <f>'Population Definitions'!$A$12</f>
        <v>Prisoners_males</v>
      </c>
      <c r="C267" t="s">
        <v>34</v>
      </c>
      <c r="D267" s="3"/>
      <c r="E267" s="3"/>
      <c r="F267" s="4" t="s">
        <v>39</v>
      </c>
      <c r="G267" s="3">
        <v>0</v>
      </c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3"/>
      <c r="BE267" s="3"/>
    </row>
    <row r="268" spans="1:57">
      <c r="A268" s="1" t="str">
        <f>'Population Definitions'!$A$13</f>
        <v>Prisoners_females</v>
      </c>
      <c r="C268" t="s">
        <v>34</v>
      </c>
      <c r="D268" s="3"/>
      <c r="E268" s="3"/>
      <c r="F268" s="4" t="s">
        <v>39</v>
      </c>
      <c r="G268" s="3">
        <v>0</v>
      </c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  <c r="BD268" s="3"/>
      <c r="BE268" s="3"/>
    </row>
    <row r="269" spans="1:57">
      <c r="A269" s="1" t="str">
        <f>'Population Definitions'!$A$14</f>
        <v>Prisoners_PWID_males</v>
      </c>
      <c r="C269" t="s">
        <v>34</v>
      </c>
      <c r="D269" s="3"/>
      <c r="E269" s="3"/>
      <c r="F269" s="4" t="s">
        <v>39</v>
      </c>
      <c r="G269" s="3">
        <v>0</v>
      </c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/>
      <c r="BD269" s="3"/>
      <c r="BE269" s="3"/>
    </row>
    <row r="270" spans="1:57">
      <c r="A270" s="1" t="str">
        <f>'Population Definitions'!$A$15</f>
        <v>Prisoners_PWID_females</v>
      </c>
      <c r="C270" t="s">
        <v>34</v>
      </c>
      <c r="D270" s="3"/>
      <c r="E270" s="3"/>
      <c r="F270" s="4" t="s">
        <v>39</v>
      </c>
      <c r="G270" s="3">
        <v>0</v>
      </c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  <c r="BD270" s="3"/>
      <c r="BE270" s="3"/>
    </row>
    <row r="271" spans="1:57">
      <c r="A271" s="1" t="s">
        <v>110</v>
      </c>
      <c r="C271" t="s">
        <v>34</v>
      </c>
      <c r="D271" s="3"/>
      <c r="E271" s="3"/>
      <c r="F271" s="4" t="s">
        <v>39</v>
      </c>
      <c r="G271" s="3">
        <v>2365.6</v>
      </c>
      <c r="H271" s="3"/>
      <c r="I271" s="3"/>
      <c r="J271" s="3"/>
      <c r="K271" s="3"/>
      <c r="L271" s="3"/>
      <c r="M271" s="3"/>
      <c r="N271" s="3"/>
      <c r="O271" s="3"/>
      <c r="P271" s="3"/>
      <c r="Q271" s="3">
        <v>2365.6</v>
      </c>
      <c r="R271" s="3"/>
      <c r="S271" s="3"/>
      <c r="T271" s="3"/>
      <c r="U271" s="3"/>
      <c r="V271" s="3"/>
      <c r="W271" s="3"/>
      <c r="X271" s="3"/>
      <c r="Y271" s="3"/>
      <c r="Z271" s="3">
        <v>2723.7</v>
      </c>
      <c r="AA271" s="3">
        <v>2760.2</v>
      </c>
      <c r="AB271" s="3">
        <v>2804.7</v>
      </c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  <c r="AZ271" s="3"/>
      <c r="BA271" s="3"/>
      <c r="BB271" s="3"/>
      <c r="BC271" s="3"/>
      <c r="BD271" s="3"/>
      <c r="BE271" s="3"/>
    </row>
    <row r="273" spans="1:57">
      <c r="A273" s="1" t="s">
        <v>126</v>
      </c>
      <c r="B273" s="1" t="s">
        <v>31</v>
      </c>
      <c r="C273" s="1" t="s">
        <v>32</v>
      </c>
      <c r="D273" s="1" t="s">
        <v>33</v>
      </c>
      <c r="E273" s="1" t="s">
        <v>38</v>
      </c>
      <c r="F273" s="1"/>
      <c r="G273" s="1">
        <v>2000</v>
      </c>
      <c r="H273" s="1">
        <v>2001</v>
      </c>
      <c r="I273" s="1">
        <v>2002</v>
      </c>
      <c r="J273" s="1">
        <v>2003</v>
      </c>
      <c r="K273" s="1">
        <v>2004</v>
      </c>
      <c r="L273" s="1">
        <v>2005</v>
      </c>
      <c r="M273" s="1">
        <v>2006</v>
      </c>
      <c r="N273" s="1">
        <v>2007</v>
      </c>
      <c r="O273" s="1">
        <v>2008</v>
      </c>
      <c r="P273" s="1">
        <v>2009</v>
      </c>
      <c r="Q273" s="1">
        <v>2010</v>
      </c>
      <c r="R273" s="1">
        <v>2011</v>
      </c>
      <c r="S273" s="1">
        <v>2012</v>
      </c>
      <c r="T273" s="1">
        <v>2013</v>
      </c>
      <c r="U273" s="1">
        <v>2014</v>
      </c>
      <c r="V273" s="1">
        <v>2015</v>
      </c>
      <c r="W273" s="1">
        <v>2016</v>
      </c>
      <c r="X273" s="1">
        <v>2017</v>
      </c>
      <c r="Y273" s="1">
        <v>2018</v>
      </c>
      <c r="Z273" s="1">
        <v>2019</v>
      </c>
      <c r="AA273" s="1">
        <v>2020</v>
      </c>
      <c r="AB273" s="1">
        <v>2021</v>
      </c>
      <c r="AC273" s="1">
        <v>2022</v>
      </c>
      <c r="AD273" s="1">
        <v>2023</v>
      </c>
      <c r="AE273" s="1">
        <v>2024</v>
      </c>
      <c r="AF273" s="1">
        <v>2025</v>
      </c>
      <c r="AG273" s="1">
        <v>2026</v>
      </c>
      <c r="AH273" s="1">
        <v>2027</v>
      </c>
      <c r="AI273" s="1">
        <v>2028</v>
      </c>
      <c r="AJ273" s="1">
        <v>2029</v>
      </c>
      <c r="AK273" s="1">
        <v>2030</v>
      </c>
      <c r="AL273" s="1">
        <v>2031</v>
      </c>
      <c r="AM273" s="1">
        <v>2032</v>
      </c>
      <c r="AN273" s="1">
        <v>2033</v>
      </c>
      <c r="AO273" s="1">
        <v>2034</v>
      </c>
      <c r="AP273" s="1">
        <v>2035</v>
      </c>
      <c r="AQ273" s="1">
        <v>2036</v>
      </c>
      <c r="AR273" s="1">
        <v>2037</v>
      </c>
      <c r="AS273" s="1">
        <v>2038</v>
      </c>
      <c r="AT273" s="1">
        <v>2039</v>
      </c>
      <c r="AU273" s="1">
        <v>2040</v>
      </c>
      <c r="AV273" s="1">
        <v>2041</v>
      </c>
      <c r="AW273" s="1">
        <v>2042</v>
      </c>
      <c r="AX273" s="1">
        <v>2043</v>
      </c>
      <c r="AY273" s="1">
        <v>2044</v>
      </c>
      <c r="AZ273" s="1">
        <v>2045</v>
      </c>
      <c r="BA273" s="1">
        <v>2046</v>
      </c>
      <c r="BB273" s="1">
        <v>2047</v>
      </c>
      <c r="BC273" s="1">
        <v>2048</v>
      </c>
      <c r="BD273" s="1">
        <v>2049</v>
      </c>
      <c r="BE273" s="1">
        <v>2050</v>
      </c>
    </row>
    <row r="274" spans="1:57">
      <c r="A274" s="1" t="str">
        <f>'Population Definitions'!$A$2</f>
        <v>PWID_males</v>
      </c>
      <c r="C274" t="s">
        <v>34</v>
      </c>
      <c r="D274" s="3"/>
      <c r="E274" s="3"/>
      <c r="F274" s="4" t="s">
        <v>39</v>
      </c>
      <c r="G274" s="3">
        <v>0</v>
      </c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  <c r="AZ274" s="3"/>
      <c r="BA274" s="3"/>
      <c r="BB274" s="3"/>
      <c r="BC274" s="3"/>
      <c r="BD274" s="3"/>
      <c r="BE274" s="3"/>
    </row>
    <row r="275" spans="1:57">
      <c r="A275" s="1" t="str">
        <f>'Population Definitions'!$A$3</f>
        <v>PWID_females</v>
      </c>
      <c r="C275" t="s">
        <v>34</v>
      </c>
      <c r="D275" s="3"/>
      <c r="E275" s="3"/>
      <c r="F275" s="4" t="s">
        <v>39</v>
      </c>
      <c r="G275" s="3">
        <v>0</v>
      </c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  <c r="AZ275" s="3"/>
      <c r="BA275" s="3"/>
      <c r="BB275" s="3"/>
      <c r="BC275" s="3"/>
      <c r="BD275" s="3"/>
      <c r="BE275" s="3"/>
    </row>
    <row r="276" spans="1:57">
      <c r="A276" s="1" t="str">
        <f>'Population Definitions'!$A$4</f>
        <v>0-9_males</v>
      </c>
      <c r="C276" t="s">
        <v>34</v>
      </c>
      <c r="D276" s="3"/>
      <c r="E276" s="3"/>
      <c r="F276" s="4" t="s">
        <v>39</v>
      </c>
      <c r="G276" s="3">
        <v>0</v>
      </c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  <c r="AZ276" s="3"/>
      <c r="BA276" s="3"/>
      <c r="BB276" s="3"/>
      <c r="BC276" s="3"/>
      <c r="BD276" s="3"/>
      <c r="BE276" s="3"/>
    </row>
    <row r="277" spans="1:57">
      <c r="A277" s="1" t="str">
        <f>'Population Definitions'!$A$5</f>
        <v>0-9_females</v>
      </c>
      <c r="C277" t="s">
        <v>34</v>
      </c>
      <c r="D277" s="3"/>
      <c r="E277" s="3"/>
      <c r="F277" s="4" t="s">
        <v>39</v>
      </c>
      <c r="G277" s="3">
        <v>0</v>
      </c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/>
      <c r="AZ277" s="3"/>
      <c r="BA277" s="3"/>
      <c r="BB277" s="3"/>
      <c r="BC277" s="3"/>
      <c r="BD277" s="3"/>
      <c r="BE277" s="3"/>
    </row>
    <row r="278" spans="1:57">
      <c r="A278" s="1" t="str">
        <f>'Population Definitions'!$A$6</f>
        <v>10-17_males</v>
      </c>
      <c r="C278" t="s">
        <v>34</v>
      </c>
      <c r="D278" s="3"/>
      <c r="E278" s="3"/>
      <c r="F278" s="4" t="s">
        <v>39</v>
      </c>
      <c r="G278" s="3">
        <v>0</v>
      </c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  <c r="AZ278" s="3"/>
      <c r="BA278" s="3"/>
      <c r="BB278" s="3"/>
      <c r="BC278" s="3"/>
      <c r="BD278" s="3"/>
      <c r="BE278" s="3"/>
    </row>
    <row r="279" spans="1:57">
      <c r="A279" s="1" t="str">
        <f>'Population Definitions'!$A$7</f>
        <v>10-17_females</v>
      </c>
      <c r="C279" t="s">
        <v>34</v>
      </c>
      <c r="D279" s="3"/>
      <c r="E279" s="3"/>
      <c r="F279" s="4" t="s">
        <v>39</v>
      </c>
      <c r="G279" s="3">
        <v>0</v>
      </c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  <c r="AZ279" s="3"/>
      <c r="BA279" s="3"/>
      <c r="BB279" s="3"/>
      <c r="BC279" s="3"/>
      <c r="BD279" s="3"/>
      <c r="BE279" s="3"/>
    </row>
    <row r="280" spans="1:57">
      <c r="A280" s="1" t="str">
        <f>'Population Definitions'!$A$8</f>
        <v>18-64_males</v>
      </c>
      <c r="C280" t="s">
        <v>34</v>
      </c>
      <c r="D280" s="3"/>
      <c r="E280" s="3"/>
      <c r="F280" s="4" t="s">
        <v>39</v>
      </c>
      <c r="G280" s="3">
        <v>0</v>
      </c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  <c r="AZ280" s="3"/>
      <c r="BA280" s="3"/>
      <c r="BB280" s="3"/>
      <c r="BC280" s="3"/>
      <c r="BD280" s="3"/>
      <c r="BE280" s="3"/>
    </row>
    <row r="281" spans="1:57">
      <c r="A281" s="1" t="str">
        <f>'Population Definitions'!$A$9</f>
        <v>18-64_females</v>
      </c>
      <c r="C281" t="s">
        <v>34</v>
      </c>
      <c r="D281" s="3"/>
      <c r="E281" s="3"/>
      <c r="F281" s="4" t="s">
        <v>39</v>
      </c>
      <c r="G281" s="3">
        <v>0</v>
      </c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/>
      <c r="AZ281" s="3"/>
      <c r="BA281" s="3"/>
      <c r="BB281" s="3"/>
      <c r="BC281" s="3"/>
      <c r="BD281" s="3"/>
      <c r="BE281" s="3"/>
    </row>
    <row r="282" spans="1:57">
      <c r="A282" s="1" t="str">
        <f>'Population Definitions'!$A$10</f>
        <v>65+_males</v>
      </c>
      <c r="C282" t="s">
        <v>34</v>
      </c>
      <c r="D282" s="3"/>
      <c r="E282" s="3"/>
      <c r="F282" s="4" t="s">
        <v>39</v>
      </c>
      <c r="G282" s="3">
        <v>0</v>
      </c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/>
      <c r="AZ282" s="3"/>
      <c r="BA282" s="3"/>
      <c r="BB282" s="3"/>
      <c r="BC282" s="3"/>
      <c r="BD282" s="3"/>
      <c r="BE282" s="3"/>
    </row>
    <row r="283" spans="1:57">
      <c r="A283" s="1" t="str">
        <f>'Population Definitions'!$A$11</f>
        <v>65+_females</v>
      </c>
      <c r="C283" t="s">
        <v>34</v>
      </c>
      <c r="D283" s="3"/>
      <c r="E283" s="3"/>
      <c r="F283" s="4" t="s">
        <v>39</v>
      </c>
      <c r="G283" s="3">
        <v>0</v>
      </c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  <c r="AZ283" s="3"/>
      <c r="BA283" s="3"/>
      <c r="BB283" s="3"/>
      <c r="BC283" s="3"/>
      <c r="BD283" s="3"/>
      <c r="BE283" s="3"/>
    </row>
    <row r="284" spans="1:57">
      <c r="A284" s="1" t="str">
        <f>'Population Definitions'!$A$12</f>
        <v>Prisoners_males</v>
      </c>
      <c r="C284" t="s">
        <v>34</v>
      </c>
      <c r="D284" s="3"/>
      <c r="E284" s="3"/>
      <c r="F284" s="4" t="s">
        <v>39</v>
      </c>
      <c r="G284" s="3">
        <v>0</v>
      </c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/>
      <c r="AZ284" s="3"/>
      <c r="BA284" s="3"/>
      <c r="BB284" s="3"/>
      <c r="BC284" s="3"/>
      <c r="BD284" s="3"/>
      <c r="BE284" s="3"/>
    </row>
    <row r="285" spans="1:57">
      <c r="A285" s="1" t="str">
        <f>'Population Definitions'!$A$13</f>
        <v>Prisoners_females</v>
      </c>
      <c r="C285" t="s">
        <v>34</v>
      </c>
      <c r="D285" s="3"/>
      <c r="E285" s="3"/>
      <c r="F285" s="4" t="s">
        <v>39</v>
      </c>
      <c r="G285" s="3">
        <v>0</v>
      </c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/>
      <c r="AZ285" s="3"/>
      <c r="BA285" s="3"/>
      <c r="BB285" s="3"/>
      <c r="BC285" s="3"/>
      <c r="BD285" s="3"/>
      <c r="BE285" s="3"/>
    </row>
    <row r="286" spans="1:57">
      <c r="A286" s="1" t="str">
        <f>'Population Definitions'!$A$14</f>
        <v>Prisoners_PWID_males</v>
      </c>
      <c r="C286" t="s">
        <v>34</v>
      </c>
      <c r="D286" s="3"/>
      <c r="E286" s="3"/>
      <c r="F286" s="4" t="s">
        <v>39</v>
      </c>
      <c r="G286" s="3">
        <v>0</v>
      </c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  <c r="AE286" s="3"/>
      <c r="AF286" s="3"/>
      <c r="AG286" s="3"/>
      <c r="AH286" s="3"/>
      <c r="AI286" s="3"/>
      <c r="AJ286" s="3"/>
      <c r="AK286" s="3"/>
      <c r="AL286" s="3"/>
      <c r="AM286" s="3"/>
      <c r="AN286" s="3"/>
      <c r="AO286" s="3"/>
      <c r="AP286" s="3"/>
      <c r="AQ286" s="3"/>
      <c r="AR286" s="3"/>
      <c r="AS286" s="3"/>
      <c r="AT286" s="3"/>
      <c r="AU286" s="3"/>
      <c r="AV286" s="3"/>
      <c r="AW286" s="3"/>
      <c r="AX286" s="3"/>
      <c r="AY286" s="3"/>
      <c r="AZ286" s="3"/>
      <c r="BA286" s="3"/>
      <c r="BB286" s="3"/>
      <c r="BC286" s="3"/>
      <c r="BD286" s="3"/>
      <c r="BE286" s="3"/>
    </row>
    <row r="287" spans="1:57">
      <c r="A287" s="1" t="str">
        <f>'Population Definitions'!$A$15</f>
        <v>Prisoners_PWID_females</v>
      </c>
      <c r="C287" t="s">
        <v>34</v>
      </c>
      <c r="D287" s="3"/>
      <c r="E287" s="3"/>
      <c r="F287" s="4" t="s">
        <v>39</v>
      </c>
      <c r="G287" s="3">
        <v>0</v>
      </c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/>
      <c r="AE287" s="3"/>
      <c r="AF287" s="3"/>
      <c r="AG287" s="3"/>
      <c r="AH287" s="3"/>
      <c r="AI287" s="3"/>
      <c r="AJ287" s="3"/>
      <c r="AK287" s="3"/>
      <c r="AL287" s="3"/>
      <c r="AM287" s="3"/>
      <c r="AN287" s="3"/>
      <c r="AO287" s="3"/>
      <c r="AP287" s="3"/>
      <c r="AQ287" s="3"/>
      <c r="AR287" s="3"/>
      <c r="AS287" s="3"/>
      <c r="AT287" s="3"/>
      <c r="AU287" s="3"/>
      <c r="AV287" s="3"/>
      <c r="AW287" s="3"/>
      <c r="AX287" s="3"/>
      <c r="AY287" s="3"/>
      <c r="AZ287" s="3"/>
      <c r="BA287" s="3"/>
      <c r="BB287" s="3"/>
      <c r="BC287" s="3"/>
      <c r="BD287" s="3"/>
      <c r="BE287" s="3"/>
    </row>
    <row r="288" spans="1:57">
      <c r="A288" s="1" t="s">
        <v>110</v>
      </c>
      <c r="C288" t="s">
        <v>34</v>
      </c>
      <c r="D288" s="3"/>
      <c r="E288" s="3"/>
      <c r="F288" s="4" t="s">
        <v>39</v>
      </c>
      <c r="G288" s="3">
        <v>0</v>
      </c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  <c r="AI288" s="3"/>
      <c r="AJ288" s="3"/>
      <c r="AK288" s="3"/>
      <c r="AL288" s="3"/>
      <c r="AM288" s="3"/>
      <c r="AN288" s="3"/>
      <c r="AO288" s="3"/>
      <c r="AP288" s="3"/>
      <c r="AQ288" s="3"/>
      <c r="AR288" s="3"/>
      <c r="AS288" s="3"/>
      <c r="AT288" s="3"/>
      <c r="AU288" s="3"/>
      <c r="AV288" s="3"/>
      <c r="AW288" s="3"/>
      <c r="AX288" s="3"/>
      <c r="AY288" s="3"/>
      <c r="AZ288" s="3"/>
      <c r="BA288" s="3"/>
      <c r="BB288" s="3"/>
      <c r="BC288" s="3"/>
      <c r="BD288" s="3"/>
      <c r="BE288" s="3"/>
    </row>
  </sheetData>
  <conditionalFormatting sqref="E100">
    <cfRule type="expression" dxfId="0" priority="147">
      <formula>COUNTIF(G100:BE100,"&lt;&gt;" &amp; "")&gt;0</formula>
    </cfRule>
    <cfRule type="expression" dxfId="1" priority="148">
      <formula>AND(COUNTIF(G100:BE100,"&lt;&gt;" &amp; "")&gt;0,NOT(ISBLANK(E100)))</formula>
    </cfRule>
  </conditionalFormatting>
  <conditionalFormatting sqref="E101">
    <cfRule type="expression" dxfId="0" priority="149">
      <formula>COUNTIF(G101:BE101,"&lt;&gt;" &amp; "")&gt;0</formula>
    </cfRule>
    <cfRule type="expression" dxfId="1" priority="150">
      <formula>AND(COUNTIF(G101:BE101,"&lt;&gt;" &amp; "")&gt;0,NOT(ISBLANK(E101)))</formula>
    </cfRule>
  </conditionalFormatting>
  <conditionalFormatting sqref="E104">
    <cfRule type="expression" dxfId="0" priority="151">
      <formula>COUNTIF(G104:BE104,"&lt;&gt;" &amp; "")&gt;0</formula>
    </cfRule>
    <cfRule type="expression" dxfId="1" priority="152">
      <formula>AND(COUNTIF(G104:BE104,"&lt;&gt;" &amp; "")&gt;0,NOT(ISBLANK(E104)))</formula>
    </cfRule>
  </conditionalFormatting>
  <conditionalFormatting sqref="E105">
    <cfRule type="expression" dxfId="0" priority="153">
      <formula>COUNTIF(G105:BE105,"&lt;&gt;" &amp; "")&gt;0</formula>
    </cfRule>
    <cfRule type="expression" dxfId="1" priority="154">
      <formula>AND(COUNTIF(G105:BE105,"&lt;&gt;" &amp; "")&gt;0,NOT(ISBLANK(E105)))</formula>
    </cfRule>
  </conditionalFormatting>
  <conditionalFormatting sqref="E106">
    <cfRule type="expression" dxfId="0" priority="155">
      <formula>COUNTIF(G106:BE106,"&lt;&gt;" &amp; "")&gt;0</formula>
    </cfRule>
    <cfRule type="expression" dxfId="1" priority="156">
      <formula>AND(COUNTIF(G106:BE106,"&lt;&gt;" &amp; "")&gt;0,NOT(ISBLANK(E106)))</formula>
    </cfRule>
  </conditionalFormatting>
  <conditionalFormatting sqref="E107">
    <cfRule type="expression" dxfId="0" priority="157">
      <formula>COUNTIF(G107:BE107,"&lt;&gt;" &amp; "")&gt;0</formula>
    </cfRule>
    <cfRule type="expression" dxfId="1" priority="158">
      <formula>AND(COUNTIF(G107:BE107,"&lt;&gt;" &amp; "")&gt;0,NOT(ISBLANK(E107)))</formula>
    </cfRule>
  </conditionalFormatting>
  <conditionalFormatting sqref="E108">
    <cfRule type="expression" dxfId="0" priority="159">
      <formula>COUNTIF(G108:BE108,"&lt;&gt;" &amp; "")&gt;0</formula>
    </cfRule>
    <cfRule type="expression" dxfId="1" priority="160">
      <formula>AND(COUNTIF(G108:BE108,"&lt;&gt;" &amp; "")&gt;0,NOT(ISBLANK(E108)))</formula>
    </cfRule>
  </conditionalFormatting>
  <conditionalFormatting sqref="E109">
    <cfRule type="expression" dxfId="0" priority="161">
      <formula>COUNTIF(G109:BE109,"&lt;&gt;" &amp; "")&gt;0</formula>
    </cfRule>
    <cfRule type="expression" dxfId="1" priority="162">
      <formula>AND(COUNTIF(G109:BE109,"&lt;&gt;" &amp; "")&gt;0,NOT(ISBLANK(E109)))</formula>
    </cfRule>
  </conditionalFormatting>
  <conditionalFormatting sqref="E110">
    <cfRule type="expression" dxfId="0" priority="163">
      <formula>COUNTIF(G110:BE110,"&lt;&gt;" &amp; "")&gt;0</formula>
    </cfRule>
    <cfRule type="expression" dxfId="1" priority="164">
      <formula>AND(COUNTIF(G110:BE110,"&lt;&gt;" &amp; "")&gt;0,NOT(ISBLANK(E110)))</formula>
    </cfRule>
  </conditionalFormatting>
  <conditionalFormatting sqref="E111">
    <cfRule type="expression" dxfId="0" priority="165">
      <formula>COUNTIF(G111:BE111,"&lt;&gt;" &amp; "")&gt;0</formula>
    </cfRule>
    <cfRule type="expression" dxfId="1" priority="166">
      <formula>AND(COUNTIF(G111:BE111,"&lt;&gt;" &amp; "")&gt;0,NOT(ISBLANK(E111)))</formula>
    </cfRule>
  </conditionalFormatting>
  <conditionalFormatting sqref="E112">
    <cfRule type="expression" dxfId="0" priority="167">
      <formula>COUNTIF(G112:BE112,"&lt;&gt;" &amp; "")&gt;0</formula>
    </cfRule>
    <cfRule type="expression" dxfId="1" priority="168">
      <formula>AND(COUNTIF(G112:BE112,"&lt;&gt;" &amp; "")&gt;0,NOT(ISBLANK(E112)))</formula>
    </cfRule>
  </conditionalFormatting>
  <conditionalFormatting sqref="E113">
    <cfRule type="expression" dxfId="0" priority="169">
      <formula>COUNTIF(G113:BE113,"&lt;&gt;" &amp; "")&gt;0</formula>
    </cfRule>
    <cfRule type="expression" dxfId="1" priority="170">
      <formula>AND(COUNTIF(G113:BE113,"&lt;&gt;" &amp; "")&gt;0,NOT(ISBLANK(E113)))</formula>
    </cfRule>
  </conditionalFormatting>
  <conditionalFormatting sqref="E114">
    <cfRule type="expression" dxfId="0" priority="171">
      <formula>COUNTIF(G114:BE114,"&lt;&gt;" &amp; "")&gt;0</formula>
    </cfRule>
    <cfRule type="expression" dxfId="1" priority="172">
      <formula>AND(COUNTIF(G114:BE114,"&lt;&gt;" &amp; "")&gt;0,NOT(ISBLANK(E114)))</formula>
    </cfRule>
  </conditionalFormatting>
  <conditionalFormatting sqref="E115">
    <cfRule type="expression" dxfId="0" priority="173">
      <formula>COUNTIF(G115:BE115,"&lt;&gt;" &amp; "")&gt;0</formula>
    </cfRule>
    <cfRule type="expression" dxfId="1" priority="174">
      <formula>AND(COUNTIF(G115:BE115,"&lt;&gt;" &amp; "")&gt;0,NOT(ISBLANK(E115)))</formula>
    </cfRule>
  </conditionalFormatting>
  <conditionalFormatting sqref="E116">
    <cfRule type="expression" dxfId="0" priority="175">
      <formula>COUNTIF(G116:BE116,"&lt;&gt;" &amp; "")&gt;0</formula>
    </cfRule>
    <cfRule type="expression" dxfId="1" priority="176">
      <formula>AND(COUNTIF(G116:BE116,"&lt;&gt;" &amp; "")&gt;0,NOT(ISBLANK(E116)))</formula>
    </cfRule>
  </conditionalFormatting>
  <conditionalFormatting sqref="E117">
    <cfRule type="expression" dxfId="0" priority="177">
      <formula>COUNTIF(G117:BE117,"&lt;&gt;" &amp; "")&gt;0</formula>
    </cfRule>
    <cfRule type="expression" dxfId="1" priority="178">
      <formula>AND(COUNTIF(G117:BE117,"&lt;&gt;" &amp; "")&gt;0,NOT(ISBLANK(E117)))</formula>
    </cfRule>
  </conditionalFormatting>
  <conditionalFormatting sqref="E118">
    <cfRule type="expression" dxfId="0" priority="179">
      <formula>COUNTIF(G118:BE118,"&lt;&gt;" &amp; "")&gt;0</formula>
    </cfRule>
    <cfRule type="expression" dxfId="1" priority="180">
      <formula>AND(COUNTIF(G118:BE118,"&lt;&gt;" &amp; "")&gt;0,NOT(ISBLANK(E118)))</formula>
    </cfRule>
  </conditionalFormatting>
  <conditionalFormatting sqref="E121">
    <cfRule type="expression" dxfId="0" priority="181">
      <formula>COUNTIF(G121:BE121,"&lt;&gt;" &amp; "")&gt;0</formula>
    </cfRule>
    <cfRule type="expression" dxfId="1" priority="182">
      <formula>AND(COUNTIF(G121:BE121,"&lt;&gt;" &amp; "")&gt;0,NOT(ISBLANK(E121)))</formula>
    </cfRule>
  </conditionalFormatting>
  <conditionalFormatting sqref="E122">
    <cfRule type="expression" dxfId="0" priority="183">
      <formula>COUNTIF(G122:BE122,"&lt;&gt;" &amp; "")&gt;0</formula>
    </cfRule>
    <cfRule type="expression" dxfId="1" priority="184">
      <formula>AND(COUNTIF(G122:BE122,"&lt;&gt;" &amp; "")&gt;0,NOT(ISBLANK(E122)))</formula>
    </cfRule>
  </conditionalFormatting>
  <conditionalFormatting sqref="E123">
    <cfRule type="expression" dxfId="0" priority="185">
      <formula>COUNTIF(G123:BE123,"&lt;&gt;" &amp; "")&gt;0</formula>
    </cfRule>
    <cfRule type="expression" dxfId="1" priority="186">
      <formula>AND(COUNTIF(G123:BE123,"&lt;&gt;" &amp; "")&gt;0,NOT(ISBLANK(E123)))</formula>
    </cfRule>
  </conditionalFormatting>
  <conditionalFormatting sqref="E124">
    <cfRule type="expression" dxfId="0" priority="187">
      <formula>COUNTIF(G124:BE124,"&lt;&gt;" &amp; "")&gt;0</formula>
    </cfRule>
    <cfRule type="expression" dxfId="1" priority="188">
      <formula>AND(COUNTIF(G124:BE124,"&lt;&gt;" &amp; "")&gt;0,NOT(ISBLANK(E124)))</formula>
    </cfRule>
  </conditionalFormatting>
  <conditionalFormatting sqref="E125">
    <cfRule type="expression" dxfId="0" priority="189">
      <formula>COUNTIF(G125:BE125,"&lt;&gt;" &amp; "")&gt;0</formula>
    </cfRule>
    <cfRule type="expression" dxfId="1" priority="190">
      <formula>AND(COUNTIF(G125:BE125,"&lt;&gt;" &amp; "")&gt;0,NOT(ISBLANK(E125)))</formula>
    </cfRule>
  </conditionalFormatting>
  <conditionalFormatting sqref="E126">
    <cfRule type="expression" dxfId="0" priority="191">
      <formula>COUNTIF(G126:BE126,"&lt;&gt;" &amp; "")&gt;0</formula>
    </cfRule>
    <cfRule type="expression" dxfId="1" priority="192">
      <formula>AND(COUNTIF(G126:BE126,"&lt;&gt;" &amp; "")&gt;0,NOT(ISBLANK(E126)))</formula>
    </cfRule>
  </conditionalFormatting>
  <conditionalFormatting sqref="E127">
    <cfRule type="expression" dxfId="0" priority="193">
      <formula>COUNTIF(G127:BE127,"&lt;&gt;" &amp; "")&gt;0</formula>
    </cfRule>
    <cfRule type="expression" dxfId="1" priority="194">
      <formula>AND(COUNTIF(G127:BE127,"&lt;&gt;" &amp; "")&gt;0,NOT(ISBLANK(E127)))</formula>
    </cfRule>
  </conditionalFormatting>
  <conditionalFormatting sqref="E128">
    <cfRule type="expression" dxfId="0" priority="195">
      <formula>COUNTIF(G128:BE128,"&lt;&gt;" &amp; "")&gt;0</formula>
    </cfRule>
    <cfRule type="expression" dxfId="1" priority="196">
      <formula>AND(COUNTIF(G128:BE128,"&lt;&gt;" &amp; "")&gt;0,NOT(ISBLANK(E128)))</formula>
    </cfRule>
  </conditionalFormatting>
  <conditionalFormatting sqref="E129">
    <cfRule type="expression" dxfId="0" priority="197">
      <formula>COUNTIF(G129:BE129,"&lt;&gt;" &amp; "")&gt;0</formula>
    </cfRule>
    <cfRule type="expression" dxfId="1" priority="198">
      <formula>AND(COUNTIF(G129:BE129,"&lt;&gt;" &amp; "")&gt;0,NOT(ISBLANK(E129)))</formula>
    </cfRule>
  </conditionalFormatting>
  <conditionalFormatting sqref="E130">
    <cfRule type="expression" dxfId="0" priority="199">
      <formula>COUNTIF(G130:BE130,"&lt;&gt;" &amp; "")&gt;0</formula>
    </cfRule>
    <cfRule type="expression" dxfId="1" priority="200">
      <formula>AND(COUNTIF(G130:BE130,"&lt;&gt;" &amp; "")&gt;0,NOT(ISBLANK(E130)))</formula>
    </cfRule>
  </conditionalFormatting>
  <conditionalFormatting sqref="E131">
    <cfRule type="expression" dxfId="0" priority="201">
      <formula>COUNTIF(G131:BE131,"&lt;&gt;" &amp; "")&gt;0</formula>
    </cfRule>
    <cfRule type="expression" dxfId="1" priority="202">
      <formula>AND(COUNTIF(G131:BE131,"&lt;&gt;" &amp; "")&gt;0,NOT(ISBLANK(E131)))</formula>
    </cfRule>
  </conditionalFormatting>
  <conditionalFormatting sqref="E132">
    <cfRule type="expression" dxfId="0" priority="203">
      <formula>COUNTIF(G132:BE132,"&lt;&gt;" &amp; "")&gt;0</formula>
    </cfRule>
    <cfRule type="expression" dxfId="1" priority="204">
      <formula>AND(COUNTIF(G132:BE132,"&lt;&gt;" &amp; "")&gt;0,NOT(ISBLANK(E132)))</formula>
    </cfRule>
  </conditionalFormatting>
  <conditionalFormatting sqref="E133">
    <cfRule type="expression" dxfId="0" priority="205">
      <formula>COUNTIF(G133:BE133,"&lt;&gt;" &amp; "")&gt;0</formula>
    </cfRule>
    <cfRule type="expression" dxfId="1" priority="206">
      <formula>AND(COUNTIF(G133:BE133,"&lt;&gt;" &amp; "")&gt;0,NOT(ISBLANK(E133)))</formula>
    </cfRule>
  </conditionalFormatting>
  <conditionalFormatting sqref="E134">
    <cfRule type="expression" dxfId="0" priority="207">
      <formula>COUNTIF(G134:BE134,"&lt;&gt;" &amp; "")&gt;0</formula>
    </cfRule>
    <cfRule type="expression" dxfId="1" priority="208">
      <formula>AND(COUNTIF(G134:BE134,"&lt;&gt;" &amp; "")&gt;0,NOT(ISBLANK(E134)))</formula>
    </cfRule>
  </conditionalFormatting>
  <conditionalFormatting sqref="E135">
    <cfRule type="expression" dxfId="0" priority="209">
      <formula>COUNTIF(G135:BE135,"&lt;&gt;" &amp; "")&gt;0</formula>
    </cfRule>
    <cfRule type="expression" dxfId="1" priority="210">
      <formula>AND(COUNTIF(G135:BE135,"&lt;&gt;" &amp; "")&gt;0,NOT(ISBLANK(E135)))</formula>
    </cfRule>
  </conditionalFormatting>
  <conditionalFormatting sqref="E138">
    <cfRule type="expression" dxfId="0" priority="211">
      <formula>COUNTIF(G138:BE138,"&lt;&gt;" &amp; "")&gt;0</formula>
    </cfRule>
    <cfRule type="expression" dxfId="1" priority="212">
      <formula>AND(COUNTIF(G138:BE138,"&lt;&gt;" &amp; "")&gt;0,NOT(ISBLANK(E138)))</formula>
    </cfRule>
  </conditionalFormatting>
  <conditionalFormatting sqref="E139">
    <cfRule type="expression" dxfId="0" priority="213">
      <formula>COUNTIF(G139:BE139,"&lt;&gt;" &amp; "")&gt;0</formula>
    </cfRule>
    <cfRule type="expression" dxfId="1" priority="214">
      <formula>AND(COUNTIF(G139:BE139,"&lt;&gt;" &amp; "")&gt;0,NOT(ISBLANK(E139)))</formula>
    </cfRule>
  </conditionalFormatting>
  <conditionalFormatting sqref="E140">
    <cfRule type="expression" dxfId="0" priority="215">
      <formula>COUNTIF(G140:BE140,"&lt;&gt;" &amp; "")&gt;0</formula>
    </cfRule>
    <cfRule type="expression" dxfId="1" priority="216">
      <formula>AND(COUNTIF(G140:BE140,"&lt;&gt;" &amp; "")&gt;0,NOT(ISBLANK(E140)))</formula>
    </cfRule>
  </conditionalFormatting>
  <conditionalFormatting sqref="E141">
    <cfRule type="expression" dxfId="0" priority="217">
      <formula>COUNTIF(G141:BE141,"&lt;&gt;" &amp; "")&gt;0</formula>
    </cfRule>
    <cfRule type="expression" dxfId="1" priority="218">
      <formula>AND(COUNTIF(G141:BE141,"&lt;&gt;" &amp; "")&gt;0,NOT(ISBLANK(E141)))</formula>
    </cfRule>
  </conditionalFormatting>
  <conditionalFormatting sqref="E142">
    <cfRule type="expression" dxfId="0" priority="219">
      <formula>COUNTIF(G142:BE142,"&lt;&gt;" &amp; "")&gt;0</formula>
    </cfRule>
    <cfRule type="expression" dxfId="1" priority="220">
      <formula>AND(COUNTIF(G142:BE142,"&lt;&gt;" &amp; "")&gt;0,NOT(ISBLANK(E142)))</formula>
    </cfRule>
  </conditionalFormatting>
  <conditionalFormatting sqref="E143">
    <cfRule type="expression" dxfId="0" priority="221">
      <formula>COUNTIF(G143:BE143,"&lt;&gt;" &amp; "")&gt;0</formula>
    </cfRule>
    <cfRule type="expression" dxfId="1" priority="222">
      <formula>AND(COUNTIF(G143:BE143,"&lt;&gt;" &amp; "")&gt;0,NOT(ISBLANK(E143)))</formula>
    </cfRule>
  </conditionalFormatting>
  <conditionalFormatting sqref="E144">
    <cfRule type="expression" dxfId="0" priority="223">
      <formula>COUNTIF(G144:BE144,"&lt;&gt;" &amp; "")&gt;0</formula>
    </cfRule>
    <cfRule type="expression" dxfId="1" priority="224">
      <formula>AND(COUNTIF(G144:BE144,"&lt;&gt;" &amp; "")&gt;0,NOT(ISBLANK(E144)))</formula>
    </cfRule>
  </conditionalFormatting>
  <conditionalFormatting sqref="E145">
    <cfRule type="expression" dxfId="0" priority="225">
      <formula>COUNTIF(G145:BE145,"&lt;&gt;" &amp; "")&gt;0</formula>
    </cfRule>
    <cfRule type="expression" dxfId="1" priority="226">
      <formula>AND(COUNTIF(G145:BE145,"&lt;&gt;" &amp; "")&gt;0,NOT(ISBLANK(E145)))</formula>
    </cfRule>
  </conditionalFormatting>
  <conditionalFormatting sqref="E146">
    <cfRule type="expression" dxfId="0" priority="227">
      <formula>COUNTIF(G146:BE146,"&lt;&gt;" &amp; "")&gt;0</formula>
    </cfRule>
    <cfRule type="expression" dxfId="1" priority="228">
      <formula>AND(COUNTIF(G146:BE146,"&lt;&gt;" &amp; "")&gt;0,NOT(ISBLANK(E146)))</formula>
    </cfRule>
  </conditionalFormatting>
  <conditionalFormatting sqref="E147">
    <cfRule type="expression" dxfId="0" priority="229">
      <formula>COUNTIF(G147:BE147,"&lt;&gt;" &amp; "")&gt;0</formula>
    </cfRule>
    <cfRule type="expression" dxfId="1" priority="230">
      <formula>AND(COUNTIF(G147:BE147,"&lt;&gt;" &amp; "")&gt;0,NOT(ISBLANK(E147)))</formula>
    </cfRule>
  </conditionalFormatting>
  <conditionalFormatting sqref="E148">
    <cfRule type="expression" dxfId="0" priority="231">
      <formula>COUNTIF(G148:BE148,"&lt;&gt;" &amp; "")&gt;0</formula>
    </cfRule>
    <cfRule type="expression" dxfId="1" priority="232">
      <formula>AND(COUNTIF(G148:BE148,"&lt;&gt;" &amp; "")&gt;0,NOT(ISBLANK(E148)))</formula>
    </cfRule>
  </conditionalFormatting>
  <conditionalFormatting sqref="E149">
    <cfRule type="expression" dxfId="0" priority="233">
      <formula>COUNTIF(G149:BE149,"&lt;&gt;" &amp; "")&gt;0</formula>
    </cfRule>
    <cfRule type="expression" dxfId="1" priority="234">
      <formula>AND(COUNTIF(G149:BE149,"&lt;&gt;" &amp; "")&gt;0,NOT(ISBLANK(E149)))</formula>
    </cfRule>
  </conditionalFormatting>
  <conditionalFormatting sqref="E150">
    <cfRule type="expression" dxfId="0" priority="235">
      <formula>COUNTIF(G150:BE150,"&lt;&gt;" &amp; "")&gt;0</formula>
    </cfRule>
    <cfRule type="expression" dxfId="1" priority="236">
      <formula>AND(COUNTIF(G150:BE150,"&lt;&gt;" &amp; "")&gt;0,NOT(ISBLANK(E150)))</formula>
    </cfRule>
  </conditionalFormatting>
  <conditionalFormatting sqref="E151">
    <cfRule type="expression" dxfId="0" priority="237">
      <formula>COUNTIF(G151:BE151,"&lt;&gt;" &amp; "")&gt;0</formula>
    </cfRule>
    <cfRule type="expression" dxfId="1" priority="238">
      <formula>AND(COUNTIF(G151:BE151,"&lt;&gt;" &amp; "")&gt;0,NOT(ISBLANK(E151)))</formula>
    </cfRule>
  </conditionalFormatting>
  <conditionalFormatting sqref="E152">
    <cfRule type="expression" dxfId="0" priority="239">
      <formula>COUNTIF(G152:BE152,"&lt;&gt;" &amp; "")&gt;0</formula>
    </cfRule>
    <cfRule type="expression" dxfId="1" priority="240">
      <formula>AND(COUNTIF(G152:BE152,"&lt;&gt;" &amp; "")&gt;0,NOT(ISBLANK(E152)))</formula>
    </cfRule>
  </conditionalFormatting>
  <conditionalFormatting sqref="E155">
    <cfRule type="expression" dxfId="0" priority="241">
      <formula>COUNTIF(G155:BE155,"&lt;&gt;" &amp; "")&gt;0</formula>
    </cfRule>
    <cfRule type="expression" dxfId="1" priority="242">
      <formula>AND(COUNTIF(G155:BE155,"&lt;&gt;" &amp; "")&gt;0,NOT(ISBLANK(E155)))</formula>
    </cfRule>
  </conditionalFormatting>
  <conditionalFormatting sqref="E156">
    <cfRule type="expression" dxfId="0" priority="243">
      <formula>COUNTIF(G156:BE156,"&lt;&gt;" &amp; "")&gt;0</formula>
    </cfRule>
    <cfRule type="expression" dxfId="1" priority="244">
      <formula>AND(COUNTIF(G156:BE156,"&lt;&gt;" &amp; "")&gt;0,NOT(ISBLANK(E156)))</formula>
    </cfRule>
  </conditionalFormatting>
  <conditionalFormatting sqref="E157">
    <cfRule type="expression" dxfId="0" priority="245">
      <formula>COUNTIF(G157:BE157,"&lt;&gt;" &amp; "")&gt;0</formula>
    </cfRule>
    <cfRule type="expression" dxfId="1" priority="246">
      <formula>AND(COUNTIF(G157:BE157,"&lt;&gt;" &amp; "")&gt;0,NOT(ISBLANK(E157)))</formula>
    </cfRule>
  </conditionalFormatting>
  <conditionalFormatting sqref="E158">
    <cfRule type="expression" dxfId="0" priority="247">
      <formula>COUNTIF(G158:BE158,"&lt;&gt;" &amp; "")&gt;0</formula>
    </cfRule>
    <cfRule type="expression" dxfId="1" priority="248">
      <formula>AND(COUNTIF(G158:BE158,"&lt;&gt;" &amp; "")&gt;0,NOT(ISBLANK(E158)))</formula>
    </cfRule>
  </conditionalFormatting>
  <conditionalFormatting sqref="E159">
    <cfRule type="expression" dxfId="0" priority="249">
      <formula>COUNTIF(G159:BE159,"&lt;&gt;" &amp; "")&gt;0</formula>
    </cfRule>
    <cfRule type="expression" dxfId="1" priority="250">
      <formula>AND(COUNTIF(G159:BE159,"&lt;&gt;" &amp; "")&gt;0,NOT(ISBLANK(E159)))</formula>
    </cfRule>
  </conditionalFormatting>
  <conditionalFormatting sqref="E160">
    <cfRule type="expression" dxfId="0" priority="251">
      <formula>COUNTIF(G160:BE160,"&lt;&gt;" &amp; "")&gt;0</formula>
    </cfRule>
    <cfRule type="expression" dxfId="1" priority="252">
      <formula>AND(COUNTIF(G160:BE160,"&lt;&gt;" &amp; "")&gt;0,NOT(ISBLANK(E160)))</formula>
    </cfRule>
  </conditionalFormatting>
  <conditionalFormatting sqref="E161">
    <cfRule type="expression" dxfId="0" priority="253">
      <formula>COUNTIF(G161:BE161,"&lt;&gt;" &amp; "")&gt;0</formula>
    </cfRule>
    <cfRule type="expression" dxfId="1" priority="254">
      <formula>AND(COUNTIF(G161:BE161,"&lt;&gt;" &amp; "")&gt;0,NOT(ISBLANK(E161)))</formula>
    </cfRule>
  </conditionalFormatting>
  <conditionalFormatting sqref="E162">
    <cfRule type="expression" dxfId="0" priority="255">
      <formula>COUNTIF(G162:BE162,"&lt;&gt;" &amp; "")&gt;0</formula>
    </cfRule>
    <cfRule type="expression" dxfId="1" priority="256">
      <formula>AND(COUNTIF(G162:BE162,"&lt;&gt;" &amp; "")&gt;0,NOT(ISBLANK(E162)))</formula>
    </cfRule>
  </conditionalFormatting>
  <conditionalFormatting sqref="E163">
    <cfRule type="expression" dxfId="0" priority="257">
      <formula>COUNTIF(G163:BE163,"&lt;&gt;" &amp; "")&gt;0</formula>
    </cfRule>
    <cfRule type="expression" dxfId="1" priority="258">
      <formula>AND(COUNTIF(G163:BE163,"&lt;&gt;" &amp; "")&gt;0,NOT(ISBLANK(E163)))</formula>
    </cfRule>
  </conditionalFormatting>
  <conditionalFormatting sqref="E164">
    <cfRule type="expression" dxfId="0" priority="259">
      <formula>COUNTIF(G164:BE164,"&lt;&gt;" &amp; "")&gt;0</formula>
    </cfRule>
    <cfRule type="expression" dxfId="1" priority="260">
      <formula>AND(COUNTIF(G164:BE164,"&lt;&gt;" &amp; "")&gt;0,NOT(ISBLANK(E164)))</formula>
    </cfRule>
  </conditionalFormatting>
  <conditionalFormatting sqref="E165">
    <cfRule type="expression" dxfId="0" priority="261">
      <formula>COUNTIF(G165:BE165,"&lt;&gt;" &amp; "")&gt;0</formula>
    </cfRule>
    <cfRule type="expression" dxfId="1" priority="262">
      <formula>AND(COUNTIF(G165:BE165,"&lt;&gt;" &amp; "")&gt;0,NOT(ISBLANK(E165)))</formula>
    </cfRule>
  </conditionalFormatting>
  <conditionalFormatting sqref="E166">
    <cfRule type="expression" dxfId="0" priority="263">
      <formula>COUNTIF(G166:BE166,"&lt;&gt;" &amp; "")&gt;0</formula>
    </cfRule>
    <cfRule type="expression" dxfId="1" priority="264">
      <formula>AND(COUNTIF(G166:BE166,"&lt;&gt;" &amp; "")&gt;0,NOT(ISBLANK(E166)))</formula>
    </cfRule>
  </conditionalFormatting>
  <conditionalFormatting sqref="E167">
    <cfRule type="expression" dxfId="0" priority="265">
      <formula>COUNTIF(G167:BE167,"&lt;&gt;" &amp; "")&gt;0</formula>
    </cfRule>
    <cfRule type="expression" dxfId="1" priority="266">
      <formula>AND(COUNTIF(G167:BE167,"&lt;&gt;" &amp; "")&gt;0,NOT(ISBLANK(E167)))</formula>
    </cfRule>
  </conditionalFormatting>
  <conditionalFormatting sqref="E168">
    <cfRule type="expression" dxfId="0" priority="267">
      <formula>COUNTIF(G168:BE168,"&lt;&gt;" &amp; "")&gt;0</formula>
    </cfRule>
    <cfRule type="expression" dxfId="1" priority="268">
      <formula>AND(COUNTIF(G168:BE168,"&lt;&gt;" &amp; "")&gt;0,NOT(ISBLANK(E168)))</formula>
    </cfRule>
  </conditionalFormatting>
  <conditionalFormatting sqref="E169">
    <cfRule type="expression" dxfId="0" priority="269">
      <formula>COUNTIF(G169:BE169,"&lt;&gt;" &amp; "")&gt;0</formula>
    </cfRule>
    <cfRule type="expression" dxfId="1" priority="270">
      <formula>AND(COUNTIF(G169:BE169,"&lt;&gt;" &amp; "")&gt;0,NOT(ISBLANK(E169)))</formula>
    </cfRule>
  </conditionalFormatting>
  <conditionalFormatting sqref="E172">
    <cfRule type="expression" dxfId="0" priority="271">
      <formula>COUNTIF(G172:BE172,"&lt;&gt;" &amp; "")&gt;0</formula>
    </cfRule>
    <cfRule type="expression" dxfId="1" priority="272">
      <formula>AND(COUNTIF(G172:BE172,"&lt;&gt;" &amp; "")&gt;0,NOT(ISBLANK(E172)))</formula>
    </cfRule>
  </conditionalFormatting>
  <conditionalFormatting sqref="E173">
    <cfRule type="expression" dxfId="0" priority="273">
      <formula>COUNTIF(G173:BE173,"&lt;&gt;" &amp; "")&gt;0</formula>
    </cfRule>
    <cfRule type="expression" dxfId="1" priority="274">
      <formula>AND(COUNTIF(G173:BE173,"&lt;&gt;" &amp; "")&gt;0,NOT(ISBLANK(E173)))</formula>
    </cfRule>
  </conditionalFormatting>
  <conditionalFormatting sqref="E174">
    <cfRule type="expression" dxfId="0" priority="275">
      <formula>COUNTIF(G174:BE174,"&lt;&gt;" &amp; "")&gt;0</formula>
    </cfRule>
    <cfRule type="expression" dxfId="1" priority="276">
      <formula>AND(COUNTIF(G174:BE174,"&lt;&gt;" &amp; "")&gt;0,NOT(ISBLANK(E174)))</formula>
    </cfRule>
  </conditionalFormatting>
  <conditionalFormatting sqref="E175">
    <cfRule type="expression" dxfId="0" priority="277">
      <formula>COUNTIF(G175:BE175,"&lt;&gt;" &amp; "")&gt;0</formula>
    </cfRule>
    <cfRule type="expression" dxfId="1" priority="278">
      <formula>AND(COUNTIF(G175:BE175,"&lt;&gt;" &amp; "")&gt;0,NOT(ISBLANK(E175)))</formula>
    </cfRule>
  </conditionalFormatting>
  <conditionalFormatting sqref="E176">
    <cfRule type="expression" dxfId="0" priority="279">
      <formula>COUNTIF(G176:BE176,"&lt;&gt;" &amp; "")&gt;0</formula>
    </cfRule>
    <cfRule type="expression" dxfId="1" priority="280">
      <formula>AND(COUNTIF(G176:BE176,"&lt;&gt;" &amp; "")&gt;0,NOT(ISBLANK(E176)))</formula>
    </cfRule>
  </conditionalFormatting>
  <conditionalFormatting sqref="E177">
    <cfRule type="expression" dxfId="0" priority="281">
      <formula>COUNTIF(G177:BE177,"&lt;&gt;" &amp; "")&gt;0</formula>
    </cfRule>
    <cfRule type="expression" dxfId="1" priority="282">
      <formula>AND(COUNTIF(G177:BE177,"&lt;&gt;" &amp; "")&gt;0,NOT(ISBLANK(E177)))</formula>
    </cfRule>
  </conditionalFormatting>
  <conditionalFormatting sqref="E178">
    <cfRule type="expression" dxfId="0" priority="283">
      <formula>COUNTIF(G178:BE178,"&lt;&gt;" &amp; "")&gt;0</formula>
    </cfRule>
    <cfRule type="expression" dxfId="1" priority="284">
      <formula>AND(COUNTIF(G178:BE178,"&lt;&gt;" &amp; "")&gt;0,NOT(ISBLANK(E178)))</formula>
    </cfRule>
  </conditionalFormatting>
  <conditionalFormatting sqref="E179">
    <cfRule type="expression" dxfId="0" priority="285">
      <formula>COUNTIF(G179:BE179,"&lt;&gt;" &amp; "")&gt;0</formula>
    </cfRule>
    <cfRule type="expression" dxfId="1" priority="286">
      <formula>AND(COUNTIF(G179:BE179,"&lt;&gt;" &amp; "")&gt;0,NOT(ISBLANK(E179)))</formula>
    </cfRule>
  </conditionalFormatting>
  <conditionalFormatting sqref="E180">
    <cfRule type="expression" dxfId="0" priority="287">
      <formula>COUNTIF(G180:BE180,"&lt;&gt;" &amp; "")&gt;0</formula>
    </cfRule>
    <cfRule type="expression" dxfId="1" priority="288">
      <formula>AND(COUNTIF(G180:BE180,"&lt;&gt;" &amp; "")&gt;0,NOT(ISBLANK(E180)))</formula>
    </cfRule>
  </conditionalFormatting>
  <conditionalFormatting sqref="E181">
    <cfRule type="expression" dxfId="0" priority="289">
      <formula>COUNTIF(G181:BE181,"&lt;&gt;" &amp; "")&gt;0</formula>
    </cfRule>
    <cfRule type="expression" dxfId="1" priority="290">
      <formula>AND(COUNTIF(G181:BE181,"&lt;&gt;" &amp; "")&gt;0,NOT(ISBLANK(E181)))</formula>
    </cfRule>
  </conditionalFormatting>
  <conditionalFormatting sqref="E182">
    <cfRule type="expression" dxfId="0" priority="291">
      <formula>COUNTIF(G182:BE182,"&lt;&gt;" &amp; "")&gt;0</formula>
    </cfRule>
    <cfRule type="expression" dxfId="1" priority="292">
      <formula>AND(COUNTIF(G182:BE182,"&lt;&gt;" &amp; "")&gt;0,NOT(ISBLANK(E182)))</formula>
    </cfRule>
  </conditionalFormatting>
  <conditionalFormatting sqref="E183">
    <cfRule type="expression" dxfId="0" priority="293">
      <formula>COUNTIF(G183:BE183,"&lt;&gt;" &amp; "")&gt;0</formula>
    </cfRule>
    <cfRule type="expression" dxfId="1" priority="294">
      <formula>AND(COUNTIF(G183:BE183,"&lt;&gt;" &amp; "")&gt;0,NOT(ISBLANK(E183)))</formula>
    </cfRule>
  </conditionalFormatting>
  <conditionalFormatting sqref="E184">
    <cfRule type="expression" dxfId="0" priority="295">
      <formula>COUNTIF(G184:BE184,"&lt;&gt;" &amp; "")&gt;0</formula>
    </cfRule>
    <cfRule type="expression" dxfId="1" priority="296">
      <formula>AND(COUNTIF(G184:BE184,"&lt;&gt;" &amp; "")&gt;0,NOT(ISBLANK(E184)))</formula>
    </cfRule>
  </conditionalFormatting>
  <conditionalFormatting sqref="E185">
    <cfRule type="expression" dxfId="0" priority="297">
      <formula>COUNTIF(G185:BE185,"&lt;&gt;" &amp; "")&gt;0</formula>
    </cfRule>
    <cfRule type="expression" dxfId="1" priority="298">
      <formula>AND(COUNTIF(G185:BE185,"&lt;&gt;" &amp; "")&gt;0,NOT(ISBLANK(E185)))</formula>
    </cfRule>
  </conditionalFormatting>
  <conditionalFormatting sqref="E186">
    <cfRule type="expression" dxfId="0" priority="299">
      <formula>COUNTIF(G186:BE186,"&lt;&gt;" &amp; "")&gt;0</formula>
    </cfRule>
    <cfRule type="expression" dxfId="1" priority="300">
      <formula>AND(COUNTIF(G186:BE186,"&lt;&gt;" &amp; "")&gt;0,NOT(ISBLANK(E186)))</formula>
    </cfRule>
  </conditionalFormatting>
  <conditionalFormatting sqref="E189">
    <cfRule type="expression" dxfId="0" priority="301">
      <formula>COUNTIF(G189:BE189,"&lt;&gt;" &amp; "")&gt;0</formula>
    </cfRule>
    <cfRule type="expression" dxfId="1" priority="302">
      <formula>AND(COUNTIF(G189:BE189,"&lt;&gt;" &amp; "")&gt;0,NOT(ISBLANK(E189)))</formula>
    </cfRule>
  </conditionalFormatting>
  <conditionalFormatting sqref="E19">
    <cfRule type="expression" dxfId="0" priority="1">
      <formula>COUNTIF(G19:BE19,"&lt;&gt;" &amp; "")&gt;0</formula>
    </cfRule>
    <cfRule type="expression" dxfId="1" priority="2">
      <formula>AND(COUNTIF(G19:BE19,"&lt;&gt;" &amp; "")&gt;0,NOT(ISBLANK(E19)))</formula>
    </cfRule>
  </conditionalFormatting>
  <conditionalFormatting sqref="E190">
    <cfRule type="expression" dxfId="0" priority="303">
      <formula>COUNTIF(G190:BE190,"&lt;&gt;" &amp; "")&gt;0</formula>
    </cfRule>
    <cfRule type="expression" dxfId="1" priority="304">
      <formula>AND(COUNTIF(G190:BE190,"&lt;&gt;" &amp; "")&gt;0,NOT(ISBLANK(E190)))</formula>
    </cfRule>
  </conditionalFormatting>
  <conditionalFormatting sqref="E191">
    <cfRule type="expression" dxfId="0" priority="305">
      <formula>COUNTIF(G191:BE191,"&lt;&gt;" &amp; "")&gt;0</formula>
    </cfRule>
    <cfRule type="expression" dxfId="1" priority="306">
      <formula>AND(COUNTIF(G191:BE191,"&lt;&gt;" &amp; "")&gt;0,NOT(ISBLANK(E191)))</formula>
    </cfRule>
  </conditionalFormatting>
  <conditionalFormatting sqref="E192">
    <cfRule type="expression" dxfId="0" priority="307">
      <formula>COUNTIF(G192:BE192,"&lt;&gt;" &amp; "")&gt;0</formula>
    </cfRule>
    <cfRule type="expression" dxfId="1" priority="308">
      <formula>AND(COUNTIF(G192:BE192,"&lt;&gt;" &amp; "")&gt;0,NOT(ISBLANK(E192)))</formula>
    </cfRule>
  </conditionalFormatting>
  <conditionalFormatting sqref="E193">
    <cfRule type="expression" dxfId="0" priority="309">
      <formula>COUNTIF(G193:BE193,"&lt;&gt;" &amp; "")&gt;0</formula>
    </cfRule>
    <cfRule type="expression" dxfId="1" priority="310">
      <formula>AND(COUNTIF(G193:BE193,"&lt;&gt;" &amp; "")&gt;0,NOT(ISBLANK(E193)))</formula>
    </cfRule>
  </conditionalFormatting>
  <conditionalFormatting sqref="E194">
    <cfRule type="expression" dxfId="0" priority="311">
      <formula>COUNTIF(G194:BE194,"&lt;&gt;" &amp; "")&gt;0</formula>
    </cfRule>
    <cfRule type="expression" dxfId="1" priority="312">
      <formula>AND(COUNTIF(G194:BE194,"&lt;&gt;" &amp; "")&gt;0,NOT(ISBLANK(E194)))</formula>
    </cfRule>
  </conditionalFormatting>
  <conditionalFormatting sqref="E195">
    <cfRule type="expression" dxfId="0" priority="313">
      <formula>COUNTIF(G195:BE195,"&lt;&gt;" &amp; "")&gt;0</formula>
    </cfRule>
    <cfRule type="expression" dxfId="1" priority="314">
      <formula>AND(COUNTIF(G195:BE195,"&lt;&gt;" &amp; "")&gt;0,NOT(ISBLANK(E195)))</formula>
    </cfRule>
  </conditionalFormatting>
  <conditionalFormatting sqref="E196">
    <cfRule type="expression" dxfId="0" priority="315">
      <formula>COUNTIF(G196:BE196,"&lt;&gt;" &amp; "")&gt;0</formula>
    </cfRule>
    <cfRule type="expression" dxfId="1" priority="316">
      <formula>AND(COUNTIF(G196:BE196,"&lt;&gt;" &amp; "")&gt;0,NOT(ISBLANK(E196)))</formula>
    </cfRule>
  </conditionalFormatting>
  <conditionalFormatting sqref="E197">
    <cfRule type="expression" dxfId="0" priority="317">
      <formula>COUNTIF(G197:BE197,"&lt;&gt;" &amp; "")&gt;0</formula>
    </cfRule>
    <cfRule type="expression" dxfId="1" priority="318">
      <formula>AND(COUNTIF(G197:BE197,"&lt;&gt;" &amp; "")&gt;0,NOT(ISBLANK(E197)))</formula>
    </cfRule>
  </conditionalFormatting>
  <conditionalFormatting sqref="E198">
    <cfRule type="expression" dxfId="0" priority="319">
      <formula>COUNTIF(G198:BE198,"&lt;&gt;" &amp; "")&gt;0</formula>
    </cfRule>
    <cfRule type="expression" dxfId="1" priority="320">
      <formula>AND(COUNTIF(G198:BE198,"&lt;&gt;" &amp; "")&gt;0,NOT(ISBLANK(E198)))</formula>
    </cfRule>
  </conditionalFormatting>
  <conditionalFormatting sqref="E199">
    <cfRule type="expression" dxfId="0" priority="321">
      <formula>COUNTIF(G199:BE199,"&lt;&gt;" &amp; "")&gt;0</formula>
    </cfRule>
    <cfRule type="expression" dxfId="1" priority="322">
      <formula>AND(COUNTIF(G199:BE199,"&lt;&gt;" &amp; "")&gt;0,NOT(ISBLANK(E199)))</formula>
    </cfRule>
  </conditionalFormatting>
  <conditionalFormatting sqref="E20">
    <cfRule type="expression" dxfId="0" priority="3">
      <formula>COUNTIF(G20:BE20,"&lt;&gt;" &amp; "")&gt;0</formula>
    </cfRule>
    <cfRule type="expression" dxfId="1" priority="4">
      <formula>AND(COUNTIF(G20:BE20,"&lt;&gt;" &amp; "")&gt;0,NOT(ISBLANK(E20)))</formula>
    </cfRule>
  </conditionalFormatting>
  <conditionalFormatting sqref="E200">
    <cfRule type="expression" dxfId="0" priority="323">
      <formula>COUNTIF(G200:BE200,"&lt;&gt;" &amp; "")&gt;0</formula>
    </cfRule>
    <cfRule type="expression" dxfId="1" priority="324">
      <formula>AND(COUNTIF(G200:BE200,"&lt;&gt;" &amp; "")&gt;0,NOT(ISBLANK(E200)))</formula>
    </cfRule>
  </conditionalFormatting>
  <conditionalFormatting sqref="E201">
    <cfRule type="expression" dxfId="0" priority="325">
      <formula>COUNTIF(G201:BE201,"&lt;&gt;" &amp; "")&gt;0</formula>
    </cfRule>
    <cfRule type="expression" dxfId="1" priority="326">
      <formula>AND(COUNTIF(G201:BE201,"&lt;&gt;" &amp; "")&gt;0,NOT(ISBLANK(E201)))</formula>
    </cfRule>
  </conditionalFormatting>
  <conditionalFormatting sqref="E202">
    <cfRule type="expression" dxfId="0" priority="327">
      <formula>COUNTIF(G202:BE202,"&lt;&gt;" &amp; "")&gt;0</formula>
    </cfRule>
    <cfRule type="expression" dxfId="1" priority="328">
      <formula>AND(COUNTIF(G202:BE202,"&lt;&gt;" &amp; "")&gt;0,NOT(ISBLANK(E202)))</formula>
    </cfRule>
  </conditionalFormatting>
  <conditionalFormatting sqref="E203">
    <cfRule type="expression" dxfId="0" priority="329">
      <formula>COUNTIF(G203:BE203,"&lt;&gt;" &amp; "")&gt;0</formula>
    </cfRule>
    <cfRule type="expression" dxfId="1" priority="330">
      <formula>AND(COUNTIF(G203:BE203,"&lt;&gt;" &amp; "")&gt;0,NOT(ISBLANK(E203)))</formula>
    </cfRule>
  </conditionalFormatting>
  <conditionalFormatting sqref="E206">
    <cfRule type="expression" dxfId="0" priority="331">
      <formula>COUNTIF(G206:BE206,"&lt;&gt;" &amp; "")&gt;0</formula>
    </cfRule>
    <cfRule type="expression" dxfId="1" priority="332">
      <formula>AND(COUNTIF(G206:BE206,"&lt;&gt;" &amp; "")&gt;0,NOT(ISBLANK(E206)))</formula>
    </cfRule>
  </conditionalFormatting>
  <conditionalFormatting sqref="E207">
    <cfRule type="expression" dxfId="0" priority="333">
      <formula>COUNTIF(G207:BE207,"&lt;&gt;" &amp; "")&gt;0</formula>
    </cfRule>
    <cfRule type="expression" dxfId="1" priority="334">
      <formula>AND(COUNTIF(G207:BE207,"&lt;&gt;" &amp; "")&gt;0,NOT(ISBLANK(E207)))</formula>
    </cfRule>
  </conditionalFormatting>
  <conditionalFormatting sqref="E208">
    <cfRule type="expression" dxfId="0" priority="335">
      <formula>COUNTIF(G208:BE208,"&lt;&gt;" &amp; "")&gt;0</formula>
    </cfRule>
    <cfRule type="expression" dxfId="1" priority="336">
      <formula>AND(COUNTIF(G208:BE208,"&lt;&gt;" &amp; "")&gt;0,NOT(ISBLANK(E208)))</formula>
    </cfRule>
  </conditionalFormatting>
  <conditionalFormatting sqref="E209">
    <cfRule type="expression" dxfId="0" priority="337">
      <formula>COUNTIF(G209:BE209,"&lt;&gt;" &amp; "")&gt;0</formula>
    </cfRule>
    <cfRule type="expression" dxfId="1" priority="338">
      <formula>AND(COUNTIF(G209:BE209,"&lt;&gt;" &amp; "")&gt;0,NOT(ISBLANK(E209)))</formula>
    </cfRule>
  </conditionalFormatting>
  <conditionalFormatting sqref="E21">
    <cfRule type="expression" dxfId="0" priority="5">
      <formula>COUNTIF(G21:BE21,"&lt;&gt;" &amp; "")&gt;0</formula>
    </cfRule>
    <cfRule type="expression" dxfId="1" priority="6">
      <formula>AND(COUNTIF(G21:BE21,"&lt;&gt;" &amp; "")&gt;0,NOT(ISBLANK(E21)))</formula>
    </cfRule>
  </conditionalFormatting>
  <conditionalFormatting sqref="E210">
    <cfRule type="expression" dxfId="0" priority="339">
      <formula>COUNTIF(G210:BE210,"&lt;&gt;" &amp; "")&gt;0</formula>
    </cfRule>
    <cfRule type="expression" dxfId="1" priority="340">
      <formula>AND(COUNTIF(G210:BE210,"&lt;&gt;" &amp; "")&gt;0,NOT(ISBLANK(E210)))</formula>
    </cfRule>
  </conditionalFormatting>
  <conditionalFormatting sqref="E211">
    <cfRule type="expression" dxfId="0" priority="341">
      <formula>COUNTIF(G211:BE211,"&lt;&gt;" &amp; "")&gt;0</formula>
    </cfRule>
    <cfRule type="expression" dxfId="1" priority="342">
      <formula>AND(COUNTIF(G211:BE211,"&lt;&gt;" &amp; "")&gt;0,NOT(ISBLANK(E211)))</formula>
    </cfRule>
  </conditionalFormatting>
  <conditionalFormatting sqref="E212">
    <cfRule type="expression" dxfId="0" priority="343">
      <formula>COUNTIF(G212:BE212,"&lt;&gt;" &amp; "")&gt;0</formula>
    </cfRule>
    <cfRule type="expression" dxfId="1" priority="344">
      <formula>AND(COUNTIF(G212:BE212,"&lt;&gt;" &amp; "")&gt;0,NOT(ISBLANK(E212)))</formula>
    </cfRule>
  </conditionalFormatting>
  <conditionalFormatting sqref="E213">
    <cfRule type="expression" dxfId="0" priority="345">
      <formula>COUNTIF(G213:BE213,"&lt;&gt;" &amp; "")&gt;0</formula>
    </cfRule>
    <cfRule type="expression" dxfId="1" priority="346">
      <formula>AND(COUNTIF(G213:BE213,"&lt;&gt;" &amp; "")&gt;0,NOT(ISBLANK(E213)))</formula>
    </cfRule>
  </conditionalFormatting>
  <conditionalFormatting sqref="E214">
    <cfRule type="expression" dxfId="0" priority="347">
      <formula>COUNTIF(G214:BE214,"&lt;&gt;" &amp; "")&gt;0</formula>
    </cfRule>
    <cfRule type="expression" dxfId="1" priority="348">
      <formula>AND(COUNTIF(G214:BE214,"&lt;&gt;" &amp; "")&gt;0,NOT(ISBLANK(E214)))</formula>
    </cfRule>
  </conditionalFormatting>
  <conditionalFormatting sqref="E215">
    <cfRule type="expression" dxfId="0" priority="349">
      <formula>COUNTIF(G215:BE215,"&lt;&gt;" &amp; "")&gt;0</formula>
    </cfRule>
    <cfRule type="expression" dxfId="1" priority="350">
      <formula>AND(COUNTIF(G215:BE215,"&lt;&gt;" &amp; "")&gt;0,NOT(ISBLANK(E215)))</formula>
    </cfRule>
  </conditionalFormatting>
  <conditionalFormatting sqref="E216">
    <cfRule type="expression" dxfId="0" priority="351">
      <formula>COUNTIF(G216:BE216,"&lt;&gt;" &amp; "")&gt;0</formula>
    </cfRule>
    <cfRule type="expression" dxfId="1" priority="352">
      <formula>AND(COUNTIF(G216:BE216,"&lt;&gt;" &amp; "")&gt;0,NOT(ISBLANK(E216)))</formula>
    </cfRule>
  </conditionalFormatting>
  <conditionalFormatting sqref="E217">
    <cfRule type="expression" dxfId="0" priority="353">
      <formula>COUNTIF(G217:BE217,"&lt;&gt;" &amp; "")&gt;0</formula>
    </cfRule>
    <cfRule type="expression" dxfId="1" priority="354">
      <formula>AND(COUNTIF(G217:BE217,"&lt;&gt;" &amp; "")&gt;0,NOT(ISBLANK(E217)))</formula>
    </cfRule>
  </conditionalFormatting>
  <conditionalFormatting sqref="E218">
    <cfRule type="expression" dxfId="0" priority="355">
      <formula>COUNTIF(G218:BE218,"&lt;&gt;" &amp; "")&gt;0</formula>
    </cfRule>
    <cfRule type="expression" dxfId="1" priority="356">
      <formula>AND(COUNTIF(G218:BE218,"&lt;&gt;" &amp; "")&gt;0,NOT(ISBLANK(E218)))</formula>
    </cfRule>
  </conditionalFormatting>
  <conditionalFormatting sqref="E219">
    <cfRule type="expression" dxfId="0" priority="357">
      <formula>COUNTIF(G219:BE219,"&lt;&gt;" &amp; "")&gt;0</formula>
    </cfRule>
    <cfRule type="expression" dxfId="1" priority="358">
      <formula>AND(COUNTIF(G219:BE219,"&lt;&gt;" &amp; "")&gt;0,NOT(ISBLANK(E219)))</formula>
    </cfRule>
  </conditionalFormatting>
  <conditionalFormatting sqref="E22">
    <cfRule type="expression" dxfId="0" priority="7">
      <formula>COUNTIF(G22:BE22,"&lt;&gt;" &amp; "")&gt;0</formula>
    </cfRule>
    <cfRule type="expression" dxfId="1" priority="8">
      <formula>AND(COUNTIF(G22:BE22,"&lt;&gt;" &amp; "")&gt;0,NOT(ISBLANK(E22)))</formula>
    </cfRule>
  </conditionalFormatting>
  <conditionalFormatting sqref="E220">
    <cfRule type="expression" dxfId="0" priority="359">
      <formula>COUNTIF(G220:BE220,"&lt;&gt;" &amp; "")&gt;0</formula>
    </cfRule>
    <cfRule type="expression" dxfId="1" priority="360">
      <formula>AND(COUNTIF(G220:BE220,"&lt;&gt;" &amp; "")&gt;0,NOT(ISBLANK(E220)))</formula>
    </cfRule>
  </conditionalFormatting>
  <conditionalFormatting sqref="E223">
    <cfRule type="expression" dxfId="0" priority="361">
      <formula>COUNTIF(G223:BE223,"&lt;&gt;" &amp; "")&gt;0</formula>
    </cfRule>
    <cfRule type="expression" dxfId="1" priority="362">
      <formula>AND(COUNTIF(G223:BE223,"&lt;&gt;" &amp; "")&gt;0,NOT(ISBLANK(E223)))</formula>
    </cfRule>
  </conditionalFormatting>
  <conditionalFormatting sqref="E224">
    <cfRule type="expression" dxfId="0" priority="363">
      <formula>COUNTIF(G224:BE224,"&lt;&gt;" &amp; "")&gt;0</formula>
    </cfRule>
    <cfRule type="expression" dxfId="1" priority="364">
      <formula>AND(COUNTIF(G224:BE224,"&lt;&gt;" &amp; "")&gt;0,NOT(ISBLANK(E224)))</formula>
    </cfRule>
  </conditionalFormatting>
  <conditionalFormatting sqref="E225">
    <cfRule type="expression" dxfId="0" priority="365">
      <formula>COUNTIF(G225:BE225,"&lt;&gt;" &amp; "")&gt;0</formula>
    </cfRule>
    <cfRule type="expression" dxfId="1" priority="366">
      <formula>AND(COUNTIF(G225:BE225,"&lt;&gt;" &amp; "")&gt;0,NOT(ISBLANK(E225)))</formula>
    </cfRule>
  </conditionalFormatting>
  <conditionalFormatting sqref="E226">
    <cfRule type="expression" dxfId="0" priority="367">
      <formula>COUNTIF(G226:BE226,"&lt;&gt;" &amp; "")&gt;0</formula>
    </cfRule>
    <cfRule type="expression" dxfId="1" priority="368">
      <formula>AND(COUNTIF(G226:BE226,"&lt;&gt;" &amp; "")&gt;0,NOT(ISBLANK(E226)))</formula>
    </cfRule>
  </conditionalFormatting>
  <conditionalFormatting sqref="E227">
    <cfRule type="expression" dxfId="0" priority="369">
      <formula>COUNTIF(G227:BE227,"&lt;&gt;" &amp; "")&gt;0</formula>
    </cfRule>
    <cfRule type="expression" dxfId="1" priority="370">
      <formula>AND(COUNTIF(G227:BE227,"&lt;&gt;" &amp; "")&gt;0,NOT(ISBLANK(E227)))</formula>
    </cfRule>
  </conditionalFormatting>
  <conditionalFormatting sqref="E228">
    <cfRule type="expression" dxfId="0" priority="371">
      <formula>COUNTIF(G228:BE228,"&lt;&gt;" &amp; "")&gt;0</formula>
    </cfRule>
    <cfRule type="expression" dxfId="1" priority="372">
      <formula>AND(COUNTIF(G228:BE228,"&lt;&gt;" &amp; "")&gt;0,NOT(ISBLANK(E228)))</formula>
    </cfRule>
  </conditionalFormatting>
  <conditionalFormatting sqref="E229">
    <cfRule type="expression" dxfId="0" priority="373">
      <formula>COUNTIF(G229:BE229,"&lt;&gt;" &amp; "")&gt;0</formula>
    </cfRule>
    <cfRule type="expression" dxfId="1" priority="374">
      <formula>AND(COUNTIF(G229:BE229,"&lt;&gt;" &amp; "")&gt;0,NOT(ISBLANK(E229)))</formula>
    </cfRule>
  </conditionalFormatting>
  <conditionalFormatting sqref="E23">
    <cfRule type="expression" dxfId="0" priority="9">
      <formula>COUNTIF(G23:BE23,"&lt;&gt;" &amp; "")&gt;0</formula>
    </cfRule>
    <cfRule type="expression" dxfId="1" priority="10">
      <formula>AND(COUNTIF(G23:BE23,"&lt;&gt;" &amp; "")&gt;0,NOT(ISBLANK(E23)))</formula>
    </cfRule>
  </conditionalFormatting>
  <conditionalFormatting sqref="E230">
    <cfRule type="expression" dxfId="0" priority="375">
      <formula>COUNTIF(G230:BE230,"&lt;&gt;" &amp; "")&gt;0</formula>
    </cfRule>
    <cfRule type="expression" dxfId="1" priority="376">
      <formula>AND(COUNTIF(G230:BE230,"&lt;&gt;" &amp; "")&gt;0,NOT(ISBLANK(E230)))</formula>
    </cfRule>
  </conditionalFormatting>
  <conditionalFormatting sqref="E231">
    <cfRule type="expression" dxfId="0" priority="377">
      <formula>COUNTIF(G231:BE231,"&lt;&gt;" &amp; "")&gt;0</formula>
    </cfRule>
    <cfRule type="expression" dxfId="1" priority="378">
      <formula>AND(COUNTIF(G231:BE231,"&lt;&gt;" &amp; "")&gt;0,NOT(ISBLANK(E231)))</formula>
    </cfRule>
  </conditionalFormatting>
  <conditionalFormatting sqref="E232">
    <cfRule type="expression" dxfId="0" priority="379">
      <formula>COUNTIF(G232:BE232,"&lt;&gt;" &amp; "")&gt;0</formula>
    </cfRule>
    <cfRule type="expression" dxfId="1" priority="380">
      <formula>AND(COUNTIF(G232:BE232,"&lt;&gt;" &amp; "")&gt;0,NOT(ISBLANK(E232)))</formula>
    </cfRule>
  </conditionalFormatting>
  <conditionalFormatting sqref="E233">
    <cfRule type="expression" dxfId="0" priority="381">
      <formula>COUNTIF(G233:BE233,"&lt;&gt;" &amp; "")&gt;0</formula>
    </cfRule>
    <cfRule type="expression" dxfId="1" priority="382">
      <formula>AND(COUNTIF(G233:BE233,"&lt;&gt;" &amp; "")&gt;0,NOT(ISBLANK(E233)))</formula>
    </cfRule>
  </conditionalFormatting>
  <conditionalFormatting sqref="E234">
    <cfRule type="expression" dxfId="0" priority="383">
      <formula>COUNTIF(G234:BE234,"&lt;&gt;" &amp; "")&gt;0</formula>
    </cfRule>
    <cfRule type="expression" dxfId="1" priority="384">
      <formula>AND(COUNTIF(G234:BE234,"&lt;&gt;" &amp; "")&gt;0,NOT(ISBLANK(E234)))</formula>
    </cfRule>
  </conditionalFormatting>
  <conditionalFormatting sqref="E235">
    <cfRule type="expression" dxfId="0" priority="385">
      <formula>COUNTIF(G235:BE235,"&lt;&gt;" &amp; "")&gt;0</formula>
    </cfRule>
    <cfRule type="expression" dxfId="1" priority="386">
      <formula>AND(COUNTIF(G235:BE235,"&lt;&gt;" &amp; "")&gt;0,NOT(ISBLANK(E235)))</formula>
    </cfRule>
  </conditionalFormatting>
  <conditionalFormatting sqref="E236">
    <cfRule type="expression" dxfId="0" priority="387">
      <formula>COUNTIF(G236:BE236,"&lt;&gt;" &amp; "")&gt;0</formula>
    </cfRule>
    <cfRule type="expression" dxfId="1" priority="388">
      <formula>AND(COUNTIF(G236:BE236,"&lt;&gt;" &amp; "")&gt;0,NOT(ISBLANK(E236)))</formula>
    </cfRule>
  </conditionalFormatting>
  <conditionalFormatting sqref="E237">
    <cfRule type="expression" dxfId="0" priority="389">
      <formula>COUNTIF(G237:BE237,"&lt;&gt;" &amp; "")&gt;0</formula>
    </cfRule>
    <cfRule type="expression" dxfId="1" priority="390">
      <formula>AND(COUNTIF(G237:BE237,"&lt;&gt;" &amp; "")&gt;0,NOT(ISBLANK(E237)))</formula>
    </cfRule>
  </conditionalFormatting>
  <conditionalFormatting sqref="E24">
    <cfRule type="expression" dxfId="0" priority="11">
      <formula>COUNTIF(G24:BE24,"&lt;&gt;" &amp; "")&gt;0</formula>
    </cfRule>
    <cfRule type="expression" dxfId="1" priority="12">
      <formula>AND(COUNTIF(G24:BE24,"&lt;&gt;" &amp; "")&gt;0,NOT(ISBLANK(E24)))</formula>
    </cfRule>
  </conditionalFormatting>
  <conditionalFormatting sqref="E240">
    <cfRule type="expression" dxfId="0" priority="391">
      <formula>COUNTIF(G240:BE240,"&lt;&gt;" &amp; "")&gt;0</formula>
    </cfRule>
    <cfRule type="expression" dxfId="1" priority="392">
      <formula>AND(COUNTIF(G240:BE240,"&lt;&gt;" &amp; "")&gt;0,NOT(ISBLANK(E240)))</formula>
    </cfRule>
  </conditionalFormatting>
  <conditionalFormatting sqref="E241">
    <cfRule type="expression" dxfId="0" priority="393">
      <formula>COUNTIF(G241:BE241,"&lt;&gt;" &amp; "")&gt;0</formula>
    </cfRule>
    <cfRule type="expression" dxfId="1" priority="394">
      <formula>AND(COUNTIF(G241:BE241,"&lt;&gt;" &amp; "")&gt;0,NOT(ISBLANK(E241)))</formula>
    </cfRule>
  </conditionalFormatting>
  <conditionalFormatting sqref="E242">
    <cfRule type="expression" dxfId="0" priority="395">
      <formula>COUNTIF(G242:BE242,"&lt;&gt;" &amp; "")&gt;0</formula>
    </cfRule>
    <cfRule type="expression" dxfId="1" priority="396">
      <formula>AND(COUNTIF(G242:BE242,"&lt;&gt;" &amp; "")&gt;0,NOT(ISBLANK(E242)))</formula>
    </cfRule>
  </conditionalFormatting>
  <conditionalFormatting sqref="E243">
    <cfRule type="expression" dxfId="0" priority="397">
      <formula>COUNTIF(G243:BE243,"&lt;&gt;" &amp; "")&gt;0</formula>
    </cfRule>
    <cfRule type="expression" dxfId="1" priority="398">
      <formula>AND(COUNTIF(G243:BE243,"&lt;&gt;" &amp; "")&gt;0,NOT(ISBLANK(E243)))</formula>
    </cfRule>
  </conditionalFormatting>
  <conditionalFormatting sqref="E244">
    <cfRule type="expression" dxfId="0" priority="399">
      <formula>COUNTIF(G244:BE244,"&lt;&gt;" &amp; "")&gt;0</formula>
    </cfRule>
    <cfRule type="expression" dxfId="1" priority="400">
      <formula>AND(COUNTIF(G244:BE244,"&lt;&gt;" &amp; "")&gt;0,NOT(ISBLANK(E244)))</formula>
    </cfRule>
  </conditionalFormatting>
  <conditionalFormatting sqref="E245">
    <cfRule type="expression" dxfId="0" priority="401">
      <formula>COUNTIF(G245:BE245,"&lt;&gt;" &amp; "")&gt;0</formula>
    </cfRule>
    <cfRule type="expression" dxfId="1" priority="402">
      <formula>AND(COUNTIF(G245:BE245,"&lt;&gt;" &amp; "")&gt;0,NOT(ISBLANK(E245)))</formula>
    </cfRule>
  </conditionalFormatting>
  <conditionalFormatting sqref="E246">
    <cfRule type="expression" dxfId="0" priority="403">
      <formula>COUNTIF(G246:BE246,"&lt;&gt;" &amp; "")&gt;0</formula>
    </cfRule>
    <cfRule type="expression" dxfId="1" priority="404">
      <formula>AND(COUNTIF(G246:BE246,"&lt;&gt;" &amp; "")&gt;0,NOT(ISBLANK(E246)))</formula>
    </cfRule>
  </conditionalFormatting>
  <conditionalFormatting sqref="E247">
    <cfRule type="expression" dxfId="0" priority="405">
      <formula>COUNTIF(G247:BE247,"&lt;&gt;" &amp; "")&gt;0</formula>
    </cfRule>
    <cfRule type="expression" dxfId="1" priority="406">
      <formula>AND(COUNTIF(G247:BE247,"&lt;&gt;" &amp; "")&gt;0,NOT(ISBLANK(E247)))</formula>
    </cfRule>
  </conditionalFormatting>
  <conditionalFormatting sqref="E248">
    <cfRule type="expression" dxfId="0" priority="407">
      <formula>COUNTIF(G248:BE248,"&lt;&gt;" &amp; "")&gt;0</formula>
    </cfRule>
    <cfRule type="expression" dxfId="1" priority="408">
      <formula>AND(COUNTIF(G248:BE248,"&lt;&gt;" &amp; "")&gt;0,NOT(ISBLANK(E248)))</formula>
    </cfRule>
  </conditionalFormatting>
  <conditionalFormatting sqref="E249">
    <cfRule type="expression" dxfId="0" priority="409">
      <formula>COUNTIF(G249:BE249,"&lt;&gt;" &amp; "")&gt;0</formula>
    </cfRule>
    <cfRule type="expression" dxfId="1" priority="410">
      <formula>AND(COUNTIF(G249:BE249,"&lt;&gt;" &amp; "")&gt;0,NOT(ISBLANK(E249)))</formula>
    </cfRule>
  </conditionalFormatting>
  <conditionalFormatting sqref="E25">
    <cfRule type="expression" dxfId="0" priority="13">
      <formula>COUNTIF(G25:BE25,"&lt;&gt;" &amp; "")&gt;0</formula>
    </cfRule>
    <cfRule type="expression" dxfId="1" priority="14">
      <formula>AND(COUNTIF(G25:BE25,"&lt;&gt;" &amp; "")&gt;0,NOT(ISBLANK(E25)))</formula>
    </cfRule>
  </conditionalFormatting>
  <conditionalFormatting sqref="E250">
    <cfRule type="expression" dxfId="0" priority="411">
      <formula>COUNTIF(G250:BE250,"&lt;&gt;" &amp; "")&gt;0</formula>
    </cfRule>
    <cfRule type="expression" dxfId="1" priority="412">
      <formula>AND(COUNTIF(G250:BE250,"&lt;&gt;" &amp; "")&gt;0,NOT(ISBLANK(E250)))</formula>
    </cfRule>
  </conditionalFormatting>
  <conditionalFormatting sqref="E251">
    <cfRule type="expression" dxfId="0" priority="413">
      <formula>COUNTIF(G251:BE251,"&lt;&gt;" &amp; "")&gt;0</formula>
    </cfRule>
    <cfRule type="expression" dxfId="1" priority="414">
      <formula>AND(COUNTIF(G251:BE251,"&lt;&gt;" &amp; "")&gt;0,NOT(ISBLANK(E251)))</formula>
    </cfRule>
  </conditionalFormatting>
  <conditionalFormatting sqref="E252">
    <cfRule type="expression" dxfId="0" priority="415">
      <formula>COUNTIF(G252:BE252,"&lt;&gt;" &amp; "")&gt;0</formula>
    </cfRule>
    <cfRule type="expression" dxfId="1" priority="416">
      <formula>AND(COUNTIF(G252:BE252,"&lt;&gt;" &amp; "")&gt;0,NOT(ISBLANK(E252)))</formula>
    </cfRule>
  </conditionalFormatting>
  <conditionalFormatting sqref="E253">
    <cfRule type="expression" dxfId="0" priority="417">
      <formula>COUNTIF(G253:BE253,"&lt;&gt;" &amp; "")&gt;0</formula>
    </cfRule>
    <cfRule type="expression" dxfId="1" priority="418">
      <formula>AND(COUNTIF(G253:BE253,"&lt;&gt;" &amp; "")&gt;0,NOT(ISBLANK(E253)))</formula>
    </cfRule>
  </conditionalFormatting>
  <conditionalFormatting sqref="E254">
    <cfRule type="expression" dxfId="0" priority="419">
      <formula>COUNTIF(G254:BE254,"&lt;&gt;" &amp; "")&gt;0</formula>
    </cfRule>
    <cfRule type="expression" dxfId="1" priority="420">
      <formula>AND(COUNTIF(G254:BE254,"&lt;&gt;" &amp; "")&gt;0,NOT(ISBLANK(E254)))</formula>
    </cfRule>
  </conditionalFormatting>
  <conditionalFormatting sqref="E257">
    <cfRule type="expression" dxfId="0" priority="421">
      <formula>COUNTIF(G257:BE257,"&lt;&gt;" &amp; "")&gt;0</formula>
    </cfRule>
    <cfRule type="expression" dxfId="1" priority="422">
      <formula>AND(COUNTIF(G257:BE257,"&lt;&gt;" &amp; "")&gt;0,NOT(ISBLANK(E257)))</formula>
    </cfRule>
  </conditionalFormatting>
  <conditionalFormatting sqref="E258">
    <cfRule type="expression" dxfId="0" priority="423">
      <formula>COUNTIF(G258:BE258,"&lt;&gt;" &amp; "")&gt;0</formula>
    </cfRule>
    <cfRule type="expression" dxfId="1" priority="424">
      <formula>AND(COUNTIF(G258:BE258,"&lt;&gt;" &amp; "")&gt;0,NOT(ISBLANK(E258)))</formula>
    </cfRule>
  </conditionalFormatting>
  <conditionalFormatting sqref="E259">
    <cfRule type="expression" dxfId="0" priority="425">
      <formula>COUNTIF(G259:BE259,"&lt;&gt;" &amp; "")&gt;0</formula>
    </cfRule>
    <cfRule type="expression" dxfId="1" priority="426">
      <formula>AND(COUNTIF(G259:BE259,"&lt;&gt;" &amp; "")&gt;0,NOT(ISBLANK(E259)))</formula>
    </cfRule>
  </conditionalFormatting>
  <conditionalFormatting sqref="E26">
    <cfRule type="expression" dxfId="0" priority="15">
      <formula>COUNTIF(G26:BE26,"&lt;&gt;" &amp; "")&gt;0</formula>
    </cfRule>
    <cfRule type="expression" dxfId="1" priority="16">
      <formula>AND(COUNTIF(G26:BE26,"&lt;&gt;" &amp; "")&gt;0,NOT(ISBLANK(E26)))</formula>
    </cfRule>
  </conditionalFormatting>
  <conditionalFormatting sqref="E260">
    <cfRule type="expression" dxfId="0" priority="427">
      <formula>COUNTIF(G260:BE260,"&lt;&gt;" &amp; "")&gt;0</formula>
    </cfRule>
    <cfRule type="expression" dxfId="1" priority="428">
      <formula>AND(COUNTIF(G260:BE260,"&lt;&gt;" &amp; "")&gt;0,NOT(ISBLANK(E260)))</formula>
    </cfRule>
  </conditionalFormatting>
  <conditionalFormatting sqref="E261">
    <cfRule type="expression" dxfId="0" priority="429">
      <formula>COUNTIF(G261:BE261,"&lt;&gt;" &amp; "")&gt;0</formula>
    </cfRule>
    <cfRule type="expression" dxfId="1" priority="430">
      <formula>AND(COUNTIF(G261:BE261,"&lt;&gt;" &amp; "")&gt;0,NOT(ISBLANK(E261)))</formula>
    </cfRule>
  </conditionalFormatting>
  <conditionalFormatting sqref="E262">
    <cfRule type="expression" dxfId="0" priority="431">
      <formula>COUNTIF(G262:BE262,"&lt;&gt;" &amp; "")&gt;0</formula>
    </cfRule>
    <cfRule type="expression" dxfId="1" priority="432">
      <formula>AND(COUNTIF(G262:BE262,"&lt;&gt;" &amp; "")&gt;0,NOT(ISBLANK(E262)))</formula>
    </cfRule>
  </conditionalFormatting>
  <conditionalFormatting sqref="E263">
    <cfRule type="expression" dxfId="0" priority="433">
      <formula>COUNTIF(G263:BE263,"&lt;&gt;" &amp; "")&gt;0</formula>
    </cfRule>
    <cfRule type="expression" dxfId="1" priority="434">
      <formula>AND(COUNTIF(G263:BE263,"&lt;&gt;" &amp; "")&gt;0,NOT(ISBLANK(E263)))</formula>
    </cfRule>
  </conditionalFormatting>
  <conditionalFormatting sqref="E264">
    <cfRule type="expression" dxfId="0" priority="435">
      <formula>COUNTIF(G264:BE264,"&lt;&gt;" &amp; "")&gt;0</formula>
    </cfRule>
    <cfRule type="expression" dxfId="1" priority="436">
      <formula>AND(COUNTIF(G264:BE264,"&lt;&gt;" &amp; "")&gt;0,NOT(ISBLANK(E264)))</formula>
    </cfRule>
  </conditionalFormatting>
  <conditionalFormatting sqref="E265">
    <cfRule type="expression" dxfId="0" priority="437">
      <formula>COUNTIF(G265:BE265,"&lt;&gt;" &amp; "")&gt;0</formula>
    </cfRule>
    <cfRule type="expression" dxfId="1" priority="438">
      <formula>AND(COUNTIF(G265:BE265,"&lt;&gt;" &amp; "")&gt;0,NOT(ISBLANK(E265)))</formula>
    </cfRule>
  </conditionalFormatting>
  <conditionalFormatting sqref="E266">
    <cfRule type="expression" dxfId="0" priority="439">
      <formula>COUNTIF(G266:BE266,"&lt;&gt;" &amp; "")&gt;0</formula>
    </cfRule>
    <cfRule type="expression" dxfId="1" priority="440">
      <formula>AND(COUNTIF(G266:BE266,"&lt;&gt;" &amp; "")&gt;0,NOT(ISBLANK(E266)))</formula>
    </cfRule>
  </conditionalFormatting>
  <conditionalFormatting sqref="E267">
    <cfRule type="expression" dxfId="0" priority="441">
      <formula>COUNTIF(G267:BE267,"&lt;&gt;" &amp; "")&gt;0</formula>
    </cfRule>
    <cfRule type="expression" dxfId="1" priority="442">
      <formula>AND(COUNTIF(G267:BE267,"&lt;&gt;" &amp; "")&gt;0,NOT(ISBLANK(E267)))</formula>
    </cfRule>
  </conditionalFormatting>
  <conditionalFormatting sqref="E268">
    <cfRule type="expression" dxfId="0" priority="443">
      <formula>COUNTIF(G268:BE268,"&lt;&gt;" &amp; "")&gt;0</formula>
    </cfRule>
    <cfRule type="expression" dxfId="1" priority="444">
      <formula>AND(COUNTIF(G268:BE268,"&lt;&gt;" &amp; "")&gt;0,NOT(ISBLANK(E268)))</formula>
    </cfRule>
  </conditionalFormatting>
  <conditionalFormatting sqref="E269">
    <cfRule type="expression" dxfId="0" priority="445">
      <formula>COUNTIF(G269:BE269,"&lt;&gt;" &amp; "")&gt;0</formula>
    </cfRule>
    <cfRule type="expression" dxfId="1" priority="446">
      <formula>AND(COUNTIF(G269:BE269,"&lt;&gt;" &amp; "")&gt;0,NOT(ISBLANK(E269)))</formula>
    </cfRule>
  </conditionalFormatting>
  <conditionalFormatting sqref="E27">
    <cfRule type="expression" dxfId="0" priority="17">
      <formula>COUNTIF(G27:BE27,"&lt;&gt;" &amp; "")&gt;0</formula>
    </cfRule>
    <cfRule type="expression" dxfId="1" priority="18">
      <formula>AND(COUNTIF(G27:BE27,"&lt;&gt;" &amp; "")&gt;0,NOT(ISBLANK(E27)))</formula>
    </cfRule>
  </conditionalFormatting>
  <conditionalFormatting sqref="E270">
    <cfRule type="expression" dxfId="0" priority="447">
      <formula>COUNTIF(G270:BE270,"&lt;&gt;" &amp; "")&gt;0</formula>
    </cfRule>
    <cfRule type="expression" dxfId="1" priority="448">
      <formula>AND(COUNTIF(G270:BE270,"&lt;&gt;" &amp; "")&gt;0,NOT(ISBLANK(E270)))</formula>
    </cfRule>
  </conditionalFormatting>
  <conditionalFormatting sqref="E271">
    <cfRule type="expression" dxfId="0" priority="449">
      <formula>COUNTIF(G271:BE271,"&lt;&gt;" &amp; "")&gt;0</formula>
    </cfRule>
    <cfRule type="expression" dxfId="1" priority="450">
      <formula>AND(COUNTIF(G271:BE271,"&lt;&gt;" &amp; "")&gt;0,NOT(ISBLANK(E271)))</formula>
    </cfRule>
  </conditionalFormatting>
  <conditionalFormatting sqref="E274">
    <cfRule type="expression" dxfId="0" priority="451">
      <formula>COUNTIF(G274:BE274,"&lt;&gt;" &amp; "")&gt;0</formula>
    </cfRule>
    <cfRule type="expression" dxfId="1" priority="452">
      <formula>AND(COUNTIF(G274:BE274,"&lt;&gt;" &amp; "")&gt;0,NOT(ISBLANK(E274)))</formula>
    </cfRule>
  </conditionalFormatting>
  <conditionalFormatting sqref="E275">
    <cfRule type="expression" dxfId="0" priority="453">
      <formula>COUNTIF(G275:BE275,"&lt;&gt;" &amp; "")&gt;0</formula>
    </cfRule>
    <cfRule type="expression" dxfId="1" priority="454">
      <formula>AND(COUNTIF(G275:BE275,"&lt;&gt;" &amp; "")&gt;0,NOT(ISBLANK(E275)))</formula>
    </cfRule>
  </conditionalFormatting>
  <conditionalFormatting sqref="E276">
    <cfRule type="expression" dxfId="0" priority="455">
      <formula>COUNTIF(G276:BE276,"&lt;&gt;" &amp; "")&gt;0</formula>
    </cfRule>
    <cfRule type="expression" dxfId="1" priority="456">
      <formula>AND(COUNTIF(G276:BE276,"&lt;&gt;" &amp; "")&gt;0,NOT(ISBLANK(E276)))</formula>
    </cfRule>
  </conditionalFormatting>
  <conditionalFormatting sqref="E277">
    <cfRule type="expression" dxfId="0" priority="457">
      <formula>COUNTIF(G277:BE277,"&lt;&gt;" &amp; "")&gt;0</formula>
    </cfRule>
    <cfRule type="expression" dxfId="1" priority="458">
      <formula>AND(COUNTIF(G277:BE277,"&lt;&gt;" &amp; "")&gt;0,NOT(ISBLANK(E277)))</formula>
    </cfRule>
  </conditionalFormatting>
  <conditionalFormatting sqref="E278">
    <cfRule type="expression" dxfId="0" priority="459">
      <formula>COUNTIF(G278:BE278,"&lt;&gt;" &amp; "")&gt;0</formula>
    </cfRule>
    <cfRule type="expression" dxfId="1" priority="460">
      <formula>AND(COUNTIF(G278:BE278,"&lt;&gt;" &amp; "")&gt;0,NOT(ISBLANK(E278)))</formula>
    </cfRule>
  </conditionalFormatting>
  <conditionalFormatting sqref="E279">
    <cfRule type="expression" dxfId="0" priority="461">
      <formula>COUNTIF(G279:BE279,"&lt;&gt;" &amp; "")&gt;0</formula>
    </cfRule>
    <cfRule type="expression" dxfId="1" priority="462">
      <formula>AND(COUNTIF(G279:BE279,"&lt;&gt;" &amp; "")&gt;0,NOT(ISBLANK(E279)))</formula>
    </cfRule>
  </conditionalFormatting>
  <conditionalFormatting sqref="E28">
    <cfRule type="expression" dxfId="0" priority="19">
      <formula>COUNTIF(G28:BE28,"&lt;&gt;" &amp; "")&gt;0</formula>
    </cfRule>
    <cfRule type="expression" dxfId="1" priority="20">
      <formula>AND(COUNTIF(G28:BE28,"&lt;&gt;" &amp; "")&gt;0,NOT(ISBLANK(E28)))</formula>
    </cfRule>
  </conditionalFormatting>
  <conditionalFormatting sqref="E280">
    <cfRule type="expression" dxfId="0" priority="463">
      <formula>COUNTIF(G280:BE280,"&lt;&gt;" &amp; "")&gt;0</formula>
    </cfRule>
    <cfRule type="expression" dxfId="1" priority="464">
      <formula>AND(COUNTIF(G280:BE280,"&lt;&gt;" &amp; "")&gt;0,NOT(ISBLANK(E280)))</formula>
    </cfRule>
  </conditionalFormatting>
  <conditionalFormatting sqref="E281">
    <cfRule type="expression" dxfId="0" priority="465">
      <formula>COUNTIF(G281:BE281,"&lt;&gt;" &amp; "")&gt;0</formula>
    </cfRule>
    <cfRule type="expression" dxfId="1" priority="466">
      <formula>AND(COUNTIF(G281:BE281,"&lt;&gt;" &amp; "")&gt;0,NOT(ISBLANK(E281)))</formula>
    </cfRule>
  </conditionalFormatting>
  <conditionalFormatting sqref="E282">
    <cfRule type="expression" dxfId="0" priority="467">
      <formula>COUNTIF(G282:BE282,"&lt;&gt;" &amp; "")&gt;0</formula>
    </cfRule>
    <cfRule type="expression" dxfId="1" priority="468">
      <formula>AND(COUNTIF(G282:BE282,"&lt;&gt;" &amp; "")&gt;0,NOT(ISBLANK(E282)))</formula>
    </cfRule>
  </conditionalFormatting>
  <conditionalFormatting sqref="E283">
    <cfRule type="expression" dxfId="0" priority="469">
      <formula>COUNTIF(G283:BE283,"&lt;&gt;" &amp; "")&gt;0</formula>
    </cfRule>
    <cfRule type="expression" dxfId="1" priority="470">
      <formula>AND(COUNTIF(G283:BE283,"&lt;&gt;" &amp; "")&gt;0,NOT(ISBLANK(E283)))</formula>
    </cfRule>
  </conditionalFormatting>
  <conditionalFormatting sqref="E284">
    <cfRule type="expression" dxfId="0" priority="471">
      <formula>COUNTIF(G284:BE284,"&lt;&gt;" &amp; "")&gt;0</formula>
    </cfRule>
    <cfRule type="expression" dxfId="1" priority="472">
      <formula>AND(COUNTIF(G284:BE284,"&lt;&gt;" &amp; "")&gt;0,NOT(ISBLANK(E284)))</formula>
    </cfRule>
  </conditionalFormatting>
  <conditionalFormatting sqref="E285">
    <cfRule type="expression" dxfId="0" priority="473">
      <formula>COUNTIF(G285:BE285,"&lt;&gt;" &amp; "")&gt;0</formula>
    </cfRule>
    <cfRule type="expression" dxfId="1" priority="474">
      <formula>AND(COUNTIF(G285:BE285,"&lt;&gt;" &amp; "")&gt;0,NOT(ISBLANK(E285)))</formula>
    </cfRule>
  </conditionalFormatting>
  <conditionalFormatting sqref="E286">
    <cfRule type="expression" dxfId="0" priority="475">
      <formula>COUNTIF(G286:BE286,"&lt;&gt;" &amp; "")&gt;0</formula>
    </cfRule>
    <cfRule type="expression" dxfId="1" priority="476">
      <formula>AND(COUNTIF(G286:BE286,"&lt;&gt;" &amp; "")&gt;0,NOT(ISBLANK(E286)))</formula>
    </cfRule>
  </conditionalFormatting>
  <conditionalFormatting sqref="E287">
    <cfRule type="expression" dxfId="0" priority="477">
      <formula>COUNTIF(G287:BE287,"&lt;&gt;" &amp; "")&gt;0</formula>
    </cfRule>
    <cfRule type="expression" dxfId="1" priority="478">
      <formula>AND(COUNTIF(G287:BE287,"&lt;&gt;" &amp; "")&gt;0,NOT(ISBLANK(E287)))</formula>
    </cfRule>
  </conditionalFormatting>
  <conditionalFormatting sqref="E288">
    <cfRule type="expression" dxfId="0" priority="479">
      <formula>COUNTIF(G288:BE288,"&lt;&gt;" &amp; "")&gt;0</formula>
    </cfRule>
    <cfRule type="expression" dxfId="1" priority="480">
      <formula>AND(COUNTIF(G288:BE288,"&lt;&gt;" &amp; "")&gt;0,NOT(ISBLANK(E288)))</formula>
    </cfRule>
  </conditionalFormatting>
  <conditionalFormatting sqref="E29">
    <cfRule type="expression" dxfId="0" priority="21">
      <formula>COUNTIF(G29:BE29,"&lt;&gt;" &amp; "")&gt;0</formula>
    </cfRule>
    <cfRule type="expression" dxfId="1" priority="22">
      <formula>AND(COUNTIF(G29:BE29,"&lt;&gt;" &amp; "")&gt;0,NOT(ISBLANK(E29)))</formula>
    </cfRule>
  </conditionalFormatting>
  <conditionalFormatting sqref="E30">
    <cfRule type="expression" dxfId="0" priority="23">
      <formula>COUNTIF(G30:BE30,"&lt;&gt;" &amp; "")&gt;0</formula>
    </cfRule>
    <cfRule type="expression" dxfId="1" priority="24">
      <formula>AND(COUNTIF(G30:BE30,"&lt;&gt;" &amp; "")&gt;0,NOT(ISBLANK(E30)))</formula>
    </cfRule>
  </conditionalFormatting>
  <conditionalFormatting sqref="E31">
    <cfRule type="expression" dxfId="0" priority="25">
      <formula>COUNTIF(G31:BE31,"&lt;&gt;" &amp; "")&gt;0</formula>
    </cfRule>
    <cfRule type="expression" dxfId="1" priority="26">
      <formula>AND(COUNTIF(G31:BE31,"&lt;&gt;" &amp; "")&gt;0,NOT(ISBLANK(E31)))</formula>
    </cfRule>
  </conditionalFormatting>
  <conditionalFormatting sqref="E32">
    <cfRule type="expression" dxfId="0" priority="27">
      <formula>COUNTIF(G32:BE32,"&lt;&gt;" &amp; "")&gt;0</formula>
    </cfRule>
    <cfRule type="expression" dxfId="1" priority="28">
      <formula>AND(COUNTIF(G32:BE32,"&lt;&gt;" &amp; "")&gt;0,NOT(ISBLANK(E32)))</formula>
    </cfRule>
  </conditionalFormatting>
  <conditionalFormatting sqref="E33">
    <cfRule type="expression" dxfId="0" priority="29">
      <formula>COUNTIF(G33:BE33,"&lt;&gt;" &amp; "")&gt;0</formula>
    </cfRule>
    <cfRule type="expression" dxfId="1" priority="30">
      <formula>AND(COUNTIF(G33:BE33,"&lt;&gt;" &amp; "")&gt;0,NOT(ISBLANK(E33)))</formula>
    </cfRule>
  </conditionalFormatting>
  <conditionalFormatting sqref="E36">
    <cfRule type="expression" dxfId="0" priority="31">
      <formula>COUNTIF(G36:BE36,"&lt;&gt;" &amp; "")&gt;0</formula>
    </cfRule>
    <cfRule type="expression" dxfId="1" priority="32">
      <formula>AND(COUNTIF(G36:BE36,"&lt;&gt;" &amp; "")&gt;0,NOT(ISBLANK(E36)))</formula>
    </cfRule>
  </conditionalFormatting>
  <conditionalFormatting sqref="E37">
    <cfRule type="expression" dxfId="0" priority="33">
      <formula>COUNTIF(G37:BE37,"&lt;&gt;" &amp; "")&gt;0</formula>
    </cfRule>
    <cfRule type="expression" dxfId="1" priority="34">
      <formula>AND(COUNTIF(G37:BE37,"&lt;&gt;" &amp; "")&gt;0,NOT(ISBLANK(E37)))</formula>
    </cfRule>
  </conditionalFormatting>
  <conditionalFormatting sqref="E38">
    <cfRule type="expression" dxfId="0" priority="35">
      <formula>COUNTIF(G38:BE38,"&lt;&gt;" &amp; "")&gt;0</formula>
    </cfRule>
    <cfRule type="expression" dxfId="1" priority="36">
      <formula>AND(COUNTIF(G38:BE38,"&lt;&gt;" &amp; "")&gt;0,NOT(ISBLANK(E38)))</formula>
    </cfRule>
  </conditionalFormatting>
  <conditionalFormatting sqref="E39">
    <cfRule type="expression" dxfId="0" priority="37">
      <formula>COUNTIF(G39:BE39,"&lt;&gt;" &amp; "")&gt;0</formula>
    </cfRule>
    <cfRule type="expression" dxfId="1" priority="38">
      <formula>AND(COUNTIF(G39:BE39,"&lt;&gt;" &amp; "")&gt;0,NOT(ISBLANK(E39)))</formula>
    </cfRule>
  </conditionalFormatting>
  <conditionalFormatting sqref="E40">
    <cfRule type="expression" dxfId="0" priority="39">
      <formula>COUNTIF(G40:BE40,"&lt;&gt;" &amp; "")&gt;0</formula>
    </cfRule>
    <cfRule type="expression" dxfId="1" priority="40">
      <formula>AND(COUNTIF(G40:BE40,"&lt;&gt;" &amp; "")&gt;0,NOT(ISBLANK(E40)))</formula>
    </cfRule>
  </conditionalFormatting>
  <conditionalFormatting sqref="E41">
    <cfRule type="expression" dxfId="0" priority="41">
      <formula>COUNTIF(G41:BE41,"&lt;&gt;" &amp; "")&gt;0</formula>
    </cfRule>
    <cfRule type="expression" dxfId="1" priority="42">
      <formula>AND(COUNTIF(G41:BE41,"&lt;&gt;" &amp; "")&gt;0,NOT(ISBLANK(E41)))</formula>
    </cfRule>
  </conditionalFormatting>
  <conditionalFormatting sqref="E42">
    <cfRule type="expression" dxfId="0" priority="43">
      <formula>COUNTIF(G42:BE42,"&lt;&gt;" &amp; "")&gt;0</formula>
    </cfRule>
    <cfRule type="expression" dxfId="1" priority="44">
      <formula>AND(COUNTIF(G42:BE42,"&lt;&gt;" &amp; "")&gt;0,NOT(ISBLANK(E42)))</formula>
    </cfRule>
  </conditionalFormatting>
  <conditionalFormatting sqref="E43">
    <cfRule type="expression" dxfId="0" priority="45">
      <formula>COUNTIF(G43:BE43,"&lt;&gt;" &amp; "")&gt;0</formula>
    </cfRule>
    <cfRule type="expression" dxfId="1" priority="46">
      <formula>AND(COUNTIF(G43:BE43,"&lt;&gt;" &amp; "")&gt;0,NOT(ISBLANK(E43)))</formula>
    </cfRule>
  </conditionalFormatting>
  <conditionalFormatting sqref="E44">
    <cfRule type="expression" dxfId="0" priority="47">
      <formula>COUNTIF(G44:BE44,"&lt;&gt;" &amp; "")&gt;0</formula>
    </cfRule>
    <cfRule type="expression" dxfId="1" priority="48">
      <formula>AND(COUNTIF(G44:BE44,"&lt;&gt;" &amp; "")&gt;0,NOT(ISBLANK(E44)))</formula>
    </cfRule>
  </conditionalFormatting>
  <conditionalFormatting sqref="E45">
    <cfRule type="expression" dxfId="0" priority="49">
      <formula>COUNTIF(G45:BE45,"&lt;&gt;" &amp; "")&gt;0</formula>
    </cfRule>
    <cfRule type="expression" dxfId="1" priority="50">
      <formula>AND(COUNTIF(G45:BE45,"&lt;&gt;" &amp; "")&gt;0,NOT(ISBLANK(E45)))</formula>
    </cfRule>
  </conditionalFormatting>
  <conditionalFormatting sqref="E46">
    <cfRule type="expression" dxfId="0" priority="51">
      <formula>COUNTIF(G46:BE46,"&lt;&gt;" &amp; "")&gt;0</formula>
    </cfRule>
    <cfRule type="expression" dxfId="1" priority="52">
      <formula>AND(COUNTIF(G46:BE46,"&lt;&gt;" &amp; "")&gt;0,NOT(ISBLANK(E46)))</formula>
    </cfRule>
  </conditionalFormatting>
  <conditionalFormatting sqref="E47">
    <cfRule type="expression" dxfId="0" priority="53">
      <formula>COUNTIF(G47:BE47,"&lt;&gt;" &amp; "")&gt;0</formula>
    </cfRule>
    <cfRule type="expression" dxfId="1" priority="54">
      <formula>AND(COUNTIF(G47:BE47,"&lt;&gt;" &amp; "")&gt;0,NOT(ISBLANK(E47)))</formula>
    </cfRule>
  </conditionalFormatting>
  <conditionalFormatting sqref="E48">
    <cfRule type="expression" dxfId="0" priority="55">
      <formula>COUNTIF(G48:BE48,"&lt;&gt;" &amp; "")&gt;0</formula>
    </cfRule>
    <cfRule type="expression" dxfId="1" priority="56">
      <formula>AND(COUNTIF(G48:BE48,"&lt;&gt;" &amp; "")&gt;0,NOT(ISBLANK(E48)))</formula>
    </cfRule>
  </conditionalFormatting>
  <conditionalFormatting sqref="E49">
    <cfRule type="expression" dxfId="0" priority="57">
      <formula>COUNTIF(G49:BE49,"&lt;&gt;" &amp; "")&gt;0</formula>
    </cfRule>
    <cfRule type="expression" dxfId="1" priority="58">
      <formula>AND(COUNTIF(G49:BE49,"&lt;&gt;" &amp; "")&gt;0,NOT(ISBLANK(E49)))</formula>
    </cfRule>
  </conditionalFormatting>
  <conditionalFormatting sqref="E50">
    <cfRule type="expression" dxfId="0" priority="59">
      <formula>COUNTIF(G50:BE50,"&lt;&gt;" &amp; "")&gt;0</formula>
    </cfRule>
    <cfRule type="expression" dxfId="1" priority="60">
      <formula>AND(COUNTIF(G50:BE50,"&lt;&gt;" &amp; "")&gt;0,NOT(ISBLANK(E50)))</formula>
    </cfRule>
  </conditionalFormatting>
  <conditionalFormatting sqref="E53">
    <cfRule type="expression" dxfId="0" priority="61">
      <formula>COUNTIF(G53:BE53,"&lt;&gt;" &amp; "")&gt;0</formula>
    </cfRule>
    <cfRule type="expression" dxfId="1" priority="62">
      <formula>AND(COUNTIF(G53:BE53,"&lt;&gt;" &amp; "")&gt;0,NOT(ISBLANK(E53)))</formula>
    </cfRule>
  </conditionalFormatting>
  <conditionalFormatting sqref="E54">
    <cfRule type="expression" dxfId="0" priority="63">
      <formula>COUNTIF(G54:BE54,"&lt;&gt;" &amp; "")&gt;0</formula>
    </cfRule>
    <cfRule type="expression" dxfId="1" priority="64">
      <formula>AND(COUNTIF(G54:BE54,"&lt;&gt;" &amp; "")&gt;0,NOT(ISBLANK(E54)))</formula>
    </cfRule>
  </conditionalFormatting>
  <conditionalFormatting sqref="E55">
    <cfRule type="expression" dxfId="0" priority="65">
      <formula>COUNTIF(G55:BE55,"&lt;&gt;" &amp; "")&gt;0</formula>
    </cfRule>
    <cfRule type="expression" dxfId="1" priority="66">
      <formula>AND(COUNTIF(G55:BE55,"&lt;&gt;" &amp; "")&gt;0,NOT(ISBLANK(E55)))</formula>
    </cfRule>
  </conditionalFormatting>
  <conditionalFormatting sqref="E56">
    <cfRule type="expression" dxfId="0" priority="67">
      <formula>COUNTIF(G56:BE56,"&lt;&gt;" &amp; "")&gt;0</formula>
    </cfRule>
    <cfRule type="expression" dxfId="1" priority="68">
      <formula>AND(COUNTIF(G56:BE56,"&lt;&gt;" &amp; "")&gt;0,NOT(ISBLANK(E56)))</formula>
    </cfRule>
  </conditionalFormatting>
  <conditionalFormatting sqref="E57">
    <cfRule type="expression" dxfId="0" priority="69">
      <formula>COUNTIF(G57:BE57,"&lt;&gt;" &amp; "")&gt;0</formula>
    </cfRule>
    <cfRule type="expression" dxfId="1" priority="70">
      <formula>AND(COUNTIF(G57:BE57,"&lt;&gt;" &amp; "")&gt;0,NOT(ISBLANK(E57)))</formula>
    </cfRule>
  </conditionalFormatting>
  <conditionalFormatting sqref="E58">
    <cfRule type="expression" dxfId="0" priority="71">
      <formula>COUNTIF(G58:BE58,"&lt;&gt;" &amp; "")&gt;0</formula>
    </cfRule>
    <cfRule type="expression" dxfId="1" priority="72">
      <formula>AND(COUNTIF(G58:BE58,"&lt;&gt;" &amp; "")&gt;0,NOT(ISBLANK(E58)))</formula>
    </cfRule>
  </conditionalFormatting>
  <conditionalFormatting sqref="E59">
    <cfRule type="expression" dxfId="0" priority="73">
      <formula>COUNTIF(G59:BE59,"&lt;&gt;" &amp; "")&gt;0</formula>
    </cfRule>
    <cfRule type="expression" dxfId="1" priority="74">
      <formula>AND(COUNTIF(G59:BE59,"&lt;&gt;" &amp; "")&gt;0,NOT(ISBLANK(E59)))</formula>
    </cfRule>
  </conditionalFormatting>
  <conditionalFormatting sqref="E60">
    <cfRule type="expression" dxfId="0" priority="75">
      <formula>COUNTIF(G60:BE60,"&lt;&gt;" &amp; "")&gt;0</formula>
    </cfRule>
    <cfRule type="expression" dxfId="1" priority="76">
      <formula>AND(COUNTIF(G60:BE60,"&lt;&gt;" &amp; "")&gt;0,NOT(ISBLANK(E60)))</formula>
    </cfRule>
  </conditionalFormatting>
  <conditionalFormatting sqref="E61">
    <cfRule type="expression" dxfId="0" priority="77">
      <formula>COUNTIF(G61:BE61,"&lt;&gt;" &amp; "")&gt;0</formula>
    </cfRule>
    <cfRule type="expression" dxfId="1" priority="78">
      <formula>AND(COUNTIF(G61:BE61,"&lt;&gt;" &amp; "")&gt;0,NOT(ISBLANK(E61)))</formula>
    </cfRule>
  </conditionalFormatting>
  <conditionalFormatting sqref="E62">
    <cfRule type="expression" dxfId="0" priority="79">
      <formula>COUNTIF(G62:BE62,"&lt;&gt;" &amp; "")&gt;0</formula>
    </cfRule>
    <cfRule type="expression" dxfId="1" priority="80">
      <formula>AND(COUNTIF(G62:BE62,"&lt;&gt;" &amp; "")&gt;0,NOT(ISBLANK(E62)))</formula>
    </cfRule>
  </conditionalFormatting>
  <conditionalFormatting sqref="E63">
    <cfRule type="expression" dxfId="0" priority="81">
      <formula>COUNTIF(G63:BE63,"&lt;&gt;" &amp; "")&gt;0</formula>
    </cfRule>
    <cfRule type="expression" dxfId="1" priority="82">
      <formula>AND(COUNTIF(G63:BE63,"&lt;&gt;" &amp; "")&gt;0,NOT(ISBLANK(E63)))</formula>
    </cfRule>
  </conditionalFormatting>
  <conditionalFormatting sqref="E64">
    <cfRule type="expression" dxfId="0" priority="83">
      <formula>COUNTIF(G64:BE64,"&lt;&gt;" &amp; "")&gt;0</formula>
    </cfRule>
    <cfRule type="expression" dxfId="1" priority="84">
      <formula>AND(COUNTIF(G64:BE64,"&lt;&gt;" &amp; "")&gt;0,NOT(ISBLANK(E64)))</formula>
    </cfRule>
  </conditionalFormatting>
  <conditionalFormatting sqref="E65">
    <cfRule type="expression" dxfId="0" priority="85">
      <formula>COUNTIF(G65:BE65,"&lt;&gt;" &amp; "")&gt;0</formula>
    </cfRule>
    <cfRule type="expression" dxfId="1" priority="86">
      <formula>AND(COUNTIF(G65:BE65,"&lt;&gt;" &amp; "")&gt;0,NOT(ISBLANK(E65)))</formula>
    </cfRule>
  </conditionalFormatting>
  <conditionalFormatting sqref="E66">
    <cfRule type="expression" dxfId="0" priority="87">
      <formula>COUNTIF(G66:BE66,"&lt;&gt;" &amp; "")&gt;0</formula>
    </cfRule>
    <cfRule type="expression" dxfId="1" priority="88">
      <formula>AND(COUNTIF(G66:BE66,"&lt;&gt;" &amp; "")&gt;0,NOT(ISBLANK(E66)))</formula>
    </cfRule>
  </conditionalFormatting>
  <conditionalFormatting sqref="E67">
    <cfRule type="expression" dxfId="0" priority="89">
      <formula>COUNTIF(G67:BE67,"&lt;&gt;" &amp; "")&gt;0</formula>
    </cfRule>
    <cfRule type="expression" dxfId="1" priority="90">
      <formula>AND(COUNTIF(G67:BE67,"&lt;&gt;" &amp; "")&gt;0,NOT(ISBLANK(E67)))</formula>
    </cfRule>
  </conditionalFormatting>
  <conditionalFormatting sqref="E70">
    <cfRule type="expression" dxfId="0" priority="91">
      <formula>COUNTIF(G70:BE70,"&lt;&gt;" &amp; "")&gt;0</formula>
    </cfRule>
    <cfRule type="expression" dxfId="1" priority="92">
      <formula>AND(COUNTIF(G70:BE70,"&lt;&gt;" &amp; "")&gt;0,NOT(ISBLANK(E70)))</formula>
    </cfRule>
  </conditionalFormatting>
  <conditionalFormatting sqref="E71">
    <cfRule type="expression" dxfId="0" priority="93">
      <formula>COUNTIF(G71:BE71,"&lt;&gt;" &amp; "")&gt;0</formula>
    </cfRule>
    <cfRule type="expression" dxfId="1" priority="94">
      <formula>AND(COUNTIF(G71:BE71,"&lt;&gt;" &amp; "")&gt;0,NOT(ISBLANK(E71)))</formula>
    </cfRule>
  </conditionalFormatting>
  <conditionalFormatting sqref="E72">
    <cfRule type="expression" dxfId="0" priority="95">
      <formula>COUNTIF(G72:BE72,"&lt;&gt;" &amp; "")&gt;0</formula>
    </cfRule>
    <cfRule type="expression" dxfId="1" priority="96">
      <formula>AND(COUNTIF(G72:BE72,"&lt;&gt;" &amp; "")&gt;0,NOT(ISBLANK(E72)))</formula>
    </cfRule>
  </conditionalFormatting>
  <conditionalFormatting sqref="E73">
    <cfRule type="expression" dxfId="0" priority="97">
      <formula>COUNTIF(G73:BE73,"&lt;&gt;" &amp; "")&gt;0</formula>
    </cfRule>
    <cfRule type="expression" dxfId="1" priority="98">
      <formula>AND(COUNTIF(G73:BE73,"&lt;&gt;" &amp; "")&gt;0,NOT(ISBLANK(E73)))</formula>
    </cfRule>
  </conditionalFormatting>
  <conditionalFormatting sqref="E74">
    <cfRule type="expression" dxfId="0" priority="99">
      <formula>COUNTIF(G74:BE74,"&lt;&gt;" &amp; "")&gt;0</formula>
    </cfRule>
    <cfRule type="expression" dxfId="1" priority="100">
      <formula>AND(COUNTIF(G74:BE74,"&lt;&gt;" &amp; "")&gt;0,NOT(ISBLANK(E74)))</formula>
    </cfRule>
  </conditionalFormatting>
  <conditionalFormatting sqref="E75">
    <cfRule type="expression" dxfId="0" priority="101">
      <formula>COUNTIF(G75:BE75,"&lt;&gt;" &amp; "")&gt;0</formula>
    </cfRule>
    <cfRule type="expression" dxfId="1" priority="102">
      <formula>AND(COUNTIF(G75:BE75,"&lt;&gt;" &amp; "")&gt;0,NOT(ISBLANK(E75)))</formula>
    </cfRule>
  </conditionalFormatting>
  <conditionalFormatting sqref="E76">
    <cfRule type="expression" dxfId="0" priority="103">
      <formula>COUNTIF(G76:BE76,"&lt;&gt;" &amp; "")&gt;0</formula>
    </cfRule>
    <cfRule type="expression" dxfId="1" priority="104">
      <formula>AND(COUNTIF(G76:BE76,"&lt;&gt;" &amp; "")&gt;0,NOT(ISBLANK(E76)))</formula>
    </cfRule>
  </conditionalFormatting>
  <conditionalFormatting sqref="E77">
    <cfRule type="expression" dxfId="0" priority="105">
      <formula>COUNTIF(G77:BE77,"&lt;&gt;" &amp; "")&gt;0</formula>
    </cfRule>
    <cfRule type="expression" dxfId="1" priority="106">
      <formula>AND(COUNTIF(G77:BE77,"&lt;&gt;" &amp; "")&gt;0,NOT(ISBLANK(E77)))</formula>
    </cfRule>
  </conditionalFormatting>
  <conditionalFormatting sqref="E78">
    <cfRule type="expression" dxfId="0" priority="107">
      <formula>COUNTIF(G78:BE78,"&lt;&gt;" &amp; "")&gt;0</formula>
    </cfRule>
    <cfRule type="expression" dxfId="1" priority="108">
      <formula>AND(COUNTIF(G78:BE78,"&lt;&gt;" &amp; "")&gt;0,NOT(ISBLANK(E78)))</formula>
    </cfRule>
  </conditionalFormatting>
  <conditionalFormatting sqref="E79">
    <cfRule type="expression" dxfId="0" priority="109">
      <formula>COUNTIF(G79:BE79,"&lt;&gt;" &amp; "")&gt;0</formula>
    </cfRule>
    <cfRule type="expression" dxfId="1" priority="110">
      <formula>AND(COUNTIF(G79:BE79,"&lt;&gt;" &amp; "")&gt;0,NOT(ISBLANK(E79)))</formula>
    </cfRule>
  </conditionalFormatting>
  <conditionalFormatting sqref="E80">
    <cfRule type="expression" dxfId="0" priority="111">
      <formula>COUNTIF(G80:BE80,"&lt;&gt;" &amp; "")&gt;0</formula>
    </cfRule>
    <cfRule type="expression" dxfId="1" priority="112">
      <formula>AND(COUNTIF(G80:BE80,"&lt;&gt;" &amp; "")&gt;0,NOT(ISBLANK(E80)))</formula>
    </cfRule>
  </conditionalFormatting>
  <conditionalFormatting sqref="E81">
    <cfRule type="expression" dxfId="0" priority="113">
      <formula>COUNTIF(G81:BE81,"&lt;&gt;" &amp; "")&gt;0</formula>
    </cfRule>
    <cfRule type="expression" dxfId="1" priority="114">
      <formula>AND(COUNTIF(G81:BE81,"&lt;&gt;" &amp; "")&gt;0,NOT(ISBLANK(E81)))</formula>
    </cfRule>
  </conditionalFormatting>
  <conditionalFormatting sqref="E82">
    <cfRule type="expression" dxfId="0" priority="115">
      <formula>COUNTIF(G82:BE82,"&lt;&gt;" &amp; "")&gt;0</formula>
    </cfRule>
    <cfRule type="expression" dxfId="1" priority="116">
      <formula>AND(COUNTIF(G82:BE82,"&lt;&gt;" &amp; "")&gt;0,NOT(ISBLANK(E82)))</formula>
    </cfRule>
  </conditionalFormatting>
  <conditionalFormatting sqref="E83">
    <cfRule type="expression" dxfId="0" priority="117">
      <formula>COUNTIF(G83:BE83,"&lt;&gt;" &amp; "")&gt;0</formula>
    </cfRule>
    <cfRule type="expression" dxfId="1" priority="118">
      <formula>AND(COUNTIF(G83:BE83,"&lt;&gt;" &amp; "")&gt;0,NOT(ISBLANK(E83)))</formula>
    </cfRule>
  </conditionalFormatting>
  <conditionalFormatting sqref="E84">
    <cfRule type="expression" dxfId="0" priority="119">
      <formula>COUNTIF(G84:BE84,"&lt;&gt;" &amp; "")&gt;0</formula>
    </cfRule>
    <cfRule type="expression" dxfId="1" priority="120">
      <formula>AND(COUNTIF(G84:BE84,"&lt;&gt;" &amp; "")&gt;0,NOT(ISBLANK(E84)))</formula>
    </cfRule>
  </conditionalFormatting>
  <conditionalFormatting sqref="E87">
    <cfRule type="expression" dxfId="0" priority="121">
      <formula>COUNTIF(G87:BE87,"&lt;&gt;" &amp; "")&gt;0</formula>
    </cfRule>
    <cfRule type="expression" dxfId="1" priority="122">
      <formula>AND(COUNTIF(G87:BE87,"&lt;&gt;" &amp; "")&gt;0,NOT(ISBLANK(E87)))</formula>
    </cfRule>
  </conditionalFormatting>
  <conditionalFormatting sqref="E88">
    <cfRule type="expression" dxfId="0" priority="123">
      <formula>COUNTIF(G88:BE88,"&lt;&gt;" &amp; "")&gt;0</formula>
    </cfRule>
    <cfRule type="expression" dxfId="1" priority="124">
      <formula>AND(COUNTIF(G88:BE88,"&lt;&gt;" &amp; "")&gt;0,NOT(ISBLANK(E88)))</formula>
    </cfRule>
  </conditionalFormatting>
  <conditionalFormatting sqref="E89">
    <cfRule type="expression" dxfId="0" priority="125">
      <formula>COUNTIF(G89:BE89,"&lt;&gt;" &amp; "")&gt;0</formula>
    </cfRule>
    <cfRule type="expression" dxfId="1" priority="126">
      <formula>AND(COUNTIF(G89:BE89,"&lt;&gt;" &amp; "")&gt;0,NOT(ISBLANK(E89)))</formula>
    </cfRule>
  </conditionalFormatting>
  <conditionalFormatting sqref="E90">
    <cfRule type="expression" dxfId="0" priority="127">
      <formula>COUNTIF(G90:BE90,"&lt;&gt;" &amp; "")&gt;0</formula>
    </cfRule>
    <cfRule type="expression" dxfId="1" priority="128">
      <formula>AND(COUNTIF(G90:BE90,"&lt;&gt;" &amp; "")&gt;0,NOT(ISBLANK(E90)))</formula>
    </cfRule>
  </conditionalFormatting>
  <conditionalFormatting sqref="E91">
    <cfRule type="expression" dxfId="0" priority="129">
      <formula>COUNTIF(G91:BE91,"&lt;&gt;" &amp; "")&gt;0</formula>
    </cfRule>
    <cfRule type="expression" dxfId="1" priority="130">
      <formula>AND(COUNTIF(G91:BE91,"&lt;&gt;" &amp; "")&gt;0,NOT(ISBLANK(E91)))</formula>
    </cfRule>
  </conditionalFormatting>
  <conditionalFormatting sqref="E92">
    <cfRule type="expression" dxfId="0" priority="131">
      <formula>COUNTIF(G92:BE92,"&lt;&gt;" &amp; "")&gt;0</formula>
    </cfRule>
    <cfRule type="expression" dxfId="1" priority="132">
      <formula>AND(COUNTIF(G92:BE92,"&lt;&gt;" &amp; "")&gt;0,NOT(ISBLANK(E92)))</formula>
    </cfRule>
  </conditionalFormatting>
  <conditionalFormatting sqref="E93">
    <cfRule type="expression" dxfId="0" priority="133">
      <formula>COUNTIF(G93:BE93,"&lt;&gt;" &amp; "")&gt;0</formula>
    </cfRule>
    <cfRule type="expression" dxfId="1" priority="134">
      <formula>AND(COUNTIF(G93:BE93,"&lt;&gt;" &amp; "")&gt;0,NOT(ISBLANK(E93)))</formula>
    </cfRule>
  </conditionalFormatting>
  <conditionalFormatting sqref="E94">
    <cfRule type="expression" dxfId="0" priority="135">
      <formula>COUNTIF(G94:BE94,"&lt;&gt;" &amp; "")&gt;0</formula>
    </cfRule>
    <cfRule type="expression" dxfId="1" priority="136">
      <formula>AND(COUNTIF(G94:BE94,"&lt;&gt;" &amp; "")&gt;0,NOT(ISBLANK(E94)))</formula>
    </cfRule>
  </conditionalFormatting>
  <conditionalFormatting sqref="E95">
    <cfRule type="expression" dxfId="0" priority="137">
      <formula>COUNTIF(G95:BE95,"&lt;&gt;" &amp; "")&gt;0</formula>
    </cfRule>
    <cfRule type="expression" dxfId="1" priority="138">
      <formula>AND(COUNTIF(G95:BE95,"&lt;&gt;" &amp; "")&gt;0,NOT(ISBLANK(E95)))</formula>
    </cfRule>
  </conditionalFormatting>
  <conditionalFormatting sqref="E96">
    <cfRule type="expression" dxfId="0" priority="139">
      <formula>COUNTIF(G96:BE96,"&lt;&gt;" &amp; "")&gt;0</formula>
    </cfRule>
    <cfRule type="expression" dxfId="1" priority="140">
      <formula>AND(COUNTIF(G96:BE96,"&lt;&gt;" &amp; "")&gt;0,NOT(ISBLANK(E96)))</formula>
    </cfRule>
  </conditionalFormatting>
  <conditionalFormatting sqref="E97">
    <cfRule type="expression" dxfId="0" priority="141">
      <formula>COUNTIF(G97:BE97,"&lt;&gt;" &amp; "")&gt;0</formula>
    </cfRule>
    <cfRule type="expression" dxfId="1" priority="142">
      <formula>AND(COUNTIF(G97:BE97,"&lt;&gt;" &amp; "")&gt;0,NOT(ISBLANK(E97)))</formula>
    </cfRule>
  </conditionalFormatting>
  <conditionalFormatting sqref="E98">
    <cfRule type="expression" dxfId="0" priority="143">
      <formula>COUNTIF(G98:BE98,"&lt;&gt;" &amp; "")&gt;0</formula>
    </cfRule>
    <cfRule type="expression" dxfId="1" priority="144">
      <formula>AND(COUNTIF(G98:BE98,"&lt;&gt;" &amp; "")&gt;0,NOT(ISBLANK(E98)))</formula>
    </cfRule>
  </conditionalFormatting>
  <conditionalFormatting sqref="E99">
    <cfRule type="expression" dxfId="0" priority="145">
      <formula>COUNTIF(G99:BE99,"&lt;&gt;" &amp; "")&gt;0</formula>
    </cfRule>
    <cfRule type="expression" dxfId="1" priority="146">
      <formula>AND(COUNTIF(G99:BE99,"&lt;&gt;" &amp; "")&gt;0,NOT(ISBLANK(E99)))</formula>
    </cfRule>
  </conditionalFormatting>
  <dataValidations count="255">
    <dataValidation type="list" allowBlank="1" showInputMessage="1" showErrorMessage="1" sqref="C2">
      <formula1>"Fraction"</formula1>
    </dataValidation>
    <dataValidation type="list" allowBlank="1" showInputMessage="1" showErrorMessage="1" sqref="C3">
      <formula1>"Fraction"</formula1>
    </dataValidation>
    <dataValidation type="list" allowBlank="1" showInputMessage="1" showErrorMessage="1" sqref="C4">
      <formula1>"Fraction"</formula1>
    </dataValidation>
    <dataValidation type="list" allowBlank="1" showInputMessage="1" showErrorMessage="1" sqref="C5">
      <formula1>"Fraction"</formula1>
    </dataValidation>
    <dataValidation type="list" allowBlank="1" showInputMessage="1" showErrorMessage="1" sqref="C6">
      <formula1>"Fraction"</formula1>
    </dataValidation>
    <dataValidation type="list" allowBlank="1" showInputMessage="1" showErrorMessage="1" sqref="C7">
      <formula1>"Fraction"</formula1>
    </dataValidation>
    <dataValidation type="list" allowBlank="1" showInputMessage="1" showErrorMessage="1" sqref="C8">
      <formula1>"Fraction"</formula1>
    </dataValidation>
    <dataValidation type="list" allowBlank="1" showInputMessage="1" showErrorMessage="1" sqref="C9">
      <formula1>"Fraction"</formula1>
    </dataValidation>
    <dataValidation type="list" allowBlank="1" showInputMessage="1" showErrorMessage="1" sqref="C10">
      <formula1>"Fraction"</formula1>
    </dataValidation>
    <dataValidation type="list" allowBlank="1" showInputMessage="1" showErrorMessage="1" sqref="C11">
      <formula1>"Fraction"</formula1>
    </dataValidation>
    <dataValidation type="list" allowBlank="1" showInputMessage="1" showErrorMessage="1" sqref="C12">
      <formula1>"Fraction"</formula1>
    </dataValidation>
    <dataValidation type="list" allowBlank="1" showInputMessage="1" showErrorMessage="1" sqref="C13">
      <formula1>"Fraction"</formula1>
    </dataValidation>
    <dataValidation type="list" allowBlank="1" showInputMessage="1" showErrorMessage="1" sqref="C14">
      <formula1>"Fraction"</formula1>
    </dataValidation>
    <dataValidation type="list" allowBlank="1" showInputMessage="1" showErrorMessage="1" sqref="C15">
      <formula1>"Fraction"</formula1>
    </dataValidation>
    <dataValidation type="list" allowBlank="1" showInputMessage="1" showErrorMessage="1" sqref="C16">
      <formula1>"Fraction"</formula1>
    </dataValidation>
    <dataValidation type="list" allowBlank="1" showInputMessage="1" showErrorMessage="1" sqref="C19">
      <formula1>"Number (per year)"</formula1>
    </dataValidation>
    <dataValidation type="list" allowBlank="1" showInputMessage="1" showErrorMessage="1" sqref="C20">
      <formula1>"Number (per year)"</formula1>
    </dataValidation>
    <dataValidation type="list" allowBlank="1" showInputMessage="1" showErrorMessage="1" sqref="C21">
      <formula1>"Number (per year)"</formula1>
    </dataValidation>
    <dataValidation type="list" allowBlank="1" showInputMessage="1" showErrorMessage="1" sqref="C22">
      <formula1>"Number (per year)"</formula1>
    </dataValidation>
    <dataValidation type="list" allowBlank="1" showInputMessage="1" showErrorMessage="1" sqref="C23">
      <formula1>"Number (per year)"</formula1>
    </dataValidation>
    <dataValidation type="list" allowBlank="1" showInputMessage="1" showErrorMessage="1" sqref="C24">
      <formula1>"Number (per year)"</formula1>
    </dataValidation>
    <dataValidation type="list" allowBlank="1" showInputMessage="1" showErrorMessage="1" sqref="C25">
      <formula1>"Number (per year)"</formula1>
    </dataValidation>
    <dataValidation type="list" allowBlank="1" showInputMessage="1" showErrorMessage="1" sqref="C26">
      <formula1>"Number (per year)"</formula1>
    </dataValidation>
    <dataValidation type="list" allowBlank="1" showInputMessage="1" showErrorMessage="1" sqref="C27">
      <formula1>"Number (per year)"</formula1>
    </dataValidation>
    <dataValidation type="list" allowBlank="1" showInputMessage="1" showErrorMessage="1" sqref="C28">
      <formula1>"Number (per year)"</formula1>
    </dataValidation>
    <dataValidation type="list" allowBlank="1" showInputMessage="1" showErrorMessage="1" sqref="C29">
      <formula1>"Number (per year)"</formula1>
    </dataValidation>
    <dataValidation type="list" allowBlank="1" showInputMessage="1" showErrorMessage="1" sqref="C30">
      <formula1>"Number (per year)"</formula1>
    </dataValidation>
    <dataValidation type="list" allowBlank="1" showInputMessage="1" showErrorMessage="1" sqref="C31">
      <formula1>"Number (per year)"</formula1>
    </dataValidation>
    <dataValidation type="list" allowBlank="1" showInputMessage="1" showErrorMessage="1" sqref="C32">
      <formula1>"Number (per year)"</formula1>
    </dataValidation>
    <dataValidation type="list" allowBlank="1" showInputMessage="1" showErrorMessage="1" sqref="C33">
      <formula1>"Number (per year)"</formula1>
    </dataValidation>
    <dataValidation type="list" allowBlank="1" showInputMessage="1" showErrorMessage="1" sqref="C36">
      <formula1>"Number (per year)"</formula1>
    </dataValidation>
    <dataValidation type="list" allowBlank="1" showInputMessage="1" showErrorMessage="1" sqref="C37">
      <formula1>"Number (per year)"</formula1>
    </dataValidation>
    <dataValidation type="list" allowBlank="1" showInputMessage="1" showErrorMessage="1" sqref="C38">
      <formula1>"Number (per year)"</formula1>
    </dataValidation>
    <dataValidation type="list" allowBlank="1" showInputMessage="1" showErrorMessage="1" sqref="C39">
      <formula1>"Number (per year)"</formula1>
    </dataValidation>
    <dataValidation type="list" allowBlank="1" showInputMessage="1" showErrorMessage="1" sqref="C40">
      <formula1>"Number (per year)"</formula1>
    </dataValidation>
    <dataValidation type="list" allowBlank="1" showInputMessage="1" showErrorMessage="1" sqref="C41">
      <formula1>"Number (per year)"</formula1>
    </dataValidation>
    <dataValidation type="list" allowBlank="1" showInputMessage="1" showErrorMessage="1" sqref="C42">
      <formula1>"Number (per year)"</formula1>
    </dataValidation>
    <dataValidation type="list" allowBlank="1" showInputMessage="1" showErrorMessage="1" sqref="C43">
      <formula1>"Number (per year)"</formula1>
    </dataValidation>
    <dataValidation type="list" allowBlank="1" showInputMessage="1" showErrorMessage="1" sqref="C44">
      <formula1>"Number (per year)"</formula1>
    </dataValidation>
    <dataValidation type="list" allowBlank="1" showInputMessage="1" showErrorMessage="1" sqref="C45">
      <formula1>"Number (per year)"</formula1>
    </dataValidation>
    <dataValidation type="list" allowBlank="1" showInputMessage="1" showErrorMessage="1" sqref="C46">
      <formula1>"Number (per year)"</formula1>
    </dataValidation>
    <dataValidation type="list" allowBlank="1" showInputMessage="1" showErrorMessage="1" sqref="C47">
      <formula1>"Number (per year)"</formula1>
    </dataValidation>
    <dataValidation type="list" allowBlank="1" showInputMessage="1" showErrorMessage="1" sqref="C48">
      <formula1>"Number (per year)"</formula1>
    </dataValidation>
    <dataValidation type="list" allowBlank="1" showInputMessage="1" showErrorMessage="1" sqref="C49">
      <formula1>"Number (per year)"</formula1>
    </dataValidation>
    <dataValidation type="list" allowBlank="1" showInputMessage="1" showErrorMessage="1" sqref="C50">
      <formula1>"Number (per year)"</formula1>
    </dataValidation>
    <dataValidation type="list" allowBlank="1" showInputMessage="1" showErrorMessage="1" sqref="C53">
      <formula1>"Number (per year)"</formula1>
    </dataValidation>
    <dataValidation type="list" allowBlank="1" showInputMessage="1" showErrorMessage="1" sqref="C54">
      <formula1>"Number (per year)"</formula1>
    </dataValidation>
    <dataValidation type="list" allowBlank="1" showInputMessage="1" showErrorMessage="1" sqref="C55">
      <formula1>"Number (per year)"</formula1>
    </dataValidation>
    <dataValidation type="list" allowBlank="1" showInputMessage="1" showErrorMessage="1" sqref="C56">
      <formula1>"Number (per year)"</formula1>
    </dataValidation>
    <dataValidation type="list" allowBlank="1" showInputMessage="1" showErrorMessage="1" sqref="C57">
      <formula1>"Number (per year)"</formula1>
    </dataValidation>
    <dataValidation type="list" allowBlank="1" showInputMessage="1" showErrorMessage="1" sqref="C58">
      <formula1>"Number (per year)"</formula1>
    </dataValidation>
    <dataValidation type="list" allowBlank="1" showInputMessage="1" showErrorMessage="1" sqref="C59">
      <formula1>"Number (per year)"</formula1>
    </dataValidation>
    <dataValidation type="list" allowBlank="1" showInputMessage="1" showErrorMessage="1" sqref="C60">
      <formula1>"Number (per year)"</formula1>
    </dataValidation>
    <dataValidation type="list" allowBlank="1" showInputMessage="1" showErrorMessage="1" sqref="C61">
      <formula1>"Number (per year)"</formula1>
    </dataValidation>
    <dataValidation type="list" allowBlank="1" showInputMessage="1" showErrorMessage="1" sqref="C62">
      <formula1>"Number (per year)"</formula1>
    </dataValidation>
    <dataValidation type="list" allowBlank="1" showInputMessage="1" showErrorMessage="1" sqref="C63">
      <formula1>"Number (per year)"</formula1>
    </dataValidation>
    <dataValidation type="list" allowBlank="1" showInputMessage="1" showErrorMessage="1" sqref="C64">
      <formula1>"Number (per year)"</formula1>
    </dataValidation>
    <dataValidation type="list" allowBlank="1" showInputMessage="1" showErrorMessage="1" sqref="C65">
      <formula1>"Number (per year)"</formula1>
    </dataValidation>
    <dataValidation type="list" allowBlank="1" showInputMessage="1" showErrorMessage="1" sqref="C66">
      <formula1>"Number (per year)"</formula1>
    </dataValidation>
    <dataValidation type="list" allowBlank="1" showInputMessage="1" showErrorMessage="1" sqref="C67">
      <formula1>"Number (per year)"</formula1>
    </dataValidation>
    <dataValidation type="list" allowBlank="1" showInputMessage="1" showErrorMessage="1" sqref="C70">
      <formula1>"Number (per year)"</formula1>
    </dataValidation>
    <dataValidation type="list" allowBlank="1" showInputMessage="1" showErrorMessage="1" sqref="C71">
      <formula1>"Number (per year)"</formula1>
    </dataValidation>
    <dataValidation type="list" allowBlank="1" showInputMessage="1" showErrorMessage="1" sqref="C72">
      <formula1>"Number (per year)"</formula1>
    </dataValidation>
    <dataValidation type="list" allowBlank="1" showInputMessage="1" showErrorMessage="1" sqref="C73">
      <formula1>"Number (per year)"</formula1>
    </dataValidation>
    <dataValidation type="list" allowBlank="1" showInputMessage="1" showErrorMessage="1" sqref="C74">
      <formula1>"Number (per year)"</formula1>
    </dataValidation>
    <dataValidation type="list" allowBlank="1" showInputMessage="1" showErrorMessage="1" sqref="C75">
      <formula1>"Number (per year)"</formula1>
    </dataValidation>
    <dataValidation type="list" allowBlank="1" showInputMessage="1" showErrorMessage="1" sqref="C76">
      <formula1>"Number (per year)"</formula1>
    </dataValidation>
    <dataValidation type="list" allowBlank="1" showInputMessage="1" showErrorMessage="1" sqref="C77">
      <formula1>"Number (per year)"</formula1>
    </dataValidation>
    <dataValidation type="list" allowBlank="1" showInputMessage="1" showErrorMessage="1" sqref="C78">
      <formula1>"Number (per year)"</formula1>
    </dataValidation>
    <dataValidation type="list" allowBlank="1" showInputMessage="1" showErrorMessage="1" sqref="C79">
      <formula1>"Number (per year)"</formula1>
    </dataValidation>
    <dataValidation type="list" allowBlank="1" showInputMessage="1" showErrorMessage="1" sqref="C80">
      <formula1>"Number (per year)"</formula1>
    </dataValidation>
    <dataValidation type="list" allowBlank="1" showInputMessage="1" showErrorMessage="1" sqref="C81">
      <formula1>"Number (per year)"</formula1>
    </dataValidation>
    <dataValidation type="list" allowBlank="1" showInputMessage="1" showErrorMessage="1" sqref="C82">
      <formula1>"Number (per year)"</formula1>
    </dataValidation>
    <dataValidation type="list" allowBlank="1" showInputMessage="1" showErrorMessage="1" sqref="C83">
      <formula1>"Number (per year)"</formula1>
    </dataValidation>
    <dataValidation type="list" allowBlank="1" showInputMessage="1" showErrorMessage="1" sqref="C84">
      <formula1>"Number (per year)"</formula1>
    </dataValidation>
    <dataValidation type="list" allowBlank="1" showInputMessage="1" showErrorMessage="1" sqref="C87">
      <formula1>"Number (per year)"</formula1>
    </dataValidation>
    <dataValidation type="list" allowBlank="1" showInputMessage="1" showErrorMessage="1" sqref="C88">
      <formula1>"Number (per year)"</formula1>
    </dataValidation>
    <dataValidation type="list" allowBlank="1" showInputMessage="1" showErrorMessage="1" sqref="C89">
      <formula1>"Number (per year)"</formula1>
    </dataValidation>
    <dataValidation type="list" allowBlank="1" showInputMessage="1" showErrorMessage="1" sqref="C90">
      <formula1>"Number (per year)"</formula1>
    </dataValidation>
    <dataValidation type="list" allowBlank="1" showInputMessage="1" showErrorMessage="1" sqref="C91">
      <formula1>"Number (per year)"</formula1>
    </dataValidation>
    <dataValidation type="list" allowBlank="1" showInputMessage="1" showErrorMessage="1" sqref="C92">
      <formula1>"Number (per year)"</formula1>
    </dataValidation>
    <dataValidation type="list" allowBlank="1" showInputMessage="1" showErrorMessage="1" sqref="C93">
      <formula1>"Number (per year)"</formula1>
    </dataValidation>
    <dataValidation type="list" allowBlank="1" showInputMessage="1" showErrorMessage="1" sqref="C94">
      <formula1>"Number (per year)"</formula1>
    </dataValidation>
    <dataValidation type="list" allowBlank="1" showInputMessage="1" showErrorMessage="1" sqref="C95">
      <formula1>"Number (per year)"</formula1>
    </dataValidation>
    <dataValidation type="list" allowBlank="1" showInputMessage="1" showErrorMessage="1" sqref="C96">
      <formula1>"Number (per year)"</formula1>
    </dataValidation>
    <dataValidation type="list" allowBlank="1" showInputMessage="1" showErrorMessage="1" sqref="C97">
      <formula1>"Number (per year)"</formula1>
    </dataValidation>
    <dataValidation type="list" allowBlank="1" showInputMessage="1" showErrorMessage="1" sqref="C98">
      <formula1>"Number (per year)"</formula1>
    </dataValidation>
    <dataValidation type="list" allowBlank="1" showInputMessage="1" showErrorMessage="1" sqref="C99">
      <formula1>"Number (per year)"</formula1>
    </dataValidation>
    <dataValidation type="list" allowBlank="1" showInputMessage="1" showErrorMessage="1" sqref="C100">
      <formula1>"Number (per year)"</formula1>
    </dataValidation>
    <dataValidation type="list" allowBlank="1" showInputMessage="1" showErrorMessage="1" sqref="C101">
      <formula1>"Number (per year)"</formula1>
    </dataValidation>
    <dataValidation type="list" allowBlank="1" showInputMessage="1" showErrorMessage="1" sqref="C104">
      <formula1>"Number"</formula1>
    </dataValidation>
    <dataValidation type="list" allowBlank="1" showInputMessage="1" showErrorMessage="1" sqref="C105">
      <formula1>"Number"</formula1>
    </dataValidation>
    <dataValidation type="list" allowBlank="1" showInputMessage="1" showErrorMessage="1" sqref="C106">
      <formula1>"Number"</formula1>
    </dataValidation>
    <dataValidation type="list" allowBlank="1" showInputMessage="1" showErrorMessage="1" sqref="C107">
      <formula1>"Number"</formula1>
    </dataValidation>
    <dataValidation type="list" allowBlank="1" showInputMessage="1" showErrorMessage="1" sqref="C108">
      <formula1>"Number"</formula1>
    </dataValidation>
    <dataValidation type="list" allowBlank="1" showInputMessage="1" showErrorMessage="1" sqref="C109">
      <formula1>"Number"</formula1>
    </dataValidation>
    <dataValidation type="list" allowBlank="1" showInputMessage="1" showErrorMessage="1" sqref="C110">
      <formula1>"Number"</formula1>
    </dataValidation>
    <dataValidation type="list" allowBlank="1" showInputMessage="1" showErrorMessage="1" sqref="C111">
      <formula1>"Number"</formula1>
    </dataValidation>
    <dataValidation type="list" allowBlank="1" showInputMessage="1" showErrorMessage="1" sqref="C112">
      <formula1>"Number"</formula1>
    </dataValidation>
    <dataValidation type="list" allowBlank="1" showInputMessage="1" showErrorMessage="1" sqref="C113">
      <formula1>"Number"</formula1>
    </dataValidation>
    <dataValidation type="list" allowBlank="1" showInputMessage="1" showErrorMessage="1" sqref="C114">
      <formula1>"Number"</formula1>
    </dataValidation>
    <dataValidation type="list" allowBlank="1" showInputMessage="1" showErrorMessage="1" sqref="C115">
      <formula1>"Number"</formula1>
    </dataValidation>
    <dataValidation type="list" allowBlank="1" showInputMessage="1" showErrorMessage="1" sqref="C116">
      <formula1>"Number"</formula1>
    </dataValidation>
    <dataValidation type="list" allowBlank="1" showInputMessage="1" showErrorMessage="1" sqref="C117">
      <formula1>"Number"</formula1>
    </dataValidation>
    <dataValidation type="list" allowBlank="1" showInputMessage="1" showErrorMessage="1" sqref="C118">
      <formula1>"Number"</formula1>
    </dataValidation>
    <dataValidation type="list" allowBlank="1" showInputMessage="1" showErrorMessage="1" sqref="C121">
      <formula1>"Number"</formula1>
    </dataValidation>
    <dataValidation type="list" allowBlank="1" showInputMessage="1" showErrorMessage="1" sqref="C122">
      <formula1>"Number"</formula1>
    </dataValidation>
    <dataValidation type="list" allowBlank="1" showInputMessage="1" showErrorMessage="1" sqref="C123">
      <formula1>"Number"</formula1>
    </dataValidation>
    <dataValidation type="list" allowBlank="1" showInputMessage="1" showErrorMessage="1" sqref="C124">
      <formula1>"Number"</formula1>
    </dataValidation>
    <dataValidation type="list" allowBlank="1" showInputMessage="1" showErrorMessage="1" sqref="C125">
      <formula1>"Number"</formula1>
    </dataValidation>
    <dataValidation type="list" allowBlank="1" showInputMessage="1" showErrorMessage="1" sqref="C126">
      <formula1>"Number"</formula1>
    </dataValidation>
    <dataValidation type="list" allowBlank="1" showInputMessage="1" showErrorMessage="1" sqref="C127">
      <formula1>"Number"</formula1>
    </dataValidation>
    <dataValidation type="list" allowBlank="1" showInputMessage="1" showErrorMessage="1" sqref="C128">
      <formula1>"Number"</formula1>
    </dataValidation>
    <dataValidation type="list" allowBlank="1" showInputMessage="1" showErrorMessage="1" sqref="C129">
      <formula1>"Number"</formula1>
    </dataValidation>
    <dataValidation type="list" allowBlank="1" showInputMessage="1" showErrorMessage="1" sqref="C130">
      <formula1>"Number"</formula1>
    </dataValidation>
    <dataValidation type="list" allowBlank="1" showInputMessage="1" showErrorMessage="1" sqref="C131">
      <formula1>"Number"</formula1>
    </dataValidation>
    <dataValidation type="list" allowBlank="1" showInputMessage="1" showErrorMessage="1" sqref="C132">
      <formula1>"Number"</formula1>
    </dataValidation>
    <dataValidation type="list" allowBlank="1" showInputMessage="1" showErrorMessage="1" sqref="C133">
      <formula1>"Number"</formula1>
    </dataValidation>
    <dataValidation type="list" allowBlank="1" showInputMessage="1" showErrorMessage="1" sqref="C134">
      <formula1>"Number"</formula1>
    </dataValidation>
    <dataValidation type="list" allowBlank="1" showInputMessage="1" showErrorMessage="1" sqref="C135">
      <formula1>"Number"</formula1>
    </dataValidation>
    <dataValidation type="list" allowBlank="1" showInputMessage="1" showErrorMessage="1" sqref="C138">
      <formula1>"Number"</formula1>
    </dataValidation>
    <dataValidation type="list" allowBlank="1" showInputMessage="1" showErrorMessage="1" sqref="C139">
      <formula1>"Number"</formula1>
    </dataValidation>
    <dataValidation type="list" allowBlank="1" showInputMessage="1" showErrorMessage="1" sqref="C140">
      <formula1>"Number"</formula1>
    </dataValidation>
    <dataValidation type="list" allowBlank="1" showInputMessage="1" showErrorMessage="1" sqref="C141">
      <formula1>"Number"</formula1>
    </dataValidation>
    <dataValidation type="list" allowBlank="1" showInputMessage="1" showErrorMessage="1" sqref="C142">
      <formula1>"Number"</formula1>
    </dataValidation>
    <dataValidation type="list" allowBlank="1" showInputMessage="1" showErrorMessage="1" sqref="C143">
      <formula1>"Number"</formula1>
    </dataValidation>
    <dataValidation type="list" allowBlank="1" showInputMessage="1" showErrorMessage="1" sqref="C144">
      <formula1>"Number"</formula1>
    </dataValidation>
    <dataValidation type="list" allowBlank="1" showInputMessage="1" showErrorMessage="1" sqref="C145">
      <formula1>"Number"</formula1>
    </dataValidation>
    <dataValidation type="list" allowBlank="1" showInputMessage="1" showErrorMessage="1" sqref="C146">
      <formula1>"Number"</formula1>
    </dataValidation>
    <dataValidation type="list" allowBlank="1" showInputMessage="1" showErrorMessage="1" sqref="C147">
      <formula1>"Number"</formula1>
    </dataValidation>
    <dataValidation type="list" allowBlank="1" showInputMessage="1" showErrorMessage="1" sqref="C148">
      <formula1>"Number"</formula1>
    </dataValidation>
    <dataValidation type="list" allowBlank="1" showInputMessage="1" showErrorMessage="1" sqref="C149">
      <formula1>"Number"</formula1>
    </dataValidation>
    <dataValidation type="list" allowBlank="1" showInputMessage="1" showErrorMessage="1" sqref="C150">
      <formula1>"Number"</formula1>
    </dataValidation>
    <dataValidation type="list" allowBlank="1" showInputMessage="1" showErrorMessage="1" sqref="C151">
      <formula1>"Number"</formula1>
    </dataValidation>
    <dataValidation type="list" allowBlank="1" showInputMessage="1" showErrorMessage="1" sqref="C152">
      <formula1>"Number"</formula1>
    </dataValidation>
    <dataValidation type="list" allowBlank="1" showInputMessage="1" showErrorMessage="1" sqref="C155">
      <formula1>"Number"</formula1>
    </dataValidation>
    <dataValidation type="list" allowBlank="1" showInputMessage="1" showErrorMessage="1" sqref="C156">
      <formula1>"Number"</formula1>
    </dataValidation>
    <dataValidation type="list" allowBlank="1" showInputMessage="1" showErrorMessage="1" sqref="C157">
      <formula1>"Number"</formula1>
    </dataValidation>
    <dataValidation type="list" allowBlank="1" showInputMessage="1" showErrorMessage="1" sqref="C158">
      <formula1>"Number"</formula1>
    </dataValidation>
    <dataValidation type="list" allowBlank="1" showInputMessage="1" showErrorMessage="1" sqref="C159">
      <formula1>"Number"</formula1>
    </dataValidation>
    <dataValidation type="list" allowBlank="1" showInputMessage="1" showErrorMessage="1" sqref="C160">
      <formula1>"Number"</formula1>
    </dataValidation>
    <dataValidation type="list" allowBlank="1" showInputMessage="1" showErrorMessage="1" sqref="C161">
      <formula1>"Number"</formula1>
    </dataValidation>
    <dataValidation type="list" allowBlank="1" showInputMessage="1" showErrorMessage="1" sqref="C162">
      <formula1>"Number"</formula1>
    </dataValidation>
    <dataValidation type="list" allowBlank="1" showInputMessage="1" showErrorMessage="1" sqref="C163">
      <formula1>"Number"</formula1>
    </dataValidation>
    <dataValidation type="list" allowBlank="1" showInputMessage="1" showErrorMessage="1" sqref="C164">
      <formula1>"Number"</formula1>
    </dataValidation>
    <dataValidation type="list" allowBlank="1" showInputMessage="1" showErrorMessage="1" sqref="C165">
      <formula1>"Number"</formula1>
    </dataValidation>
    <dataValidation type="list" allowBlank="1" showInputMessage="1" showErrorMessage="1" sqref="C166">
      <formula1>"Number"</formula1>
    </dataValidation>
    <dataValidation type="list" allowBlank="1" showInputMessage="1" showErrorMessage="1" sqref="C167">
      <formula1>"Number"</formula1>
    </dataValidation>
    <dataValidation type="list" allowBlank="1" showInputMessage="1" showErrorMessage="1" sqref="C168">
      <formula1>"Number"</formula1>
    </dataValidation>
    <dataValidation type="list" allowBlank="1" showInputMessage="1" showErrorMessage="1" sqref="C169">
      <formula1>"Number"</formula1>
    </dataValidation>
    <dataValidation type="list" allowBlank="1" showInputMessage="1" showErrorMessage="1" sqref="C172">
      <formula1>"Number"</formula1>
    </dataValidation>
    <dataValidation type="list" allowBlank="1" showInputMessage="1" showErrorMessage="1" sqref="C173">
      <formula1>"Number"</formula1>
    </dataValidation>
    <dataValidation type="list" allowBlank="1" showInputMessage="1" showErrorMessage="1" sqref="C174">
      <formula1>"Number"</formula1>
    </dataValidation>
    <dataValidation type="list" allowBlank="1" showInputMessage="1" showErrorMessage="1" sqref="C175">
      <formula1>"Number"</formula1>
    </dataValidation>
    <dataValidation type="list" allowBlank="1" showInputMessage="1" showErrorMessage="1" sqref="C176">
      <formula1>"Number"</formula1>
    </dataValidation>
    <dataValidation type="list" allowBlank="1" showInputMessage="1" showErrorMessage="1" sqref="C177">
      <formula1>"Number"</formula1>
    </dataValidation>
    <dataValidation type="list" allowBlank="1" showInputMessage="1" showErrorMessage="1" sqref="C178">
      <formula1>"Number"</formula1>
    </dataValidation>
    <dataValidation type="list" allowBlank="1" showInputMessage="1" showErrorMessage="1" sqref="C179">
      <formula1>"Number"</formula1>
    </dataValidation>
    <dataValidation type="list" allowBlank="1" showInputMessage="1" showErrorMessage="1" sqref="C180">
      <formula1>"Number"</formula1>
    </dataValidation>
    <dataValidation type="list" allowBlank="1" showInputMessage="1" showErrorMessage="1" sqref="C181">
      <formula1>"Number"</formula1>
    </dataValidation>
    <dataValidation type="list" allowBlank="1" showInputMessage="1" showErrorMessage="1" sqref="C182">
      <formula1>"Number"</formula1>
    </dataValidation>
    <dataValidation type="list" allowBlank="1" showInputMessage="1" showErrorMessage="1" sqref="C183">
      <formula1>"Number"</formula1>
    </dataValidation>
    <dataValidation type="list" allowBlank="1" showInputMessage="1" showErrorMessage="1" sqref="C184">
      <formula1>"Number"</formula1>
    </dataValidation>
    <dataValidation type="list" allowBlank="1" showInputMessage="1" showErrorMessage="1" sqref="C185">
      <formula1>"Number"</formula1>
    </dataValidation>
    <dataValidation type="list" allowBlank="1" showInputMessage="1" showErrorMessage="1" sqref="C186">
      <formula1>"Number"</formula1>
    </dataValidation>
    <dataValidation type="list" allowBlank="1" showInputMessage="1" showErrorMessage="1" sqref="C189">
      <formula1>"Number (per year)"</formula1>
    </dataValidation>
    <dataValidation type="list" allowBlank="1" showInputMessage="1" showErrorMessage="1" sqref="C190">
      <formula1>"Number (per year)"</formula1>
    </dataValidation>
    <dataValidation type="list" allowBlank="1" showInputMessage="1" showErrorMessage="1" sqref="C191">
      <formula1>"Number (per year)"</formula1>
    </dataValidation>
    <dataValidation type="list" allowBlank="1" showInputMessage="1" showErrorMessage="1" sqref="C192">
      <formula1>"Number (per year)"</formula1>
    </dataValidation>
    <dataValidation type="list" allowBlank="1" showInputMessage="1" showErrorMessage="1" sqref="C193">
      <formula1>"Number (per year)"</formula1>
    </dataValidation>
    <dataValidation type="list" allowBlank="1" showInputMessage="1" showErrorMessage="1" sqref="C194">
      <formula1>"Number (per year)"</formula1>
    </dataValidation>
    <dataValidation type="list" allowBlank="1" showInputMessage="1" showErrorMessage="1" sqref="C195">
      <formula1>"Number (per year)"</formula1>
    </dataValidation>
    <dataValidation type="list" allowBlank="1" showInputMessage="1" showErrorMessage="1" sqref="C196">
      <formula1>"Number (per year)"</formula1>
    </dataValidation>
    <dataValidation type="list" allowBlank="1" showInputMessage="1" showErrorMessage="1" sqref="C197">
      <formula1>"Number (per year)"</formula1>
    </dataValidation>
    <dataValidation type="list" allowBlank="1" showInputMessage="1" showErrorMessage="1" sqref="C198">
      <formula1>"Number (per year)"</formula1>
    </dataValidation>
    <dataValidation type="list" allowBlank="1" showInputMessage="1" showErrorMessage="1" sqref="C199">
      <formula1>"Number (per year)"</formula1>
    </dataValidation>
    <dataValidation type="list" allowBlank="1" showInputMessage="1" showErrorMessage="1" sqref="C200">
      <formula1>"Number (per year)"</formula1>
    </dataValidation>
    <dataValidation type="list" allowBlank="1" showInputMessage="1" showErrorMessage="1" sqref="C201">
      <formula1>"Number (per year)"</formula1>
    </dataValidation>
    <dataValidation type="list" allowBlank="1" showInputMessage="1" showErrorMessage="1" sqref="C202">
      <formula1>"Number (per year)"</formula1>
    </dataValidation>
    <dataValidation type="list" allowBlank="1" showInputMessage="1" showErrorMessage="1" sqref="C203">
      <formula1>"Number (per year)"</formula1>
    </dataValidation>
    <dataValidation type="list" allowBlank="1" showInputMessage="1" showErrorMessage="1" sqref="C206">
      <formula1>"Number (per year)"</formula1>
    </dataValidation>
    <dataValidation type="list" allowBlank="1" showInputMessage="1" showErrorMessage="1" sqref="C207">
      <formula1>"Number (per year)"</formula1>
    </dataValidation>
    <dataValidation type="list" allowBlank="1" showInputMessage="1" showErrorMessage="1" sqref="C208">
      <formula1>"Number (per year)"</formula1>
    </dataValidation>
    <dataValidation type="list" allowBlank="1" showInputMessage="1" showErrorMessage="1" sqref="C209">
      <formula1>"Number (per year)"</formula1>
    </dataValidation>
    <dataValidation type="list" allowBlank="1" showInputMessage="1" showErrorMessage="1" sqref="C210">
      <formula1>"Number (per year)"</formula1>
    </dataValidation>
    <dataValidation type="list" allowBlank="1" showInputMessage="1" showErrorMessage="1" sqref="C211">
      <formula1>"Number (per year)"</formula1>
    </dataValidation>
    <dataValidation type="list" allowBlank="1" showInputMessage="1" showErrorMessage="1" sqref="C212">
      <formula1>"Number (per year)"</formula1>
    </dataValidation>
    <dataValidation type="list" allowBlank="1" showInputMessage="1" showErrorMessage="1" sqref="C213">
      <formula1>"Number (per year)"</formula1>
    </dataValidation>
    <dataValidation type="list" allowBlank="1" showInputMessage="1" showErrorMessage="1" sqref="C214">
      <formula1>"Number (per year)"</formula1>
    </dataValidation>
    <dataValidation type="list" allowBlank="1" showInputMessage="1" showErrorMessage="1" sqref="C215">
      <formula1>"Number (per year)"</formula1>
    </dataValidation>
    <dataValidation type="list" allowBlank="1" showInputMessage="1" showErrorMessage="1" sqref="C216">
      <formula1>"Number (per year)"</formula1>
    </dataValidation>
    <dataValidation type="list" allowBlank="1" showInputMessage="1" showErrorMessage="1" sqref="C217">
      <formula1>"Number (per year)"</formula1>
    </dataValidation>
    <dataValidation type="list" allowBlank="1" showInputMessage="1" showErrorMessage="1" sqref="C218">
      <formula1>"Number (per year)"</formula1>
    </dataValidation>
    <dataValidation type="list" allowBlank="1" showInputMessage="1" showErrorMessage="1" sqref="C219">
      <formula1>"Number (per year)"</formula1>
    </dataValidation>
    <dataValidation type="list" allowBlank="1" showInputMessage="1" showErrorMessage="1" sqref="C220">
      <formula1>"Number (per year)"</formula1>
    </dataValidation>
    <dataValidation type="list" allowBlank="1" showInputMessage="1" showErrorMessage="1" sqref="C223">
      <formula1>"Number (per year)"</formula1>
    </dataValidation>
    <dataValidation type="list" allowBlank="1" showInputMessage="1" showErrorMessage="1" sqref="C224">
      <formula1>"Number (per year)"</formula1>
    </dataValidation>
    <dataValidation type="list" allowBlank="1" showInputMessage="1" showErrorMessage="1" sqref="C225">
      <formula1>"Number (per year)"</formula1>
    </dataValidation>
    <dataValidation type="list" allowBlank="1" showInputMessage="1" showErrorMessage="1" sqref="C226">
      <formula1>"Number (per year)"</formula1>
    </dataValidation>
    <dataValidation type="list" allowBlank="1" showInputMessage="1" showErrorMessage="1" sqref="C227">
      <formula1>"Number (per year)"</formula1>
    </dataValidation>
    <dataValidation type="list" allowBlank="1" showInputMessage="1" showErrorMessage="1" sqref="C228">
      <formula1>"Number (per year)"</formula1>
    </dataValidation>
    <dataValidation type="list" allowBlank="1" showInputMessage="1" showErrorMessage="1" sqref="C229">
      <formula1>"Number (per year)"</formula1>
    </dataValidation>
    <dataValidation type="list" allowBlank="1" showInputMessage="1" showErrorMessage="1" sqref="C230">
      <formula1>"Number (per year)"</formula1>
    </dataValidation>
    <dataValidation type="list" allowBlank="1" showInputMessage="1" showErrorMessage="1" sqref="C231">
      <formula1>"Number (per year)"</formula1>
    </dataValidation>
    <dataValidation type="list" allowBlank="1" showInputMessage="1" showErrorMessage="1" sqref="C232">
      <formula1>"Number (per year)"</formula1>
    </dataValidation>
    <dataValidation type="list" allowBlank="1" showInputMessage="1" showErrorMessage="1" sqref="C233">
      <formula1>"Number (per year)"</formula1>
    </dataValidation>
    <dataValidation type="list" allowBlank="1" showInputMessage="1" showErrorMessage="1" sqref="C234">
      <formula1>"Number (per year)"</formula1>
    </dataValidation>
    <dataValidation type="list" allowBlank="1" showInputMessage="1" showErrorMessage="1" sqref="C235">
      <formula1>"Number (per year)"</formula1>
    </dataValidation>
    <dataValidation type="list" allowBlank="1" showInputMessage="1" showErrorMessage="1" sqref="C236">
      <formula1>"Number (per year)"</formula1>
    </dataValidation>
    <dataValidation type="list" allowBlank="1" showInputMessage="1" showErrorMessage="1" sqref="C237">
      <formula1>"Number (per year)"</formula1>
    </dataValidation>
    <dataValidation type="list" allowBlank="1" showInputMessage="1" showErrorMessage="1" sqref="C240">
      <formula1>"Number (per year)"</formula1>
    </dataValidation>
    <dataValidation type="list" allowBlank="1" showInputMessage="1" showErrorMessage="1" sqref="C241">
      <formula1>"Number (per year)"</formula1>
    </dataValidation>
    <dataValidation type="list" allowBlank="1" showInputMessage="1" showErrorMessage="1" sqref="C242">
      <formula1>"Number (per year)"</formula1>
    </dataValidation>
    <dataValidation type="list" allowBlank="1" showInputMessage="1" showErrorMessage="1" sqref="C243">
      <formula1>"Number (per year)"</formula1>
    </dataValidation>
    <dataValidation type="list" allowBlank="1" showInputMessage="1" showErrorMessage="1" sqref="C244">
      <formula1>"Number (per year)"</formula1>
    </dataValidation>
    <dataValidation type="list" allowBlank="1" showInputMessage="1" showErrorMessage="1" sqref="C245">
      <formula1>"Number (per year)"</formula1>
    </dataValidation>
    <dataValidation type="list" allowBlank="1" showInputMessage="1" showErrorMessage="1" sqref="C246">
      <formula1>"Number (per year)"</formula1>
    </dataValidation>
    <dataValidation type="list" allowBlank="1" showInputMessage="1" showErrorMessage="1" sqref="C247">
      <formula1>"Number (per year)"</formula1>
    </dataValidation>
    <dataValidation type="list" allowBlank="1" showInputMessage="1" showErrorMessage="1" sqref="C248">
      <formula1>"Number (per year)"</formula1>
    </dataValidation>
    <dataValidation type="list" allowBlank="1" showInputMessage="1" showErrorMessage="1" sqref="C249">
      <formula1>"Number (per year)"</formula1>
    </dataValidation>
    <dataValidation type="list" allowBlank="1" showInputMessage="1" showErrorMessage="1" sqref="C250">
      <formula1>"Number (per year)"</formula1>
    </dataValidation>
    <dataValidation type="list" allowBlank="1" showInputMessage="1" showErrorMessage="1" sqref="C251">
      <formula1>"Number (per year)"</formula1>
    </dataValidation>
    <dataValidation type="list" allowBlank="1" showInputMessage="1" showErrorMessage="1" sqref="C252">
      <formula1>"Number (per year)"</formula1>
    </dataValidation>
    <dataValidation type="list" allowBlank="1" showInputMessage="1" showErrorMessage="1" sqref="C253">
      <formula1>"Number (per year)"</formula1>
    </dataValidation>
    <dataValidation type="list" allowBlank="1" showInputMessage="1" showErrorMessage="1" sqref="C254">
      <formula1>"Number (per year)"</formula1>
    </dataValidation>
    <dataValidation type="list" allowBlank="1" showInputMessage="1" showErrorMessage="1" sqref="C257">
      <formula1>"Number (per year)"</formula1>
    </dataValidation>
    <dataValidation type="list" allowBlank="1" showInputMessage="1" showErrorMessage="1" sqref="C258">
      <formula1>"Number (per year)"</formula1>
    </dataValidation>
    <dataValidation type="list" allowBlank="1" showInputMessage="1" showErrorMessage="1" sqref="C259">
      <formula1>"Number (per year)"</formula1>
    </dataValidation>
    <dataValidation type="list" allowBlank="1" showInputMessage="1" showErrorMessage="1" sqref="C260">
      <formula1>"Number (per year)"</formula1>
    </dataValidation>
    <dataValidation type="list" allowBlank="1" showInputMessage="1" showErrorMessage="1" sqref="C261">
      <formula1>"Number (per year)"</formula1>
    </dataValidation>
    <dataValidation type="list" allowBlank="1" showInputMessage="1" showErrorMessage="1" sqref="C262">
      <formula1>"Number (per year)"</formula1>
    </dataValidation>
    <dataValidation type="list" allowBlank="1" showInputMessage="1" showErrorMessage="1" sqref="C263">
      <formula1>"Number (per year)"</formula1>
    </dataValidation>
    <dataValidation type="list" allowBlank="1" showInputMessage="1" showErrorMessage="1" sqref="C264">
      <formula1>"Number (per year)"</formula1>
    </dataValidation>
    <dataValidation type="list" allowBlank="1" showInputMessage="1" showErrorMessage="1" sqref="C265">
      <formula1>"Number (per year)"</formula1>
    </dataValidation>
    <dataValidation type="list" allowBlank="1" showInputMessage="1" showErrorMessage="1" sqref="C266">
      <formula1>"Number (per year)"</formula1>
    </dataValidation>
    <dataValidation type="list" allowBlank="1" showInputMessage="1" showErrorMessage="1" sqref="C267">
      <formula1>"Number (per year)"</formula1>
    </dataValidation>
    <dataValidation type="list" allowBlank="1" showInputMessage="1" showErrorMessage="1" sqref="C268">
      <formula1>"Number (per year)"</formula1>
    </dataValidation>
    <dataValidation type="list" allowBlank="1" showInputMessage="1" showErrorMessage="1" sqref="C269">
      <formula1>"Number (per year)"</formula1>
    </dataValidation>
    <dataValidation type="list" allowBlank="1" showInputMessage="1" showErrorMessage="1" sqref="C270">
      <formula1>"Number (per year)"</formula1>
    </dataValidation>
    <dataValidation type="list" allowBlank="1" showInputMessage="1" showErrorMessage="1" sqref="C271">
      <formula1>"Number (per year)"</formula1>
    </dataValidation>
    <dataValidation type="list" allowBlank="1" showInputMessage="1" showErrorMessage="1" sqref="C274">
      <formula1>"Number (per year)"</formula1>
    </dataValidation>
    <dataValidation type="list" allowBlank="1" showInputMessage="1" showErrorMessage="1" sqref="C275">
      <formula1>"Number (per year)"</formula1>
    </dataValidation>
    <dataValidation type="list" allowBlank="1" showInputMessage="1" showErrorMessage="1" sqref="C276">
      <formula1>"Number (per year)"</formula1>
    </dataValidation>
    <dataValidation type="list" allowBlank="1" showInputMessage="1" showErrorMessage="1" sqref="C277">
      <formula1>"Number (per year)"</formula1>
    </dataValidation>
    <dataValidation type="list" allowBlank="1" showInputMessage="1" showErrorMessage="1" sqref="C278">
      <formula1>"Number (per year)"</formula1>
    </dataValidation>
    <dataValidation type="list" allowBlank="1" showInputMessage="1" showErrorMessage="1" sqref="C279">
      <formula1>"Number (per year)"</formula1>
    </dataValidation>
    <dataValidation type="list" allowBlank="1" showInputMessage="1" showErrorMessage="1" sqref="C280">
      <formula1>"Number (per year)"</formula1>
    </dataValidation>
    <dataValidation type="list" allowBlank="1" showInputMessage="1" showErrorMessage="1" sqref="C281">
      <formula1>"Number (per year)"</formula1>
    </dataValidation>
    <dataValidation type="list" allowBlank="1" showInputMessage="1" showErrorMessage="1" sqref="C282">
      <formula1>"Number (per year)"</formula1>
    </dataValidation>
    <dataValidation type="list" allowBlank="1" showInputMessage="1" showErrorMessage="1" sqref="C283">
      <formula1>"Number (per year)"</formula1>
    </dataValidation>
    <dataValidation type="list" allowBlank="1" showInputMessage="1" showErrorMessage="1" sqref="C284">
      <formula1>"Number (per year)"</formula1>
    </dataValidation>
    <dataValidation type="list" allowBlank="1" showInputMessage="1" showErrorMessage="1" sqref="C285">
      <formula1>"Number (per year)"</formula1>
    </dataValidation>
    <dataValidation type="list" allowBlank="1" showInputMessage="1" showErrorMessage="1" sqref="C286">
      <formula1>"Number (per year)"</formula1>
    </dataValidation>
    <dataValidation type="list" allowBlank="1" showInputMessage="1" showErrorMessage="1" sqref="C287">
      <formula1>"Number (per year)"</formula1>
    </dataValidation>
    <dataValidation type="list" allowBlank="1" showInputMessage="1" showErrorMessage="1" sqref="C288">
      <formula1>"Number (per year)"</formula1>
    </dataValidation>
  </dataValidation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sheetPr>
    <tabColor rgb="FF808080"/>
  </sheetPr>
  <dimension ref="A1:BE1327"/>
  <sheetViews>
    <sheetView workbookViewId="0"/>
  </sheetViews>
  <sheetFormatPr defaultRowHeight="15"/>
  <cols>
    <col min="1" max="1" width="84.28515625" customWidth="1"/>
    <col min="2" max="2" width="30.28515625" customWidth="1"/>
    <col min="3" max="3" width="8.28515625" customWidth="1"/>
    <col min="4" max="4" width="13.85546875" customWidth="1"/>
    <col min="5" max="5" width="10.5703125" customWidth="1"/>
    <col min="6" max="57" width="9.42578125" customWidth="1"/>
  </cols>
  <sheetData>
    <row r="1" spans="1:55">
      <c r="A1" s="1" t="s">
        <v>127</v>
      </c>
      <c r="B1" s="1" t="s">
        <v>31</v>
      </c>
      <c r="C1" s="1" t="s">
        <v>32</v>
      </c>
      <c r="D1" s="1" t="s">
        <v>33</v>
      </c>
      <c r="E1" s="1">
        <v>2000</v>
      </c>
      <c r="F1" s="1">
        <v>2001</v>
      </c>
      <c r="G1" s="1">
        <v>2002</v>
      </c>
      <c r="H1" s="1">
        <v>2003</v>
      </c>
      <c r="I1" s="1">
        <v>2004</v>
      </c>
      <c r="J1" s="1">
        <v>2005</v>
      </c>
      <c r="K1" s="1">
        <v>2006</v>
      </c>
      <c r="L1" s="1">
        <v>2007</v>
      </c>
      <c r="M1" s="1">
        <v>2008</v>
      </c>
      <c r="N1" s="1">
        <v>2009</v>
      </c>
      <c r="O1" s="1">
        <v>2010</v>
      </c>
      <c r="P1" s="1">
        <v>2011</v>
      </c>
      <c r="Q1" s="1">
        <v>2012</v>
      </c>
      <c r="R1" s="1">
        <v>2013</v>
      </c>
      <c r="S1" s="1">
        <v>2014</v>
      </c>
      <c r="T1" s="1">
        <v>2015</v>
      </c>
      <c r="U1" s="1">
        <v>2016</v>
      </c>
      <c r="V1" s="1">
        <v>2017</v>
      </c>
      <c r="W1" s="1">
        <v>2018</v>
      </c>
      <c r="X1" s="1">
        <v>2019</v>
      </c>
      <c r="Y1" s="1">
        <v>2020</v>
      </c>
      <c r="Z1" s="1">
        <v>2021</v>
      </c>
      <c r="AA1" s="1">
        <v>2022</v>
      </c>
      <c r="AB1" s="1">
        <v>2023</v>
      </c>
      <c r="AC1" s="1">
        <v>2024</v>
      </c>
      <c r="AD1" s="1">
        <v>2025</v>
      </c>
      <c r="AE1" s="1">
        <v>2026</v>
      </c>
      <c r="AF1" s="1">
        <v>2027</v>
      </c>
      <c r="AG1" s="1">
        <v>2028</v>
      </c>
      <c r="AH1" s="1">
        <v>2029</v>
      </c>
      <c r="AI1" s="1">
        <v>2030</v>
      </c>
      <c r="AJ1" s="1">
        <v>2031</v>
      </c>
      <c r="AK1" s="1">
        <v>2032</v>
      </c>
      <c r="AL1" s="1">
        <v>2033</v>
      </c>
      <c r="AM1" s="1">
        <v>2034</v>
      </c>
      <c r="AN1" s="1">
        <v>2035</v>
      </c>
      <c r="AO1" s="1">
        <v>2036</v>
      </c>
      <c r="AP1" s="1">
        <v>2037</v>
      </c>
      <c r="AQ1" s="1">
        <v>2038</v>
      </c>
      <c r="AR1" s="1">
        <v>2039</v>
      </c>
      <c r="AS1" s="1">
        <v>2040</v>
      </c>
      <c r="AT1" s="1">
        <v>2041</v>
      </c>
      <c r="AU1" s="1">
        <v>2042</v>
      </c>
      <c r="AV1" s="1">
        <v>2043</v>
      </c>
      <c r="AW1" s="1">
        <v>2044</v>
      </c>
      <c r="AX1" s="1">
        <v>2045</v>
      </c>
      <c r="AY1" s="1">
        <v>2046</v>
      </c>
      <c r="AZ1" s="1">
        <v>2047</v>
      </c>
      <c r="BA1" s="1">
        <v>2048</v>
      </c>
      <c r="BB1" s="1">
        <v>2049</v>
      </c>
      <c r="BC1" s="1">
        <v>2050</v>
      </c>
    </row>
    <row r="2" spans="1:55">
      <c r="A2" s="1" t="str">
        <f>'Population Definitions'!$A$2</f>
        <v>PWID_males</v>
      </c>
      <c r="C2" t="s">
        <v>34</v>
      </c>
      <c r="D2" s="3"/>
      <c r="E2" s="3">
        <v>0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</row>
    <row r="3" spans="1:55">
      <c r="A3" s="1" t="str">
        <f>'Population Definitions'!$A$3</f>
        <v>PWID_females</v>
      </c>
      <c r="C3" t="s">
        <v>34</v>
      </c>
      <c r="D3" s="3"/>
      <c r="E3" s="3">
        <v>0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</row>
    <row r="4" spans="1:55">
      <c r="A4" s="1" t="str">
        <f>'Population Definitions'!$A$4</f>
        <v>0-9_males</v>
      </c>
      <c r="C4" t="s">
        <v>34</v>
      </c>
      <c r="D4" s="3"/>
      <c r="E4" s="3">
        <v>0</v>
      </c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</row>
    <row r="5" spans="1:55">
      <c r="A5" s="1" t="str">
        <f>'Population Definitions'!$A$5</f>
        <v>0-9_females</v>
      </c>
      <c r="C5" t="s">
        <v>34</v>
      </c>
      <c r="D5" s="3"/>
      <c r="E5" s="3">
        <v>0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</row>
    <row r="6" spans="1:55">
      <c r="A6" s="1" t="str">
        <f>'Population Definitions'!$A$6</f>
        <v>10-17_males</v>
      </c>
      <c r="C6" t="s">
        <v>34</v>
      </c>
      <c r="D6" s="3"/>
      <c r="E6" s="3">
        <v>0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</row>
    <row r="7" spans="1:55">
      <c r="A7" s="1" t="str">
        <f>'Population Definitions'!$A$7</f>
        <v>10-17_females</v>
      </c>
      <c r="C7" t="s">
        <v>34</v>
      </c>
      <c r="D7" s="3"/>
      <c r="E7" s="3">
        <v>0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</row>
    <row r="8" spans="1:55">
      <c r="A8" s="1" t="str">
        <f>'Population Definitions'!$A$8</f>
        <v>18-64_males</v>
      </c>
      <c r="C8" t="s">
        <v>34</v>
      </c>
      <c r="D8" s="3"/>
      <c r="E8" s="3">
        <v>0</v>
      </c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</row>
    <row r="9" spans="1:55">
      <c r="A9" s="1" t="str">
        <f>'Population Definitions'!$A$9</f>
        <v>18-64_females</v>
      </c>
      <c r="C9" t="s">
        <v>34</v>
      </c>
      <c r="D9" s="3"/>
      <c r="E9" s="3">
        <v>0</v>
      </c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</row>
    <row r="10" spans="1:55">
      <c r="A10" s="1" t="str">
        <f>'Population Definitions'!$A$10</f>
        <v>65+_males</v>
      </c>
      <c r="C10" t="s">
        <v>34</v>
      </c>
      <c r="D10" s="3"/>
      <c r="E10" s="3">
        <v>0</v>
      </c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</row>
    <row r="11" spans="1:55">
      <c r="A11" s="1" t="str">
        <f>'Population Definitions'!$A$11</f>
        <v>65+_females</v>
      </c>
      <c r="C11" t="s">
        <v>34</v>
      </c>
      <c r="D11" s="3"/>
      <c r="E11" s="3">
        <v>0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</row>
    <row r="12" spans="1:55">
      <c r="A12" s="1" t="str">
        <f>'Population Definitions'!$A$12</f>
        <v>Prisoners_males</v>
      </c>
      <c r="C12" t="s">
        <v>34</v>
      </c>
      <c r="D12" s="3"/>
      <c r="E12" s="3">
        <v>0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</row>
    <row r="13" spans="1:55">
      <c r="A13" s="1" t="str">
        <f>'Population Definitions'!$A$13</f>
        <v>Prisoners_females</v>
      </c>
      <c r="C13" t="s">
        <v>34</v>
      </c>
      <c r="D13" s="3"/>
      <c r="E13" s="3">
        <v>0</v>
      </c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</row>
    <row r="14" spans="1:55">
      <c r="A14" s="1" t="str">
        <f>'Population Definitions'!$A$14</f>
        <v>Prisoners_PWID_males</v>
      </c>
      <c r="C14" t="s">
        <v>34</v>
      </c>
      <c r="D14" s="3"/>
      <c r="E14" s="3">
        <v>0</v>
      </c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</row>
    <row r="15" spans="1:55">
      <c r="A15" s="1" t="str">
        <f>'Population Definitions'!$A$15</f>
        <v>Prisoners_PWID_females</v>
      </c>
      <c r="C15" t="s">
        <v>34</v>
      </c>
      <c r="D15" s="3"/>
      <c r="E15" s="3">
        <v>0</v>
      </c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</row>
    <row r="17" spans="1:57">
      <c r="A17" s="1" t="s">
        <v>128</v>
      </c>
      <c r="B17" s="1" t="s">
        <v>31</v>
      </c>
      <c r="C17" s="1" t="s">
        <v>32</v>
      </c>
      <c r="D17" s="1" t="s">
        <v>33</v>
      </c>
      <c r="E17" s="1" t="s">
        <v>38</v>
      </c>
      <c r="F17" s="1"/>
      <c r="G17" s="1">
        <v>2000</v>
      </c>
      <c r="H17" s="1">
        <v>2001</v>
      </c>
      <c r="I17" s="1">
        <v>2002</v>
      </c>
      <c r="J17" s="1">
        <v>2003</v>
      </c>
      <c r="K17" s="1">
        <v>2004</v>
      </c>
      <c r="L17" s="1">
        <v>2005</v>
      </c>
      <c r="M17" s="1">
        <v>2006</v>
      </c>
      <c r="N17" s="1">
        <v>2007</v>
      </c>
      <c r="O17" s="1">
        <v>2008</v>
      </c>
      <c r="P17" s="1">
        <v>2009</v>
      </c>
      <c r="Q17" s="1">
        <v>2010</v>
      </c>
      <c r="R17" s="1">
        <v>2011</v>
      </c>
      <c r="S17" s="1">
        <v>2012</v>
      </c>
      <c r="T17" s="1">
        <v>2013</v>
      </c>
      <c r="U17" s="1">
        <v>2014</v>
      </c>
      <c r="V17" s="1">
        <v>2015</v>
      </c>
      <c r="W17" s="1">
        <v>2016</v>
      </c>
      <c r="X17" s="1">
        <v>2017</v>
      </c>
      <c r="Y17" s="1">
        <v>2018</v>
      </c>
      <c r="Z17" s="1">
        <v>2019</v>
      </c>
      <c r="AA17" s="1">
        <v>2020</v>
      </c>
      <c r="AB17" s="1">
        <v>2021</v>
      </c>
      <c r="AC17" s="1">
        <v>2022</v>
      </c>
      <c r="AD17" s="1">
        <v>2023</v>
      </c>
      <c r="AE17" s="1">
        <v>2024</v>
      </c>
      <c r="AF17" s="1">
        <v>2025</v>
      </c>
      <c r="AG17" s="1">
        <v>2026</v>
      </c>
      <c r="AH17" s="1">
        <v>2027</v>
      </c>
      <c r="AI17" s="1">
        <v>2028</v>
      </c>
      <c r="AJ17" s="1">
        <v>2029</v>
      </c>
      <c r="AK17" s="1">
        <v>2030</v>
      </c>
      <c r="AL17" s="1">
        <v>2031</v>
      </c>
      <c r="AM17" s="1">
        <v>2032</v>
      </c>
      <c r="AN17" s="1">
        <v>2033</v>
      </c>
      <c r="AO17" s="1">
        <v>2034</v>
      </c>
      <c r="AP17" s="1">
        <v>2035</v>
      </c>
      <c r="AQ17" s="1">
        <v>2036</v>
      </c>
      <c r="AR17" s="1">
        <v>2037</v>
      </c>
      <c r="AS17" s="1">
        <v>2038</v>
      </c>
      <c r="AT17" s="1">
        <v>2039</v>
      </c>
      <c r="AU17" s="1">
        <v>2040</v>
      </c>
      <c r="AV17" s="1">
        <v>2041</v>
      </c>
      <c r="AW17" s="1">
        <v>2042</v>
      </c>
      <c r="AX17" s="1">
        <v>2043</v>
      </c>
      <c r="AY17" s="1">
        <v>2044</v>
      </c>
      <c r="AZ17" s="1">
        <v>2045</v>
      </c>
      <c r="BA17" s="1">
        <v>2046</v>
      </c>
      <c r="BB17" s="1">
        <v>2047</v>
      </c>
      <c r="BC17" s="1">
        <v>2048</v>
      </c>
      <c r="BD17" s="1">
        <v>2049</v>
      </c>
      <c r="BE17" s="1">
        <v>2050</v>
      </c>
    </row>
    <row r="18" spans="1:57">
      <c r="A18" s="1" t="str">
        <f>'Population Definitions'!$A$2</f>
        <v>PWID_males</v>
      </c>
      <c r="C18" t="s">
        <v>34</v>
      </c>
      <c r="D18" s="3"/>
      <c r="E18" s="3">
        <v>351.90738</v>
      </c>
      <c r="F18" s="4" t="s">
        <v>39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</row>
    <row r="19" spans="1:57">
      <c r="A19" s="1" t="str">
        <f>'Population Definitions'!$A$3</f>
        <v>PWID_females</v>
      </c>
      <c r="C19" t="s">
        <v>34</v>
      </c>
      <c r="D19" s="3"/>
      <c r="E19" s="3">
        <v>99.30711380832001</v>
      </c>
      <c r="F19" s="4" t="s">
        <v>39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</row>
    <row r="20" spans="1:57">
      <c r="A20" s="1" t="str">
        <f>'Population Definitions'!$A$4</f>
        <v>0-9_males</v>
      </c>
      <c r="C20" t="s">
        <v>34</v>
      </c>
      <c r="D20" s="3"/>
      <c r="E20" s="3">
        <v>0</v>
      </c>
      <c r="F20" s="4" t="s">
        <v>39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</row>
    <row r="21" spans="1:57">
      <c r="A21" s="1" t="str">
        <f>'Population Definitions'!$A$5</f>
        <v>0-9_females</v>
      </c>
      <c r="C21" t="s">
        <v>34</v>
      </c>
      <c r="D21" s="3"/>
      <c r="E21" s="3">
        <v>0</v>
      </c>
      <c r="F21" s="4" t="s">
        <v>39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</row>
    <row r="22" spans="1:57">
      <c r="A22" s="1" t="str">
        <f>'Population Definitions'!$A$6</f>
        <v>10-17_males</v>
      </c>
      <c r="C22" t="s">
        <v>34</v>
      </c>
      <c r="D22" s="3"/>
      <c r="E22" s="3">
        <v>0</v>
      </c>
      <c r="F22" s="4" t="s">
        <v>39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</row>
    <row r="23" spans="1:57">
      <c r="A23" s="1" t="str">
        <f>'Population Definitions'!$A$7</f>
        <v>10-17_females</v>
      </c>
      <c r="C23" t="s">
        <v>34</v>
      </c>
      <c r="D23" s="3"/>
      <c r="E23" s="3">
        <v>0</v>
      </c>
      <c r="F23" s="4" t="s">
        <v>39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</row>
    <row r="24" spans="1:57">
      <c r="A24" s="1" t="str">
        <f>'Population Definitions'!$A$8</f>
        <v>18-64_males</v>
      </c>
      <c r="C24" t="s">
        <v>34</v>
      </c>
      <c r="D24" s="3"/>
      <c r="E24" s="3">
        <v>37248.72492355965</v>
      </c>
      <c r="F24" s="4" t="s">
        <v>39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</row>
    <row r="25" spans="1:57">
      <c r="A25" s="1" t="str">
        <f>'Population Definitions'!$A$9</f>
        <v>18-64_females</v>
      </c>
      <c r="C25" t="s">
        <v>34</v>
      </c>
      <c r="D25" s="3"/>
      <c r="E25" s="3">
        <v>39405.05126238232</v>
      </c>
      <c r="F25" s="4" t="s">
        <v>39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</row>
    <row r="26" spans="1:57">
      <c r="A26" s="1" t="str">
        <f>'Population Definitions'!$A$10</f>
        <v>65+_males</v>
      </c>
      <c r="C26" t="s">
        <v>34</v>
      </c>
      <c r="D26" s="3"/>
      <c r="E26" s="3">
        <v>2134.191567376406</v>
      </c>
      <c r="F26" s="4" t="s">
        <v>39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</row>
    <row r="27" spans="1:57">
      <c r="A27" s="1" t="str">
        <f>'Population Definitions'!$A$11</f>
        <v>65+_females</v>
      </c>
      <c r="C27" t="s">
        <v>34</v>
      </c>
      <c r="D27" s="3"/>
      <c r="E27" s="3">
        <v>2626.66975328005</v>
      </c>
      <c r="F27" s="4" t="s">
        <v>39</v>
      </c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</row>
    <row r="28" spans="1:57">
      <c r="A28" s="1" t="str">
        <f>'Population Definitions'!$A$12</f>
        <v>Prisoners_males</v>
      </c>
      <c r="C28" t="s">
        <v>34</v>
      </c>
      <c r="D28" s="3"/>
      <c r="E28" s="3">
        <v>54.86971059424308</v>
      </c>
      <c r="F28" s="4" t="s">
        <v>39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</row>
    <row r="29" spans="1:57">
      <c r="A29" s="1" t="str">
        <f>'Population Definitions'!$A$13</f>
        <v>Prisoners_females</v>
      </c>
      <c r="C29" t="s">
        <v>34</v>
      </c>
      <c r="D29" s="3"/>
      <c r="E29" s="3">
        <v>1.872492709007262</v>
      </c>
      <c r="F29" s="4" t="s">
        <v>39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</row>
    <row r="30" spans="1:57">
      <c r="A30" s="1" t="str">
        <f>'Population Definitions'!$A$14</f>
        <v>Prisoners_PWID_males</v>
      </c>
      <c r="C30" t="s">
        <v>34</v>
      </c>
      <c r="D30" s="3"/>
      <c r="E30" s="3">
        <v>137.11402077375</v>
      </c>
      <c r="F30" s="4" t="s">
        <v>39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</row>
    <row r="31" spans="1:57">
      <c r="A31" s="1" t="str">
        <f>'Population Definitions'!$A$15</f>
        <v>Prisoners_PWID_females</v>
      </c>
      <c r="C31" t="s">
        <v>34</v>
      </c>
      <c r="D31" s="3"/>
      <c r="E31" s="3">
        <v>4.679175476250004</v>
      </c>
      <c r="F31" s="4" t="s">
        <v>39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</row>
    <row r="33" spans="1:57">
      <c r="A33" s="1" t="s">
        <v>129</v>
      </c>
      <c r="B33" s="1" t="s">
        <v>31</v>
      </c>
      <c r="C33" s="1" t="s">
        <v>32</v>
      </c>
      <c r="D33" s="1" t="s">
        <v>33</v>
      </c>
      <c r="E33" s="1" t="s">
        <v>38</v>
      </c>
      <c r="F33" s="1"/>
      <c r="G33" s="1">
        <v>2000</v>
      </c>
      <c r="H33" s="1">
        <v>2001</v>
      </c>
      <c r="I33" s="1">
        <v>2002</v>
      </c>
      <c r="J33" s="1">
        <v>2003</v>
      </c>
      <c r="K33" s="1">
        <v>2004</v>
      </c>
      <c r="L33" s="1">
        <v>2005</v>
      </c>
      <c r="M33" s="1">
        <v>2006</v>
      </c>
      <c r="N33" s="1">
        <v>2007</v>
      </c>
      <c r="O33" s="1">
        <v>2008</v>
      </c>
      <c r="P33" s="1">
        <v>2009</v>
      </c>
      <c r="Q33" s="1">
        <v>2010</v>
      </c>
      <c r="R33" s="1">
        <v>2011</v>
      </c>
      <c r="S33" s="1">
        <v>2012</v>
      </c>
      <c r="T33" s="1">
        <v>2013</v>
      </c>
      <c r="U33" s="1">
        <v>2014</v>
      </c>
      <c r="V33" s="1">
        <v>2015</v>
      </c>
      <c r="W33" s="1">
        <v>2016</v>
      </c>
      <c r="X33" s="1">
        <v>2017</v>
      </c>
      <c r="Y33" s="1">
        <v>2018</v>
      </c>
      <c r="Z33" s="1">
        <v>2019</v>
      </c>
      <c r="AA33" s="1">
        <v>2020</v>
      </c>
      <c r="AB33" s="1">
        <v>2021</v>
      </c>
      <c r="AC33" s="1">
        <v>2022</v>
      </c>
      <c r="AD33" s="1">
        <v>2023</v>
      </c>
      <c r="AE33" s="1">
        <v>2024</v>
      </c>
      <c r="AF33" s="1">
        <v>2025</v>
      </c>
      <c r="AG33" s="1">
        <v>2026</v>
      </c>
      <c r="AH33" s="1">
        <v>2027</v>
      </c>
      <c r="AI33" s="1">
        <v>2028</v>
      </c>
      <c r="AJ33" s="1">
        <v>2029</v>
      </c>
      <c r="AK33" s="1">
        <v>2030</v>
      </c>
      <c r="AL33" s="1">
        <v>2031</v>
      </c>
      <c r="AM33" s="1">
        <v>2032</v>
      </c>
      <c r="AN33" s="1">
        <v>2033</v>
      </c>
      <c r="AO33" s="1">
        <v>2034</v>
      </c>
      <c r="AP33" s="1">
        <v>2035</v>
      </c>
      <c r="AQ33" s="1">
        <v>2036</v>
      </c>
      <c r="AR33" s="1">
        <v>2037</v>
      </c>
      <c r="AS33" s="1">
        <v>2038</v>
      </c>
      <c r="AT33" s="1">
        <v>2039</v>
      </c>
      <c r="AU33" s="1">
        <v>2040</v>
      </c>
      <c r="AV33" s="1">
        <v>2041</v>
      </c>
      <c r="AW33" s="1">
        <v>2042</v>
      </c>
      <c r="AX33" s="1">
        <v>2043</v>
      </c>
      <c r="AY33" s="1">
        <v>2044</v>
      </c>
      <c r="AZ33" s="1">
        <v>2045</v>
      </c>
      <c r="BA33" s="1">
        <v>2046</v>
      </c>
      <c r="BB33" s="1">
        <v>2047</v>
      </c>
      <c r="BC33" s="1">
        <v>2048</v>
      </c>
      <c r="BD33" s="1">
        <v>2049</v>
      </c>
      <c r="BE33" s="1">
        <v>2050</v>
      </c>
    </row>
    <row r="34" spans="1:57">
      <c r="A34" s="1" t="str">
        <f>'Population Definitions'!$A$2</f>
        <v>PWID_males</v>
      </c>
      <c r="C34" t="s">
        <v>34</v>
      </c>
      <c r="D34" s="3"/>
      <c r="E34" s="3">
        <v>70381.476</v>
      </c>
      <c r="F34" s="4" t="s">
        <v>39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</row>
    <row r="35" spans="1:57">
      <c r="A35" s="1" t="str">
        <f>'Population Definitions'!$A$3</f>
        <v>PWID_females</v>
      </c>
      <c r="C35" t="s">
        <v>34</v>
      </c>
      <c r="D35" s="3"/>
      <c r="E35" s="3">
        <v>19861.422761664</v>
      </c>
      <c r="F35" s="4" t="s">
        <v>39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</row>
    <row r="36" spans="1:57">
      <c r="A36" s="1" t="str">
        <f>'Population Definitions'!$A$4</f>
        <v>0-9_males</v>
      </c>
      <c r="C36" t="s">
        <v>34</v>
      </c>
      <c r="D36" s="3"/>
      <c r="E36" s="3">
        <v>5496435.5</v>
      </c>
      <c r="F36" s="4" t="s">
        <v>39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</row>
    <row r="37" spans="1:57">
      <c r="A37" s="1" t="str">
        <f>'Population Definitions'!$A$5</f>
        <v>0-9_females</v>
      </c>
      <c r="C37" t="s">
        <v>34</v>
      </c>
      <c r="D37" s="3"/>
      <c r="E37" s="3">
        <v>5428218.500000001</v>
      </c>
      <c r="F37" s="4" t="s">
        <v>39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</row>
    <row r="38" spans="1:57">
      <c r="A38" s="1" t="str">
        <f>'Population Definitions'!$A$6</f>
        <v>10-17_males</v>
      </c>
      <c r="C38" t="s">
        <v>34</v>
      </c>
      <c r="D38" s="3"/>
      <c r="E38" s="3">
        <v>3362471</v>
      </c>
      <c r="F38" s="4" t="s">
        <v>39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</row>
    <row r="39" spans="1:57">
      <c r="A39" s="1" t="str">
        <f>'Population Definitions'!$A$7</f>
        <v>10-17_females</v>
      </c>
      <c r="C39" t="s">
        <v>34</v>
      </c>
      <c r="D39" s="3"/>
      <c r="E39" s="3">
        <v>3334351.5</v>
      </c>
      <c r="F39" s="4" t="s">
        <v>39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</row>
    <row r="40" spans="1:57">
      <c r="A40" s="1" t="str">
        <f>'Population Definitions'!$A$8</f>
        <v>18-64_males</v>
      </c>
      <c r="C40" t="s">
        <v>34</v>
      </c>
      <c r="D40" s="3"/>
      <c r="E40" s="3">
        <v>7449744.984711931</v>
      </c>
      <c r="F40" s="4" t="s">
        <v>39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</row>
    <row r="41" spans="1:57">
      <c r="A41" s="1" t="str">
        <f>'Population Definitions'!$A$9</f>
        <v>18-64_females</v>
      </c>
      <c r="C41" t="s">
        <v>34</v>
      </c>
      <c r="D41" s="3"/>
      <c r="E41" s="3">
        <v>7881010.252476465</v>
      </c>
      <c r="F41" s="4" t="s">
        <v>39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</row>
    <row r="42" spans="1:57">
      <c r="A42" s="1" t="str">
        <f>'Population Definitions'!$A$10</f>
        <v>65+_males</v>
      </c>
      <c r="C42" t="s">
        <v>34</v>
      </c>
      <c r="D42" s="3"/>
      <c r="E42" s="3">
        <v>426838.3134752811</v>
      </c>
      <c r="F42" s="4" t="s">
        <v>39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</row>
    <row r="43" spans="1:57">
      <c r="A43" s="1" t="str">
        <f>'Population Definitions'!$A$11</f>
        <v>65+_females</v>
      </c>
      <c r="C43" t="s">
        <v>34</v>
      </c>
      <c r="D43" s="3"/>
      <c r="E43" s="3">
        <v>525333.9506560101</v>
      </c>
      <c r="F43" s="4" t="s">
        <v>39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</row>
    <row r="44" spans="1:57">
      <c r="A44" s="1" t="str">
        <f>'Population Definitions'!$A$12</f>
        <v>Prisoners_males</v>
      </c>
      <c r="C44" t="s">
        <v>34</v>
      </c>
      <c r="D44" s="3"/>
      <c r="E44" s="3">
        <v>10973.94211884862</v>
      </c>
      <c r="F44" s="4" t="s">
        <v>39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</row>
    <row r="45" spans="1:57">
      <c r="A45" s="1" t="str">
        <f>'Population Definitions'!$A$13</f>
        <v>Prisoners_females</v>
      </c>
      <c r="C45" t="s">
        <v>34</v>
      </c>
      <c r="D45" s="3"/>
      <c r="E45" s="3">
        <v>374.4985418014523</v>
      </c>
      <c r="F45" s="4" t="s">
        <v>39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</row>
    <row r="46" spans="1:57">
      <c r="A46" s="1" t="str">
        <f>'Population Definitions'!$A$14</f>
        <v>Prisoners_PWID_males</v>
      </c>
      <c r="C46" t="s">
        <v>34</v>
      </c>
      <c r="D46" s="3"/>
      <c r="E46" s="3">
        <v>27422.80415475</v>
      </c>
      <c r="F46" s="4" t="s">
        <v>39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</row>
    <row r="47" spans="1:57">
      <c r="A47" s="1" t="str">
        <f>'Population Definitions'!$A$15</f>
        <v>Prisoners_PWID_females</v>
      </c>
      <c r="C47" t="s">
        <v>34</v>
      </c>
      <c r="D47" s="3"/>
      <c r="E47" s="3">
        <v>935.8350952500007</v>
      </c>
      <c r="F47" s="4" t="s">
        <v>39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</row>
    <row r="49" spans="1:57">
      <c r="A49" s="1" t="s">
        <v>130</v>
      </c>
      <c r="B49" s="1" t="s">
        <v>31</v>
      </c>
      <c r="C49" s="1" t="s">
        <v>32</v>
      </c>
      <c r="D49" s="1" t="s">
        <v>33</v>
      </c>
      <c r="E49" s="1" t="s">
        <v>38</v>
      </c>
      <c r="F49" s="1"/>
      <c r="G49" s="1">
        <v>2000</v>
      </c>
      <c r="H49" s="1">
        <v>2001</v>
      </c>
      <c r="I49" s="1">
        <v>2002</v>
      </c>
      <c r="J49" s="1">
        <v>2003</v>
      </c>
      <c r="K49" s="1">
        <v>2004</v>
      </c>
      <c r="L49" s="1">
        <v>2005</v>
      </c>
      <c r="M49" s="1">
        <v>2006</v>
      </c>
      <c r="N49" s="1">
        <v>2007</v>
      </c>
      <c r="O49" s="1">
        <v>2008</v>
      </c>
      <c r="P49" s="1">
        <v>2009</v>
      </c>
      <c r="Q49" s="1">
        <v>2010</v>
      </c>
      <c r="R49" s="1">
        <v>2011</v>
      </c>
      <c r="S49" s="1">
        <v>2012</v>
      </c>
      <c r="T49" s="1">
        <v>2013</v>
      </c>
      <c r="U49" s="1">
        <v>2014</v>
      </c>
      <c r="V49" s="1">
        <v>2015</v>
      </c>
      <c r="W49" s="1">
        <v>2016</v>
      </c>
      <c r="X49" s="1">
        <v>2017</v>
      </c>
      <c r="Y49" s="1">
        <v>2018</v>
      </c>
      <c r="Z49" s="1">
        <v>2019</v>
      </c>
      <c r="AA49" s="1">
        <v>2020</v>
      </c>
      <c r="AB49" s="1">
        <v>2021</v>
      </c>
      <c r="AC49" s="1">
        <v>2022</v>
      </c>
      <c r="AD49" s="1">
        <v>2023</v>
      </c>
      <c r="AE49" s="1">
        <v>2024</v>
      </c>
      <c r="AF49" s="1">
        <v>2025</v>
      </c>
      <c r="AG49" s="1">
        <v>2026</v>
      </c>
      <c r="AH49" s="1">
        <v>2027</v>
      </c>
      <c r="AI49" s="1">
        <v>2028</v>
      </c>
      <c r="AJ49" s="1">
        <v>2029</v>
      </c>
      <c r="AK49" s="1">
        <v>2030</v>
      </c>
      <c r="AL49" s="1">
        <v>2031</v>
      </c>
      <c r="AM49" s="1">
        <v>2032</v>
      </c>
      <c r="AN49" s="1">
        <v>2033</v>
      </c>
      <c r="AO49" s="1">
        <v>2034</v>
      </c>
      <c r="AP49" s="1">
        <v>2035</v>
      </c>
      <c r="AQ49" s="1">
        <v>2036</v>
      </c>
      <c r="AR49" s="1">
        <v>2037</v>
      </c>
      <c r="AS49" s="1">
        <v>2038</v>
      </c>
      <c r="AT49" s="1">
        <v>2039</v>
      </c>
      <c r="AU49" s="1">
        <v>2040</v>
      </c>
      <c r="AV49" s="1">
        <v>2041</v>
      </c>
      <c r="AW49" s="1">
        <v>2042</v>
      </c>
      <c r="AX49" s="1">
        <v>2043</v>
      </c>
      <c r="AY49" s="1">
        <v>2044</v>
      </c>
      <c r="AZ49" s="1">
        <v>2045</v>
      </c>
      <c r="BA49" s="1">
        <v>2046</v>
      </c>
      <c r="BB49" s="1">
        <v>2047</v>
      </c>
      <c r="BC49" s="1">
        <v>2048</v>
      </c>
      <c r="BD49" s="1">
        <v>2049</v>
      </c>
      <c r="BE49" s="1">
        <v>2050</v>
      </c>
    </row>
    <row r="50" spans="1:57">
      <c r="A50" s="1" t="str">
        <f>'Population Definitions'!$A$2</f>
        <v>PWID_males</v>
      </c>
      <c r="B50" t="s">
        <v>62</v>
      </c>
      <c r="C50" t="s">
        <v>34</v>
      </c>
      <c r="D50" s="3"/>
      <c r="E50" s="3">
        <v>0</v>
      </c>
      <c r="F50" s="4" t="s">
        <v>39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</row>
    <row r="51" spans="1:57">
      <c r="A51" s="1" t="str">
        <f>'Population Definitions'!$A$3</f>
        <v>PWID_females</v>
      </c>
      <c r="B51" t="s">
        <v>62</v>
      </c>
      <c r="C51" t="s">
        <v>34</v>
      </c>
      <c r="D51" s="3"/>
      <c r="E51" s="3">
        <v>0</v>
      </c>
      <c r="F51" s="4" t="s">
        <v>39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</row>
    <row r="52" spans="1:57">
      <c r="A52" s="1" t="str">
        <f>'Population Definitions'!$A$4</f>
        <v>0-9_males</v>
      </c>
      <c r="B52" t="s">
        <v>62</v>
      </c>
      <c r="C52" t="s">
        <v>34</v>
      </c>
      <c r="D52" s="3"/>
      <c r="E52" s="3">
        <v>0</v>
      </c>
      <c r="F52" s="4" t="s">
        <v>39</v>
      </c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</row>
    <row r="53" spans="1:57">
      <c r="A53" s="1" t="str">
        <f>'Population Definitions'!$A$5</f>
        <v>0-9_females</v>
      </c>
      <c r="B53" t="s">
        <v>62</v>
      </c>
      <c r="C53" t="s">
        <v>34</v>
      </c>
      <c r="D53" s="3"/>
      <c r="E53" s="3">
        <v>0</v>
      </c>
      <c r="F53" s="4" t="s">
        <v>39</v>
      </c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</row>
    <row r="54" spans="1:57">
      <c r="A54" s="1" t="str">
        <f>'Population Definitions'!$A$6</f>
        <v>10-17_males</v>
      </c>
      <c r="B54" t="s">
        <v>62</v>
      </c>
      <c r="C54" t="s">
        <v>34</v>
      </c>
      <c r="D54" s="3"/>
      <c r="E54" s="3">
        <v>0</v>
      </c>
      <c r="F54" s="4" t="s">
        <v>39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</row>
    <row r="55" spans="1:57">
      <c r="A55" s="1" t="str">
        <f>'Population Definitions'!$A$7</f>
        <v>10-17_females</v>
      </c>
      <c r="B55" t="s">
        <v>62</v>
      </c>
      <c r="C55" t="s">
        <v>34</v>
      </c>
      <c r="D55" s="3"/>
      <c r="E55" s="3">
        <v>0</v>
      </c>
      <c r="F55" s="4" t="s">
        <v>39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</row>
    <row r="56" spans="1:57">
      <c r="A56" s="1" t="str">
        <f>'Population Definitions'!$A$8</f>
        <v>18-64_males</v>
      </c>
      <c r="B56" t="s">
        <v>62</v>
      </c>
      <c r="C56" t="s">
        <v>34</v>
      </c>
      <c r="D56" s="3"/>
      <c r="E56" s="3">
        <v>0</v>
      </c>
      <c r="F56" s="4" t="s">
        <v>39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</row>
    <row r="57" spans="1:57">
      <c r="A57" s="1" t="str">
        <f>'Population Definitions'!$A$9</f>
        <v>18-64_females</v>
      </c>
      <c r="B57" t="s">
        <v>62</v>
      </c>
      <c r="C57" t="s">
        <v>34</v>
      </c>
      <c r="D57" s="3"/>
      <c r="E57" s="3">
        <v>0</v>
      </c>
      <c r="F57" s="4" t="s">
        <v>39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</row>
    <row r="58" spans="1:57">
      <c r="A58" s="1" t="str">
        <f>'Population Definitions'!$A$10</f>
        <v>65+_males</v>
      </c>
      <c r="B58" t="s">
        <v>62</v>
      </c>
      <c r="C58" t="s">
        <v>34</v>
      </c>
      <c r="D58" s="3"/>
      <c r="E58" s="3">
        <v>0</v>
      </c>
      <c r="F58" s="4" t="s">
        <v>39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</row>
    <row r="59" spans="1:57">
      <c r="A59" s="1" t="str">
        <f>'Population Definitions'!$A$11</f>
        <v>65+_females</v>
      </c>
      <c r="B59" t="s">
        <v>62</v>
      </c>
      <c r="C59" t="s">
        <v>34</v>
      </c>
      <c r="D59" s="3"/>
      <c r="E59" s="3">
        <v>0</v>
      </c>
      <c r="F59" s="4" t="s">
        <v>39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</row>
    <row r="60" spans="1:57">
      <c r="A60" s="1" t="str">
        <f>'Population Definitions'!$A$12</f>
        <v>Prisoners_males</v>
      </c>
      <c r="B60" t="s">
        <v>62</v>
      </c>
      <c r="C60" t="s">
        <v>34</v>
      </c>
      <c r="D60" s="3"/>
      <c r="E60" s="3">
        <v>0</v>
      </c>
      <c r="F60" s="4" t="s">
        <v>39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</row>
    <row r="61" spans="1:57">
      <c r="A61" s="1" t="str">
        <f>'Population Definitions'!$A$13</f>
        <v>Prisoners_females</v>
      </c>
      <c r="B61" t="s">
        <v>62</v>
      </c>
      <c r="C61" t="s">
        <v>34</v>
      </c>
      <c r="D61" s="3"/>
      <c r="E61" s="3">
        <v>0</v>
      </c>
      <c r="F61" s="4" t="s">
        <v>39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</row>
    <row r="62" spans="1:57">
      <c r="A62" s="1" t="str">
        <f>'Population Definitions'!$A$14</f>
        <v>Prisoners_PWID_males</v>
      </c>
      <c r="B62" t="s">
        <v>62</v>
      </c>
      <c r="C62" t="s">
        <v>34</v>
      </c>
      <c r="D62" s="3"/>
      <c r="E62" s="3">
        <v>0</v>
      </c>
      <c r="F62" s="4" t="s">
        <v>39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</row>
    <row r="63" spans="1:57">
      <c r="A63" s="1" t="str">
        <f>'Population Definitions'!$A$15</f>
        <v>Prisoners_PWID_females</v>
      </c>
      <c r="B63" t="s">
        <v>62</v>
      </c>
      <c r="C63" t="s">
        <v>34</v>
      </c>
      <c r="D63" s="3"/>
      <c r="E63" s="3">
        <v>0</v>
      </c>
      <c r="F63" s="4" t="s">
        <v>39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</row>
    <row r="65" spans="1:57">
      <c r="A65" s="1" t="s">
        <v>131</v>
      </c>
      <c r="B65" s="1" t="s">
        <v>31</v>
      </c>
      <c r="C65" s="1" t="s">
        <v>32</v>
      </c>
      <c r="D65" s="1" t="s">
        <v>33</v>
      </c>
      <c r="E65" s="1" t="s">
        <v>38</v>
      </c>
      <c r="F65" s="1"/>
      <c r="G65" s="1">
        <v>2000</v>
      </c>
      <c r="H65" s="1">
        <v>2001</v>
      </c>
      <c r="I65" s="1">
        <v>2002</v>
      </c>
      <c r="J65" s="1">
        <v>2003</v>
      </c>
      <c r="K65" s="1">
        <v>2004</v>
      </c>
      <c r="L65" s="1">
        <v>2005</v>
      </c>
      <c r="M65" s="1">
        <v>2006</v>
      </c>
      <c r="N65" s="1">
        <v>2007</v>
      </c>
      <c r="O65" s="1">
        <v>2008</v>
      </c>
      <c r="P65" s="1">
        <v>2009</v>
      </c>
      <c r="Q65" s="1">
        <v>2010</v>
      </c>
      <c r="R65" s="1">
        <v>2011</v>
      </c>
      <c r="S65" s="1">
        <v>2012</v>
      </c>
      <c r="T65" s="1">
        <v>2013</v>
      </c>
      <c r="U65" s="1">
        <v>2014</v>
      </c>
      <c r="V65" s="1">
        <v>2015</v>
      </c>
      <c r="W65" s="1">
        <v>2016</v>
      </c>
      <c r="X65" s="1">
        <v>2017</v>
      </c>
      <c r="Y65" s="1">
        <v>2018</v>
      </c>
      <c r="Z65" s="1">
        <v>2019</v>
      </c>
      <c r="AA65" s="1">
        <v>2020</v>
      </c>
      <c r="AB65" s="1">
        <v>2021</v>
      </c>
      <c r="AC65" s="1">
        <v>2022</v>
      </c>
      <c r="AD65" s="1">
        <v>2023</v>
      </c>
      <c r="AE65" s="1">
        <v>2024</v>
      </c>
      <c r="AF65" s="1">
        <v>2025</v>
      </c>
      <c r="AG65" s="1">
        <v>2026</v>
      </c>
      <c r="AH65" s="1">
        <v>2027</v>
      </c>
      <c r="AI65" s="1">
        <v>2028</v>
      </c>
      <c r="AJ65" s="1">
        <v>2029</v>
      </c>
      <c r="AK65" s="1">
        <v>2030</v>
      </c>
      <c r="AL65" s="1">
        <v>2031</v>
      </c>
      <c r="AM65" s="1">
        <v>2032</v>
      </c>
      <c r="AN65" s="1">
        <v>2033</v>
      </c>
      <c r="AO65" s="1">
        <v>2034</v>
      </c>
      <c r="AP65" s="1">
        <v>2035</v>
      </c>
      <c r="AQ65" s="1">
        <v>2036</v>
      </c>
      <c r="AR65" s="1">
        <v>2037</v>
      </c>
      <c r="AS65" s="1">
        <v>2038</v>
      </c>
      <c r="AT65" s="1">
        <v>2039</v>
      </c>
      <c r="AU65" s="1">
        <v>2040</v>
      </c>
      <c r="AV65" s="1">
        <v>2041</v>
      </c>
      <c r="AW65" s="1">
        <v>2042</v>
      </c>
      <c r="AX65" s="1">
        <v>2043</v>
      </c>
      <c r="AY65" s="1">
        <v>2044</v>
      </c>
      <c r="AZ65" s="1">
        <v>2045</v>
      </c>
      <c r="BA65" s="1">
        <v>2046</v>
      </c>
      <c r="BB65" s="1">
        <v>2047</v>
      </c>
      <c r="BC65" s="1">
        <v>2048</v>
      </c>
      <c r="BD65" s="1">
        <v>2049</v>
      </c>
      <c r="BE65" s="1">
        <v>2050</v>
      </c>
    </row>
    <row r="66" spans="1:57">
      <c r="A66" s="1" t="str">
        <f>'Population Definitions'!$A$2</f>
        <v>PWID_males</v>
      </c>
      <c r="B66" t="s">
        <v>62</v>
      </c>
      <c r="C66" t="s">
        <v>34</v>
      </c>
      <c r="D66" s="3"/>
      <c r="E66" s="3">
        <v>0</v>
      </c>
      <c r="F66" s="4" t="s">
        <v>39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</row>
    <row r="67" spans="1:57">
      <c r="A67" s="1" t="str">
        <f>'Population Definitions'!$A$3</f>
        <v>PWID_females</v>
      </c>
      <c r="B67" t="s">
        <v>62</v>
      </c>
      <c r="C67" t="s">
        <v>34</v>
      </c>
      <c r="D67" s="3"/>
      <c r="E67" s="3">
        <v>0</v>
      </c>
      <c r="F67" s="4" t="s">
        <v>39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</row>
    <row r="68" spans="1:57">
      <c r="A68" s="1" t="str">
        <f>'Population Definitions'!$A$4</f>
        <v>0-9_males</v>
      </c>
      <c r="B68" t="s">
        <v>62</v>
      </c>
      <c r="C68" t="s">
        <v>34</v>
      </c>
      <c r="D68" s="3"/>
      <c r="E68" s="3">
        <v>0</v>
      </c>
      <c r="F68" s="4" t="s">
        <v>39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</row>
    <row r="69" spans="1:57">
      <c r="A69" s="1" t="str">
        <f>'Population Definitions'!$A$5</f>
        <v>0-9_females</v>
      </c>
      <c r="B69" t="s">
        <v>62</v>
      </c>
      <c r="C69" t="s">
        <v>34</v>
      </c>
      <c r="D69" s="3"/>
      <c r="E69" s="3">
        <v>0</v>
      </c>
      <c r="F69" s="4" t="s">
        <v>39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</row>
    <row r="70" spans="1:57">
      <c r="A70" s="1" t="str">
        <f>'Population Definitions'!$A$6</f>
        <v>10-17_males</v>
      </c>
      <c r="B70" t="s">
        <v>62</v>
      </c>
      <c r="C70" t="s">
        <v>34</v>
      </c>
      <c r="D70" s="3"/>
      <c r="E70" s="3">
        <v>0</v>
      </c>
      <c r="F70" s="4" t="s">
        <v>39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</row>
    <row r="71" spans="1:57">
      <c r="A71" s="1" t="str">
        <f>'Population Definitions'!$A$7</f>
        <v>10-17_females</v>
      </c>
      <c r="B71" t="s">
        <v>62</v>
      </c>
      <c r="C71" t="s">
        <v>34</v>
      </c>
      <c r="D71" s="3"/>
      <c r="E71" s="3">
        <v>0</v>
      </c>
      <c r="F71" s="4" t="s">
        <v>39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</row>
    <row r="72" spans="1:57">
      <c r="A72" s="1" t="str">
        <f>'Population Definitions'!$A$8</f>
        <v>18-64_males</v>
      </c>
      <c r="B72" t="s">
        <v>62</v>
      </c>
      <c r="C72" t="s">
        <v>34</v>
      </c>
      <c r="D72" s="3"/>
      <c r="E72" s="3">
        <v>0</v>
      </c>
      <c r="F72" s="4" t="s">
        <v>39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</row>
    <row r="73" spans="1:57">
      <c r="A73" s="1" t="str">
        <f>'Population Definitions'!$A$9</f>
        <v>18-64_females</v>
      </c>
      <c r="B73" t="s">
        <v>62</v>
      </c>
      <c r="C73" t="s">
        <v>34</v>
      </c>
      <c r="D73" s="3"/>
      <c r="E73" s="3">
        <v>0</v>
      </c>
      <c r="F73" s="4" t="s">
        <v>39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</row>
    <row r="74" spans="1:57">
      <c r="A74" s="1" t="str">
        <f>'Population Definitions'!$A$10</f>
        <v>65+_males</v>
      </c>
      <c r="B74" t="s">
        <v>62</v>
      </c>
      <c r="C74" t="s">
        <v>34</v>
      </c>
      <c r="D74" s="3"/>
      <c r="E74" s="3">
        <v>0</v>
      </c>
      <c r="F74" s="4" t="s">
        <v>39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</row>
    <row r="75" spans="1:57">
      <c r="A75" s="1" t="str">
        <f>'Population Definitions'!$A$11</f>
        <v>65+_females</v>
      </c>
      <c r="B75" t="s">
        <v>62</v>
      </c>
      <c r="C75" t="s">
        <v>34</v>
      </c>
      <c r="D75" s="3"/>
      <c r="E75" s="3">
        <v>0</v>
      </c>
      <c r="F75" s="4" t="s">
        <v>39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</row>
    <row r="76" spans="1:57">
      <c r="A76" s="1" t="str">
        <f>'Population Definitions'!$A$12</f>
        <v>Prisoners_males</v>
      </c>
      <c r="B76" t="s">
        <v>62</v>
      </c>
      <c r="C76" t="s">
        <v>34</v>
      </c>
      <c r="D76" s="3"/>
      <c r="E76" s="3">
        <v>0</v>
      </c>
      <c r="F76" s="4" t="s">
        <v>39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</row>
    <row r="77" spans="1:57">
      <c r="A77" s="1" t="str">
        <f>'Population Definitions'!$A$13</f>
        <v>Prisoners_females</v>
      </c>
      <c r="B77" t="s">
        <v>62</v>
      </c>
      <c r="C77" t="s">
        <v>34</v>
      </c>
      <c r="D77" s="3"/>
      <c r="E77" s="3">
        <v>0</v>
      </c>
      <c r="F77" s="4" t="s">
        <v>39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</row>
    <row r="78" spans="1:57">
      <c r="A78" s="1" t="str">
        <f>'Population Definitions'!$A$14</f>
        <v>Prisoners_PWID_males</v>
      </c>
      <c r="B78" t="s">
        <v>62</v>
      </c>
      <c r="C78" t="s">
        <v>34</v>
      </c>
      <c r="D78" s="3"/>
      <c r="E78" s="3">
        <v>0</v>
      </c>
      <c r="F78" s="4" t="s">
        <v>39</v>
      </c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/>
      <c r="BC78" s="3"/>
      <c r="BD78" s="3"/>
      <c r="BE78" s="3"/>
    </row>
    <row r="79" spans="1:57">
      <c r="A79" s="1" t="str">
        <f>'Population Definitions'!$A$15</f>
        <v>Prisoners_PWID_females</v>
      </c>
      <c r="B79" t="s">
        <v>62</v>
      </c>
      <c r="C79" t="s">
        <v>34</v>
      </c>
      <c r="D79" s="3"/>
      <c r="E79" s="3">
        <v>0</v>
      </c>
      <c r="F79" s="4" t="s">
        <v>39</v>
      </c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3"/>
      <c r="BC79" s="3"/>
      <c r="BD79" s="3"/>
      <c r="BE79" s="3"/>
    </row>
    <row r="81" spans="1:57">
      <c r="A81" s="1" t="s">
        <v>132</v>
      </c>
      <c r="B81" s="1" t="s">
        <v>31</v>
      </c>
      <c r="C81" s="1" t="s">
        <v>32</v>
      </c>
      <c r="D81" s="1" t="s">
        <v>33</v>
      </c>
      <c r="E81" s="1" t="s">
        <v>38</v>
      </c>
      <c r="F81" s="1"/>
      <c r="G81" s="1">
        <v>2000</v>
      </c>
      <c r="H81" s="1">
        <v>2001</v>
      </c>
      <c r="I81" s="1">
        <v>2002</v>
      </c>
      <c r="J81" s="1">
        <v>2003</v>
      </c>
      <c r="K81" s="1">
        <v>2004</v>
      </c>
      <c r="L81" s="1">
        <v>2005</v>
      </c>
      <c r="M81" s="1">
        <v>2006</v>
      </c>
      <c r="N81" s="1">
        <v>2007</v>
      </c>
      <c r="O81" s="1">
        <v>2008</v>
      </c>
      <c r="P81" s="1">
        <v>2009</v>
      </c>
      <c r="Q81" s="1">
        <v>2010</v>
      </c>
      <c r="R81" s="1">
        <v>2011</v>
      </c>
      <c r="S81" s="1">
        <v>2012</v>
      </c>
      <c r="T81" s="1">
        <v>2013</v>
      </c>
      <c r="U81" s="1">
        <v>2014</v>
      </c>
      <c r="V81" s="1">
        <v>2015</v>
      </c>
      <c r="W81" s="1">
        <v>2016</v>
      </c>
      <c r="X81" s="1">
        <v>2017</v>
      </c>
      <c r="Y81" s="1">
        <v>2018</v>
      </c>
      <c r="Z81" s="1">
        <v>2019</v>
      </c>
      <c r="AA81" s="1">
        <v>2020</v>
      </c>
      <c r="AB81" s="1">
        <v>2021</v>
      </c>
      <c r="AC81" s="1">
        <v>2022</v>
      </c>
      <c r="AD81" s="1">
        <v>2023</v>
      </c>
      <c r="AE81" s="1">
        <v>2024</v>
      </c>
      <c r="AF81" s="1">
        <v>2025</v>
      </c>
      <c r="AG81" s="1">
        <v>2026</v>
      </c>
      <c r="AH81" s="1">
        <v>2027</v>
      </c>
      <c r="AI81" s="1">
        <v>2028</v>
      </c>
      <c r="AJ81" s="1">
        <v>2029</v>
      </c>
      <c r="AK81" s="1">
        <v>2030</v>
      </c>
      <c r="AL81" s="1">
        <v>2031</v>
      </c>
      <c r="AM81" s="1">
        <v>2032</v>
      </c>
      <c r="AN81" s="1">
        <v>2033</v>
      </c>
      <c r="AO81" s="1">
        <v>2034</v>
      </c>
      <c r="AP81" s="1">
        <v>2035</v>
      </c>
      <c r="AQ81" s="1">
        <v>2036</v>
      </c>
      <c r="AR81" s="1">
        <v>2037</v>
      </c>
      <c r="AS81" s="1">
        <v>2038</v>
      </c>
      <c r="AT81" s="1">
        <v>2039</v>
      </c>
      <c r="AU81" s="1">
        <v>2040</v>
      </c>
      <c r="AV81" s="1">
        <v>2041</v>
      </c>
      <c r="AW81" s="1">
        <v>2042</v>
      </c>
      <c r="AX81" s="1">
        <v>2043</v>
      </c>
      <c r="AY81" s="1">
        <v>2044</v>
      </c>
      <c r="AZ81" s="1">
        <v>2045</v>
      </c>
      <c r="BA81" s="1">
        <v>2046</v>
      </c>
      <c r="BB81" s="1">
        <v>2047</v>
      </c>
      <c r="BC81" s="1">
        <v>2048</v>
      </c>
      <c r="BD81" s="1">
        <v>2049</v>
      </c>
      <c r="BE81" s="1">
        <v>2050</v>
      </c>
    </row>
    <row r="82" spans="1:57">
      <c r="A82" s="1" t="str">
        <f>'Population Definitions'!$A$2</f>
        <v>PWID_males</v>
      </c>
      <c r="B82" t="s">
        <v>62</v>
      </c>
      <c r="C82" t="s">
        <v>34</v>
      </c>
      <c r="D82" s="3"/>
      <c r="E82" s="3">
        <v>0</v>
      </c>
      <c r="F82" s="4" t="s">
        <v>39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</row>
    <row r="83" spans="1:57">
      <c r="A83" s="1" t="str">
        <f>'Population Definitions'!$A$3</f>
        <v>PWID_females</v>
      </c>
      <c r="B83" t="s">
        <v>62</v>
      </c>
      <c r="C83" t="s">
        <v>34</v>
      </c>
      <c r="D83" s="3"/>
      <c r="E83" s="3">
        <v>0</v>
      </c>
      <c r="F83" s="4" t="s">
        <v>39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</row>
    <row r="84" spans="1:57">
      <c r="A84" s="1" t="str">
        <f>'Population Definitions'!$A$4</f>
        <v>0-9_males</v>
      </c>
      <c r="B84" t="s">
        <v>62</v>
      </c>
      <c r="C84" t="s">
        <v>34</v>
      </c>
      <c r="D84" s="3"/>
      <c r="E84" s="3">
        <v>0</v>
      </c>
      <c r="F84" s="4" t="s">
        <v>39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</row>
    <row r="85" spans="1:57">
      <c r="A85" s="1" t="str">
        <f>'Population Definitions'!$A$5</f>
        <v>0-9_females</v>
      </c>
      <c r="B85" t="s">
        <v>62</v>
      </c>
      <c r="C85" t="s">
        <v>34</v>
      </c>
      <c r="D85" s="3"/>
      <c r="E85" s="3">
        <v>0</v>
      </c>
      <c r="F85" s="4" t="s">
        <v>39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</row>
    <row r="86" spans="1:57">
      <c r="A86" s="1" t="str">
        <f>'Population Definitions'!$A$6</f>
        <v>10-17_males</v>
      </c>
      <c r="B86" t="s">
        <v>62</v>
      </c>
      <c r="C86" t="s">
        <v>34</v>
      </c>
      <c r="D86" s="3"/>
      <c r="E86" s="3">
        <v>0</v>
      </c>
      <c r="F86" s="4" t="s">
        <v>39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</row>
    <row r="87" spans="1:57">
      <c r="A87" s="1" t="str">
        <f>'Population Definitions'!$A$7</f>
        <v>10-17_females</v>
      </c>
      <c r="B87" t="s">
        <v>62</v>
      </c>
      <c r="C87" t="s">
        <v>34</v>
      </c>
      <c r="D87" s="3"/>
      <c r="E87" s="3">
        <v>0</v>
      </c>
      <c r="F87" s="4" t="s">
        <v>39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</row>
    <row r="88" spans="1:57">
      <c r="A88" s="1" t="str">
        <f>'Population Definitions'!$A$8</f>
        <v>18-64_males</v>
      </c>
      <c r="B88" t="s">
        <v>62</v>
      </c>
      <c r="C88" t="s">
        <v>34</v>
      </c>
      <c r="D88" s="3"/>
      <c r="E88" s="3">
        <v>0</v>
      </c>
      <c r="F88" s="4" t="s">
        <v>39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</row>
    <row r="89" spans="1:57">
      <c r="A89" s="1" t="str">
        <f>'Population Definitions'!$A$9</f>
        <v>18-64_females</v>
      </c>
      <c r="B89" t="s">
        <v>62</v>
      </c>
      <c r="C89" t="s">
        <v>34</v>
      </c>
      <c r="D89" s="3"/>
      <c r="E89" s="3">
        <v>0</v>
      </c>
      <c r="F89" s="4" t="s">
        <v>39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</row>
    <row r="90" spans="1:57">
      <c r="A90" s="1" t="str">
        <f>'Population Definitions'!$A$10</f>
        <v>65+_males</v>
      </c>
      <c r="B90" t="s">
        <v>62</v>
      </c>
      <c r="C90" t="s">
        <v>34</v>
      </c>
      <c r="D90" s="3"/>
      <c r="E90" s="3">
        <v>0</v>
      </c>
      <c r="F90" s="4" t="s">
        <v>39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</row>
    <row r="91" spans="1:57">
      <c r="A91" s="1" t="str">
        <f>'Population Definitions'!$A$11</f>
        <v>65+_females</v>
      </c>
      <c r="B91" t="s">
        <v>62</v>
      </c>
      <c r="C91" t="s">
        <v>34</v>
      </c>
      <c r="D91" s="3"/>
      <c r="E91" s="3">
        <v>0</v>
      </c>
      <c r="F91" s="4" t="s">
        <v>39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</row>
    <row r="92" spans="1:57">
      <c r="A92" s="1" t="str">
        <f>'Population Definitions'!$A$12</f>
        <v>Prisoners_males</v>
      </c>
      <c r="B92" t="s">
        <v>62</v>
      </c>
      <c r="C92" t="s">
        <v>34</v>
      </c>
      <c r="D92" s="3"/>
      <c r="E92" s="3">
        <v>0</v>
      </c>
      <c r="F92" s="4" t="s">
        <v>39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</row>
    <row r="93" spans="1:57">
      <c r="A93" s="1" t="str">
        <f>'Population Definitions'!$A$13</f>
        <v>Prisoners_females</v>
      </c>
      <c r="B93" t="s">
        <v>62</v>
      </c>
      <c r="C93" t="s">
        <v>34</v>
      </c>
      <c r="D93" s="3"/>
      <c r="E93" s="3">
        <v>0</v>
      </c>
      <c r="F93" s="4" t="s">
        <v>39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</row>
    <row r="94" spans="1:57">
      <c r="A94" s="1" t="str">
        <f>'Population Definitions'!$A$14</f>
        <v>Prisoners_PWID_males</v>
      </c>
      <c r="B94" t="s">
        <v>62</v>
      </c>
      <c r="C94" t="s">
        <v>34</v>
      </c>
      <c r="D94" s="3"/>
      <c r="E94" s="3">
        <v>0</v>
      </c>
      <c r="F94" s="4" t="s">
        <v>39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</row>
    <row r="95" spans="1:57">
      <c r="A95" s="1" t="str">
        <f>'Population Definitions'!$A$15</f>
        <v>Prisoners_PWID_females</v>
      </c>
      <c r="B95" t="s">
        <v>62</v>
      </c>
      <c r="C95" t="s">
        <v>34</v>
      </c>
      <c r="D95" s="3"/>
      <c r="E95" s="3">
        <v>0</v>
      </c>
      <c r="F95" s="4" t="s">
        <v>39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</row>
    <row r="97" spans="1:57">
      <c r="A97" s="1" t="s">
        <v>133</v>
      </c>
      <c r="B97" s="1" t="s">
        <v>31</v>
      </c>
      <c r="C97" s="1" t="s">
        <v>32</v>
      </c>
      <c r="D97" s="1" t="s">
        <v>33</v>
      </c>
      <c r="E97" s="1" t="s">
        <v>38</v>
      </c>
      <c r="F97" s="1"/>
      <c r="G97" s="1">
        <v>2000</v>
      </c>
      <c r="H97" s="1">
        <v>2001</v>
      </c>
      <c r="I97" s="1">
        <v>2002</v>
      </c>
      <c r="J97" s="1">
        <v>2003</v>
      </c>
      <c r="K97" s="1">
        <v>2004</v>
      </c>
      <c r="L97" s="1">
        <v>2005</v>
      </c>
      <c r="M97" s="1">
        <v>2006</v>
      </c>
      <c r="N97" s="1">
        <v>2007</v>
      </c>
      <c r="O97" s="1">
        <v>2008</v>
      </c>
      <c r="P97" s="1">
        <v>2009</v>
      </c>
      <c r="Q97" s="1">
        <v>2010</v>
      </c>
      <c r="R97" s="1">
        <v>2011</v>
      </c>
      <c r="S97" s="1">
        <v>2012</v>
      </c>
      <c r="T97" s="1">
        <v>2013</v>
      </c>
      <c r="U97" s="1">
        <v>2014</v>
      </c>
      <c r="V97" s="1">
        <v>2015</v>
      </c>
      <c r="W97" s="1">
        <v>2016</v>
      </c>
      <c r="X97" s="1">
        <v>2017</v>
      </c>
      <c r="Y97" s="1">
        <v>2018</v>
      </c>
      <c r="Z97" s="1">
        <v>2019</v>
      </c>
      <c r="AA97" s="1">
        <v>2020</v>
      </c>
      <c r="AB97" s="1">
        <v>2021</v>
      </c>
      <c r="AC97" s="1">
        <v>2022</v>
      </c>
      <c r="AD97" s="1">
        <v>2023</v>
      </c>
      <c r="AE97" s="1">
        <v>2024</v>
      </c>
      <c r="AF97" s="1">
        <v>2025</v>
      </c>
      <c r="AG97" s="1">
        <v>2026</v>
      </c>
      <c r="AH97" s="1">
        <v>2027</v>
      </c>
      <c r="AI97" s="1">
        <v>2028</v>
      </c>
      <c r="AJ97" s="1">
        <v>2029</v>
      </c>
      <c r="AK97" s="1">
        <v>2030</v>
      </c>
      <c r="AL97" s="1">
        <v>2031</v>
      </c>
      <c r="AM97" s="1">
        <v>2032</v>
      </c>
      <c r="AN97" s="1">
        <v>2033</v>
      </c>
      <c r="AO97" s="1">
        <v>2034</v>
      </c>
      <c r="AP97" s="1">
        <v>2035</v>
      </c>
      <c r="AQ97" s="1">
        <v>2036</v>
      </c>
      <c r="AR97" s="1">
        <v>2037</v>
      </c>
      <c r="AS97" s="1">
        <v>2038</v>
      </c>
      <c r="AT97" s="1">
        <v>2039</v>
      </c>
      <c r="AU97" s="1">
        <v>2040</v>
      </c>
      <c r="AV97" s="1">
        <v>2041</v>
      </c>
      <c r="AW97" s="1">
        <v>2042</v>
      </c>
      <c r="AX97" s="1">
        <v>2043</v>
      </c>
      <c r="AY97" s="1">
        <v>2044</v>
      </c>
      <c r="AZ97" s="1">
        <v>2045</v>
      </c>
      <c r="BA97" s="1">
        <v>2046</v>
      </c>
      <c r="BB97" s="1">
        <v>2047</v>
      </c>
      <c r="BC97" s="1">
        <v>2048</v>
      </c>
      <c r="BD97" s="1">
        <v>2049</v>
      </c>
      <c r="BE97" s="1">
        <v>2050</v>
      </c>
    </row>
    <row r="98" spans="1:57">
      <c r="A98" s="1" t="str">
        <f>'Population Definitions'!$A$2</f>
        <v>PWID_males</v>
      </c>
      <c r="B98" t="s">
        <v>62</v>
      </c>
      <c r="C98" t="s">
        <v>34</v>
      </c>
      <c r="D98" s="3"/>
      <c r="E98" s="3">
        <v>0</v>
      </c>
      <c r="F98" s="4" t="s">
        <v>39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</row>
    <row r="99" spans="1:57">
      <c r="A99" s="1" t="str">
        <f>'Population Definitions'!$A$3</f>
        <v>PWID_females</v>
      </c>
      <c r="B99" t="s">
        <v>62</v>
      </c>
      <c r="C99" t="s">
        <v>34</v>
      </c>
      <c r="D99" s="3"/>
      <c r="E99" s="3">
        <v>0</v>
      </c>
      <c r="F99" s="4" t="s">
        <v>39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</row>
    <row r="100" spans="1:57">
      <c r="A100" s="1" t="str">
        <f>'Population Definitions'!$A$4</f>
        <v>0-9_males</v>
      </c>
      <c r="B100" t="s">
        <v>62</v>
      </c>
      <c r="C100" t="s">
        <v>34</v>
      </c>
      <c r="D100" s="3"/>
      <c r="E100" s="3">
        <v>0</v>
      </c>
      <c r="F100" s="4" t="s">
        <v>39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</row>
    <row r="101" spans="1:57">
      <c r="A101" s="1" t="str">
        <f>'Population Definitions'!$A$5</f>
        <v>0-9_females</v>
      </c>
      <c r="B101" t="s">
        <v>62</v>
      </c>
      <c r="C101" t="s">
        <v>34</v>
      </c>
      <c r="D101" s="3"/>
      <c r="E101" s="3">
        <v>0</v>
      </c>
      <c r="F101" s="4" t="s">
        <v>39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</row>
    <row r="102" spans="1:57">
      <c r="A102" s="1" t="str">
        <f>'Population Definitions'!$A$6</f>
        <v>10-17_males</v>
      </c>
      <c r="B102" t="s">
        <v>62</v>
      </c>
      <c r="C102" t="s">
        <v>34</v>
      </c>
      <c r="D102" s="3"/>
      <c r="E102" s="3">
        <v>0</v>
      </c>
      <c r="F102" s="4" t="s">
        <v>39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</row>
    <row r="103" spans="1:57">
      <c r="A103" s="1" t="str">
        <f>'Population Definitions'!$A$7</f>
        <v>10-17_females</v>
      </c>
      <c r="B103" t="s">
        <v>62</v>
      </c>
      <c r="C103" t="s">
        <v>34</v>
      </c>
      <c r="D103" s="3"/>
      <c r="E103" s="3">
        <v>0</v>
      </c>
      <c r="F103" s="4" t="s">
        <v>39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</row>
    <row r="104" spans="1:57">
      <c r="A104" s="1" t="str">
        <f>'Population Definitions'!$A$8</f>
        <v>18-64_males</v>
      </c>
      <c r="B104" t="s">
        <v>62</v>
      </c>
      <c r="C104" t="s">
        <v>34</v>
      </c>
      <c r="D104" s="3"/>
      <c r="E104" s="3">
        <v>0</v>
      </c>
      <c r="F104" s="4" t="s">
        <v>39</v>
      </c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  <c r="AV104" s="3"/>
      <c r="AW104" s="3"/>
      <c r="AX104" s="3"/>
      <c r="AY104" s="3"/>
      <c r="AZ104" s="3"/>
      <c r="BA104" s="3"/>
      <c r="BB104" s="3"/>
      <c r="BC104" s="3"/>
      <c r="BD104" s="3"/>
      <c r="BE104" s="3"/>
    </row>
    <row r="105" spans="1:57">
      <c r="A105" s="1" t="str">
        <f>'Population Definitions'!$A$9</f>
        <v>18-64_females</v>
      </c>
      <c r="B105" t="s">
        <v>62</v>
      </c>
      <c r="C105" t="s">
        <v>34</v>
      </c>
      <c r="D105" s="3"/>
      <c r="E105" s="3">
        <v>0</v>
      </c>
      <c r="F105" s="4" t="s">
        <v>39</v>
      </c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/>
      <c r="AV105" s="3"/>
      <c r="AW105" s="3"/>
      <c r="AX105" s="3"/>
      <c r="AY105" s="3"/>
      <c r="AZ105" s="3"/>
      <c r="BA105" s="3"/>
      <c r="BB105" s="3"/>
      <c r="BC105" s="3"/>
      <c r="BD105" s="3"/>
      <c r="BE105" s="3"/>
    </row>
    <row r="106" spans="1:57">
      <c r="A106" s="1" t="str">
        <f>'Population Definitions'!$A$10</f>
        <v>65+_males</v>
      </c>
      <c r="B106" t="s">
        <v>62</v>
      </c>
      <c r="C106" t="s">
        <v>34</v>
      </c>
      <c r="D106" s="3"/>
      <c r="E106" s="3">
        <v>0</v>
      </c>
      <c r="F106" s="4" t="s">
        <v>39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</row>
    <row r="107" spans="1:57">
      <c r="A107" s="1" t="str">
        <f>'Population Definitions'!$A$11</f>
        <v>65+_females</v>
      </c>
      <c r="B107" t="s">
        <v>62</v>
      </c>
      <c r="C107" t="s">
        <v>34</v>
      </c>
      <c r="D107" s="3"/>
      <c r="E107" s="3">
        <v>0</v>
      </c>
      <c r="F107" s="4" t="s">
        <v>39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</row>
    <row r="108" spans="1:57">
      <c r="A108" s="1" t="str">
        <f>'Population Definitions'!$A$12</f>
        <v>Prisoners_males</v>
      </c>
      <c r="B108" t="s">
        <v>62</v>
      </c>
      <c r="C108" t="s">
        <v>34</v>
      </c>
      <c r="D108" s="3"/>
      <c r="E108" s="3">
        <v>0</v>
      </c>
      <c r="F108" s="4" t="s">
        <v>39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</row>
    <row r="109" spans="1:57">
      <c r="A109" s="1" t="str">
        <f>'Population Definitions'!$A$13</f>
        <v>Prisoners_females</v>
      </c>
      <c r="B109" t="s">
        <v>62</v>
      </c>
      <c r="C109" t="s">
        <v>34</v>
      </c>
      <c r="D109" s="3"/>
      <c r="E109" s="3">
        <v>0</v>
      </c>
      <c r="F109" s="4" t="s">
        <v>39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</row>
    <row r="110" spans="1:57">
      <c r="A110" s="1" t="str">
        <f>'Population Definitions'!$A$14</f>
        <v>Prisoners_PWID_males</v>
      </c>
      <c r="B110" t="s">
        <v>62</v>
      </c>
      <c r="C110" t="s">
        <v>34</v>
      </c>
      <c r="D110" s="3"/>
      <c r="E110" s="3">
        <v>0</v>
      </c>
      <c r="F110" s="4" t="s">
        <v>39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</row>
    <row r="111" spans="1:57">
      <c r="A111" s="1" t="str">
        <f>'Population Definitions'!$A$15</f>
        <v>Prisoners_PWID_females</v>
      </c>
      <c r="B111" t="s">
        <v>62</v>
      </c>
      <c r="C111" t="s">
        <v>34</v>
      </c>
      <c r="D111" s="3"/>
      <c r="E111" s="3">
        <v>0</v>
      </c>
      <c r="F111" s="4" t="s">
        <v>39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</row>
    <row r="113" spans="1:57">
      <c r="A113" s="1" t="s">
        <v>134</v>
      </c>
      <c r="B113" s="1" t="s">
        <v>31</v>
      </c>
      <c r="C113" s="1" t="s">
        <v>32</v>
      </c>
      <c r="D113" s="1" t="s">
        <v>33</v>
      </c>
      <c r="E113" s="1" t="s">
        <v>38</v>
      </c>
      <c r="F113" s="1"/>
      <c r="G113" s="1">
        <v>2000</v>
      </c>
      <c r="H113" s="1">
        <v>2001</v>
      </c>
      <c r="I113" s="1">
        <v>2002</v>
      </c>
      <c r="J113" s="1">
        <v>2003</v>
      </c>
      <c r="K113" s="1">
        <v>2004</v>
      </c>
      <c r="L113" s="1">
        <v>2005</v>
      </c>
      <c r="M113" s="1">
        <v>2006</v>
      </c>
      <c r="N113" s="1">
        <v>2007</v>
      </c>
      <c r="O113" s="1">
        <v>2008</v>
      </c>
      <c r="P113" s="1">
        <v>2009</v>
      </c>
      <c r="Q113" s="1">
        <v>2010</v>
      </c>
      <c r="R113" s="1">
        <v>2011</v>
      </c>
      <c r="S113" s="1">
        <v>2012</v>
      </c>
      <c r="T113" s="1">
        <v>2013</v>
      </c>
      <c r="U113" s="1">
        <v>2014</v>
      </c>
      <c r="V113" s="1">
        <v>2015</v>
      </c>
      <c r="W113" s="1">
        <v>2016</v>
      </c>
      <c r="X113" s="1">
        <v>2017</v>
      </c>
      <c r="Y113" s="1">
        <v>2018</v>
      </c>
      <c r="Z113" s="1">
        <v>2019</v>
      </c>
      <c r="AA113" s="1">
        <v>2020</v>
      </c>
      <c r="AB113" s="1">
        <v>2021</v>
      </c>
      <c r="AC113" s="1">
        <v>2022</v>
      </c>
      <c r="AD113" s="1">
        <v>2023</v>
      </c>
      <c r="AE113" s="1">
        <v>2024</v>
      </c>
      <c r="AF113" s="1">
        <v>2025</v>
      </c>
      <c r="AG113" s="1">
        <v>2026</v>
      </c>
      <c r="AH113" s="1">
        <v>2027</v>
      </c>
      <c r="AI113" s="1">
        <v>2028</v>
      </c>
      <c r="AJ113" s="1">
        <v>2029</v>
      </c>
      <c r="AK113" s="1">
        <v>2030</v>
      </c>
      <c r="AL113" s="1">
        <v>2031</v>
      </c>
      <c r="AM113" s="1">
        <v>2032</v>
      </c>
      <c r="AN113" s="1">
        <v>2033</v>
      </c>
      <c r="AO113" s="1">
        <v>2034</v>
      </c>
      <c r="AP113" s="1">
        <v>2035</v>
      </c>
      <c r="AQ113" s="1">
        <v>2036</v>
      </c>
      <c r="AR113" s="1">
        <v>2037</v>
      </c>
      <c r="AS113" s="1">
        <v>2038</v>
      </c>
      <c r="AT113" s="1">
        <v>2039</v>
      </c>
      <c r="AU113" s="1">
        <v>2040</v>
      </c>
      <c r="AV113" s="1">
        <v>2041</v>
      </c>
      <c r="AW113" s="1">
        <v>2042</v>
      </c>
      <c r="AX113" s="1">
        <v>2043</v>
      </c>
      <c r="AY113" s="1">
        <v>2044</v>
      </c>
      <c r="AZ113" s="1">
        <v>2045</v>
      </c>
      <c r="BA113" s="1">
        <v>2046</v>
      </c>
      <c r="BB113" s="1">
        <v>2047</v>
      </c>
      <c r="BC113" s="1">
        <v>2048</v>
      </c>
      <c r="BD113" s="1">
        <v>2049</v>
      </c>
      <c r="BE113" s="1">
        <v>2050</v>
      </c>
    </row>
    <row r="114" spans="1:57">
      <c r="A114" s="1" t="str">
        <f>'Population Definitions'!$A$2</f>
        <v>PWID_males</v>
      </c>
      <c r="B114" t="s">
        <v>62</v>
      </c>
      <c r="C114" t="s">
        <v>34</v>
      </c>
      <c r="D114" s="3"/>
      <c r="E114" s="3">
        <v>0</v>
      </c>
      <c r="F114" s="4" t="s">
        <v>39</v>
      </c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</row>
    <row r="115" spans="1:57">
      <c r="A115" s="1" t="str">
        <f>'Population Definitions'!$A$3</f>
        <v>PWID_females</v>
      </c>
      <c r="B115" t="s">
        <v>62</v>
      </c>
      <c r="C115" t="s">
        <v>34</v>
      </c>
      <c r="D115" s="3"/>
      <c r="E115" s="3">
        <v>0</v>
      </c>
      <c r="F115" s="4" t="s">
        <v>39</v>
      </c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</row>
    <row r="116" spans="1:57">
      <c r="A116" s="1" t="str">
        <f>'Population Definitions'!$A$4</f>
        <v>0-9_males</v>
      </c>
      <c r="B116" t="s">
        <v>62</v>
      </c>
      <c r="C116" t="s">
        <v>34</v>
      </c>
      <c r="D116" s="3"/>
      <c r="E116" s="3">
        <v>0</v>
      </c>
      <c r="F116" s="4" t="s">
        <v>39</v>
      </c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</row>
    <row r="117" spans="1:57">
      <c r="A117" s="1" t="str">
        <f>'Population Definitions'!$A$5</f>
        <v>0-9_females</v>
      </c>
      <c r="B117" t="s">
        <v>62</v>
      </c>
      <c r="C117" t="s">
        <v>34</v>
      </c>
      <c r="D117" s="3"/>
      <c r="E117" s="3">
        <v>0</v>
      </c>
      <c r="F117" s="4" t="s">
        <v>39</v>
      </c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</row>
    <row r="118" spans="1:57">
      <c r="A118" s="1" t="str">
        <f>'Population Definitions'!$A$6</f>
        <v>10-17_males</v>
      </c>
      <c r="B118" t="s">
        <v>62</v>
      </c>
      <c r="C118" t="s">
        <v>34</v>
      </c>
      <c r="D118" s="3"/>
      <c r="E118" s="3">
        <v>0</v>
      </c>
      <c r="F118" s="4" t="s">
        <v>39</v>
      </c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</row>
    <row r="119" spans="1:57">
      <c r="A119" s="1" t="str">
        <f>'Population Definitions'!$A$7</f>
        <v>10-17_females</v>
      </c>
      <c r="B119" t="s">
        <v>62</v>
      </c>
      <c r="C119" t="s">
        <v>34</v>
      </c>
      <c r="D119" s="3"/>
      <c r="E119" s="3">
        <v>0</v>
      </c>
      <c r="F119" s="4" t="s">
        <v>39</v>
      </c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</row>
    <row r="120" spans="1:57">
      <c r="A120" s="1" t="str">
        <f>'Population Definitions'!$A$8</f>
        <v>18-64_males</v>
      </c>
      <c r="B120" t="s">
        <v>62</v>
      </c>
      <c r="C120" t="s">
        <v>34</v>
      </c>
      <c r="D120" s="3"/>
      <c r="E120" s="3">
        <v>0</v>
      </c>
      <c r="F120" s="4" t="s">
        <v>39</v>
      </c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</row>
    <row r="121" spans="1:57">
      <c r="A121" s="1" t="str">
        <f>'Population Definitions'!$A$9</f>
        <v>18-64_females</v>
      </c>
      <c r="B121" t="s">
        <v>62</v>
      </c>
      <c r="C121" t="s">
        <v>34</v>
      </c>
      <c r="D121" s="3"/>
      <c r="E121" s="3">
        <v>0</v>
      </c>
      <c r="F121" s="4" t="s">
        <v>39</v>
      </c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</row>
    <row r="122" spans="1:57">
      <c r="A122" s="1" t="str">
        <f>'Population Definitions'!$A$10</f>
        <v>65+_males</v>
      </c>
      <c r="B122" t="s">
        <v>62</v>
      </c>
      <c r="C122" t="s">
        <v>34</v>
      </c>
      <c r="D122" s="3"/>
      <c r="E122" s="3">
        <v>0</v>
      </c>
      <c r="F122" s="4" t="s">
        <v>39</v>
      </c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</row>
    <row r="123" spans="1:57">
      <c r="A123" s="1" t="str">
        <f>'Population Definitions'!$A$11</f>
        <v>65+_females</v>
      </c>
      <c r="B123" t="s">
        <v>62</v>
      </c>
      <c r="C123" t="s">
        <v>34</v>
      </c>
      <c r="D123" s="3"/>
      <c r="E123" s="3">
        <v>0</v>
      </c>
      <c r="F123" s="4" t="s">
        <v>39</v>
      </c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</row>
    <row r="124" spans="1:57">
      <c r="A124" s="1" t="str">
        <f>'Population Definitions'!$A$12</f>
        <v>Prisoners_males</v>
      </c>
      <c r="B124" t="s">
        <v>62</v>
      </c>
      <c r="C124" t="s">
        <v>34</v>
      </c>
      <c r="D124" s="3"/>
      <c r="E124" s="3">
        <v>0</v>
      </c>
      <c r="F124" s="4" t="s">
        <v>39</v>
      </c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</row>
    <row r="125" spans="1:57">
      <c r="A125" s="1" t="str">
        <f>'Population Definitions'!$A$13</f>
        <v>Prisoners_females</v>
      </c>
      <c r="B125" t="s">
        <v>62</v>
      </c>
      <c r="C125" t="s">
        <v>34</v>
      </c>
      <c r="D125" s="3"/>
      <c r="E125" s="3">
        <v>0</v>
      </c>
      <c r="F125" s="4" t="s">
        <v>39</v>
      </c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</row>
    <row r="126" spans="1:57">
      <c r="A126" s="1" t="str">
        <f>'Population Definitions'!$A$14</f>
        <v>Prisoners_PWID_males</v>
      </c>
      <c r="B126" t="s">
        <v>62</v>
      </c>
      <c r="C126" t="s">
        <v>34</v>
      </c>
      <c r="D126" s="3"/>
      <c r="E126" s="3">
        <v>0</v>
      </c>
      <c r="F126" s="4" t="s">
        <v>39</v>
      </c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</row>
    <row r="127" spans="1:57">
      <c r="A127" s="1" t="str">
        <f>'Population Definitions'!$A$15</f>
        <v>Prisoners_PWID_females</v>
      </c>
      <c r="B127" t="s">
        <v>62</v>
      </c>
      <c r="C127" t="s">
        <v>34</v>
      </c>
      <c r="D127" s="3"/>
      <c r="E127" s="3">
        <v>0</v>
      </c>
      <c r="F127" s="4" t="s">
        <v>39</v>
      </c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</row>
    <row r="129" spans="1:57">
      <c r="A129" s="1" t="s">
        <v>135</v>
      </c>
      <c r="B129" s="1" t="s">
        <v>31</v>
      </c>
      <c r="C129" s="1" t="s">
        <v>32</v>
      </c>
      <c r="D129" s="1" t="s">
        <v>33</v>
      </c>
      <c r="E129" s="1" t="s">
        <v>38</v>
      </c>
      <c r="F129" s="1"/>
      <c r="G129" s="1">
        <v>2000</v>
      </c>
      <c r="H129" s="1">
        <v>2001</v>
      </c>
      <c r="I129" s="1">
        <v>2002</v>
      </c>
      <c r="J129" s="1">
        <v>2003</v>
      </c>
      <c r="K129" s="1">
        <v>2004</v>
      </c>
      <c r="L129" s="1">
        <v>2005</v>
      </c>
      <c r="M129" s="1">
        <v>2006</v>
      </c>
      <c r="N129" s="1">
        <v>2007</v>
      </c>
      <c r="O129" s="1">
        <v>2008</v>
      </c>
      <c r="P129" s="1">
        <v>2009</v>
      </c>
      <c r="Q129" s="1">
        <v>2010</v>
      </c>
      <c r="R129" s="1">
        <v>2011</v>
      </c>
      <c r="S129" s="1">
        <v>2012</v>
      </c>
      <c r="T129" s="1">
        <v>2013</v>
      </c>
      <c r="U129" s="1">
        <v>2014</v>
      </c>
      <c r="V129" s="1">
        <v>2015</v>
      </c>
      <c r="W129" s="1">
        <v>2016</v>
      </c>
      <c r="X129" s="1">
        <v>2017</v>
      </c>
      <c r="Y129" s="1">
        <v>2018</v>
      </c>
      <c r="Z129" s="1">
        <v>2019</v>
      </c>
      <c r="AA129" s="1">
        <v>2020</v>
      </c>
      <c r="AB129" s="1">
        <v>2021</v>
      </c>
      <c r="AC129" s="1">
        <v>2022</v>
      </c>
      <c r="AD129" s="1">
        <v>2023</v>
      </c>
      <c r="AE129" s="1">
        <v>2024</v>
      </c>
      <c r="AF129" s="1">
        <v>2025</v>
      </c>
      <c r="AG129" s="1">
        <v>2026</v>
      </c>
      <c r="AH129" s="1">
        <v>2027</v>
      </c>
      <c r="AI129" s="1">
        <v>2028</v>
      </c>
      <c r="AJ129" s="1">
        <v>2029</v>
      </c>
      <c r="AK129" s="1">
        <v>2030</v>
      </c>
      <c r="AL129" s="1">
        <v>2031</v>
      </c>
      <c r="AM129" s="1">
        <v>2032</v>
      </c>
      <c r="AN129" s="1">
        <v>2033</v>
      </c>
      <c r="AO129" s="1">
        <v>2034</v>
      </c>
      <c r="AP129" s="1">
        <v>2035</v>
      </c>
      <c r="AQ129" s="1">
        <v>2036</v>
      </c>
      <c r="AR129" s="1">
        <v>2037</v>
      </c>
      <c r="AS129" s="1">
        <v>2038</v>
      </c>
      <c r="AT129" s="1">
        <v>2039</v>
      </c>
      <c r="AU129" s="1">
        <v>2040</v>
      </c>
      <c r="AV129" s="1">
        <v>2041</v>
      </c>
      <c r="AW129" s="1">
        <v>2042</v>
      </c>
      <c r="AX129" s="1">
        <v>2043</v>
      </c>
      <c r="AY129" s="1">
        <v>2044</v>
      </c>
      <c r="AZ129" s="1">
        <v>2045</v>
      </c>
      <c r="BA129" s="1">
        <v>2046</v>
      </c>
      <c r="BB129" s="1">
        <v>2047</v>
      </c>
      <c r="BC129" s="1">
        <v>2048</v>
      </c>
      <c r="BD129" s="1">
        <v>2049</v>
      </c>
      <c r="BE129" s="1">
        <v>2050</v>
      </c>
    </row>
    <row r="130" spans="1:57">
      <c r="A130" s="1" t="str">
        <f>'Population Definitions'!$A$2</f>
        <v>PWID_males</v>
      </c>
      <c r="B130" t="s">
        <v>62</v>
      </c>
      <c r="C130" t="s">
        <v>34</v>
      </c>
      <c r="D130" s="3"/>
      <c r="E130" s="3">
        <v>0</v>
      </c>
      <c r="F130" s="4" t="s">
        <v>39</v>
      </c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  <c r="AG130" s="3"/>
      <c r="AH130" s="3"/>
      <c r="AI130" s="3"/>
      <c r="AJ130" s="3"/>
      <c r="AK130" s="3"/>
      <c r="AL130" s="3"/>
      <c r="AM130" s="3"/>
      <c r="AN130" s="3"/>
      <c r="AO130" s="3"/>
      <c r="AP130" s="3"/>
      <c r="AQ130" s="3"/>
      <c r="AR130" s="3"/>
      <c r="AS130" s="3"/>
      <c r="AT130" s="3"/>
      <c r="AU130" s="3"/>
      <c r="AV130" s="3"/>
      <c r="AW130" s="3"/>
      <c r="AX130" s="3"/>
      <c r="AY130" s="3"/>
      <c r="AZ130" s="3"/>
      <c r="BA130" s="3"/>
      <c r="BB130" s="3"/>
      <c r="BC130" s="3"/>
      <c r="BD130" s="3"/>
      <c r="BE130" s="3"/>
    </row>
    <row r="131" spans="1:57">
      <c r="A131" s="1" t="str">
        <f>'Population Definitions'!$A$3</f>
        <v>PWID_females</v>
      </c>
      <c r="B131" t="s">
        <v>62</v>
      </c>
      <c r="C131" t="s">
        <v>34</v>
      </c>
      <c r="D131" s="3"/>
      <c r="E131" s="3">
        <v>0</v>
      </c>
      <c r="F131" s="4" t="s">
        <v>39</v>
      </c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  <c r="AG131" s="3"/>
      <c r="AH131" s="3"/>
      <c r="AI131" s="3"/>
      <c r="AJ131" s="3"/>
      <c r="AK131" s="3"/>
      <c r="AL131" s="3"/>
      <c r="AM131" s="3"/>
      <c r="AN131" s="3"/>
      <c r="AO131" s="3"/>
      <c r="AP131" s="3"/>
      <c r="AQ131" s="3"/>
      <c r="AR131" s="3"/>
      <c r="AS131" s="3"/>
      <c r="AT131" s="3"/>
      <c r="AU131" s="3"/>
      <c r="AV131" s="3"/>
      <c r="AW131" s="3"/>
      <c r="AX131" s="3"/>
      <c r="AY131" s="3"/>
      <c r="AZ131" s="3"/>
      <c r="BA131" s="3"/>
      <c r="BB131" s="3"/>
      <c r="BC131" s="3"/>
      <c r="BD131" s="3"/>
      <c r="BE131" s="3"/>
    </row>
    <row r="132" spans="1:57">
      <c r="A132" s="1" t="str">
        <f>'Population Definitions'!$A$4</f>
        <v>0-9_males</v>
      </c>
      <c r="B132" t="s">
        <v>62</v>
      </c>
      <c r="C132" t="s">
        <v>34</v>
      </c>
      <c r="D132" s="3"/>
      <c r="E132" s="3">
        <v>0</v>
      </c>
      <c r="F132" s="4" t="s">
        <v>39</v>
      </c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</row>
    <row r="133" spans="1:57">
      <c r="A133" s="1" t="str">
        <f>'Population Definitions'!$A$5</f>
        <v>0-9_females</v>
      </c>
      <c r="B133" t="s">
        <v>62</v>
      </c>
      <c r="C133" t="s">
        <v>34</v>
      </c>
      <c r="D133" s="3"/>
      <c r="E133" s="3">
        <v>0</v>
      </c>
      <c r="F133" s="4" t="s">
        <v>39</v>
      </c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</row>
    <row r="134" spans="1:57">
      <c r="A134" s="1" t="str">
        <f>'Population Definitions'!$A$6</f>
        <v>10-17_males</v>
      </c>
      <c r="B134" t="s">
        <v>62</v>
      </c>
      <c r="C134" t="s">
        <v>34</v>
      </c>
      <c r="D134" s="3"/>
      <c r="E134" s="3">
        <v>0</v>
      </c>
      <c r="F134" s="4" t="s">
        <v>39</v>
      </c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</row>
    <row r="135" spans="1:57">
      <c r="A135" s="1" t="str">
        <f>'Population Definitions'!$A$7</f>
        <v>10-17_females</v>
      </c>
      <c r="B135" t="s">
        <v>62</v>
      </c>
      <c r="C135" t="s">
        <v>34</v>
      </c>
      <c r="D135" s="3"/>
      <c r="E135" s="3">
        <v>0</v>
      </c>
      <c r="F135" s="4" t="s">
        <v>39</v>
      </c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</row>
    <row r="136" spans="1:57">
      <c r="A136" s="1" t="str">
        <f>'Population Definitions'!$A$8</f>
        <v>18-64_males</v>
      </c>
      <c r="B136" t="s">
        <v>62</v>
      </c>
      <c r="C136" t="s">
        <v>34</v>
      </c>
      <c r="D136" s="3"/>
      <c r="E136" s="3">
        <v>0</v>
      </c>
      <c r="F136" s="4" t="s">
        <v>39</v>
      </c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</row>
    <row r="137" spans="1:57">
      <c r="A137" s="1" t="str">
        <f>'Population Definitions'!$A$9</f>
        <v>18-64_females</v>
      </c>
      <c r="B137" t="s">
        <v>62</v>
      </c>
      <c r="C137" t="s">
        <v>34</v>
      </c>
      <c r="D137" s="3"/>
      <c r="E137" s="3">
        <v>0</v>
      </c>
      <c r="F137" s="4" t="s">
        <v>39</v>
      </c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</row>
    <row r="138" spans="1:57">
      <c r="A138" s="1" t="str">
        <f>'Population Definitions'!$A$10</f>
        <v>65+_males</v>
      </c>
      <c r="B138" t="s">
        <v>62</v>
      </c>
      <c r="C138" t="s">
        <v>34</v>
      </c>
      <c r="D138" s="3"/>
      <c r="E138" s="3">
        <v>0</v>
      </c>
      <c r="F138" s="4" t="s">
        <v>39</v>
      </c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</row>
    <row r="139" spans="1:57">
      <c r="A139" s="1" t="str">
        <f>'Population Definitions'!$A$11</f>
        <v>65+_females</v>
      </c>
      <c r="B139" t="s">
        <v>62</v>
      </c>
      <c r="C139" t="s">
        <v>34</v>
      </c>
      <c r="D139" s="3"/>
      <c r="E139" s="3">
        <v>0</v>
      </c>
      <c r="F139" s="4" t="s">
        <v>39</v>
      </c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</row>
    <row r="140" spans="1:57">
      <c r="A140" s="1" t="str">
        <f>'Population Definitions'!$A$12</f>
        <v>Prisoners_males</v>
      </c>
      <c r="B140" t="s">
        <v>62</v>
      </c>
      <c r="C140" t="s">
        <v>34</v>
      </c>
      <c r="D140" s="3"/>
      <c r="E140" s="3">
        <v>0</v>
      </c>
      <c r="F140" s="4" t="s">
        <v>39</v>
      </c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</row>
    <row r="141" spans="1:57">
      <c r="A141" s="1" t="str">
        <f>'Population Definitions'!$A$13</f>
        <v>Prisoners_females</v>
      </c>
      <c r="B141" t="s">
        <v>62</v>
      </c>
      <c r="C141" t="s">
        <v>34</v>
      </c>
      <c r="D141" s="3"/>
      <c r="E141" s="3">
        <v>0</v>
      </c>
      <c r="F141" s="4" t="s">
        <v>39</v>
      </c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</row>
    <row r="142" spans="1:57">
      <c r="A142" s="1" t="str">
        <f>'Population Definitions'!$A$14</f>
        <v>Prisoners_PWID_males</v>
      </c>
      <c r="B142" t="s">
        <v>62</v>
      </c>
      <c r="C142" t="s">
        <v>34</v>
      </c>
      <c r="D142" s="3"/>
      <c r="E142" s="3">
        <v>0</v>
      </c>
      <c r="F142" s="4" t="s">
        <v>39</v>
      </c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</row>
    <row r="143" spans="1:57">
      <c r="A143" s="1" t="str">
        <f>'Population Definitions'!$A$15</f>
        <v>Prisoners_PWID_females</v>
      </c>
      <c r="B143" t="s">
        <v>62</v>
      </c>
      <c r="C143" t="s">
        <v>34</v>
      </c>
      <c r="D143" s="3"/>
      <c r="E143" s="3">
        <v>0</v>
      </c>
      <c r="F143" s="4" t="s">
        <v>39</v>
      </c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</row>
    <row r="145" spans="1:57">
      <c r="A145" s="1" t="s">
        <v>136</v>
      </c>
      <c r="B145" s="1" t="s">
        <v>31</v>
      </c>
      <c r="C145" s="1" t="s">
        <v>32</v>
      </c>
      <c r="D145" s="1" t="s">
        <v>33</v>
      </c>
      <c r="E145" s="1" t="s">
        <v>38</v>
      </c>
      <c r="F145" s="1"/>
      <c r="G145" s="1">
        <v>2000</v>
      </c>
      <c r="H145" s="1">
        <v>2001</v>
      </c>
      <c r="I145" s="1">
        <v>2002</v>
      </c>
      <c r="J145" s="1">
        <v>2003</v>
      </c>
      <c r="K145" s="1">
        <v>2004</v>
      </c>
      <c r="L145" s="1">
        <v>2005</v>
      </c>
      <c r="M145" s="1">
        <v>2006</v>
      </c>
      <c r="N145" s="1">
        <v>2007</v>
      </c>
      <c r="O145" s="1">
        <v>2008</v>
      </c>
      <c r="P145" s="1">
        <v>2009</v>
      </c>
      <c r="Q145" s="1">
        <v>2010</v>
      </c>
      <c r="R145" s="1">
        <v>2011</v>
      </c>
      <c r="S145" s="1">
        <v>2012</v>
      </c>
      <c r="T145" s="1">
        <v>2013</v>
      </c>
      <c r="U145" s="1">
        <v>2014</v>
      </c>
      <c r="V145" s="1">
        <v>2015</v>
      </c>
      <c r="W145" s="1">
        <v>2016</v>
      </c>
      <c r="X145" s="1">
        <v>2017</v>
      </c>
      <c r="Y145" s="1">
        <v>2018</v>
      </c>
      <c r="Z145" s="1">
        <v>2019</v>
      </c>
      <c r="AA145" s="1">
        <v>2020</v>
      </c>
      <c r="AB145" s="1">
        <v>2021</v>
      </c>
      <c r="AC145" s="1">
        <v>2022</v>
      </c>
      <c r="AD145" s="1">
        <v>2023</v>
      </c>
      <c r="AE145" s="1">
        <v>2024</v>
      </c>
      <c r="AF145" s="1">
        <v>2025</v>
      </c>
      <c r="AG145" s="1">
        <v>2026</v>
      </c>
      <c r="AH145" s="1">
        <v>2027</v>
      </c>
      <c r="AI145" s="1">
        <v>2028</v>
      </c>
      <c r="AJ145" s="1">
        <v>2029</v>
      </c>
      <c r="AK145" s="1">
        <v>2030</v>
      </c>
      <c r="AL145" s="1">
        <v>2031</v>
      </c>
      <c r="AM145" s="1">
        <v>2032</v>
      </c>
      <c r="AN145" s="1">
        <v>2033</v>
      </c>
      <c r="AO145" s="1">
        <v>2034</v>
      </c>
      <c r="AP145" s="1">
        <v>2035</v>
      </c>
      <c r="AQ145" s="1">
        <v>2036</v>
      </c>
      <c r="AR145" s="1">
        <v>2037</v>
      </c>
      <c r="AS145" s="1">
        <v>2038</v>
      </c>
      <c r="AT145" s="1">
        <v>2039</v>
      </c>
      <c r="AU145" s="1">
        <v>2040</v>
      </c>
      <c r="AV145" s="1">
        <v>2041</v>
      </c>
      <c r="AW145" s="1">
        <v>2042</v>
      </c>
      <c r="AX145" s="1">
        <v>2043</v>
      </c>
      <c r="AY145" s="1">
        <v>2044</v>
      </c>
      <c r="AZ145" s="1">
        <v>2045</v>
      </c>
      <c r="BA145" s="1">
        <v>2046</v>
      </c>
      <c r="BB145" s="1">
        <v>2047</v>
      </c>
      <c r="BC145" s="1">
        <v>2048</v>
      </c>
      <c r="BD145" s="1">
        <v>2049</v>
      </c>
      <c r="BE145" s="1">
        <v>2050</v>
      </c>
    </row>
    <row r="146" spans="1:57">
      <c r="A146" s="1" t="str">
        <f>'Population Definitions'!$A$2</f>
        <v>PWID_males</v>
      </c>
      <c r="B146" t="s">
        <v>62</v>
      </c>
      <c r="C146" t="s">
        <v>34</v>
      </c>
      <c r="D146" s="3"/>
      <c r="E146" s="3">
        <v>0</v>
      </c>
      <c r="F146" s="4" t="s">
        <v>39</v>
      </c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</row>
    <row r="147" spans="1:57">
      <c r="A147" s="1" t="str">
        <f>'Population Definitions'!$A$3</f>
        <v>PWID_females</v>
      </c>
      <c r="B147" t="s">
        <v>62</v>
      </c>
      <c r="C147" t="s">
        <v>34</v>
      </c>
      <c r="D147" s="3"/>
      <c r="E147" s="3">
        <v>0</v>
      </c>
      <c r="F147" s="4" t="s">
        <v>39</v>
      </c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</row>
    <row r="148" spans="1:57">
      <c r="A148" s="1" t="str">
        <f>'Population Definitions'!$A$4</f>
        <v>0-9_males</v>
      </c>
      <c r="B148" t="s">
        <v>62</v>
      </c>
      <c r="C148" t="s">
        <v>34</v>
      </c>
      <c r="D148" s="3"/>
      <c r="E148" s="3">
        <v>0</v>
      </c>
      <c r="F148" s="4" t="s">
        <v>39</v>
      </c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</row>
    <row r="149" spans="1:57">
      <c r="A149" s="1" t="str">
        <f>'Population Definitions'!$A$5</f>
        <v>0-9_females</v>
      </c>
      <c r="B149" t="s">
        <v>62</v>
      </c>
      <c r="C149" t="s">
        <v>34</v>
      </c>
      <c r="D149" s="3"/>
      <c r="E149" s="3">
        <v>0</v>
      </c>
      <c r="F149" s="4" t="s">
        <v>39</v>
      </c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</row>
    <row r="150" spans="1:57">
      <c r="A150" s="1" t="str">
        <f>'Population Definitions'!$A$6</f>
        <v>10-17_males</v>
      </c>
      <c r="B150" t="s">
        <v>62</v>
      </c>
      <c r="C150" t="s">
        <v>34</v>
      </c>
      <c r="D150" s="3"/>
      <c r="E150" s="3">
        <v>0</v>
      </c>
      <c r="F150" s="4" t="s">
        <v>39</v>
      </c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</row>
    <row r="151" spans="1:57">
      <c r="A151" s="1" t="str">
        <f>'Population Definitions'!$A$7</f>
        <v>10-17_females</v>
      </c>
      <c r="B151" t="s">
        <v>62</v>
      </c>
      <c r="C151" t="s">
        <v>34</v>
      </c>
      <c r="D151" s="3"/>
      <c r="E151" s="3">
        <v>0</v>
      </c>
      <c r="F151" s="4" t="s">
        <v>39</v>
      </c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</row>
    <row r="152" spans="1:57">
      <c r="A152" s="1" t="str">
        <f>'Population Definitions'!$A$8</f>
        <v>18-64_males</v>
      </c>
      <c r="B152" t="s">
        <v>62</v>
      </c>
      <c r="C152" t="s">
        <v>34</v>
      </c>
      <c r="D152" s="3"/>
      <c r="E152" s="3">
        <v>0</v>
      </c>
      <c r="F152" s="4" t="s">
        <v>39</v>
      </c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</row>
    <row r="153" spans="1:57">
      <c r="A153" s="1" t="str">
        <f>'Population Definitions'!$A$9</f>
        <v>18-64_females</v>
      </c>
      <c r="B153" t="s">
        <v>62</v>
      </c>
      <c r="C153" t="s">
        <v>34</v>
      </c>
      <c r="D153" s="3"/>
      <c r="E153" s="3">
        <v>0</v>
      </c>
      <c r="F153" s="4" t="s">
        <v>39</v>
      </c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</row>
    <row r="154" spans="1:57">
      <c r="A154" s="1" t="str">
        <f>'Population Definitions'!$A$10</f>
        <v>65+_males</v>
      </c>
      <c r="B154" t="s">
        <v>62</v>
      </c>
      <c r="C154" t="s">
        <v>34</v>
      </c>
      <c r="D154" s="3"/>
      <c r="E154" s="3">
        <v>0</v>
      </c>
      <c r="F154" s="4" t="s">
        <v>39</v>
      </c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</row>
    <row r="155" spans="1:57">
      <c r="A155" s="1" t="str">
        <f>'Population Definitions'!$A$11</f>
        <v>65+_females</v>
      </c>
      <c r="B155" t="s">
        <v>62</v>
      </c>
      <c r="C155" t="s">
        <v>34</v>
      </c>
      <c r="D155" s="3"/>
      <c r="E155" s="3">
        <v>0</v>
      </c>
      <c r="F155" s="4" t="s">
        <v>39</v>
      </c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</row>
    <row r="156" spans="1:57">
      <c r="A156" s="1" t="str">
        <f>'Population Definitions'!$A$12</f>
        <v>Prisoners_males</v>
      </c>
      <c r="B156" t="s">
        <v>62</v>
      </c>
      <c r="C156" t="s">
        <v>34</v>
      </c>
      <c r="D156" s="3"/>
      <c r="E156" s="3">
        <v>0</v>
      </c>
      <c r="F156" s="4" t="s">
        <v>39</v>
      </c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  <c r="AG156" s="3"/>
      <c r="AH156" s="3"/>
      <c r="AI156" s="3"/>
      <c r="AJ156" s="3"/>
      <c r="AK156" s="3"/>
      <c r="AL156" s="3"/>
      <c r="AM156" s="3"/>
      <c r="AN156" s="3"/>
      <c r="AO156" s="3"/>
      <c r="AP156" s="3"/>
      <c r="AQ156" s="3"/>
      <c r="AR156" s="3"/>
      <c r="AS156" s="3"/>
      <c r="AT156" s="3"/>
      <c r="AU156" s="3"/>
      <c r="AV156" s="3"/>
      <c r="AW156" s="3"/>
      <c r="AX156" s="3"/>
      <c r="AY156" s="3"/>
      <c r="AZ156" s="3"/>
      <c r="BA156" s="3"/>
      <c r="BB156" s="3"/>
      <c r="BC156" s="3"/>
      <c r="BD156" s="3"/>
      <c r="BE156" s="3"/>
    </row>
    <row r="157" spans="1:57">
      <c r="A157" s="1" t="str">
        <f>'Population Definitions'!$A$13</f>
        <v>Prisoners_females</v>
      </c>
      <c r="B157" t="s">
        <v>62</v>
      </c>
      <c r="C157" t="s">
        <v>34</v>
      </c>
      <c r="D157" s="3"/>
      <c r="E157" s="3">
        <v>0</v>
      </c>
      <c r="F157" s="4" t="s">
        <v>39</v>
      </c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  <c r="AG157" s="3"/>
      <c r="AH157" s="3"/>
      <c r="AI157" s="3"/>
      <c r="AJ157" s="3"/>
      <c r="AK157" s="3"/>
      <c r="AL157" s="3"/>
      <c r="AM157" s="3"/>
      <c r="AN157" s="3"/>
      <c r="AO157" s="3"/>
      <c r="AP157" s="3"/>
      <c r="AQ157" s="3"/>
      <c r="AR157" s="3"/>
      <c r="AS157" s="3"/>
      <c r="AT157" s="3"/>
      <c r="AU157" s="3"/>
      <c r="AV157" s="3"/>
      <c r="AW157" s="3"/>
      <c r="AX157" s="3"/>
      <c r="AY157" s="3"/>
      <c r="AZ157" s="3"/>
      <c r="BA157" s="3"/>
      <c r="BB157" s="3"/>
      <c r="BC157" s="3"/>
      <c r="BD157" s="3"/>
      <c r="BE157" s="3"/>
    </row>
    <row r="158" spans="1:57">
      <c r="A158" s="1" t="str">
        <f>'Population Definitions'!$A$14</f>
        <v>Prisoners_PWID_males</v>
      </c>
      <c r="B158" t="s">
        <v>62</v>
      </c>
      <c r="C158" t="s">
        <v>34</v>
      </c>
      <c r="D158" s="3"/>
      <c r="E158" s="3">
        <v>0</v>
      </c>
      <c r="F158" s="4" t="s">
        <v>39</v>
      </c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</row>
    <row r="159" spans="1:57">
      <c r="A159" s="1" t="str">
        <f>'Population Definitions'!$A$15</f>
        <v>Prisoners_PWID_females</v>
      </c>
      <c r="B159" t="s">
        <v>62</v>
      </c>
      <c r="C159" t="s">
        <v>34</v>
      </c>
      <c r="D159" s="3"/>
      <c r="E159" s="3">
        <v>0</v>
      </c>
      <c r="F159" s="4" t="s">
        <v>39</v>
      </c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</row>
    <row r="161" spans="1:57">
      <c r="A161" s="1" t="s">
        <v>137</v>
      </c>
      <c r="B161" s="1" t="s">
        <v>31</v>
      </c>
      <c r="C161" s="1" t="s">
        <v>32</v>
      </c>
      <c r="D161" s="1" t="s">
        <v>33</v>
      </c>
      <c r="E161" s="1" t="s">
        <v>38</v>
      </c>
      <c r="F161" s="1"/>
      <c r="G161" s="1">
        <v>2000</v>
      </c>
      <c r="H161" s="1">
        <v>2001</v>
      </c>
      <c r="I161" s="1">
        <v>2002</v>
      </c>
      <c r="J161" s="1">
        <v>2003</v>
      </c>
      <c r="K161" s="1">
        <v>2004</v>
      </c>
      <c r="L161" s="1">
        <v>2005</v>
      </c>
      <c r="M161" s="1">
        <v>2006</v>
      </c>
      <c r="N161" s="1">
        <v>2007</v>
      </c>
      <c r="O161" s="1">
        <v>2008</v>
      </c>
      <c r="P161" s="1">
        <v>2009</v>
      </c>
      <c r="Q161" s="1">
        <v>2010</v>
      </c>
      <c r="R161" s="1">
        <v>2011</v>
      </c>
      <c r="S161" s="1">
        <v>2012</v>
      </c>
      <c r="T161" s="1">
        <v>2013</v>
      </c>
      <c r="U161" s="1">
        <v>2014</v>
      </c>
      <c r="V161" s="1">
        <v>2015</v>
      </c>
      <c r="W161" s="1">
        <v>2016</v>
      </c>
      <c r="X161" s="1">
        <v>2017</v>
      </c>
      <c r="Y161" s="1">
        <v>2018</v>
      </c>
      <c r="Z161" s="1">
        <v>2019</v>
      </c>
      <c r="AA161" s="1">
        <v>2020</v>
      </c>
      <c r="AB161" s="1">
        <v>2021</v>
      </c>
      <c r="AC161" s="1">
        <v>2022</v>
      </c>
      <c r="AD161" s="1">
        <v>2023</v>
      </c>
      <c r="AE161" s="1">
        <v>2024</v>
      </c>
      <c r="AF161" s="1">
        <v>2025</v>
      </c>
      <c r="AG161" s="1">
        <v>2026</v>
      </c>
      <c r="AH161" s="1">
        <v>2027</v>
      </c>
      <c r="AI161" s="1">
        <v>2028</v>
      </c>
      <c r="AJ161" s="1">
        <v>2029</v>
      </c>
      <c r="AK161" s="1">
        <v>2030</v>
      </c>
      <c r="AL161" s="1">
        <v>2031</v>
      </c>
      <c r="AM161" s="1">
        <v>2032</v>
      </c>
      <c r="AN161" s="1">
        <v>2033</v>
      </c>
      <c r="AO161" s="1">
        <v>2034</v>
      </c>
      <c r="AP161" s="1">
        <v>2035</v>
      </c>
      <c r="AQ161" s="1">
        <v>2036</v>
      </c>
      <c r="AR161" s="1">
        <v>2037</v>
      </c>
      <c r="AS161" s="1">
        <v>2038</v>
      </c>
      <c r="AT161" s="1">
        <v>2039</v>
      </c>
      <c r="AU161" s="1">
        <v>2040</v>
      </c>
      <c r="AV161" s="1">
        <v>2041</v>
      </c>
      <c r="AW161" s="1">
        <v>2042</v>
      </c>
      <c r="AX161" s="1">
        <v>2043</v>
      </c>
      <c r="AY161" s="1">
        <v>2044</v>
      </c>
      <c r="AZ161" s="1">
        <v>2045</v>
      </c>
      <c r="BA161" s="1">
        <v>2046</v>
      </c>
      <c r="BB161" s="1">
        <v>2047</v>
      </c>
      <c r="BC161" s="1">
        <v>2048</v>
      </c>
      <c r="BD161" s="1">
        <v>2049</v>
      </c>
      <c r="BE161" s="1">
        <v>2050</v>
      </c>
    </row>
    <row r="162" spans="1:57">
      <c r="A162" s="1" t="str">
        <f>'Population Definitions'!$A$2</f>
        <v>PWID_males</v>
      </c>
      <c r="B162" t="s">
        <v>62</v>
      </c>
      <c r="C162" t="s">
        <v>34</v>
      </c>
      <c r="D162" s="3"/>
      <c r="E162" s="3">
        <v>0</v>
      </c>
      <c r="F162" s="4" t="s">
        <v>39</v>
      </c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</row>
    <row r="163" spans="1:57">
      <c r="A163" s="1" t="str">
        <f>'Population Definitions'!$A$3</f>
        <v>PWID_females</v>
      </c>
      <c r="B163" t="s">
        <v>62</v>
      </c>
      <c r="C163" t="s">
        <v>34</v>
      </c>
      <c r="D163" s="3"/>
      <c r="E163" s="3">
        <v>0</v>
      </c>
      <c r="F163" s="4" t="s">
        <v>39</v>
      </c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</row>
    <row r="164" spans="1:57">
      <c r="A164" s="1" t="str">
        <f>'Population Definitions'!$A$4</f>
        <v>0-9_males</v>
      </c>
      <c r="B164" t="s">
        <v>62</v>
      </c>
      <c r="C164" t="s">
        <v>34</v>
      </c>
      <c r="D164" s="3"/>
      <c r="E164" s="3">
        <v>0</v>
      </c>
      <c r="F164" s="4" t="s">
        <v>39</v>
      </c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</row>
    <row r="165" spans="1:57">
      <c r="A165" s="1" t="str">
        <f>'Population Definitions'!$A$5</f>
        <v>0-9_females</v>
      </c>
      <c r="B165" t="s">
        <v>62</v>
      </c>
      <c r="C165" t="s">
        <v>34</v>
      </c>
      <c r="D165" s="3"/>
      <c r="E165" s="3">
        <v>0</v>
      </c>
      <c r="F165" s="4" t="s">
        <v>39</v>
      </c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</row>
    <row r="166" spans="1:57">
      <c r="A166" s="1" t="str">
        <f>'Population Definitions'!$A$6</f>
        <v>10-17_males</v>
      </c>
      <c r="B166" t="s">
        <v>62</v>
      </c>
      <c r="C166" t="s">
        <v>34</v>
      </c>
      <c r="D166" s="3"/>
      <c r="E166" s="3">
        <v>0</v>
      </c>
      <c r="F166" s="4" t="s">
        <v>39</v>
      </c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</row>
    <row r="167" spans="1:57">
      <c r="A167" s="1" t="str">
        <f>'Population Definitions'!$A$7</f>
        <v>10-17_females</v>
      </c>
      <c r="B167" t="s">
        <v>62</v>
      </c>
      <c r="C167" t="s">
        <v>34</v>
      </c>
      <c r="D167" s="3"/>
      <c r="E167" s="3">
        <v>0</v>
      </c>
      <c r="F167" s="4" t="s">
        <v>39</v>
      </c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</row>
    <row r="168" spans="1:57">
      <c r="A168" s="1" t="str">
        <f>'Population Definitions'!$A$8</f>
        <v>18-64_males</v>
      </c>
      <c r="B168" t="s">
        <v>62</v>
      </c>
      <c r="C168" t="s">
        <v>34</v>
      </c>
      <c r="D168" s="3"/>
      <c r="E168" s="3">
        <v>0</v>
      </c>
      <c r="F168" s="4" t="s">
        <v>39</v>
      </c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</row>
    <row r="169" spans="1:57">
      <c r="A169" s="1" t="str">
        <f>'Population Definitions'!$A$9</f>
        <v>18-64_females</v>
      </c>
      <c r="B169" t="s">
        <v>62</v>
      </c>
      <c r="C169" t="s">
        <v>34</v>
      </c>
      <c r="D169" s="3"/>
      <c r="E169" s="3">
        <v>0</v>
      </c>
      <c r="F169" s="4" t="s">
        <v>39</v>
      </c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</row>
    <row r="170" spans="1:57">
      <c r="A170" s="1" t="str">
        <f>'Population Definitions'!$A$10</f>
        <v>65+_males</v>
      </c>
      <c r="B170" t="s">
        <v>62</v>
      </c>
      <c r="C170" t="s">
        <v>34</v>
      </c>
      <c r="D170" s="3"/>
      <c r="E170" s="3">
        <v>0</v>
      </c>
      <c r="F170" s="4" t="s">
        <v>39</v>
      </c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</row>
    <row r="171" spans="1:57">
      <c r="A171" s="1" t="str">
        <f>'Population Definitions'!$A$11</f>
        <v>65+_females</v>
      </c>
      <c r="B171" t="s">
        <v>62</v>
      </c>
      <c r="C171" t="s">
        <v>34</v>
      </c>
      <c r="D171" s="3"/>
      <c r="E171" s="3">
        <v>0</v>
      </c>
      <c r="F171" s="4" t="s">
        <v>39</v>
      </c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</row>
    <row r="172" spans="1:57">
      <c r="A172" s="1" t="str">
        <f>'Population Definitions'!$A$12</f>
        <v>Prisoners_males</v>
      </c>
      <c r="B172" t="s">
        <v>62</v>
      </c>
      <c r="C172" t="s">
        <v>34</v>
      </c>
      <c r="D172" s="3"/>
      <c r="E172" s="3">
        <v>0</v>
      </c>
      <c r="F172" s="4" t="s">
        <v>39</v>
      </c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</row>
    <row r="173" spans="1:57">
      <c r="A173" s="1" t="str">
        <f>'Population Definitions'!$A$13</f>
        <v>Prisoners_females</v>
      </c>
      <c r="B173" t="s">
        <v>62</v>
      </c>
      <c r="C173" t="s">
        <v>34</v>
      </c>
      <c r="D173" s="3"/>
      <c r="E173" s="3">
        <v>0</v>
      </c>
      <c r="F173" s="4" t="s">
        <v>39</v>
      </c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</row>
    <row r="174" spans="1:57">
      <c r="A174" s="1" t="str">
        <f>'Population Definitions'!$A$14</f>
        <v>Prisoners_PWID_males</v>
      </c>
      <c r="B174" t="s">
        <v>62</v>
      </c>
      <c r="C174" t="s">
        <v>34</v>
      </c>
      <c r="D174" s="3"/>
      <c r="E174" s="3">
        <v>0</v>
      </c>
      <c r="F174" s="4" t="s">
        <v>39</v>
      </c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</row>
    <row r="175" spans="1:57">
      <c r="A175" s="1" t="str">
        <f>'Population Definitions'!$A$15</f>
        <v>Prisoners_PWID_females</v>
      </c>
      <c r="B175" t="s">
        <v>62</v>
      </c>
      <c r="C175" t="s">
        <v>34</v>
      </c>
      <c r="D175" s="3"/>
      <c r="E175" s="3">
        <v>0</v>
      </c>
      <c r="F175" s="4" t="s">
        <v>39</v>
      </c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</row>
    <row r="177" spans="1:57">
      <c r="A177" s="1" t="s">
        <v>138</v>
      </c>
      <c r="B177" s="1" t="s">
        <v>31</v>
      </c>
      <c r="C177" s="1" t="s">
        <v>32</v>
      </c>
      <c r="D177" s="1" t="s">
        <v>33</v>
      </c>
      <c r="E177" s="1" t="s">
        <v>38</v>
      </c>
      <c r="F177" s="1"/>
      <c r="G177" s="1">
        <v>2000</v>
      </c>
      <c r="H177" s="1">
        <v>2001</v>
      </c>
      <c r="I177" s="1">
        <v>2002</v>
      </c>
      <c r="J177" s="1">
        <v>2003</v>
      </c>
      <c r="K177" s="1">
        <v>2004</v>
      </c>
      <c r="L177" s="1">
        <v>2005</v>
      </c>
      <c r="M177" s="1">
        <v>2006</v>
      </c>
      <c r="N177" s="1">
        <v>2007</v>
      </c>
      <c r="O177" s="1">
        <v>2008</v>
      </c>
      <c r="P177" s="1">
        <v>2009</v>
      </c>
      <c r="Q177" s="1">
        <v>2010</v>
      </c>
      <c r="R177" s="1">
        <v>2011</v>
      </c>
      <c r="S177" s="1">
        <v>2012</v>
      </c>
      <c r="T177" s="1">
        <v>2013</v>
      </c>
      <c r="U177" s="1">
        <v>2014</v>
      </c>
      <c r="V177" s="1">
        <v>2015</v>
      </c>
      <c r="W177" s="1">
        <v>2016</v>
      </c>
      <c r="X177" s="1">
        <v>2017</v>
      </c>
      <c r="Y177" s="1">
        <v>2018</v>
      </c>
      <c r="Z177" s="1">
        <v>2019</v>
      </c>
      <c r="AA177" s="1">
        <v>2020</v>
      </c>
      <c r="AB177" s="1">
        <v>2021</v>
      </c>
      <c r="AC177" s="1">
        <v>2022</v>
      </c>
      <c r="AD177" s="1">
        <v>2023</v>
      </c>
      <c r="AE177" s="1">
        <v>2024</v>
      </c>
      <c r="AF177" s="1">
        <v>2025</v>
      </c>
      <c r="AG177" s="1">
        <v>2026</v>
      </c>
      <c r="AH177" s="1">
        <v>2027</v>
      </c>
      <c r="AI177" s="1">
        <v>2028</v>
      </c>
      <c r="AJ177" s="1">
        <v>2029</v>
      </c>
      <c r="AK177" s="1">
        <v>2030</v>
      </c>
      <c r="AL177" s="1">
        <v>2031</v>
      </c>
      <c r="AM177" s="1">
        <v>2032</v>
      </c>
      <c r="AN177" s="1">
        <v>2033</v>
      </c>
      <c r="AO177" s="1">
        <v>2034</v>
      </c>
      <c r="AP177" s="1">
        <v>2035</v>
      </c>
      <c r="AQ177" s="1">
        <v>2036</v>
      </c>
      <c r="AR177" s="1">
        <v>2037</v>
      </c>
      <c r="AS177" s="1">
        <v>2038</v>
      </c>
      <c r="AT177" s="1">
        <v>2039</v>
      </c>
      <c r="AU177" s="1">
        <v>2040</v>
      </c>
      <c r="AV177" s="1">
        <v>2041</v>
      </c>
      <c r="AW177" s="1">
        <v>2042</v>
      </c>
      <c r="AX177" s="1">
        <v>2043</v>
      </c>
      <c r="AY177" s="1">
        <v>2044</v>
      </c>
      <c r="AZ177" s="1">
        <v>2045</v>
      </c>
      <c r="BA177" s="1">
        <v>2046</v>
      </c>
      <c r="BB177" s="1">
        <v>2047</v>
      </c>
      <c r="BC177" s="1">
        <v>2048</v>
      </c>
      <c r="BD177" s="1">
        <v>2049</v>
      </c>
      <c r="BE177" s="1">
        <v>2050</v>
      </c>
    </row>
    <row r="178" spans="1:57">
      <c r="A178" s="1" t="str">
        <f>'Population Definitions'!$A$2</f>
        <v>PWID_males</v>
      </c>
      <c r="B178" t="s">
        <v>62</v>
      </c>
      <c r="C178" t="s">
        <v>34</v>
      </c>
      <c r="D178" s="3"/>
      <c r="E178" s="3">
        <v>0</v>
      </c>
      <c r="F178" s="4" t="s">
        <v>39</v>
      </c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</row>
    <row r="179" spans="1:57">
      <c r="A179" s="1" t="str">
        <f>'Population Definitions'!$A$3</f>
        <v>PWID_females</v>
      </c>
      <c r="B179" t="s">
        <v>62</v>
      </c>
      <c r="C179" t="s">
        <v>34</v>
      </c>
      <c r="D179" s="3"/>
      <c r="E179" s="3">
        <v>0</v>
      </c>
      <c r="F179" s="4" t="s">
        <v>39</v>
      </c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</row>
    <row r="180" spans="1:57">
      <c r="A180" s="1" t="str">
        <f>'Population Definitions'!$A$4</f>
        <v>0-9_males</v>
      </c>
      <c r="B180" t="s">
        <v>62</v>
      </c>
      <c r="C180" t="s">
        <v>34</v>
      </c>
      <c r="D180" s="3"/>
      <c r="E180" s="3">
        <v>0</v>
      </c>
      <c r="F180" s="4" t="s">
        <v>39</v>
      </c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</row>
    <row r="181" spans="1:57">
      <c r="A181" s="1" t="str">
        <f>'Population Definitions'!$A$5</f>
        <v>0-9_females</v>
      </c>
      <c r="B181" t="s">
        <v>62</v>
      </c>
      <c r="C181" t="s">
        <v>34</v>
      </c>
      <c r="D181" s="3"/>
      <c r="E181" s="3">
        <v>0</v>
      </c>
      <c r="F181" s="4" t="s">
        <v>39</v>
      </c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</row>
    <row r="182" spans="1:57">
      <c r="A182" s="1" t="str">
        <f>'Population Definitions'!$A$6</f>
        <v>10-17_males</v>
      </c>
      <c r="B182" t="s">
        <v>62</v>
      </c>
      <c r="C182" t="s">
        <v>34</v>
      </c>
      <c r="D182" s="3"/>
      <c r="E182" s="3">
        <v>0</v>
      </c>
      <c r="F182" s="4" t="s">
        <v>39</v>
      </c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  <c r="AG182" s="3"/>
      <c r="AH182" s="3"/>
      <c r="AI182" s="3"/>
      <c r="AJ182" s="3"/>
      <c r="AK182" s="3"/>
      <c r="AL182" s="3"/>
      <c r="AM182" s="3"/>
      <c r="AN182" s="3"/>
      <c r="AO182" s="3"/>
      <c r="AP182" s="3"/>
      <c r="AQ182" s="3"/>
      <c r="AR182" s="3"/>
      <c r="AS182" s="3"/>
      <c r="AT182" s="3"/>
      <c r="AU182" s="3"/>
      <c r="AV182" s="3"/>
      <c r="AW182" s="3"/>
      <c r="AX182" s="3"/>
      <c r="AY182" s="3"/>
      <c r="AZ182" s="3"/>
      <c r="BA182" s="3"/>
      <c r="BB182" s="3"/>
      <c r="BC182" s="3"/>
      <c r="BD182" s="3"/>
      <c r="BE182" s="3"/>
    </row>
    <row r="183" spans="1:57">
      <c r="A183" s="1" t="str">
        <f>'Population Definitions'!$A$7</f>
        <v>10-17_females</v>
      </c>
      <c r="B183" t="s">
        <v>62</v>
      </c>
      <c r="C183" t="s">
        <v>34</v>
      </c>
      <c r="D183" s="3"/>
      <c r="E183" s="3">
        <v>0</v>
      </c>
      <c r="F183" s="4" t="s">
        <v>39</v>
      </c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  <c r="AG183" s="3"/>
      <c r="AH183" s="3"/>
      <c r="AI183" s="3"/>
      <c r="AJ183" s="3"/>
      <c r="AK183" s="3"/>
      <c r="AL183" s="3"/>
      <c r="AM183" s="3"/>
      <c r="AN183" s="3"/>
      <c r="AO183" s="3"/>
      <c r="AP183" s="3"/>
      <c r="AQ183" s="3"/>
      <c r="AR183" s="3"/>
      <c r="AS183" s="3"/>
      <c r="AT183" s="3"/>
      <c r="AU183" s="3"/>
      <c r="AV183" s="3"/>
      <c r="AW183" s="3"/>
      <c r="AX183" s="3"/>
      <c r="AY183" s="3"/>
      <c r="AZ183" s="3"/>
      <c r="BA183" s="3"/>
      <c r="BB183" s="3"/>
      <c r="BC183" s="3"/>
      <c r="BD183" s="3"/>
      <c r="BE183" s="3"/>
    </row>
    <row r="184" spans="1:57">
      <c r="A184" s="1" t="str">
        <f>'Population Definitions'!$A$8</f>
        <v>18-64_males</v>
      </c>
      <c r="B184" t="s">
        <v>62</v>
      </c>
      <c r="C184" t="s">
        <v>34</v>
      </c>
      <c r="D184" s="3"/>
      <c r="E184" s="3">
        <v>0</v>
      </c>
      <c r="F184" s="4" t="s">
        <v>39</v>
      </c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</row>
    <row r="185" spans="1:57">
      <c r="A185" s="1" t="str">
        <f>'Population Definitions'!$A$9</f>
        <v>18-64_females</v>
      </c>
      <c r="B185" t="s">
        <v>62</v>
      </c>
      <c r="C185" t="s">
        <v>34</v>
      </c>
      <c r="D185" s="3"/>
      <c r="E185" s="3">
        <v>0</v>
      </c>
      <c r="F185" s="4" t="s">
        <v>39</v>
      </c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</row>
    <row r="186" spans="1:57">
      <c r="A186" s="1" t="str">
        <f>'Population Definitions'!$A$10</f>
        <v>65+_males</v>
      </c>
      <c r="B186" t="s">
        <v>62</v>
      </c>
      <c r="C186" t="s">
        <v>34</v>
      </c>
      <c r="D186" s="3"/>
      <c r="E186" s="3">
        <v>0</v>
      </c>
      <c r="F186" s="4" t="s">
        <v>39</v>
      </c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</row>
    <row r="187" spans="1:57">
      <c r="A187" s="1" t="str">
        <f>'Population Definitions'!$A$11</f>
        <v>65+_females</v>
      </c>
      <c r="B187" t="s">
        <v>62</v>
      </c>
      <c r="C187" t="s">
        <v>34</v>
      </c>
      <c r="D187" s="3"/>
      <c r="E187" s="3">
        <v>0</v>
      </c>
      <c r="F187" s="4" t="s">
        <v>39</v>
      </c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</row>
    <row r="188" spans="1:57">
      <c r="A188" s="1" t="str">
        <f>'Population Definitions'!$A$12</f>
        <v>Prisoners_males</v>
      </c>
      <c r="B188" t="s">
        <v>62</v>
      </c>
      <c r="C188" t="s">
        <v>34</v>
      </c>
      <c r="D188" s="3"/>
      <c r="E188" s="3">
        <v>0</v>
      </c>
      <c r="F188" s="4" t="s">
        <v>39</v>
      </c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</row>
    <row r="189" spans="1:57">
      <c r="A189" s="1" t="str">
        <f>'Population Definitions'!$A$13</f>
        <v>Prisoners_females</v>
      </c>
      <c r="B189" t="s">
        <v>62</v>
      </c>
      <c r="C189" t="s">
        <v>34</v>
      </c>
      <c r="D189" s="3"/>
      <c r="E189" s="3">
        <v>0</v>
      </c>
      <c r="F189" s="4" t="s">
        <v>39</v>
      </c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</row>
    <row r="190" spans="1:57">
      <c r="A190" s="1" t="str">
        <f>'Population Definitions'!$A$14</f>
        <v>Prisoners_PWID_males</v>
      </c>
      <c r="B190" t="s">
        <v>62</v>
      </c>
      <c r="C190" t="s">
        <v>34</v>
      </c>
      <c r="D190" s="3"/>
      <c r="E190" s="3">
        <v>0</v>
      </c>
      <c r="F190" s="4" t="s">
        <v>39</v>
      </c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</row>
    <row r="191" spans="1:57">
      <c r="A191" s="1" t="str">
        <f>'Population Definitions'!$A$15</f>
        <v>Prisoners_PWID_females</v>
      </c>
      <c r="B191" t="s">
        <v>62</v>
      </c>
      <c r="C191" t="s">
        <v>34</v>
      </c>
      <c r="D191" s="3"/>
      <c r="E191" s="3">
        <v>0</v>
      </c>
      <c r="F191" s="4" t="s">
        <v>39</v>
      </c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</row>
    <row r="193" spans="1:57">
      <c r="A193" s="1" t="s">
        <v>139</v>
      </c>
      <c r="B193" s="1" t="s">
        <v>31</v>
      </c>
      <c r="C193" s="1" t="s">
        <v>32</v>
      </c>
      <c r="D193" s="1" t="s">
        <v>33</v>
      </c>
      <c r="E193" s="1" t="s">
        <v>38</v>
      </c>
      <c r="F193" s="1"/>
      <c r="G193" s="1">
        <v>2000</v>
      </c>
      <c r="H193" s="1">
        <v>2001</v>
      </c>
      <c r="I193" s="1">
        <v>2002</v>
      </c>
      <c r="J193" s="1">
        <v>2003</v>
      </c>
      <c r="K193" s="1">
        <v>2004</v>
      </c>
      <c r="L193" s="1">
        <v>2005</v>
      </c>
      <c r="M193" s="1">
        <v>2006</v>
      </c>
      <c r="N193" s="1">
        <v>2007</v>
      </c>
      <c r="O193" s="1">
        <v>2008</v>
      </c>
      <c r="P193" s="1">
        <v>2009</v>
      </c>
      <c r="Q193" s="1">
        <v>2010</v>
      </c>
      <c r="R193" s="1">
        <v>2011</v>
      </c>
      <c r="S193" s="1">
        <v>2012</v>
      </c>
      <c r="T193" s="1">
        <v>2013</v>
      </c>
      <c r="U193" s="1">
        <v>2014</v>
      </c>
      <c r="V193" s="1">
        <v>2015</v>
      </c>
      <c r="W193" s="1">
        <v>2016</v>
      </c>
      <c r="X193" s="1">
        <v>2017</v>
      </c>
      <c r="Y193" s="1">
        <v>2018</v>
      </c>
      <c r="Z193" s="1">
        <v>2019</v>
      </c>
      <c r="AA193" s="1">
        <v>2020</v>
      </c>
      <c r="AB193" s="1">
        <v>2021</v>
      </c>
      <c r="AC193" s="1">
        <v>2022</v>
      </c>
      <c r="AD193" s="1">
        <v>2023</v>
      </c>
      <c r="AE193" s="1">
        <v>2024</v>
      </c>
      <c r="AF193" s="1">
        <v>2025</v>
      </c>
      <c r="AG193" s="1">
        <v>2026</v>
      </c>
      <c r="AH193" s="1">
        <v>2027</v>
      </c>
      <c r="AI193" s="1">
        <v>2028</v>
      </c>
      <c r="AJ193" s="1">
        <v>2029</v>
      </c>
      <c r="AK193" s="1">
        <v>2030</v>
      </c>
      <c r="AL193" s="1">
        <v>2031</v>
      </c>
      <c r="AM193" s="1">
        <v>2032</v>
      </c>
      <c r="AN193" s="1">
        <v>2033</v>
      </c>
      <c r="AO193" s="1">
        <v>2034</v>
      </c>
      <c r="AP193" s="1">
        <v>2035</v>
      </c>
      <c r="AQ193" s="1">
        <v>2036</v>
      </c>
      <c r="AR193" s="1">
        <v>2037</v>
      </c>
      <c r="AS193" s="1">
        <v>2038</v>
      </c>
      <c r="AT193" s="1">
        <v>2039</v>
      </c>
      <c r="AU193" s="1">
        <v>2040</v>
      </c>
      <c r="AV193" s="1">
        <v>2041</v>
      </c>
      <c r="AW193" s="1">
        <v>2042</v>
      </c>
      <c r="AX193" s="1">
        <v>2043</v>
      </c>
      <c r="AY193" s="1">
        <v>2044</v>
      </c>
      <c r="AZ193" s="1">
        <v>2045</v>
      </c>
      <c r="BA193" s="1">
        <v>2046</v>
      </c>
      <c r="BB193" s="1">
        <v>2047</v>
      </c>
      <c r="BC193" s="1">
        <v>2048</v>
      </c>
      <c r="BD193" s="1">
        <v>2049</v>
      </c>
      <c r="BE193" s="1">
        <v>2050</v>
      </c>
    </row>
    <row r="194" spans="1:57">
      <c r="A194" s="1" t="str">
        <f>'Population Definitions'!$A$2</f>
        <v>PWID_males</v>
      </c>
      <c r="B194" t="s">
        <v>62</v>
      </c>
      <c r="C194" t="s">
        <v>34</v>
      </c>
      <c r="D194" s="3"/>
      <c r="E194" s="3">
        <v>0</v>
      </c>
      <c r="F194" s="4" t="s">
        <v>39</v>
      </c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</row>
    <row r="195" spans="1:57">
      <c r="A195" s="1" t="str">
        <f>'Population Definitions'!$A$3</f>
        <v>PWID_females</v>
      </c>
      <c r="B195" t="s">
        <v>62</v>
      </c>
      <c r="C195" t="s">
        <v>34</v>
      </c>
      <c r="D195" s="3"/>
      <c r="E195" s="3">
        <v>0</v>
      </c>
      <c r="F195" s="4" t="s">
        <v>39</v>
      </c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</row>
    <row r="196" spans="1:57">
      <c r="A196" s="1" t="str">
        <f>'Population Definitions'!$A$4</f>
        <v>0-9_males</v>
      </c>
      <c r="B196" t="s">
        <v>62</v>
      </c>
      <c r="C196" t="s">
        <v>34</v>
      </c>
      <c r="D196" s="3"/>
      <c r="E196" s="3">
        <v>0</v>
      </c>
      <c r="F196" s="4" t="s">
        <v>39</v>
      </c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</row>
    <row r="197" spans="1:57">
      <c r="A197" s="1" t="str">
        <f>'Population Definitions'!$A$5</f>
        <v>0-9_females</v>
      </c>
      <c r="B197" t="s">
        <v>62</v>
      </c>
      <c r="C197" t="s">
        <v>34</v>
      </c>
      <c r="D197" s="3"/>
      <c r="E197" s="3">
        <v>0</v>
      </c>
      <c r="F197" s="4" t="s">
        <v>39</v>
      </c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</row>
    <row r="198" spans="1:57">
      <c r="A198" s="1" t="str">
        <f>'Population Definitions'!$A$6</f>
        <v>10-17_males</v>
      </c>
      <c r="B198" t="s">
        <v>62</v>
      </c>
      <c r="C198" t="s">
        <v>34</v>
      </c>
      <c r="D198" s="3"/>
      <c r="E198" s="3">
        <v>0</v>
      </c>
      <c r="F198" s="4" t="s">
        <v>39</v>
      </c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</row>
    <row r="199" spans="1:57">
      <c r="A199" s="1" t="str">
        <f>'Population Definitions'!$A$7</f>
        <v>10-17_females</v>
      </c>
      <c r="B199" t="s">
        <v>62</v>
      </c>
      <c r="C199" t="s">
        <v>34</v>
      </c>
      <c r="D199" s="3"/>
      <c r="E199" s="3">
        <v>0</v>
      </c>
      <c r="F199" s="4" t="s">
        <v>39</v>
      </c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</row>
    <row r="200" spans="1:57">
      <c r="A200" s="1" t="str">
        <f>'Population Definitions'!$A$8</f>
        <v>18-64_males</v>
      </c>
      <c r="B200" t="s">
        <v>62</v>
      </c>
      <c r="C200" t="s">
        <v>34</v>
      </c>
      <c r="D200" s="3"/>
      <c r="E200" s="3">
        <v>0</v>
      </c>
      <c r="F200" s="4" t="s">
        <v>39</v>
      </c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</row>
    <row r="201" spans="1:57">
      <c r="A201" s="1" t="str">
        <f>'Population Definitions'!$A$9</f>
        <v>18-64_females</v>
      </c>
      <c r="B201" t="s">
        <v>62</v>
      </c>
      <c r="C201" t="s">
        <v>34</v>
      </c>
      <c r="D201" s="3"/>
      <c r="E201" s="3">
        <v>0</v>
      </c>
      <c r="F201" s="4" t="s">
        <v>39</v>
      </c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</row>
    <row r="202" spans="1:57">
      <c r="A202" s="1" t="str">
        <f>'Population Definitions'!$A$10</f>
        <v>65+_males</v>
      </c>
      <c r="B202" t="s">
        <v>62</v>
      </c>
      <c r="C202" t="s">
        <v>34</v>
      </c>
      <c r="D202" s="3"/>
      <c r="E202" s="3">
        <v>0</v>
      </c>
      <c r="F202" s="4" t="s">
        <v>39</v>
      </c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</row>
    <row r="203" spans="1:57">
      <c r="A203" s="1" t="str">
        <f>'Population Definitions'!$A$11</f>
        <v>65+_females</v>
      </c>
      <c r="B203" t="s">
        <v>62</v>
      </c>
      <c r="C203" t="s">
        <v>34</v>
      </c>
      <c r="D203" s="3"/>
      <c r="E203" s="3">
        <v>0</v>
      </c>
      <c r="F203" s="4" t="s">
        <v>39</v>
      </c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</row>
    <row r="204" spans="1:57">
      <c r="A204" s="1" t="str">
        <f>'Population Definitions'!$A$12</f>
        <v>Prisoners_males</v>
      </c>
      <c r="B204" t="s">
        <v>62</v>
      </c>
      <c r="C204" t="s">
        <v>34</v>
      </c>
      <c r="D204" s="3"/>
      <c r="E204" s="3">
        <v>0</v>
      </c>
      <c r="F204" s="4" t="s">
        <v>39</v>
      </c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</row>
    <row r="205" spans="1:57">
      <c r="A205" s="1" t="str">
        <f>'Population Definitions'!$A$13</f>
        <v>Prisoners_females</v>
      </c>
      <c r="B205" t="s">
        <v>62</v>
      </c>
      <c r="C205" t="s">
        <v>34</v>
      </c>
      <c r="D205" s="3"/>
      <c r="E205" s="3">
        <v>0</v>
      </c>
      <c r="F205" s="4" t="s">
        <v>39</v>
      </c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</row>
    <row r="206" spans="1:57">
      <c r="A206" s="1" t="str">
        <f>'Population Definitions'!$A$14</f>
        <v>Prisoners_PWID_males</v>
      </c>
      <c r="B206" t="s">
        <v>62</v>
      </c>
      <c r="C206" t="s">
        <v>34</v>
      </c>
      <c r="D206" s="3"/>
      <c r="E206" s="3">
        <v>0</v>
      </c>
      <c r="F206" s="4" t="s">
        <v>39</v>
      </c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</row>
    <row r="207" spans="1:57">
      <c r="A207" s="1" t="str">
        <f>'Population Definitions'!$A$15</f>
        <v>Prisoners_PWID_females</v>
      </c>
      <c r="B207" t="s">
        <v>62</v>
      </c>
      <c r="C207" t="s">
        <v>34</v>
      </c>
      <c r="D207" s="3"/>
      <c r="E207" s="3">
        <v>0</v>
      </c>
      <c r="F207" s="4" t="s">
        <v>39</v>
      </c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</row>
    <row r="209" spans="1:57">
      <c r="A209" s="1" t="s">
        <v>140</v>
      </c>
      <c r="B209" s="1" t="s">
        <v>31</v>
      </c>
      <c r="C209" s="1" t="s">
        <v>32</v>
      </c>
      <c r="D209" s="1" t="s">
        <v>33</v>
      </c>
      <c r="E209" s="1" t="s">
        <v>38</v>
      </c>
      <c r="F209" s="1"/>
      <c r="G209" s="1">
        <v>2000</v>
      </c>
      <c r="H209" s="1">
        <v>2001</v>
      </c>
      <c r="I209" s="1">
        <v>2002</v>
      </c>
      <c r="J209" s="1">
        <v>2003</v>
      </c>
      <c r="K209" s="1">
        <v>2004</v>
      </c>
      <c r="L209" s="1">
        <v>2005</v>
      </c>
      <c r="M209" s="1">
        <v>2006</v>
      </c>
      <c r="N209" s="1">
        <v>2007</v>
      </c>
      <c r="O209" s="1">
        <v>2008</v>
      </c>
      <c r="P209" s="1">
        <v>2009</v>
      </c>
      <c r="Q209" s="1">
        <v>2010</v>
      </c>
      <c r="R209" s="1">
        <v>2011</v>
      </c>
      <c r="S209" s="1">
        <v>2012</v>
      </c>
      <c r="T209" s="1">
        <v>2013</v>
      </c>
      <c r="U209" s="1">
        <v>2014</v>
      </c>
      <c r="V209" s="1">
        <v>2015</v>
      </c>
      <c r="W209" s="1">
        <v>2016</v>
      </c>
      <c r="X209" s="1">
        <v>2017</v>
      </c>
      <c r="Y209" s="1">
        <v>2018</v>
      </c>
      <c r="Z209" s="1">
        <v>2019</v>
      </c>
      <c r="AA209" s="1">
        <v>2020</v>
      </c>
      <c r="AB209" s="1">
        <v>2021</v>
      </c>
      <c r="AC209" s="1">
        <v>2022</v>
      </c>
      <c r="AD209" s="1">
        <v>2023</v>
      </c>
      <c r="AE209" s="1">
        <v>2024</v>
      </c>
      <c r="AF209" s="1">
        <v>2025</v>
      </c>
      <c r="AG209" s="1">
        <v>2026</v>
      </c>
      <c r="AH209" s="1">
        <v>2027</v>
      </c>
      <c r="AI209" s="1">
        <v>2028</v>
      </c>
      <c r="AJ209" s="1">
        <v>2029</v>
      </c>
      <c r="AK209" s="1">
        <v>2030</v>
      </c>
      <c r="AL209" s="1">
        <v>2031</v>
      </c>
      <c r="AM209" s="1">
        <v>2032</v>
      </c>
      <c r="AN209" s="1">
        <v>2033</v>
      </c>
      <c r="AO209" s="1">
        <v>2034</v>
      </c>
      <c r="AP209" s="1">
        <v>2035</v>
      </c>
      <c r="AQ209" s="1">
        <v>2036</v>
      </c>
      <c r="AR209" s="1">
        <v>2037</v>
      </c>
      <c r="AS209" s="1">
        <v>2038</v>
      </c>
      <c r="AT209" s="1">
        <v>2039</v>
      </c>
      <c r="AU209" s="1">
        <v>2040</v>
      </c>
      <c r="AV209" s="1">
        <v>2041</v>
      </c>
      <c r="AW209" s="1">
        <v>2042</v>
      </c>
      <c r="AX209" s="1">
        <v>2043</v>
      </c>
      <c r="AY209" s="1">
        <v>2044</v>
      </c>
      <c r="AZ209" s="1">
        <v>2045</v>
      </c>
      <c r="BA209" s="1">
        <v>2046</v>
      </c>
      <c r="BB209" s="1">
        <v>2047</v>
      </c>
      <c r="BC209" s="1">
        <v>2048</v>
      </c>
      <c r="BD209" s="1">
        <v>2049</v>
      </c>
      <c r="BE209" s="1">
        <v>2050</v>
      </c>
    </row>
    <row r="210" spans="1:57">
      <c r="A210" s="1" t="str">
        <f>'Population Definitions'!$A$2</f>
        <v>PWID_males</v>
      </c>
      <c r="B210" t="s">
        <v>62</v>
      </c>
      <c r="C210" t="s">
        <v>34</v>
      </c>
      <c r="D210" s="3"/>
      <c r="E210" s="3">
        <v>0</v>
      </c>
      <c r="F210" s="4" t="s">
        <v>39</v>
      </c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</row>
    <row r="211" spans="1:57">
      <c r="A211" s="1" t="str">
        <f>'Population Definitions'!$A$3</f>
        <v>PWID_females</v>
      </c>
      <c r="B211" t="s">
        <v>62</v>
      </c>
      <c r="C211" t="s">
        <v>34</v>
      </c>
      <c r="D211" s="3"/>
      <c r="E211" s="3">
        <v>0</v>
      </c>
      <c r="F211" s="4" t="s">
        <v>39</v>
      </c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</row>
    <row r="212" spans="1:57">
      <c r="A212" s="1" t="str">
        <f>'Population Definitions'!$A$4</f>
        <v>0-9_males</v>
      </c>
      <c r="B212" t="s">
        <v>62</v>
      </c>
      <c r="C212" t="s">
        <v>34</v>
      </c>
      <c r="D212" s="3"/>
      <c r="E212" s="3">
        <v>0</v>
      </c>
      <c r="F212" s="4" t="s">
        <v>39</v>
      </c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</row>
    <row r="213" spans="1:57">
      <c r="A213" s="1" t="str">
        <f>'Population Definitions'!$A$5</f>
        <v>0-9_females</v>
      </c>
      <c r="B213" t="s">
        <v>62</v>
      </c>
      <c r="C213" t="s">
        <v>34</v>
      </c>
      <c r="D213" s="3"/>
      <c r="E213" s="3">
        <v>0</v>
      </c>
      <c r="F213" s="4" t="s">
        <v>39</v>
      </c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</row>
    <row r="214" spans="1:57">
      <c r="A214" s="1" t="str">
        <f>'Population Definitions'!$A$6</f>
        <v>10-17_males</v>
      </c>
      <c r="B214" t="s">
        <v>62</v>
      </c>
      <c r="C214" t="s">
        <v>34</v>
      </c>
      <c r="D214" s="3"/>
      <c r="E214" s="3">
        <v>0</v>
      </c>
      <c r="F214" s="4" t="s">
        <v>39</v>
      </c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</row>
    <row r="215" spans="1:57">
      <c r="A215" s="1" t="str">
        <f>'Population Definitions'!$A$7</f>
        <v>10-17_females</v>
      </c>
      <c r="B215" t="s">
        <v>62</v>
      </c>
      <c r="C215" t="s">
        <v>34</v>
      </c>
      <c r="D215" s="3"/>
      <c r="E215" s="3">
        <v>0</v>
      </c>
      <c r="F215" s="4" t="s">
        <v>39</v>
      </c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</row>
    <row r="216" spans="1:57">
      <c r="A216" s="1" t="str">
        <f>'Population Definitions'!$A$8</f>
        <v>18-64_males</v>
      </c>
      <c r="B216" t="s">
        <v>62</v>
      </c>
      <c r="C216" t="s">
        <v>34</v>
      </c>
      <c r="D216" s="3"/>
      <c r="E216" s="3">
        <v>0</v>
      </c>
      <c r="F216" s="4" t="s">
        <v>39</v>
      </c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</row>
    <row r="217" spans="1:57">
      <c r="A217" s="1" t="str">
        <f>'Population Definitions'!$A$9</f>
        <v>18-64_females</v>
      </c>
      <c r="B217" t="s">
        <v>62</v>
      </c>
      <c r="C217" t="s">
        <v>34</v>
      </c>
      <c r="D217" s="3"/>
      <c r="E217" s="3">
        <v>0</v>
      </c>
      <c r="F217" s="4" t="s">
        <v>39</v>
      </c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</row>
    <row r="218" spans="1:57">
      <c r="A218" s="1" t="str">
        <f>'Population Definitions'!$A$10</f>
        <v>65+_males</v>
      </c>
      <c r="B218" t="s">
        <v>62</v>
      </c>
      <c r="C218" t="s">
        <v>34</v>
      </c>
      <c r="D218" s="3"/>
      <c r="E218" s="3">
        <v>0</v>
      </c>
      <c r="F218" s="4" t="s">
        <v>39</v>
      </c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</row>
    <row r="219" spans="1:57">
      <c r="A219" s="1" t="str">
        <f>'Population Definitions'!$A$11</f>
        <v>65+_females</v>
      </c>
      <c r="B219" t="s">
        <v>62</v>
      </c>
      <c r="C219" t="s">
        <v>34</v>
      </c>
      <c r="D219" s="3"/>
      <c r="E219" s="3">
        <v>0</v>
      </c>
      <c r="F219" s="4" t="s">
        <v>39</v>
      </c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</row>
    <row r="220" spans="1:57">
      <c r="A220" s="1" t="str">
        <f>'Population Definitions'!$A$12</f>
        <v>Prisoners_males</v>
      </c>
      <c r="B220" t="s">
        <v>62</v>
      </c>
      <c r="C220" t="s">
        <v>34</v>
      </c>
      <c r="D220" s="3"/>
      <c r="E220" s="3">
        <v>0</v>
      </c>
      <c r="F220" s="4" t="s">
        <v>39</v>
      </c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</row>
    <row r="221" spans="1:57">
      <c r="A221" s="1" t="str">
        <f>'Population Definitions'!$A$13</f>
        <v>Prisoners_females</v>
      </c>
      <c r="B221" t="s">
        <v>62</v>
      </c>
      <c r="C221" t="s">
        <v>34</v>
      </c>
      <c r="D221" s="3"/>
      <c r="E221" s="3">
        <v>0</v>
      </c>
      <c r="F221" s="4" t="s">
        <v>39</v>
      </c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</row>
    <row r="222" spans="1:57">
      <c r="A222" s="1" t="str">
        <f>'Population Definitions'!$A$14</f>
        <v>Prisoners_PWID_males</v>
      </c>
      <c r="B222" t="s">
        <v>62</v>
      </c>
      <c r="C222" t="s">
        <v>34</v>
      </c>
      <c r="D222" s="3"/>
      <c r="E222" s="3">
        <v>0</v>
      </c>
      <c r="F222" s="4" t="s">
        <v>39</v>
      </c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</row>
    <row r="223" spans="1:57">
      <c r="A223" s="1" t="str">
        <f>'Population Definitions'!$A$15</f>
        <v>Prisoners_PWID_females</v>
      </c>
      <c r="B223" t="s">
        <v>62</v>
      </c>
      <c r="C223" t="s">
        <v>34</v>
      </c>
      <c r="D223" s="3"/>
      <c r="E223" s="3">
        <v>0</v>
      </c>
      <c r="F223" s="4" t="s">
        <v>39</v>
      </c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</row>
    <row r="225" spans="1:57">
      <c r="A225" s="1" t="s">
        <v>141</v>
      </c>
      <c r="B225" s="1" t="s">
        <v>31</v>
      </c>
      <c r="C225" s="1" t="s">
        <v>32</v>
      </c>
      <c r="D225" s="1" t="s">
        <v>33</v>
      </c>
      <c r="E225" s="1" t="s">
        <v>38</v>
      </c>
      <c r="F225" s="1"/>
      <c r="G225" s="1">
        <v>2000</v>
      </c>
      <c r="H225" s="1">
        <v>2001</v>
      </c>
      <c r="I225" s="1">
        <v>2002</v>
      </c>
      <c r="J225" s="1">
        <v>2003</v>
      </c>
      <c r="K225" s="1">
        <v>2004</v>
      </c>
      <c r="L225" s="1">
        <v>2005</v>
      </c>
      <c r="M225" s="1">
        <v>2006</v>
      </c>
      <c r="N225" s="1">
        <v>2007</v>
      </c>
      <c r="O225" s="1">
        <v>2008</v>
      </c>
      <c r="P225" s="1">
        <v>2009</v>
      </c>
      <c r="Q225" s="1">
        <v>2010</v>
      </c>
      <c r="R225" s="1">
        <v>2011</v>
      </c>
      <c r="S225" s="1">
        <v>2012</v>
      </c>
      <c r="T225" s="1">
        <v>2013</v>
      </c>
      <c r="U225" s="1">
        <v>2014</v>
      </c>
      <c r="V225" s="1">
        <v>2015</v>
      </c>
      <c r="W225" s="1">
        <v>2016</v>
      </c>
      <c r="X225" s="1">
        <v>2017</v>
      </c>
      <c r="Y225" s="1">
        <v>2018</v>
      </c>
      <c r="Z225" s="1">
        <v>2019</v>
      </c>
      <c r="AA225" s="1">
        <v>2020</v>
      </c>
      <c r="AB225" s="1">
        <v>2021</v>
      </c>
      <c r="AC225" s="1">
        <v>2022</v>
      </c>
      <c r="AD225" s="1">
        <v>2023</v>
      </c>
      <c r="AE225" s="1">
        <v>2024</v>
      </c>
      <c r="AF225" s="1">
        <v>2025</v>
      </c>
      <c r="AG225" s="1">
        <v>2026</v>
      </c>
      <c r="AH225" s="1">
        <v>2027</v>
      </c>
      <c r="AI225" s="1">
        <v>2028</v>
      </c>
      <c r="AJ225" s="1">
        <v>2029</v>
      </c>
      <c r="AK225" s="1">
        <v>2030</v>
      </c>
      <c r="AL225" s="1">
        <v>2031</v>
      </c>
      <c r="AM225" s="1">
        <v>2032</v>
      </c>
      <c r="AN225" s="1">
        <v>2033</v>
      </c>
      <c r="AO225" s="1">
        <v>2034</v>
      </c>
      <c r="AP225" s="1">
        <v>2035</v>
      </c>
      <c r="AQ225" s="1">
        <v>2036</v>
      </c>
      <c r="AR225" s="1">
        <v>2037</v>
      </c>
      <c r="AS225" s="1">
        <v>2038</v>
      </c>
      <c r="AT225" s="1">
        <v>2039</v>
      </c>
      <c r="AU225" s="1">
        <v>2040</v>
      </c>
      <c r="AV225" s="1">
        <v>2041</v>
      </c>
      <c r="AW225" s="1">
        <v>2042</v>
      </c>
      <c r="AX225" s="1">
        <v>2043</v>
      </c>
      <c r="AY225" s="1">
        <v>2044</v>
      </c>
      <c r="AZ225" s="1">
        <v>2045</v>
      </c>
      <c r="BA225" s="1">
        <v>2046</v>
      </c>
      <c r="BB225" s="1">
        <v>2047</v>
      </c>
      <c r="BC225" s="1">
        <v>2048</v>
      </c>
      <c r="BD225" s="1">
        <v>2049</v>
      </c>
      <c r="BE225" s="1">
        <v>2050</v>
      </c>
    </row>
    <row r="226" spans="1:57">
      <c r="A226" s="1" t="str">
        <f>'Population Definitions'!$A$2</f>
        <v>PWID_males</v>
      </c>
      <c r="B226" t="s">
        <v>62</v>
      </c>
      <c r="C226" t="s">
        <v>34</v>
      </c>
      <c r="D226" s="3"/>
      <c r="E226" s="3">
        <v>0</v>
      </c>
      <c r="F226" s="4" t="s">
        <v>39</v>
      </c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</row>
    <row r="227" spans="1:57">
      <c r="A227" s="1" t="str">
        <f>'Population Definitions'!$A$3</f>
        <v>PWID_females</v>
      </c>
      <c r="B227" t="s">
        <v>62</v>
      </c>
      <c r="C227" t="s">
        <v>34</v>
      </c>
      <c r="D227" s="3"/>
      <c r="E227" s="3">
        <v>0</v>
      </c>
      <c r="F227" s="4" t="s">
        <v>39</v>
      </c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</row>
    <row r="228" spans="1:57">
      <c r="A228" s="1" t="str">
        <f>'Population Definitions'!$A$4</f>
        <v>0-9_males</v>
      </c>
      <c r="B228" t="s">
        <v>62</v>
      </c>
      <c r="C228" t="s">
        <v>34</v>
      </c>
      <c r="D228" s="3"/>
      <c r="E228" s="3">
        <v>0</v>
      </c>
      <c r="F228" s="4" t="s">
        <v>39</v>
      </c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</row>
    <row r="229" spans="1:57">
      <c r="A229" s="1" t="str">
        <f>'Population Definitions'!$A$5</f>
        <v>0-9_females</v>
      </c>
      <c r="B229" t="s">
        <v>62</v>
      </c>
      <c r="C229" t="s">
        <v>34</v>
      </c>
      <c r="D229" s="3"/>
      <c r="E229" s="3">
        <v>0</v>
      </c>
      <c r="F229" s="4" t="s">
        <v>39</v>
      </c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</row>
    <row r="230" spans="1:57">
      <c r="A230" s="1" t="str">
        <f>'Population Definitions'!$A$6</f>
        <v>10-17_males</v>
      </c>
      <c r="B230" t="s">
        <v>62</v>
      </c>
      <c r="C230" t="s">
        <v>34</v>
      </c>
      <c r="D230" s="3"/>
      <c r="E230" s="3">
        <v>0</v>
      </c>
      <c r="F230" s="4" t="s">
        <v>39</v>
      </c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</row>
    <row r="231" spans="1:57">
      <c r="A231" s="1" t="str">
        <f>'Population Definitions'!$A$7</f>
        <v>10-17_females</v>
      </c>
      <c r="B231" t="s">
        <v>62</v>
      </c>
      <c r="C231" t="s">
        <v>34</v>
      </c>
      <c r="D231" s="3"/>
      <c r="E231" s="3">
        <v>0</v>
      </c>
      <c r="F231" s="4" t="s">
        <v>39</v>
      </c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</row>
    <row r="232" spans="1:57">
      <c r="A232" s="1" t="str">
        <f>'Population Definitions'!$A$8</f>
        <v>18-64_males</v>
      </c>
      <c r="B232" t="s">
        <v>62</v>
      </c>
      <c r="C232" t="s">
        <v>34</v>
      </c>
      <c r="D232" s="3"/>
      <c r="E232" s="3">
        <v>0</v>
      </c>
      <c r="F232" s="4" t="s">
        <v>39</v>
      </c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</row>
    <row r="233" spans="1:57">
      <c r="A233" s="1" t="str">
        <f>'Population Definitions'!$A$9</f>
        <v>18-64_females</v>
      </c>
      <c r="B233" t="s">
        <v>62</v>
      </c>
      <c r="C233" t="s">
        <v>34</v>
      </c>
      <c r="D233" s="3"/>
      <c r="E233" s="3">
        <v>0</v>
      </c>
      <c r="F233" s="4" t="s">
        <v>39</v>
      </c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</row>
    <row r="234" spans="1:57">
      <c r="A234" s="1" t="str">
        <f>'Population Definitions'!$A$10</f>
        <v>65+_males</v>
      </c>
      <c r="B234" t="s">
        <v>62</v>
      </c>
      <c r="C234" t="s">
        <v>34</v>
      </c>
      <c r="D234" s="3"/>
      <c r="E234" s="3">
        <v>0</v>
      </c>
      <c r="F234" s="4" t="s">
        <v>39</v>
      </c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  <c r="AF234" s="3"/>
      <c r="AG234" s="3"/>
      <c r="AH234" s="3"/>
      <c r="AI234" s="3"/>
      <c r="AJ234" s="3"/>
      <c r="AK234" s="3"/>
      <c r="AL234" s="3"/>
      <c r="AM234" s="3"/>
      <c r="AN234" s="3"/>
      <c r="AO234" s="3"/>
      <c r="AP234" s="3"/>
      <c r="AQ234" s="3"/>
      <c r="AR234" s="3"/>
      <c r="AS234" s="3"/>
      <c r="AT234" s="3"/>
      <c r="AU234" s="3"/>
      <c r="AV234" s="3"/>
      <c r="AW234" s="3"/>
      <c r="AX234" s="3"/>
      <c r="AY234" s="3"/>
      <c r="AZ234" s="3"/>
      <c r="BA234" s="3"/>
      <c r="BB234" s="3"/>
      <c r="BC234" s="3"/>
      <c r="BD234" s="3"/>
      <c r="BE234" s="3"/>
    </row>
    <row r="235" spans="1:57">
      <c r="A235" s="1" t="str">
        <f>'Population Definitions'!$A$11</f>
        <v>65+_females</v>
      </c>
      <c r="B235" t="s">
        <v>62</v>
      </c>
      <c r="C235" t="s">
        <v>34</v>
      </c>
      <c r="D235" s="3"/>
      <c r="E235" s="3">
        <v>0</v>
      </c>
      <c r="F235" s="4" t="s">
        <v>39</v>
      </c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  <c r="AF235" s="3"/>
      <c r="AG235" s="3"/>
      <c r="AH235" s="3"/>
      <c r="AI235" s="3"/>
      <c r="AJ235" s="3"/>
      <c r="AK235" s="3"/>
      <c r="AL235" s="3"/>
      <c r="AM235" s="3"/>
      <c r="AN235" s="3"/>
      <c r="AO235" s="3"/>
      <c r="AP235" s="3"/>
      <c r="AQ235" s="3"/>
      <c r="AR235" s="3"/>
      <c r="AS235" s="3"/>
      <c r="AT235" s="3"/>
      <c r="AU235" s="3"/>
      <c r="AV235" s="3"/>
      <c r="AW235" s="3"/>
      <c r="AX235" s="3"/>
      <c r="AY235" s="3"/>
      <c r="AZ235" s="3"/>
      <c r="BA235" s="3"/>
      <c r="BB235" s="3"/>
      <c r="BC235" s="3"/>
      <c r="BD235" s="3"/>
      <c r="BE235" s="3"/>
    </row>
    <row r="236" spans="1:57">
      <c r="A236" s="1" t="str">
        <f>'Population Definitions'!$A$12</f>
        <v>Prisoners_males</v>
      </c>
      <c r="B236" t="s">
        <v>62</v>
      </c>
      <c r="C236" t="s">
        <v>34</v>
      </c>
      <c r="D236" s="3"/>
      <c r="E236" s="3">
        <v>0</v>
      </c>
      <c r="F236" s="4" t="s">
        <v>39</v>
      </c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</row>
    <row r="237" spans="1:57">
      <c r="A237" s="1" t="str">
        <f>'Population Definitions'!$A$13</f>
        <v>Prisoners_females</v>
      </c>
      <c r="B237" t="s">
        <v>62</v>
      </c>
      <c r="C237" t="s">
        <v>34</v>
      </c>
      <c r="D237" s="3"/>
      <c r="E237" s="3">
        <v>0</v>
      </c>
      <c r="F237" s="4" t="s">
        <v>39</v>
      </c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</row>
    <row r="238" spans="1:57">
      <c r="A238" s="1" t="str">
        <f>'Population Definitions'!$A$14</f>
        <v>Prisoners_PWID_males</v>
      </c>
      <c r="B238" t="s">
        <v>62</v>
      </c>
      <c r="C238" t="s">
        <v>34</v>
      </c>
      <c r="D238" s="3"/>
      <c r="E238" s="3">
        <v>0</v>
      </c>
      <c r="F238" s="4" t="s">
        <v>39</v>
      </c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</row>
    <row r="239" spans="1:57">
      <c r="A239" s="1" t="str">
        <f>'Population Definitions'!$A$15</f>
        <v>Prisoners_PWID_females</v>
      </c>
      <c r="B239" t="s">
        <v>62</v>
      </c>
      <c r="C239" t="s">
        <v>34</v>
      </c>
      <c r="D239" s="3"/>
      <c r="E239" s="3">
        <v>0</v>
      </c>
      <c r="F239" s="4" t="s">
        <v>39</v>
      </c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</row>
    <row r="241" spans="1:57">
      <c r="A241" s="1" t="s">
        <v>142</v>
      </c>
      <c r="B241" s="1" t="s">
        <v>31</v>
      </c>
      <c r="C241" s="1" t="s">
        <v>32</v>
      </c>
      <c r="D241" s="1" t="s">
        <v>33</v>
      </c>
      <c r="E241" s="1" t="s">
        <v>38</v>
      </c>
      <c r="F241" s="1"/>
      <c r="G241" s="1">
        <v>2000</v>
      </c>
      <c r="H241" s="1">
        <v>2001</v>
      </c>
      <c r="I241" s="1">
        <v>2002</v>
      </c>
      <c r="J241" s="1">
        <v>2003</v>
      </c>
      <c r="K241" s="1">
        <v>2004</v>
      </c>
      <c r="L241" s="1">
        <v>2005</v>
      </c>
      <c r="M241" s="1">
        <v>2006</v>
      </c>
      <c r="N241" s="1">
        <v>2007</v>
      </c>
      <c r="O241" s="1">
        <v>2008</v>
      </c>
      <c r="P241" s="1">
        <v>2009</v>
      </c>
      <c r="Q241" s="1">
        <v>2010</v>
      </c>
      <c r="R241" s="1">
        <v>2011</v>
      </c>
      <c r="S241" s="1">
        <v>2012</v>
      </c>
      <c r="T241" s="1">
        <v>2013</v>
      </c>
      <c r="U241" s="1">
        <v>2014</v>
      </c>
      <c r="V241" s="1">
        <v>2015</v>
      </c>
      <c r="W241" s="1">
        <v>2016</v>
      </c>
      <c r="X241" s="1">
        <v>2017</v>
      </c>
      <c r="Y241" s="1">
        <v>2018</v>
      </c>
      <c r="Z241" s="1">
        <v>2019</v>
      </c>
      <c r="AA241" s="1">
        <v>2020</v>
      </c>
      <c r="AB241" s="1">
        <v>2021</v>
      </c>
      <c r="AC241" s="1">
        <v>2022</v>
      </c>
      <c r="AD241" s="1">
        <v>2023</v>
      </c>
      <c r="AE241" s="1">
        <v>2024</v>
      </c>
      <c r="AF241" s="1">
        <v>2025</v>
      </c>
      <c r="AG241" s="1">
        <v>2026</v>
      </c>
      <c r="AH241" s="1">
        <v>2027</v>
      </c>
      <c r="AI241" s="1">
        <v>2028</v>
      </c>
      <c r="AJ241" s="1">
        <v>2029</v>
      </c>
      <c r="AK241" s="1">
        <v>2030</v>
      </c>
      <c r="AL241" s="1">
        <v>2031</v>
      </c>
      <c r="AM241" s="1">
        <v>2032</v>
      </c>
      <c r="AN241" s="1">
        <v>2033</v>
      </c>
      <c r="AO241" s="1">
        <v>2034</v>
      </c>
      <c r="AP241" s="1">
        <v>2035</v>
      </c>
      <c r="AQ241" s="1">
        <v>2036</v>
      </c>
      <c r="AR241" s="1">
        <v>2037</v>
      </c>
      <c r="AS241" s="1">
        <v>2038</v>
      </c>
      <c r="AT241" s="1">
        <v>2039</v>
      </c>
      <c r="AU241" s="1">
        <v>2040</v>
      </c>
      <c r="AV241" s="1">
        <v>2041</v>
      </c>
      <c r="AW241" s="1">
        <v>2042</v>
      </c>
      <c r="AX241" s="1">
        <v>2043</v>
      </c>
      <c r="AY241" s="1">
        <v>2044</v>
      </c>
      <c r="AZ241" s="1">
        <v>2045</v>
      </c>
      <c r="BA241" s="1">
        <v>2046</v>
      </c>
      <c r="BB241" s="1">
        <v>2047</v>
      </c>
      <c r="BC241" s="1">
        <v>2048</v>
      </c>
      <c r="BD241" s="1">
        <v>2049</v>
      </c>
      <c r="BE241" s="1">
        <v>2050</v>
      </c>
    </row>
    <row r="242" spans="1:57">
      <c r="A242" s="1" t="str">
        <f>'Population Definitions'!$A$2</f>
        <v>PWID_males</v>
      </c>
      <c r="B242" t="s">
        <v>62</v>
      </c>
      <c r="C242" t="s">
        <v>34</v>
      </c>
      <c r="D242" s="3"/>
      <c r="E242" s="3">
        <v>0</v>
      </c>
      <c r="F242" s="4" t="s">
        <v>39</v>
      </c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</row>
    <row r="243" spans="1:57">
      <c r="A243" s="1" t="str">
        <f>'Population Definitions'!$A$3</f>
        <v>PWID_females</v>
      </c>
      <c r="B243" t="s">
        <v>62</v>
      </c>
      <c r="C243" t="s">
        <v>34</v>
      </c>
      <c r="D243" s="3"/>
      <c r="E243" s="3">
        <v>0</v>
      </c>
      <c r="F243" s="4" t="s">
        <v>39</v>
      </c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</row>
    <row r="244" spans="1:57">
      <c r="A244" s="1" t="str">
        <f>'Population Definitions'!$A$4</f>
        <v>0-9_males</v>
      </c>
      <c r="B244" t="s">
        <v>62</v>
      </c>
      <c r="C244" t="s">
        <v>34</v>
      </c>
      <c r="D244" s="3"/>
      <c r="E244" s="3">
        <v>0</v>
      </c>
      <c r="F244" s="4" t="s">
        <v>39</v>
      </c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</row>
    <row r="245" spans="1:57">
      <c r="A245" s="1" t="str">
        <f>'Population Definitions'!$A$5</f>
        <v>0-9_females</v>
      </c>
      <c r="B245" t="s">
        <v>62</v>
      </c>
      <c r="C245" t="s">
        <v>34</v>
      </c>
      <c r="D245" s="3"/>
      <c r="E245" s="3">
        <v>0</v>
      </c>
      <c r="F245" s="4" t="s">
        <v>39</v>
      </c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</row>
    <row r="246" spans="1:57">
      <c r="A246" s="1" t="str">
        <f>'Population Definitions'!$A$6</f>
        <v>10-17_males</v>
      </c>
      <c r="B246" t="s">
        <v>62</v>
      </c>
      <c r="C246" t="s">
        <v>34</v>
      </c>
      <c r="D246" s="3"/>
      <c r="E246" s="3">
        <v>0</v>
      </c>
      <c r="F246" s="4" t="s">
        <v>39</v>
      </c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</row>
    <row r="247" spans="1:57">
      <c r="A247" s="1" t="str">
        <f>'Population Definitions'!$A$7</f>
        <v>10-17_females</v>
      </c>
      <c r="B247" t="s">
        <v>62</v>
      </c>
      <c r="C247" t="s">
        <v>34</v>
      </c>
      <c r="D247" s="3"/>
      <c r="E247" s="3">
        <v>0</v>
      </c>
      <c r="F247" s="4" t="s">
        <v>39</v>
      </c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</row>
    <row r="248" spans="1:57">
      <c r="A248" s="1" t="str">
        <f>'Population Definitions'!$A$8</f>
        <v>18-64_males</v>
      </c>
      <c r="B248" t="s">
        <v>62</v>
      </c>
      <c r="C248" t="s">
        <v>34</v>
      </c>
      <c r="D248" s="3"/>
      <c r="E248" s="3">
        <v>0</v>
      </c>
      <c r="F248" s="4" t="s">
        <v>39</v>
      </c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</row>
    <row r="249" spans="1:57">
      <c r="A249" s="1" t="str">
        <f>'Population Definitions'!$A$9</f>
        <v>18-64_females</v>
      </c>
      <c r="B249" t="s">
        <v>62</v>
      </c>
      <c r="C249" t="s">
        <v>34</v>
      </c>
      <c r="D249" s="3"/>
      <c r="E249" s="3">
        <v>0</v>
      </c>
      <c r="F249" s="4" t="s">
        <v>39</v>
      </c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</row>
    <row r="250" spans="1:57">
      <c r="A250" s="1" t="str">
        <f>'Population Definitions'!$A$10</f>
        <v>65+_males</v>
      </c>
      <c r="B250" t="s">
        <v>62</v>
      </c>
      <c r="C250" t="s">
        <v>34</v>
      </c>
      <c r="D250" s="3"/>
      <c r="E250" s="3">
        <v>0</v>
      </c>
      <c r="F250" s="4" t="s">
        <v>39</v>
      </c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</row>
    <row r="251" spans="1:57">
      <c r="A251" s="1" t="str">
        <f>'Population Definitions'!$A$11</f>
        <v>65+_females</v>
      </c>
      <c r="B251" t="s">
        <v>62</v>
      </c>
      <c r="C251" t="s">
        <v>34</v>
      </c>
      <c r="D251" s="3"/>
      <c r="E251" s="3">
        <v>0</v>
      </c>
      <c r="F251" s="4" t="s">
        <v>39</v>
      </c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</row>
    <row r="252" spans="1:57">
      <c r="A252" s="1" t="str">
        <f>'Population Definitions'!$A$12</f>
        <v>Prisoners_males</v>
      </c>
      <c r="B252" t="s">
        <v>62</v>
      </c>
      <c r="C252" t="s">
        <v>34</v>
      </c>
      <c r="D252" s="3"/>
      <c r="E252" s="3">
        <v>0</v>
      </c>
      <c r="F252" s="4" t="s">
        <v>39</v>
      </c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</row>
    <row r="253" spans="1:57">
      <c r="A253" s="1" t="str">
        <f>'Population Definitions'!$A$13</f>
        <v>Prisoners_females</v>
      </c>
      <c r="B253" t="s">
        <v>62</v>
      </c>
      <c r="C253" t="s">
        <v>34</v>
      </c>
      <c r="D253" s="3"/>
      <c r="E253" s="3">
        <v>0</v>
      </c>
      <c r="F253" s="4" t="s">
        <v>39</v>
      </c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</row>
    <row r="254" spans="1:57">
      <c r="A254" s="1" t="str">
        <f>'Population Definitions'!$A$14</f>
        <v>Prisoners_PWID_males</v>
      </c>
      <c r="B254" t="s">
        <v>62</v>
      </c>
      <c r="C254" t="s">
        <v>34</v>
      </c>
      <c r="D254" s="3"/>
      <c r="E254" s="3">
        <v>0</v>
      </c>
      <c r="F254" s="4" t="s">
        <v>39</v>
      </c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</row>
    <row r="255" spans="1:57">
      <c r="A255" s="1" t="str">
        <f>'Population Definitions'!$A$15</f>
        <v>Prisoners_PWID_females</v>
      </c>
      <c r="B255" t="s">
        <v>62</v>
      </c>
      <c r="C255" t="s">
        <v>34</v>
      </c>
      <c r="D255" s="3"/>
      <c r="E255" s="3">
        <v>0</v>
      </c>
      <c r="F255" s="4" t="s">
        <v>39</v>
      </c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3"/>
    </row>
    <row r="257" spans="1:57">
      <c r="A257" s="1" t="s">
        <v>143</v>
      </c>
      <c r="B257" s="1" t="s">
        <v>31</v>
      </c>
      <c r="C257" s="1" t="s">
        <v>32</v>
      </c>
      <c r="D257" s="1" t="s">
        <v>33</v>
      </c>
      <c r="E257" s="1" t="s">
        <v>38</v>
      </c>
      <c r="F257" s="1"/>
      <c r="G257" s="1">
        <v>2000</v>
      </c>
      <c r="H257" s="1">
        <v>2001</v>
      </c>
      <c r="I257" s="1">
        <v>2002</v>
      </c>
      <c r="J257" s="1">
        <v>2003</v>
      </c>
      <c r="K257" s="1">
        <v>2004</v>
      </c>
      <c r="L257" s="1">
        <v>2005</v>
      </c>
      <c r="M257" s="1">
        <v>2006</v>
      </c>
      <c r="N257" s="1">
        <v>2007</v>
      </c>
      <c r="O257" s="1">
        <v>2008</v>
      </c>
      <c r="P257" s="1">
        <v>2009</v>
      </c>
      <c r="Q257" s="1">
        <v>2010</v>
      </c>
      <c r="R257" s="1">
        <v>2011</v>
      </c>
      <c r="S257" s="1">
        <v>2012</v>
      </c>
      <c r="T257" s="1">
        <v>2013</v>
      </c>
      <c r="U257" s="1">
        <v>2014</v>
      </c>
      <c r="V257" s="1">
        <v>2015</v>
      </c>
      <c r="W257" s="1">
        <v>2016</v>
      </c>
      <c r="X257" s="1">
        <v>2017</v>
      </c>
      <c r="Y257" s="1">
        <v>2018</v>
      </c>
      <c r="Z257" s="1">
        <v>2019</v>
      </c>
      <c r="AA257" s="1">
        <v>2020</v>
      </c>
      <c r="AB257" s="1">
        <v>2021</v>
      </c>
      <c r="AC257" s="1">
        <v>2022</v>
      </c>
      <c r="AD257" s="1">
        <v>2023</v>
      </c>
      <c r="AE257" s="1">
        <v>2024</v>
      </c>
      <c r="AF257" s="1">
        <v>2025</v>
      </c>
      <c r="AG257" s="1">
        <v>2026</v>
      </c>
      <c r="AH257" s="1">
        <v>2027</v>
      </c>
      <c r="AI257" s="1">
        <v>2028</v>
      </c>
      <c r="AJ257" s="1">
        <v>2029</v>
      </c>
      <c r="AK257" s="1">
        <v>2030</v>
      </c>
      <c r="AL257" s="1">
        <v>2031</v>
      </c>
      <c r="AM257" s="1">
        <v>2032</v>
      </c>
      <c r="AN257" s="1">
        <v>2033</v>
      </c>
      <c r="AO257" s="1">
        <v>2034</v>
      </c>
      <c r="AP257" s="1">
        <v>2035</v>
      </c>
      <c r="AQ257" s="1">
        <v>2036</v>
      </c>
      <c r="AR257" s="1">
        <v>2037</v>
      </c>
      <c r="AS257" s="1">
        <v>2038</v>
      </c>
      <c r="AT257" s="1">
        <v>2039</v>
      </c>
      <c r="AU257" s="1">
        <v>2040</v>
      </c>
      <c r="AV257" s="1">
        <v>2041</v>
      </c>
      <c r="AW257" s="1">
        <v>2042</v>
      </c>
      <c r="AX257" s="1">
        <v>2043</v>
      </c>
      <c r="AY257" s="1">
        <v>2044</v>
      </c>
      <c r="AZ257" s="1">
        <v>2045</v>
      </c>
      <c r="BA257" s="1">
        <v>2046</v>
      </c>
      <c r="BB257" s="1">
        <v>2047</v>
      </c>
      <c r="BC257" s="1">
        <v>2048</v>
      </c>
      <c r="BD257" s="1">
        <v>2049</v>
      </c>
      <c r="BE257" s="1">
        <v>2050</v>
      </c>
    </row>
    <row r="258" spans="1:57">
      <c r="A258" s="1" t="str">
        <f>'Population Definitions'!$A$2</f>
        <v>PWID_males</v>
      </c>
      <c r="B258" t="s">
        <v>62</v>
      </c>
      <c r="C258" t="s">
        <v>34</v>
      </c>
      <c r="D258" s="3"/>
      <c r="E258" s="3">
        <v>0</v>
      </c>
      <c r="F258" s="4" t="s">
        <v>39</v>
      </c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</row>
    <row r="259" spans="1:57">
      <c r="A259" s="1" t="str">
        <f>'Population Definitions'!$A$3</f>
        <v>PWID_females</v>
      </c>
      <c r="B259" t="s">
        <v>62</v>
      </c>
      <c r="C259" t="s">
        <v>34</v>
      </c>
      <c r="D259" s="3"/>
      <c r="E259" s="3">
        <v>0</v>
      </c>
      <c r="F259" s="4" t="s">
        <v>39</v>
      </c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</row>
    <row r="260" spans="1:57">
      <c r="A260" s="1" t="str">
        <f>'Population Definitions'!$A$4</f>
        <v>0-9_males</v>
      </c>
      <c r="B260" t="s">
        <v>62</v>
      </c>
      <c r="C260" t="s">
        <v>34</v>
      </c>
      <c r="D260" s="3"/>
      <c r="E260" s="3">
        <v>0</v>
      </c>
      <c r="F260" s="4" t="s">
        <v>39</v>
      </c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  <c r="AE260" s="3"/>
      <c r="AF260" s="3"/>
      <c r="AG260" s="3"/>
      <c r="AH260" s="3"/>
      <c r="AI260" s="3"/>
      <c r="AJ260" s="3"/>
      <c r="AK260" s="3"/>
      <c r="AL260" s="3"/>
      <c r="AM260" s="3"/>
      <c r="AN260" s="3"/>
      <c r="AO260" s="3"/>
      <c r="AP260" s="3"/>
      <c r="AQ260" s="3"/>
      <c r="AR260" s="3"/>
      <c r="AS260" s="3"/>
      <c r="AT260" s="3"/>
      <c r="AU260" s="3"/>
      <c r="AV260" s="3"/>
      <c r="AW260" s="3"/>
      <c r="AX260" s="3"/>
      <c r="AY260" s="3"/>
      <c r="AZ260" s="3"/>
      <c r="BA260" s="3"/>
      <c r="BB260" s="3"/>
      <c r="BC260" s="3"/>
      <c r="BD260" s="3"/>
      <c r="BE260" s="3"/>
    </row>
    <row r="261" spans="1:57">
      <c r="A261" s="1" t="str">
        <f>'Population Definitions'!$A$5</f>
        <v>0-9_females</v>
      </c>
      <c r="B261" t="s">
        <v>62</v>
      </c>
      <c r="C261" t="s">
        <v>34</v>
      </c>
      <c r="D261" s="3"/>
      <c r="E261" s="3">
        <v>0</v>
      </c>
      <c r="F261" s="4" t="s">
        <v>39</v>
      </c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  <c r="AE261" s="3"/>
      <c r="AF261" s="3"/>
      <c r="AG261" s="3"/>
      <c r="AH261" s="3"/>
      <c r="AI261" s="3"/>
      <c r="AJ261" s="3"/>
      <c r="AK261" s="3"/>
      <c r="AL261" s="3"/>
      <c r="AM261" s="3"/>
      <c r="AN261" s="3"/>
      <c r="AO261" s="3"/>
      <c r="AP261" s="3"/>
      <c r="AQ261" s="3"/>
      <c r="AR261" s="3"/>
      <c r="AS261" s="3"/>
      <c r="AT261" s="3"/>
      <c r="AU261" s="3"/>
      <c r="AV261" s="3"/>
      <c r="AW261" s="3"/>
      <c r="AX261" s="3"/>
      <c r="AY261" s="3"/>
      <c r="AZ261" s="3"/>
      <c r="BA261" s="3"/>
      <c r="BB261" s="3"/>
      <c r="BC261" s="3"/>
      <c r="BD261" s="3"/>
      <c r="BE261" s="3"/>
    </row>
    <row r="262" spans="1:57">
      <c r="A262" s="1" t="str">
        <f>'Population Definitions'!$A$6</f>
        <v>10-17_males</v>
      </c>
      <c r="B262" t="s">
        <v>62</v>
      </c>
      <c r="C262" t="s">
        <v>34</v>
      </c>
      <c r="D262" s="3"/>
      <c r="E262" s="3">
        <v>0</v>
      </c>
      <c r="F262" s="4" t="s">
        <v>39</v>
      </c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  <c r="BE262" s="3"/>
    </row>
    <row r="263" spans="1:57">
      <c r="A263" s="1" t="str">
        <f>'Population Definitions'!$A$7</f>
        <v>10-17_females</v>
      </c>
      <c r="B263" t="s">
        <v>62</v>
      </c>
      <c r="C263" t="s">
        <v>34</v>
      </c>
      <c r="D263" s="3"/>
      <c r="E263" s="3">
        <v>0</v>
      </c>
      <c r="F263" s="4" t="s">
        <v>39</v>
      </c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  <c r="BD263" s="3"/>
      <c r="BE263" s="3"/>
    </row>
    <row r="264" spans="1:57">
      <c r="A264" s="1" t="str">
        <f>'Population Definitions'!$A$8</f>
        <v>18-64_males</v>
      </c>
      <c r="B264" t="s">
        <v>62</v>
      </c>
      <c r="C264" t="s">
        <v>34</v>
      </c>
      <c r="D264" s="3"/>
      <c r="E264" s="3">
        <v>0</v>
      </c>
      <c r="F264" s="4" t="s">
        <v>39</v>
      </c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/>
      <c r="BD264" s="3"/>
      <c r="BE264" s="3"/>
    </row>
    <row r="265" spans="1:57">
      <c r="A265" s="1" t="str">
        <f>'Population Definitions'!$A$9</f>
        <v>18-64_females</v>
      </c>
      <c r="B265" t="s">
        <v>62</v>
      </c>
      <c r="C265" t="s">
        <v>34</v>
      </c>
      <c r="D265" s="3"/>
      <c r="E265" s="3">
        <v>0</v>
      </c>
      <c r="F265" s="4" t="s">
        <v>39</v>
      </c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  <c r="BD265" s="3"/>
      <c r="BE265" s="3"/>
    </row>
    <row r="266" spans="1:57">
      <c r="A266" s="1" t="str">
        <f>'Population Definitions'!$A$10</f>
        <v>65+_males</v>
      </c>
      <c r="B266" t="s">
        <v>62</v>
      </c>
      <c r="C266" t="s">
        <v>34</v>
      </c>
      <c r="D266" s="3"/>
      <c r="E266" s="3">
        <v>0</v>
      </c>
      <c r="F266" s="4" t="s">
        <v>39</v>
      </c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  <c r="BD266" s="3"/>
      <c r="BE266" s="3"/>
    </row>
    <row r="267" spans="1:57">
      <c r="A267" s="1" t="str">
        <f>'Population Definitions'!$A$11</f>
        <v>65+_females</v>
      </c>
      <c r="B267" t="s">
        <v>62</v>
      </c>
      <c r="C267" t="s">
        <v>34</v>
      </c>
      <c r="D267" s="3"/>
      <c r="E267" s="3">
        <v>0</v>
      </c>
      <c r="F267" s="4" t="s">
        <v>39</v>
      </c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3"/>
      <c r="BE267" s="3"/>
    </row>
    <row r="268" spans="1:57">
      <c r="A268" s="1" t="str">
        <f>'Population Definitions'!$A$12</f>
        <v>Prisoners_males</v>
      </c>
      <c r="B268" t="s">
        <v>62</v>
      </c>
      <c r="C268" t="s">
        <v>34</v>
      </c>
      <c r="D268" s="3"/>
      <c r="E268" s="3">
        <v>0</v>
      </c>
      <c r="F268" s="4" t="s">
        <v>39</v>
      </c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  <c r="BD268" s="3"/>
      <c r="BE268" s="3"/>
    </row>
    <row r="269" spans="1:57">
      <c r="A269" s="1" t="str">
        <f>'Population Definitions'!$A$13</f>
        <v>Prisoners_females</v>
      </c>
      <c r="B269" t="s">
        <v>62</v>
      </c>
      <c r="C269" t="s">
        <v>34</v>
      </c>
      <c r="D269" s="3"/>
      <c r="E269" s="3">
        <v>0</v>
      </c>
      <c r="F269" s="4" t="s">
        <v>39</v>
      </c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/>
      <c r="BD269" s="3"/>
      <c r="BE269" s="3"/>
    </row>
    <row r="270" spans="1:57">
      <c r="A270" s="1" t="str">
        <f>'Population Definitions'!$A$14</f>
        <v>Prisoners_PWID_males</v>
      </c>
      <c r="B270" t="s">
        <v>62</v>
      </c>
      <c r="C270" t="s">
        <v>34</v>
      </c>
      <c r="D270" s="3"/>
      <c r="E270" s="3">
        <v>0</v>
      </c>
      <c r="F270" s="4" t="s">
        <v>39</v>
      </c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  <c r="BD270" s="3"/>
      <c r="BE270" s="3"/>
    </row>
    <row r="271" spans="1:57">
      <c r="A271" s="1" t="str">
        <f>'Population Definitions'!$A$15</f>
        <v>Prisoners_PWID_females</v>
      </c>
      <c r="B271" t="s">
        <v>62</v>
      </c>
      <c r="C271" t="s">
        <v>34</v>
      </c>
      <c r="D271" s="3"/>
      <c r="E271" s="3">
        <v>0</v>
      </c>
      <c r="F271" s="4" t="s">
        <v>39</v>
      </c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  <c r="AZ271" s="3"/>
      <c r="BA271" s="3"/>
      <c r="BB271" s="3"/>
      <c r="BC271" s="3"/>
      <c r="BD271" s="3"/>
      <c r="BE271" s="3"/>
    </row>
    <row r="273" spans="1:57">
      <c r="A273" s="1" t="s">
        <v>144</v>
      </c>
      <c r="B273" s="1" t="s">
        <v>31</v>
      </c>
      <c r="C273" s="1" t="s">
        <v>32</v>
      </c>
      <c r="D273" s="1" t="s">
        <v>33</v>
      </c>
      <c r="E273" s="1" t="s">
        <v>38</v>
      </c>
      <c r="F273" s="1"/>
      <c r="G273" s="1">
        <v>2000</v>
      </c>
      <c r="H273" s="1">
        <v>2001</v>
      </c>
      <c r="I273" s="1">
        <v>2002</v>
      </c>
      <c r="J273" s="1">
        <v>2003</v>
      </c>
      <c r="K273" s="1">
        <v>2004</v>
      </c>
      <c r="L273" s="1">
        <v>2005</v>
      </c>
      <c r="M273" s="1">
        <v>2006</v>
      </c>
      <c r="N273" s="1">
        <v>2007</v>
      </c>
      <c r="O273" s="1">
        <v>2008</v>
      </c>
      <c r="P273" s="1">
        <v>2009</v>
      </c>
      <c r="Q273" s="1">
        <v>2010</v>
      </c>
      <c r="R273" s="1">
        <v>2011</v>
      </c>
      <c r="S273" s="1">
        <v>2012</v>
      </c>
      <c r="T273" s="1">
        <v>2013</v>
      </c>
      <c r="U273" s="1">
        <v>2014</v>
      </c>
      <c r="V273" s="1">
        <v>2015</v>
      </c>
      <c r="W273" s="1">
        <v>2016</v>
      </c>
      <c r="X273" s="1">
        <v>2017</v>
      </c>
      <c r="Y273" s="1">
        <v>2018</v>
      </c>
      <c r="Z273" s="1">
        <v>2019</v>
      </c>
      <c r="AA273" s="1">
        <v>2020</v>
      </c>
      <c r="AB273" s="1">
        <v>2021</v>
      </c>
      <c r="AC273" s="1">
        <v>2022</v>
      </c>
      <c r="AD273" s="1">
        <v>2023</v>
      </c>
      <c r="AE273" s="1">
        <v>2024</v>
      </c>
      <c r="AF273" s="1">
        <v>2025</v>
      </c>
      <c r="AG273" s="1">
        <v>2026</v>
      </c>
      <c r="AH273" s="1">
        <v>2027</v>
      </c>
      <c r="AI273" s="1">
        <v>2028</v>
      </c>
      <c r="AJ273" s="1">
        <v>2029</v>
      </c>
      <c r="AK273" s="1">
        <v>2030</v>
      </c>
      <c r="AL273" s="1">
        <v>2031</v>
      </c>
      <c r="AM273" s="1">
        <v>2032</v>
      </c>
      <c r="AN273" s="1">
        <v>2033</v>
      </c>
      <c r="AO273" s="1">
        <v>2034</v>
      </c>
      <c r="AP273" s="1">
        <v>2035</v>
      </c>
      <c r="AQ273" s="1">
        <v>2036</v>
      </c>
      <c r="AR273" s="1">
        <v>2037</v>
      </c>
      <c r="AS273" s="1">
        <v>2038</v>
      </c>
      <c r="AT273" s="1">
        <v>2039</v>
      </c>
      <c r="AU273" s="1">
        <v>2040</v>
      </c>
      <c r="AV273" s="1">
        <v>2041</v>
      </c>
      <c r="AW273" s="1">
        <v>2042</v>
      </c>
      <c r="AX273" s="1">
        <v>2043</v>
      </c>
      <c r="AY273" s="1">
        <v>2044</v>
      </c>
      <c r="AZ273" s="1">
        <v>2045</v>
      </c>
      <c r="BA273" s="1">
        <v>2046</v>
      </c>
      <c r="BB273" s="1">
        <v>2047</v>
      </c>
      <c r="BC273" s="1">
        <v>2048</v>
      </c>
      <c r="BD273" s="1">
        <v>2049</v>
      </c>
      <c r="BE273" s="1">
        <v>2050</v>
      </c>
    </row>
    <row r="274" spans="1:57">
      <c r="A274" s="1" t="str">
        <f>'Population Definitions'!$A$2</f>
        <v>PWID_males</v>
      </c>
      <c r="B274" t="s">
        <v>62</v>
      </c>
      <c r="C274" t="s">
        <v>34</v>
      </c>
      <c r="D274" s="3"/>
      <c r="E274" s="3">
        <v>0</v>
      </c>
      <c r="F274" s="4" t="s">
        <v>39</v>
      </c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  <c r="AZ274" s="3"/>
      <c r="BA274" s="3"/>
      <c r="BB274" s="3"/>
      <c r="BC274" s="3"/>
      <c r="BD274" s="3"/>
      <c r="BE274" s="3"/>
    </row>
    <row r="275" spans="1:57">
      <c r="A275" s="1" t="str">
        <f>'Population Definitions'!$A$3</f>
        <v>PWID_females</v>
      </c>
      <c r="B275" t="s">
        <v>62</v>
      </c>
      <c r="C275" t="s">
        <v>34</v>
      </c>
      <c r="D275" s="3"/>
      <c r="E275" s="3">
        <v>0</v>
      </c>
      <c r="F275" s="4" t="s">
        <v>39</v>
      </c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  <c r="AZ275" s="3"/>
      <c r="BA275" s="3"/>
      <c r="BB275" s="3"/>
      <c r="BC275" s="3"/>
      <c r="BD275" s="3"/>
      <c r="BE275" s="3"/>
    </row>
    <row r="276" spans="1:57">
      <c r="A276" s="1" t="str">
        <f>'Population Definitions'!$A$4</f>
        <v>0-9_males</v>
      </c>
      <c r="B276" t="s">
        <v>62</v>
      </c>
      <c r="C276" t="s">
        <v>34</v>
      </c>
      <c r="D276" s="3"/>
      <c r="E276" s="3">
        <v>0</v>
      </c>
      <c r="F276" s="4" t="s">
        <v>39</v>
      </c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  <c r="AZ276" s="3"/>
      <c r="BA276" s="3"/>
      <c r="BB276" s="3"/>
      <c r="BC276" s="3"/>
      <c r="BD276" s="3"/>
      <c r="BE276" s="3"/>
    </row>
    <row r="277" spans="1:57">
      <c r="A277" s="1" t="str">
        <f>'Population Definitions'!$A$5</f>
        <v>0-9_females</v>
      </c>
      <c r="B277" t="s">
        <v>62</v>
      </c>
      <c r="C277" t="s">
        <v>34</v>
      </c>
      <c r="D277" s="3"/>
      <c r="E277" s="3">
        <v>0</v>
      </c>
      <c r="F277" s="4" t="s">
        <v>39</v>
      </c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/>
      <c r="AZ277" s="3"/>
      <c r="BA277" s="3"/>
      <c r="BB277" s="3"/>
      <c r="BC277" s="3"/>
      <c r="BD277" s="3"/>
      <c r="BE277" s="3"/>
    </row>
    <row r="278" spans="1:57">
      <c r="A278" s="1" t="str">
        <f>'Population Definitions'!$A$6</f>
        <v>10-17_males</v>
      </c>
      <c r="B278" t="s">
        <v>62</v>
      </c>
      <c r="C278" t="s">
        <v>34</v>
      </c>
      <c r="D278" s="3"/>
      <c r="E278" s="3">
        <v>0</v>
      </c>
      <c r="F278" s="4" t="s">
        <v>39</v>
      </c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  <c r="AZ278" s="3"/>
      <c r="BA278" s="3"/>
      <c r="BB278" s="3"/>
      <c r="BC278" s="3"/>
      <c r="BD278" s="3"/>
      <c r="BE278" s="3"/>
    </row>
    <row r="279" spans="1:57">
      <c r="A279" s="1" t="str">
        <f>'Population Definitions'!$A$7</f>
        <v>10-17_females</v>
      </c>
      <c r="B279" t="s">
        <v>62</v>
      </c>
      <c r="C279" t="s">
        <v>34</v>
      </c>
      <c r="D279" s="3"/>
      <c r="E279" s="3">
        <v>0</v>
      </c>
      <c r="F279" s="4" t="s">
        <v>39</v>
      </c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  <c r="AZ279" s="3"/>
      <c r="BA279" s="3"/>
      <c r="BB279" s="3"/>
      <c r="BC279" s="3"/>
      <c r="BD279" s="3"/>
      <c r="BE279" s="3"/>
    </row>
    <row r="280" spans="1:57">
      <c r="A280" s="1" t="str">
        <f>'Population Definitions'!$A$8</f>
        <v>18-64_males</v>
      </c>
      <c r="B280" t="s">
        <v>62</v>
      </c>
      <c r="C280" t="s">
        <v>34</v>
      </c>
      <c r="D280" s="3"/>
      <c r="E280" s="3">
        <v>0</v>
      </c>
      <c r="F280" s="4" t="s">
        <v>39</v>
      </c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  <c r="AZ280" s="3"/>
      <c r="BA280" s="3"/>
      <c r="BB280" s="3"/>
      <c r="BC280" s="3"/>
      <c r="BD280" s="3"/>
      <c r="BE280" s="3"/>
    </row>
    <row r="281" spans="1:57">
      <c r="A281" s="1" t="str">
        <f>'Population Definitions'!$A$9</f>
        <v>18-64_females</v>
      </c>
      <c r="B281" t="s">
        <v>62</v>
      </c>
      <c r="C281" t="s">
        <v>34</v>
      </c>
      <c r="D281" s="3"/>
      <c r="E281" s="3">
        <v>0</v>
      </c>
      <c r="F281" s="4" t="s">
        <v>39</v>
      </c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/>
      <c r="AZ281" s="3"/>
      <c r="BA281" s="3"/>
      <c r="BB281" s="3"/>
      <c r="BC281" s="3"/>
      <c r="BD281" s="3"/>
      <c r="BE281" s="3"/>
    </row>
    <row r="282" spans="1:57">
      <c r="A282" s="1" t="str">
        <f>'Population Definitions'!$A$10</f>
        <v>65+_males</v>
      </c>
      <c r="B282" t="s">
        <v>62</v>
      </c>
      <c r="C282" t="s">
        <v>34</v>
      </c>
      <c r="D282" s="3"/>
      <c r="E282" s="3">
        <v>0</v>
      </c>
      <c r="F282" s="4" t="s">
        <v>39</v>
      </c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/>
      <c r="AZ282" s="3"/>
      <c r="BA282" s="3"/>
      <c r="BB282" s="3"/>
      <c r="BC282" s="3"/>
      <c r="BD282" s="3"/>
      <c r="BE282" s="3"/>
    </row>
    <row r="283" spans="1:57">
      <c r="A283" s="1" t="str">
        <f>'Population Definitions'!$A$11</f>
        <v>65+_females</v>
      </c>
      <c r="B283" t="s">
        <v>62</v>
      </c>
      <c r="C283" t="s">
        <v>34</v>
      </c>
      <c r="D283" s="3"/>
      <c r="E283" s="3">
        <v>0</v>
      </c>
      <c r="F283" s="4" t="s">
        <v>39</v>
      </c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  <c r="AZ283" s="3"/>
      <c r="BA283" s="3"/>
      <c r="BB283" s="3"/>
      <c r="BC283" s="3"/>
      <c r="BD283" s="3"/>
      <c r="BE283" s="3"/>
    </row>
    <row r="284" spans="1:57">
      <c r="A284" s="1" t="str">
        <f>'Population Definitions'!$A$12</f>
        <v>Prisoners_males</v>
      </c>
      <c r="B284" t="s">
        <v>62</v>
      </c>
      <c r="C284" t="s">
        <v>34</v>
      </c>
      <c r="D284" s="3"/>
      <c r="E284" s="3">
        <v>0</v>
      </c>
      <c r="F284" s="4" t="s">
        <v>39</v>
      </c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/>
      <c r="AZ284" s="3"/>
      <c r="BA284" s="3"/>
      <c r="BB284" s="3"/>
      <c r="BC284" s="3"/>
      <c r="BD284" s="3"/>
      <c r="BE284" s="3"/>
    </row>
    <row r="285" spans="1:57">
      <c r="A285" s="1" t="str">
        <f>'Population Definitions'!$A$13</f>
        <v>Prisoners_females</v>
      </c>
      <c r="B285" t="s">
        <v>62</v>
      </c>
      <c r="C285" t="s">
        <v>34</v>
      </c>
      <c r="D285" s="3"/>
      <c r="E285" s="3">
        <v>0</v>
      </c>
      <c r="F285" s="4" t="s">
        <v>39</v>
      </c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/>
      <c r="AZ285" s="3"/>
      <c r="BA285" s="3"/>
      <c r="BB285" s="3"/>
      <c r="BC285" s="3"/>
      <c r="BD285" s="3"/>
      <c r="BE285" s="3"/>
    </row>
    <row r="286" spans="1:57">
      <c r="A286" s="1" t="str">
        <f>'Population Definitions'!$A$14</f>
        <v>Prisoners_PWID_males</v>
      </c>
      <c r="B286" t="s">
        <v>62</v>
      </c>
      <c r="C286" t="s">
        <v>34</v>
      </c>
      <c r="D286" s="3"/>
      <c r="E286" s="3">
        <v>0</v>
      </c>
      <c r="F286" s="4" t="s">
        <v>39</v>
      </c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  <c r="AE286" s="3"/>
      <c r="AF286" s="3"/>
      <c r="AG286" s="3"/>
      <c r="AH286" s="3"/>
      <c r="AI286" s="3"/>
      <c r="AJ286" s="3"/>
      <c r="AK286" s="3"/>
      <c r="AL286" s="3"/>
      <c r="AM286" s="3"/>
      <c r="AN286" s="3"/>
      <c r="AO286" s="3"/>
      <c r="AP286" s="3"/>
      <c r="AQ286" s="3"/>
      <c r="AR286" s="3"/>
      <c r="AS286" s="3"/>
      <c r="AT286" s="3"/>
      <c r="AU286" s="3"/>
      <c r="AV286" s="3"/>
      <c r="AW286" s="3"/>
      <c r="AX286" s="3"/>
      <c r="AY286" s="3"/>
      <c r="AZ286" s="3"/>
      <c r="BA286" s="3"/>
      <c r="BB286" s="3"/>
      <c r="BC286" s="3"/>
      <c r="BD286" s="3"/>
      <c r="BE286" s="3"/>
    </row>
    <row r="287" spans="1:57">
      <c r="A287" s="1" t="str">
        <f>'Population Definitions'!$A$15</f>
        <v>Prisoners_PWID_females</v>
      </c>
      <c r="B287" t="s">
        <v>62</v>
      </c>
      <c r="C287" t="s">
        <v>34</v>
      </c>
      <c r="D287" s="3"/>
      <c r="E287" s="3">
        <v>0</v>
      </c>
      <c r="F287" s="4" t="s">
        <v>39</v>
      </c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/>
      <c r="AE287" s="3"/>
      <c r="AF287" s="3"/>
      <c r="AG287" s="3"/>
      <c r="AH287" s="3"/>
      <c r="AI287" s="3"/>
      <c r="AJ287" s="3"/>
      <c r="AK287" s="3"/>
      <c r="AL287" s="3"/>
      <c r="AM287" s="3"/>
      <c r="AN287" s="3"/>
      <c r="AO287" s="3"/>
      <c r="AP287" s="3"/>
      <c r="AQ287" s="3"/>
      <c r="AR287" s="3"/>
      <c r="AS287" s="3"/>
      <c r="AT287" s="3"/>
      <c r="AU287" s="3"/>
      <c r="AV287" s="3"/>
      <c r="AW287" s="3"/>
      <c r="AX287" s="3"/>
      <c r="AY287" s="3"/>
      <c r="AZ287" s="3"/>
      <c r="BA287" s="3"/>
      <c r="BB287" s="3"/>
      <c r="BC287" s="3"/>
      <c r="BD287" s="3"/>
      <c r="BE287" s="3"/>
    </row>
    <row r="289" spans="1:55">
      <c r="A289" s="1" t="s">
        <v>145</v>
      </c>
      <c r="B289" s="1" t="s">
        <v>31</v>
      </c>
      <c r="C289" s="1" t="s">
        <v>32</v>
      </c>
      <c r="D289" s="1" t="s">
        <v>33</v>
      </c>
      <c r="E289" s="1">
        <v>2000</v>
      </c>
      <c r="F289" s="1">
        <v>2001</v>
      </c>
      <c r="G289" s="1">
        <v>2002</v>
      </c>
      <c r="H289" s="1">
        <v>2003</v>
      </c>
      <c r="I289" s="1">
        <v>2004</v>
      </c>
      <c r="J289" s="1">
        <v>2005</v>
      </c>
      <c r="K289" s="1">
        <v>2006</v>
      </c>
      <c r="L289" s="1">
        <v>2007</v>
      </c>
      <c r="M289" s="1">
        <v>2008</v>
      </c>
      <c r="N289" s="1">
        <v>2009</v>
      </c>
      <c r="O289" s="1">
        <v>2010</v>
      </c>
      <c r="P289" s="1">
        <v>2011</v>
      </c>
      <c r="Q289" s="1">
        <v>2012</v>
      </c>
      <c r="R289" s="1">
        <v>2013</v>
      </c>
      <c r="S289" s="1">
        <v>2014</v>
      </c>
      <c r="T289" s="1">
        <v>2015</v>
      </c>
      <c r="U289" s="1">
        <v>2016</v>
      </c>
      <c r="V289" s="1">
        <v>2017</v>
      </c>
      <c r="W289" s="1">
        <v>2018</v>
      </c>
      <c r="X289" s="1">
        <v>2019</v>
      </c>
      <c r="Y289" s="1">
        <v>2020</v>
      </c>
      <c r="Z289" s="1">
        <v>2021</v>
      </c>
      <c r="AA289" s="1">
        <v>2022</v>
      </c>
      <c r="AB289" s="1">
        <v>2023</v>
      </c>
      <c r="AC289" s="1">
        <v>2024</v>
      </c>
      <c r="AD289" s="1">
        <v>2025</v>
      </c>
      <c r="AE289" s="1">
        <v>2026</v>
      </c>
      <c r="AF289" s="1">
        <v>2027</v>
      </c>
      <c r="AG289" s="1">
        <v>2028</v>
      </c>
      <c r="AH289" s="1">
        <v>2029</v>
      </c>
      <c r="AI289" s="1">
        <v>2030</v>
      </c>
      <c r="AJ289" s="1">
        <v>2031</v>
      </c>
      <c r="AK289" s="1">
        <v>2032</v>
      </c>
      <c r="AL289" s="1">
        <v>2033</v>
      </c>
      <c r="AM289" s="1">
        <v>2034</v>
      </c>
      <c r="AN289" s="1">
        <v>2035</v>
      </c>
      <c r="AO289" s="1">
        <v>2036</v>
      </c>
      <c r="AP289" s="1">
        <v>2037</v>
      </c>
      <c r="AQ289" s="1">
        <v>2038</v>
      </c>
      <c r="AR289" s="1">
        <v>2039</v>
      </c>
      <c r="AS289" s="1">
        <v>2040</v>
      </c>
      <c r="AT289" s="1">
        <v>2041</v>
      </c>
      <c r="AU289" s="1">
        <v>2042</v>
      </c>
      <c r="AV289" s="1">
        <v>2043</v>
      </c>
      <c r="AW289" s="1">
        <v>2044</v>
      </c>
      <c r="AX289" s="1">
        <v>2045</v>
      </c>
      <c r="AY289" s="1">
        <v>2046</v>
      </c>
      <c r="AZ289" s="1">
        <v>2047</v>
      </c>
      <c r="BA289" s="1">
        <v>2048</v>
      </c>
      <c r="BB289" s="1">
        <v>2049</v>
      </c>
      <c r="BC289" s="1">
        <v>2050</v>
      </c>
    </row>
    <row r="290" spans="1:55">
      <c r="A290" s="1" t="str">
        <f>'Population Definitions'!$A$2</f>
        <v>PWID_males</v>
      </c>
      <c r="C290" t="s">
        <v>34</v>
      </c>
      <c r="D290" s="3"/>
      <c r="E290" s="3">
        <v>18484.024</v>
      </c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  <c r="AI290" s="3"/>
      <c r="AJ290" s="3"/>
      <c r="AK290" s="3"/>
      <c r="AL290" s="3"/>
      <c r="AM290" s="3"/>
      <c r="AN290" s="3"/>
      <c r="AO290" s="3"/>
      <c r="AP290" s="3"/>
      <c r="AQ290" s="3"/>
      <c r="AR290" s="3"/>
      <c r="AS290" s="3"/>
      <c r="AT290" s="3"/>
      <c r="AU290" s="3"/>
      <c r="AV290" s="3"/>
      <c r="AW290" s="3"/>
      <c r="AX290" s="3"/>
      <c r="AY290" s="3"/>
      <c r="AZ290" s="3"/>
      <c r="BA290" s="3"/>
      <c r="BB290" s="3"/>
      <c r="BC290" s="3"/>
    </row>
    <row r="291" spans="1:55">
      <c r="A291" s="1" t="str">
        <f>'Population Definitions'!$A$3</f>
        <v>PWID_females</v>
      </c>
      <c r="C291" t="s">
        <v>34</v>
      </c>
      <c r="D291" s="3"/>
      <c r="E291" s="3">
        <v>5216.131230336</v>
      </c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  <c r="AH291" s="3"/>
      <c r="AI291" s="3"/>
      <c r="AJ291" s="3"/>
      <c r="AK291" s="3"/>
      <c r="AL291" s="3"/>
      <c r="AM291" s="3"/>
      <c r="AN291" s="3"/>
      <c r="AO291" s="3"/>
      <c r="AP291" s="3"/>
      <c r="AQ291" s="3"/>
      <c r="AR291" s="3"/>
      <c r="AS291" s="3"/>
      <c r="AT291" s="3"/>
      <c r="AU291" s="3"/>
      <c r="AV291" s="3"/>
      <c r="AW291" s="3"/>
      <c r="AX291" s="3"/>
      <c r="AY291" s="3"/>
      <c r="AZ291" s="3"/>
      <c r="BA291" s="3"/>
      <c r="BB291" s="3"/>
      <c r="BC291" s="3"/>
    </row>
    <row r="292" spans="1:55">
      <c r="A292" s="1" t="str">
        <f>'Population Definitions'!$A$4</f>
        <v>0-9_males</v>
      </c>
      <c r="C292" t="s">
        <v>34</v>
      </c>
      <c r="D292" s="3"/>
      <c r="E292" s="3">
        <v>0</v>
      </c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  <c r="AH292" s="3"/>
      <c r="AI292" s="3"/>
      <c r="AJ292" s="3"/>
      <c r="AK292" s="3"/>
      <c r="AL292" s="3"/>
      <c r="AM292" s="3"/>
      <c r="AN292" s="3"/>
      <c r="AO292" s="3"/>
      <c r="AP292" s="3"/>
      <c r="AQ292" s="3"/>
      <c r="AR292" s="3"/>
      <c r="AS292" s="3"/>
      <c r="AT292" s="3"/>
      <c r="AU292" s="3"/>
      <c r="AV292" s="3"/>
      <c r="AW292" s="3"/>
      <c r="AX292" s="3"/>
      <c r="AY292" s="3"/>
      <c r="AZ292" s="3"/>
      <c r="BA292" s="3"/>
      <c r="BB292" s="3"/>
      <c r="BC292" s="3"/>
    </row>
    <row r="293" spans="1:55">
      <c r="A293" s="1" t="str">
        <f>'Population Definitions'!$A$5</f>
        <v>0-9_females</v>
      </c>
      <c r="C293" t="s">
        <v>34</v>
      </c>
      <c r="D293" s="3"/>
      <c r="E293" s="3">
        <v>0</v>
      </c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3"/>
      <c r="AI293" s="3"/>
      <c r="AJ293" s="3"/>
      <c r="AK293" s="3"/>
      <c r="AL293" s="3"/>
      <c r="AM293" s="3"/>
      <c r="AN293" s="3"/>
      <c r="AO293" s="3"/>
      <c r="AP293" s="3"/>
      <c r="AQ293" s="3"/>
      <c r="AR293" s="3"/>
      <c r="AS293" s="3"/>
      <c r="AT293" s="3"/>
      <c r="AU293" s="3"/>
      <c r="AV293" s="3"/>
      <c r="AW293" s="3"/>
      <c r="AX293" s="3"/>
      <c r="AY293" s="3"/>
      <c r="AZ293" s="3"/>
      <c r="BA293" s="3"/>
      <c r="BB293" s="3"/>
      <c r="BC293" s="3"/>
    </row>
    <row r="294" spans="1:55">
      <c r="A294" s="1" t="str">
        <f>'Population Definitions'!$A$6</f>
        <v>10-17_males</v>
      </c>
      <c r="C294" t="s">
        <v>34</v>
      </c>
      <c r="D294" s="3"/>
      <c r="E294" s="3">
        <v>0</v>
      </c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  <c r="AH294" s="3"/>
      <c r="AI294" s="3"/>
      <c r="AJ294" s="3"/>
      <c r="AK294" s="3"/>
      <c r="AL294" s="3"/>
      <c r="AM294" s="3"/>
      <c r="AN294" s="3"/>
      <c r="AO294" s="3"/>
      <c r="AP294" s="3"/>
      <c r="AQ294" s="3"/>
      <c r="AR294" s="3"/>
      <c r="AS294" s="3"/>
      <c r="AT294" s="3"/>
      <c r="AU294" s="3"/>
      <c r="AV294" s="3"/>
      <c r="AW294" s="3"/>
      <c r="AX294" s="3"/>
      <c r="AY294" s="3"/>
      <c r="AZ294" s="3"/>
      <c r="BA294" s="3"/>
      <c r="BB294" s="3"/>
      <c r="BC294" s="3"/>
    </row>
    <row r="295" spans="1:55">
      <c r="A295" s="1" t="str">
        <f>'Population Definitions'!$A$7</f>
        <v>10-17_females</v>
      </c>
      <c r="C295" t="s">
        <v>34</v>
      </c>
      <c r="D295" s="3"/>
      <c r="E295" s="3">
        <v>0</v>
      </c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H295" s="3"/>
      <c r="AI295" s="3"/>
      <c r="AJ295" s="3"/>
      <c r="AK295" s="3"/>
      <c r="AL295" s="3"/>
      <c r="AM295" s="3"/>
      <c r="AN295" s="3"/>
      <c r="AO295" s="3"/>
      <c r="AP295" s="3"/>
      <c r="AQ295" s="3"/>
      <c r="AR295" s="3"/>
      <c r="AS295" s="3"/>
      <c r="AT295" s="3"/>
      <c r="AU295" s="3"/>
      <c r="AV295" s="3"/>
      <c r="AW295" s="3"/>
      <c r="AX295" s="3"/>
      <c r="AY295" s="3"/>
      <c r="AZ295" s="3"/>
      <c r="BA295" s="3"/>
      <c r="BB295" s="3"/>
      <c r="BC295" s="3"/>
    </row>
    <row r="296" spans="1:55">
      <c r="A296" s="1" t="str">
        <f>'Population Definitions'!$A$8</f>
        <v>18-64_males</v>
      </c>
      <c r="C296" t="s">
        <v>34</v>
      </c>
      <c r="D296" s="3"/>
      <c r="E296" s="3">
        <v>35651.65828007224</v>
      </c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  <c r="AI296" s="3"/>
      <c r="AJ296" s="3"/>
      <c r="AK296" s="3"/>
      <c r="AL296" s="3"/>
      <c r="AM296" s="3"/>
      <c r="AN296" s="3"/>
      <c r="AO296" s="3"/>
      <c r="AP296" s="3"/>
      <c r="AQ296" s="3"/>
      <c r="AR296" s="3"/>
      <c r="AS296" s="3"/>
      <c r="AT296" s="3"/>
      <c r="AU296" s="3"/>
      <c r="AV296" s="3"/>
      <c r="AW296" s="3"/>
      <c r="AX296" s="3"/>
      <c r="AY296" s="3"/>
      <c r="AZ296" s="3"/>
      <c r="BA296" s="3"/>
      <c r="BB296" s="3"/>
      <c r="BC296" s="3"/>
    </row>
    <row r="297" spans="1:55">
      <c r="A297" s="1" t="str">
        <f>'Population Definitions'!$A$9</f>
        <v>18-64_females</v>
      </c>
      <c r="C297" t="s">
        <v>34</v>
      </c>
      <c r="D297" s="3"/>
      <c r="E297" s="3">
        <v>37715.53053153288</v>
      </c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  <c r="AI297" s="3"/>
      <c r="AJ297" s="3"/>
      <c r="AK297" s="3"/>
      <c r="AL297" s="3"/>
      <c r="AM297" s="3"/>
      <c r="AN297" s="3"/>
      <c r="AO297" s="3"/>
      <c r="AP297" s="3"/>
      <c r="AQ297" s="3"/>
      <c r="AR297" s="3"/>
      <c r="AS297" s="3"/>
      <c r="AT297" s="3"/>
      <c r="AU297" s="3"/>
      <c r="AV297" s="3"/>
      <c r="AW297" s="3"/>
      <c r="AX297" s="3"/>
      <c r="AY297" s="3"/>
      <c r="AZ297" s="3"/>
      <c r="BA297" s="3"/>
      <c r="BB297" s="3"/>
      <c r="BC297" s="3"/>
    </row>
    <row r="298" spans="1:55">
      <c r="A298" s="1" t="str">
        <f>'Population Definitions'!$A$10</f>
        <v>65+_males</v>
      </c>
      <c r="C298" t="s">
        <v>34</v>
      </c>
      <c r="D298" s="3"/>
      <c r="E298" s="3">
        <v>2042.686524718874</v>
      </c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  <c r="AI298" s="3"/>
      <c r="AJ298" s="3"/>
      <c r="AK298" s="3"/>
      <c r="AL298" s="3"/>
      <c r="AM298" s="3"/>
      <c r="AN298" s="3"/>
      <c r="AO298" s="3"/>
      <c r="AP298" s="3"/>
      <c r="AQ298" s="3"/>
      <c r="AR298" s="3"/>
      <c r="AS298" s="3"/>
      <c r="AT298" s="3"/>
      <c r="AU298" s="3"/>
      <c r="AV298" s="3"/>
      <c r="AW298" s="3"/>
      <c r="AX298" s="3"/>
      <c r="AY298" s="3"/>
      <c r="AZ298" s="3"/>
      <c r="BA298" s="3"/>
      <c r="BB298" s="3"/>
      <c r="BC298" s="3"/>
    </row>
    <row r="299" spans="1:55">
      <c r="A299" s="1" t="str">
        <f>'Population Definitions'!$A$11</f>
        <v>65+_females</v>
      </c>
      <c r="C299" t="s">
        <v>34</v>
      </c>
      <c r="D299" s="3"/>
      <c r="E299" s="3">
        <v>2514.049343990078</v>
      </c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  <c r="AI299" s="3"/>
      <c r="AJ299" s="3"/>
      <c r="AK299" s="3"/>
      <c r="AL299" s="3"/>
      <c r="AM299" s="3"/>
      <c r="AN299" s="3"/>
      <c r="AO299" s="3"/>
      <c r="AP299" s="3"/>
      <c r="AQ299" s="3"/>
      <c r="AR299" s="3"/>
      <c r="AS299" s="3"/>
      <c r="AT299" s="3"/>
      <c r="AU299" s="3"/>
      <c r="AV299" s="3"/>
      <c r="AW299" s="3"/>
      <c r="AX299" s="3"/>
      <c r="AY299" s="3"/>
      <c r="AZ299" s="3"/>
      <c r="BA299" s="3"/>
      <c r="BB299" s="3"/>
      <c r="BC299" s="3"/>
    </row>
    <row r="300" spans="1:55">
      <c r="A300" s="1" t="str">
        <f>'Population Definitions'!$A$12</f>
        <v>Prisoners_males</v>
      </c>
      <c r="C300" t="s">
        <v>34</v>
      </c>
      <c r="D300" s="3"/>
      <c r="E300" s="3">
        <v>52.51713115138415</v>
      </c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  <c r="AI300" s="3"/>
      <c r="AJ300" s="3"/>
      <c r="AK300" s="3"/>
      <c r="AL300" s="3"/>
      <c r="AM300" s="3"/>
      <c r="AN300" s="3"/>
      <c r="AO300" s="3"/>
      <c r="AP300" s="3"/>
      <c r="AQ300" s="3"/>
      <c r="AR300" s="3"/>
      <c r="AS300" s="3"/>
      <c r="AT300" s="3"/>
      <c r="AU300" s="3"/>
      <c r="AV300" s="3"/>
      <c r="AW300" s="3"/>
      <c r="AX300" s="3"/>
      <c r="AY300" s="3"/>
      <c r="AZ300" s="3"/>
      <c r="BA300" s="3"/>
      <c r="BB300" s="3"/>
      <c r="BC300" s="3"/>
    </row>
    <row r="301" spans="1:55">
      <c r="A301" s="1" t="str">
        <f>'Population Definitions'!$A$13</f>
        <v>Prisoners_females</v>
      </c>
      <c r="C301" t="s">
        <v>34</v>
      </c>
      <c r="D301" s="3"/>
      <c r="E301" s="3">
        <v>1.792208198547753</v>
      </c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  <c r="AI301" s="3"/>
      <c r="AJ301" s="3"/>
      <c r="AK301" s="3"/>
      <c r="AL301" s="3"/>
      <c r="AM301" s="3"/>
      <c r="AN301" s="3"/>
      <c r="AO301" s="3"/>
      <c r="AP301" s="3"/>
      <c r="AQ301" s="3"/>
      <c r="AR301" s="3"/>
      <c r="AS301" s="3"/>
      <c r="AT301" s="3"/>
      <c r="AU301" s="3"/>
      <c r="AV301" s="3"/>
      <c r="AW301" s="3"/>
      <c r="AX301" s="3"/>
      <c r="AY301" s="3"/>
      <c r="AZ301" s="3"/>
      <c r="BA301" s="3"/>
      <c r="BB301" s="3"/>
      <c r="BC301" s="3"/>
    </row>
    <row r="302" spans="1:55">
      <c r="A302" s="1" t="str">
        <f>'Population Definitions'!$A$14</f>
        <v>Prisoners_PWID_males</v>
      </c>
      <c r="C302" t="s">
        <v>34</v>
      </c>
      <c r="D302" s="3"/>
      <c r="E302" s="3">
        <v>5656.57359525</v>
      </c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  <c r="AI302" s="3"/>
      <c r="AJ302" s="3"/>
      <c r="AK302" s="3"/>
      <c r="AL302" s="3"/>
      <c r="AM302" s="3"/>
      <c r="AN302" s="3"/>
      <c r="AO302" s="3"/>
      <c r="AP302" s="3"/>
      <c r="AQ302" s="3"/>
      <c r="AR302" s="3"/>
      <c r="AS302" s="3"/>
      <c r="AT302" s="3"/>
      <c r="AU302" s="3"/>
      <c r="AV302" s="3"/>
      <c r="AW302" s="3"/>
      <c r="AX302" s="3"/>
      <c r="AY302" s="3"/>
      <c r="AZ302" s="3"/>
      <c r="BA302" s="3"/>
      <c r="BB302" s="3"/>
      <c r="BC302" s="3"/>
    </row>
    <row r="303" spans="1:55">
      <c r="A303" s="1" t="str">
        <f>'Population Definitions'!$A$15</f>
        <v>Prisoners_PWID_females</v>
      </c>
      <c r="C303" t="s">
        <v>34</v>
      </c>
      <c r="D303" s="3"/>
      <c r="E303" s="3">
        <v>193.0371547500002</v>
      </c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"/>
      <c r="AI303" s="3"/>
      <c r="AJ303" s="3"/>
      <c r="AK303" s="3"/>
      <c r="AL303" s="3"/>
      <c r="AM303" s="3"/>
      <c r="AN303" s="3"/>
      <c r="AO303" s="3"/>
      <c r="AP303" s="3"/>
      <c r="AQ303" s="3"/>
      <c r="AR303" s="3"/>
      <c r="AS303" s="3"/>
      <c r="AT303" s="3"/>
      <c r="AU303" s="3"/>
      <c r="AV303" s="3"/>
      <c r="AW303" s="3"/>
      <c r="AX303" s="3"/>
      <c r="AY303" s="3"/>
      <c r="AZ303" s="3"/>
      <c r="BA303" s="3"/>
      <c r="BB303" s="3"/>
      <c r="BC303" s="3"/>
    </row>
    <row r="305" spans="1:55">
      <c r="A305" s="1" t="s">
        <v>146</v>
      </c>
      <c r="B305" s="1" t="s">
        <v>31</v>
      </c>
      <c r="C305" s="1" t="s">
        <v>32</v>
      </c>
      <c r="D305" s="1" t="s">
        <v>33</v>
      </c>
      <c r="E305" s="1">
        <v>2000</v>
      </c>
      <c r="F305" s="1">
        <v>2001</v>
      </c>
      <c r="G305" s="1">
        <v>2002</v>
      </c>
      <c r="H305" s="1">
        <v>2003</v>
      </c>
      <c r="I305" s="1">
        <v>2004</v>
      </c>
      <c r="J305" s="1">
        <v>2005</v>
      </c>
      <c r="K305" s="1">
        <v>2006</v>
      </c>
      <c r="L305" s="1">
        <v>2007</v>
      </c>
      <c r="M305" s="1">
        <v>2008</v>
      </c>
      <c r="N305" s="1">
        <v>2009</v>
      </c>
      <c r="O305" s="1">
        <v>2010</v>
      </c>
      <c r="P305" s="1">
        <v>2011</v>
      </c>
      <c r="Q305" s="1">
        <v>2012</v>
      </c>
      <c r="R305" s="1">
        <v>2013</v>
      </c>
      <c r="S305" s="1">
        <v>2014</v>
      </c>
      <c r="T305" s="1">
        <v>2015</v>
      </c>
      <c r="U305" s="1">
        <v>2016</v>
      </c>
      <c r="V305" s="1">
        <v>2017</v>
      </c>
      <c r="W305" s="1">
        <v>2018</v>
      </c>
      <c r="X305" s="1">
        <v>2019</v>
      </c>
      <c r="Y305" s="1">
        <v>2020</v>
      </c>
      <c r="Z305" s="1">
        <v>2021</v>
      </c>
      <c r="AA305" s="1">
        <v>2022</v>
      </c>
      <c r="AB305" s="1">
        <v>2023</v>
      </c>
      <c r="AC305" s="1">
        <v>2024</v>
      </c>
      <c r="AD305" s="1">
        <v>2025</v>
      </c>
      <c r="AE305" s="1">
        <v>2026</v>
      </c>
      <c r="AF305" s="1">
        <v>2027</v>
      </c>
      <c r="AG305" s="1">
        <v>2028</v>
      </c>
      <c r="AH305" s="1">
        <v>2029</v>
      </c>
      <c r="AI305" s="1">
        <v>2030</v>
      </c>
      <c r="AJ305" s="1">
        <v>2031</v>
      </c>
      <c r="AK305" s="1">
        <v>2032</v>
      </c>
      <c r="AL305" s="1">
        <v>2033</v>
      </c>
      <c r="AM305" s="1">
        <v>2034</v>
      </c>
      <c r="AN305" s="1">
        <v>2035</v>
      </c>
      <c r="AO305" s="1">
        <v>2036</v>
      </c>
      <c r="AP305" s="1">
        <v>2037</v>
      </c>
      <c r="AQ305" s="1">
        <v>2038</v>
      </c>
      <c r="AR305" s="1">
        <v>2039</v>
      </c>
      <c r="AS305" s="1">
        <v>2040</v>
      </c>
      <c r="AT305" s="1">
        <v>2041</v>
      </c>
      <c r="AU305" s="1">
        <v>2042</v>
      </c>
      <c r="AV305" s="1">
        <v>2043</v>
      </c>
      <c r="AW305" s="1">
        <v>2044</v>
      </c>
      <c r="AX305" s="1">
        <v>2045</v>
      </c>
      <c r="AY305" s="1">
        <v>2046</v>
      </c>
      <c r="AZ305" s="1">
        <v>2047</v>
      </c>
      <c r="BA305" s="1">
        <v>2048</v>
      </c>
      <c r="BB305" s="1">
        <v>2049</v>
      </c>
      <c r="BC305" s="1">
        <v>2050</v>
      </c>
    </row>
    <row r="306" spans="1:55">
      <c r="A306" s="1" t="str">
        <f>'Population Definitions'!$A$2</f>
        <v>PWID_males</v>
      </c>
      <c r="C306" t="s">
        <v>34</v>
      </c>
      <c r="D306" s="3"/>
      <c r="E306" s="3">
        <v>0</v>
      </c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  <c r="AI306" s="3"/>
      <c r="AJ306" s="3"/>
      <c r="AK306" s="3"/>
      <c r="AL306" s="3"/>
      <c r="AM306" s="3"/>
      <c r="AN306" s="3"/>
      <c r="AO306" s="3"/>
      <c r="AP306" s="3"/>
      <c r="AQ306" s="3"/>
      <c r="AR306" s="3"/>
      <c r="AS306" s="3"/>
      <c r="AT306" s="3"/>
      <c r="AU306" s="3"/>
      <c r="AV306" s="3"/>
      <c r="AW306" s="3"/>
      <c r="AX306" s="3"/>
      <c r="AY306" s="3"/>
      <c r="AZ306" s="3"/>
      <c r="BA306" s="3"/>
      <c r="BB306" s="3"/>
      <c r="BC306" s="3"/>
    </row>
    <row r="307" spans="1:55">
      <c r="A307" s="1" t="str">
        <f>'Population Definitions'!$A$3</f>
        <v>PWID_females</v>
      </c>
      <c r="C307" t="s">
        <v>34</v>
      </c>
      <c r="D307" s="3"/>
      <c r="E307" s="3">
        <v>0</v>
      </c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  <c r="AI307" s="3"/>
      <c r="AJ307" s="3"/>
      <c r="AK307" s="3"/>
      <c r="AL307" s="3"/>
      <c r="AM307" s="3"/>
      <c r="AN307" s="3"/>
      <c r="AO307" s="3"/>
      <c r="AP307" s="3"/>
      <c r="AQ307" s="3"/>
      <c r="AR307" s="3"/>
      <c r="AS307" s="3"/>
      <c r="AT307" s="3"/>
      <c r="AU307" s="3"/>
      <c r="AV307" s="3"/>
      <c r="AW307" s="3"/>
      <c r="AX307" s="3"/>
      <c r="AY307" s="3"/>
      <c r="AZ307" s="3"/>
      <c r="BA307" s="3"/>
      <c r="BB307" s="3"/>
      <c r="BC307" s="3"/>
    </row>
    <row r="308" spans="1:55">
      <c r="A308" s="1" t="str">
        <f>'Population Definitions'!$A$4</f>
        <v>0-9_males</v>
      </c>
      <c r="C308" t="s">
        <v>34</v>
      </c>
      <c r="D308" s="3"/>
      <c r="E308" s="3">
        <v>0</v>
      </c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"/>
      <c r="AI308" s="3"/>
      <c r="AJ308" s="3"/>
      <c r="AK308" s="3"/>
      <c r="AL308" s="3"/>
      <c r="AM308" s="3"/>
      <c r="AN308" s="3"/>
      <c r="AO308" s="3"/>
      <c r="AP308" s="3"/>
      <c r="AQ308" s="3"/>
      <c r="AR308" s="3"/>
      <c r="AS308" s="3"/>
      <c r="AT308" s="3"/>
      <c r="AU308" s="3"/>
      <c r="AV308" s="3"/>
      <c r="AW308" s="3"/>
      <c r="AX308" s="3"/>
      <c r="AY308" s="3"/>
      <c r="AZ308" s="3"/>
      <c r="BA308" s="3"/>
      <c r="BB308" s="3"/>
      <c r="BC308" s="3"/>
    </row>
    <row r="309" spans="1:55">
      <c r="A309" s="1" t="str">
        <f>'Population Definitions'!$A$5</f>
        <v>0-9_females</v>
      </c>
      <c r="C309" t="s">
        <v>34</v>
      </c>
      <c r="D309" s="3"/>
      <c r="E309" s="3">
        <v>0</v>
      </c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"/>
      <c r="AI309" s="3"/>
      <c r="AJ309" s="3"/>
      <c r="AK309" s="3"/>
      <c r="AL309" s="3"/>
      <c r="AM309" s="3"/>
      <c r="AN309" s="3"/>
      <c r="AO309" s="3"/>
      <c r="AP309" s="3"/>
      <c r="AQ309" s="3"/>
      <c r="AR309" s="3"/>
      <c r="AS309" s="3"/>
      <c r="AT309" s="3"/>
      <c r="AU309" s="3"/>
      <c r="AV309" s="3"/>
      <c r="AW309" s="3"/>
      <c r="AX309" s="3"/>
      <c r="AY309" s="3"/>
      <c r="AZ309" s="3"/>
      <c r="BA309" s="3"/>
      <c r="BB309" s="3"/>
      <c r="BC309" s="3"/>
    </row>
    <row r="310" spans="1:55">
      <c r="A310" s="1" t="str">
        <f>'Population Definitions'!$A$6</f>
        <v>10-17_males</v>
      </c>
      <c r="C310" t="s">
        <v>34</v>
      </c>
      <c r="D310" s="3"/>
      <c r="E310" s="3">
        <v>0</v>
      </c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  <c r="AI310" s="3"/>
      <c r="AJ310" s="3"/>
      <c r="AK310" s="3"/>
      <c r="AL310" s="3"/>
      <c r="AM310" s="3"/>
      <c r="AN310" s="3"/>
      <c r="AO310" s="3"/>
      <c r="AP310" s="3"/>
      <c r="AQ310" s="3"/>
      <c r="AR310" s="3"/>
      <c r="AS310" s="3"/>
      <c r="AT310" s="3"/>
      <c r="AU310" s="3"/>
      <c r="AV310" s="3"/>
      <c r="AW310" s="3"/>
      <c r="AX310" s="3"/>
      <c r="AY310" s="3"/>
      <c r="AZ310" s="3"/>
      <c r="BA310" s="3"/>
      <c r="BB310" s="3"/>
      <c r="BC310" s="3"/>
    </row>
    <row r="311" spans="1:55">
      <c r="A311" s="1" t="str">
        <f>'Population Definitions'!$A$7</f>
        <v>10-17_females</v>
      </c>
      <c r="C311" t="s">
        <v>34</v>
      </c>
      <c r="D311" s="3"/>
      <c r="E311" s="3">
        <v>0</v>
      </c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/>
      <c r="AI311" s="3"/>
      <c r="AJ311" s="3"/>
      <c r="AK311" s="3"/>
      <c r="AL311" s="3"/>
      <c r="AM311" s="3"/>
      <c r="AN311" s="3"/>
      <c r="AO311" s="3"/>
      <c r="AP311" s="3"/>
      <c r="AQ311" s="3"/>
      <c r="AR311" s="3"/>
      <c r="AS311" s="3"/>
      <c r="AT311" s="3"/>
      <c r="AU311" s="3"/>
      <c r="AV311" s="3"/>
      <c r="AW311" s="3"/>
      <c r="AX311" s="3"/>
      <c r="AY311" s="3"/>
      <c r="AZ311" s="3"/>
      <c r="BA311" s="3"/>
      <c r="BB311" s="3"/>
      <c r="BC311" s="3"/>
    </row>
    <row r="312" spans="1:55">
      <c r="A312" s="1" t="str">
        <f>'Population Definitions'!$A$8</f>
        <v>18-64_males</v>
      </c>
      <c r="C312" t="s">
        <v>34</v>
      </c>
      <c r="D312" s="3"/>
      <c r="E312" s="3">
        <v>0</v>
      </c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  <c r="AC312" s="3"/>
      <c r="AD312" s="3"/>
      <c r="AE312" s="3"/>
      <c r="AF312" s="3"/>
      <c r="AG312" s="3"/>
      <c r="AH312" s="3"/>
      <c r="AI312" s="3"/>
      <c r="AJ312" s="3"/>
      <c r="AK312" s="3"/>
      <c r="AL312" s="3"/>
      <c r="AM312" s="3"/>
      <c r="AN312" s="3"/>
      <c r="AO312" s="3"/>
      <c r="AP312" s="3"/>
      <c r="AQ312" s="3"/>
      <c r="AR312" s="3"/>
      <c r="AS312" s="3"/>
      <c r="AT312" s="3"/>
      <c r="AU312" s="3"/>
      <c r="AV312" s="3"/>
      <c r="AW312" s="3"/>
      <c r="AX312" s="3"/>
      <c r="AY312" s="3"/>
      <c r="AZ312" s="3"/>
      <c r="BA312" s="3"/>
      <c r="BB312" s="3"/>
      <c r="BC312" s="3"/>
    </row>
    <row r="313" spans="1:55">
      <c r="A313" s="1" t="str">
        <f>'Population Definitions'!$A$9</f>
        <v>18-64_females</v>
      </c>
      <c r="C313" t="s">
        <v>34</v>
      </c>
      <c r="D313" s="3"/>
      <c r="E313" s="3">
        <v>0</v>
      </c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  <c r="AC313" s="3"/>
      <c r="AD313" s="3"/>
      <c r="AE313" s="3"/>
      <c r="AF313" s="3"/>
      <c r="AG313" s="3"/>
      <c r="AH313" s="3"/>
      <c r="AI313" s="3"/>
      <c r="AJ313" s="3"/>
      <c r="AK313" s="3"/>
      <c r="AL313" s="3"/>
      <c r="AM313" s="3"/>
      <c r="AN313" s="3"/>
      <c r="AO313" s="3"/>
      <c r="AP313" s="3"/>
      <c r="AQ313" s="3"/>
      <c r="AR313" s="3"/>
      <c r="AS313" s="3"/>
      <c r="AT313" s="3"/>
      <c r="AU313" s="3"/>
      <c r="AV313" s="3"/>
      <c r="AW313" s="3"/>
      <c r="AX313" s="3"/>
      <c r="AY313" s="3"/>
      <c r="AZ313" s="3"/>
      <c r="BA313" s="3"/>
      <c r="BB313" s="3"/>
      <c r="BC313" s="3"/>
    </row>
    <row r="314" spans="1:55">
      <c r="A314" s="1" t="str">
        <f>'Population Definitions'!$A$10</f>
        <v>65+_males</v>
      </c>
      <c r="C314" t="s">
        <v>34</v>
      </c>
      <c r="D314" s="3"/>
      <c r="E314" s="3">
        <v>0</v>
      </c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"/>
      <c r="AI314" s="3"/>
      <c r="AJ314" s="3"/>
      <c r="AK314" s="3"/>
      <c r="AL314" s="3"/>
      <c r="AM314" s="3"/>
      <c r="AN314" s="3"/>
      <c r="AO314" s="3"/>
      <c r="AP314" s="3"/>
      <c r="AQ314" s="3"/>
      <c r="AR314" s="3"/>
      <c r="AS314" s="3"/>
      <c r="AT314" s="3"/>
      <c r="AU314" s="3"/>
      <c r="AV314" s="3"/>
      <c r="AW314" s="3"/>
      <c r="AX314" s="3"/>
      <c r="AY314" s="3"/>
      <c r="AZ314" s="3"/>
      <c r="BA314" s="3"/>
      <c r="BB314" s="3"/>
      <c r="BC314" s="3"/>
    </row>
    <row r="315" spans="1:55">
      <c r="A315" s="1" t="str">
        <f>'Population Definitions'!$A$11</f>
        <v>65+_females</v>
      </c>
      <c r="C315" t="s">
        <v>34</v>
      </c>
      <c r="D315" s="3"/>
      <c r="E315" s="3">
        <v>0</v>
      </c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  <c r="AI315" s="3"/>
      <c r="AJ315" s="3"/>
      <c r="AK315" s="3"/>
      <c r="AL315" s="3"/>
      <c r="AM315" s="3"/>
      <c r="AN315" s="3"/>
      <c r="AO315" s="3"/>
      <c r="AP315" s="3"/>
      <c r="AQ315" s="3"/>
      <c r="AR315" s="3"/>
      <c r="AS315" s="3"/>
      <c r="AT315" s="3"/>
      <c r="AU315" s="3"/>
      <c r="AV315" s="3"/>
      <c r="AW315" s="3"/>
      <c r="AX315" s="3"/>
      <c r="AY315" s="3"/>
      <c r="AZ315" s="3"/>
      <c r="BA315" s="3"/>
      <c r="BB315" s="3"/>
      <c r="BC315" s="3"/>
    </row>
    <row r="316" spans="1:55">
      <c r="A316" s="1" t="str">
        <f>'Population Definitions'!$A$12</f>
        <v>Prisoners_males</v>
      </c>
      <c r="C316" t="s">
        <v>34</v>
      </c>
      <c r="D316" s="3"/>
      <c r="E316" s="3">
        <v>0</v>
      </c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  <c r="AI316" s="3"/>
      <c r="AJ316" s="3"/>
      <c r="AK316" s="3"/>
      <c r="AL316" s="3"/>
      <c r="AM316" s="3"/>
      <c r="AN316" s="3"/>
      <c r="AO316" s="3"/>
      <c r="AP316" s="3"/>
      <c r="AQ316" s="3"/>
      <c r="AR316" s="3"/>
      <c r="AS316" s="3"/>
      <c r="AT316" s="3"/>
      <c r="AU316" s="3"/>
      <c r="AV316" s="3"/>
      <c r="AW316" s="3"/>
      <c r="AX316" s="3"/>
      <c r="AY316" s="3"/>
      <c r="AZ316" s="3"/>
      <c r="BA316" s="3"/>
      <c r="BB316" s="3"/>
      <c r="BC316" s="3"/>
    </row>
    <row r="317" spans="1:55">
      <c r="A317" s="1" t="str">
        <f>'Population Definitions'!$A$13</f>
        <v>Prisoners_females</v>
      </c>
      <c r="C317" t="s">
        <v>34</v>
      </c>
      <c r="D317" s="3"/>
      <c r="E317" s="3">
        <v>0</v>
      </c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H317" s="3"/>
      <c r="AI317" s="3"/>
      <c r="AJ317" s="3"/>
      <c r="AK317" s="3"/>
      <c r="AL317" s="3"/>
      <c r="AM317" s="3"/>
      <c r="AN317" s="3"/>
      <c r="AO317" s="3"/>
      <c r="AP317" s="3"/>
      <c r="AQ317" s="3"/>
      <c r="AR317" s="3"/>
      <c r="AS317" s="3"/>
      <c r="AT317" s="3"/>
      <c r="AU317" s="3"/>
      <c r="AV317" s="3"/>
      <c r="AW317" s="3"/>
      <c r="AX317" s="3"/>
      <c r="AY317" s="3"/>
      <c r="AZ317" s="3"/>
      <c r="BA317" s="3"/>
      <c r="BB317" s="3"/>
      <c r="BC317" s="3"/>
    </row>
    <row r="318" spans="1:55">
      <c r="A318" s="1" t="str">
        <f>'Population Definitions'!$A$14</f>
        <v>Prisoners_PWID_males</v>
      </c>
      <c r="C318" t="s">
        <v>34</v>
      </c>
      <c r="D318" s="3"/>
      <c r="E318" s="3">
        <v>0</v>
      </c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"/>
      <c r="AI318" s="3"/>
      <c r="AJ318" s="3"/>
      <c r="AK318" s="3"/>
      <c r="AL318" s="3"/>
      <c r="AM318" s="3"/>
      <c r="AN318" s="3"/>
      <c r="AO318" s="3"/>
      <c r="AP318" s="3"/>
      <c r="AQ318" s="3"/>
      <c r="AR318" s="3"/>
      <c r="AS318" s="3"/>
      <c r="AT318" s="3"/>
      <c r="AU318" s="3"/>
      <c r="AV318" s="3"/>
      <c r="AW318" s="3"/>
      <c r="AX318" s="3"/>
      <c r="AY318" s="3"/>
      <c r="AZ318" s="3"/>
      <c r="BA318" s="3"/>
      <c r="BB318" s="3"/>
      <c r="BC318" s="3"/>
    </row>
    <row r="319" spans="1:55">
      <c r="A319" s="1" t="str">
        <f>'Population Definitions'!$A$15</f>
        <v>Prisoners_PWID_females</v>
      </c>
      <c r="C319" t="s">
        <v>34</v>
      </c>
      <c r="D319" s="3"/>
      <c r="E319" s="3">
        <v>0</v>
      </c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"/>
      <c r="AI319" s="3"/>
      <c r="AJ319" s="3"/>
      <c r="AK319" s="3"/>
      <c r="AL319" s="3"/>
      <c r="AM319" s="3"/>
      <c r="AN319" s="3"/>
      <c r="AO319" s="3"/>
      <c r="AP319" s="3"/>
      <c r="AQ319" s="3"/>
      <c r="AR319" s="3"/>
      <c r="AS319" s="3"/>
      <c r="AT319" s="3"/>
      <c r="AU319" s="3"/>
      <c r="AV319" s="3"/>
      <c r="AW319" s="3"/>
      <c r="AX319" s="3"/>
      <c r="AY319" s="3"/>
      <c r="AZ319" s="3"/>
      <c r="BA319" s="3"/>
      <c r="BB319" s="3"/>
      <c r="BC319" s="3"/>
    </row>
    <row r="321" spans="1:55">
      <c r="A321" s="1" t="s">
        <v>147</v>
      </c>
      <c r="B321" s="1" t="s">
        <v>31</v>
      </c>
      <c r="C321" s="1" t="s">
        <v>32</v>
      </c>
      <c r="D321" s="1" t="s">
        <v>33</v>
      </c>
      <c r="E321" s="1">
        <v>2000</v>
      </c>
      <c r="F321" s="1">
        <v>2001</v>
      </c>
      <c r="G321" s="1">
        <v>2002</v>
      </c>
      <c r="H321" s="1">
        <v>2003</v>
      </c>
      <c r="I321" s="1">
        <v>2004</v>
      </c>
      <c r="J321" s="1">
        <v>2005</v>
      </c>
      <c r="K321" s="1">
        <v>2006</v>
      </c>
      <c r="L321" s="1">
        <v>2007</v>
      </c>
      <c r="M321" s="1">
        <v>2008</v>
      </c>
      <c r="N321" s="1">
        <v>2009</v>
      </c>
      <c r="O321" s="1">
        <v>2010</v>
      </c>
      <c r="P321" s="1">
        <v>2011</v>
      </c>
      <c r="Q321" s="1">
        <v>2012</v>
      </c>
      <c r="R321" s="1">
        <v>2013</v>
      </c>
      <c r="S321" s="1">
        <v>2014</v>
      </c>
      <c r="T321" s="1">
        <v>2015</v>
      </c>
      <c r="U321" s="1">
        <v>2016</v>
      </c>
      <c r="V321" s="1">
        <v>2017</v>
      </c>
      <c r="W321" s="1">
        <v>2018</v>
      </c>
      <c r="X321" s="1">
        <v>2019</v>
      </c>
      <c r="Y321" s="1">
        <v>2020</v>
      </c>
      <c r="Z321" s="1">
        <v>2021</v>
      </c>
      <c r="AA321" s="1">
        <v>2022</v>
      </c>
      <c r="AB321" s="1">
        <v>2023</v>
      </c>
      <c r="AC321" s="1">
        <v>2024</v>
      </c>
      <c r="AD321" s="1">
        <v>2025</v>
      </c>
      <c r="AE321" s="1">
        <v>2026</v>
      </c>
      <c r="AF321" s="1">
        <v>2027</v>
      </c>
      <c r="AG321" s="1">
        <v>2028</v>
      </c>
      <c r="AH321" s="1">
        <v>2029</v>
      </c>
      <c r="AI321" s="1">
        <v>2030</v>
      </c>
      <c r="AJ321" s="1">
        <v>2031</v>
      </c>
      <c r="AK321" s="1">
        <v>2032</v>
      </c>
      <c r="AL321" s="1">
        <v>2033</v>
      </c>
      <c r="AM321" s="1">
        <v>2034</v>
      </c>
      <c r="AN321" s="1">
        <v>2035</v>
      </c>
      <c r="AO321" s="1">
        <v>2036</v>
      </c>
      <c r="AP321" s="1">
        <v>2037</v>
      </c>
      <c r="AQ321" s="1">
        <v>2038</v>
      </c>
      <c r="AR321" s="1">
        <v>2039</v>
      </c>
      <c r="AS321" s="1">
        <v>2040</v>
      </c>
      <c r="AT321" s="1">
        <v>2041</v>
      </c>
      <c r="AU321" s="1">
        <v>2042</v>
      </c>
      <c r="AV321" s="1">
        <v>2043</v>
      </c>
      <c r="AW321" s="1">
        <v>2044</v>
      </c>
      <c r="AX321" s="1">
        <v>2045</v>
      </c>
      <c r="AY321" s="1">
        <v>2046</v>
      </c>
      <c r="AZ321" s="1">
        <v>2047</v>
      </c>
      <c r="BA321" s="1">
        <v>2048</v>
      </c>
      <c r="BB321" s="1">
        <v>2049</v>
      </c>
      <c r="BC321" s="1">
        <v>2050</v>
      </c>
    </row>
    <row r="322" spans="1:55">
      <c r="A322" s="1" t="str">
        <f>'Population Definitions'!$A$2</f>
        <v>PWID_males</v>
      </c>
      <c r="C322" t="s">
        <v>34</v>
      </c>
      <c r="D322" s="3"/>
      <c r="E322" s="3">
        <v>0</v>
      </c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  <c r="AJ322" s="3"/>
      <c r="AK322" s="3"/>
      <c r="AL322" s="3"/>
      <c r="AM322" s="3"/>
      <c r="AN322" s="3"/>
      <c r="AO322" s="3"/>
      <c r="AP322" s="3"/>
      <c r="AQ322" s="3"/>
      <c r="AR322" s="3"/>
      <c r="AS322" s="3"/>
      <c r="AT322" s="3"/>
      <c r="AU322" s="3"/>
      <c r="AV322" s="3"/>
      <c r="AW322" s="3"/>
      <c r="AX322" s="3"/>
      <c r="AY322" s="3"/>
      <c r="AZ322" s="3"/>
      <c r="BA322" s="3"/>
      <c r="BB322" s="3"/>
      <c r="BC322" s="3"/>
    </row>
    <row r="323" spans="1:55">
      <c r="A323" s="1" t="str">
        <f>'Population Definitions'!$A$3</f>
        <v>PWID_females</v>
      </c>
      <c r="C323" t="s">
        <v>34</v>
      </c>
      <c r="D323" s="3"/>
      <c r="E323" s="3">
        <v>0</v>
      </c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H323" s="3"/>
      <c r="AI323" s="3"/>
      <c r="AJ323" s="3"/>
      <c r="AK323" s="3"/>
      <c r="AL323" s="3"/>
      <c r="AM323" s="3"/>
      <c r="AN323" s="3"/>
      <c r="AO323" s="3"/>
      <c r="AP323" s="3"/>
      <c r="AQ323" s="3"/>
      <c r="AR323" s="3"/>
      <c r="AS323" s="3"/>
      <c r="AT323" s="3"/>
      <c r="AU323" s="3"/>
      <c r="AV323" s="3"/>
      <c r="AW323" s="3"/>
      <c r="AX323" s="3"/>
      <c r="AY323" s="3"/>
      <c r="AZ323" s="3"/>
      <c r="BA323" s="3"/>
      <c r="BB323" s="3"/>
      <c r="BC323" s="3"/>
    </row>
    <row r="324" spans="1:55">
      <c r="A324" s="1" t="str">
        <f>'Population Definitions'!$A$4</f>
        <v>0-9_males</v>
      </c>
      <c r="C324" t="s">
        <v>34</v>
      </c>
      <c r="D324" s="3"/>
      <c r="E324" s="3">
        <v>0</v>
      </c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  <c r="AI324" s="3"/>
      <c r="AJ324" s="3"/>
      <c r="AK324" s="3"/>
      <c r="AL324" s="3"/>
      <c r="AM324" s="3"/>
      <c r="AN324" s="3"/>
      <c r="AO324" s="3"/>
      <c r="AP324" s="3"/>
      <c r="AQ324" s="3"/>
      <c r="AR324" s="3"/>
      <c r="AS324" s="3"/>
      <c r="AT324" s="3"/>
      <c r="AU324" s="3"/>
      <c r="AV324" s="3"/>
      <c r="AW324" s="3"/>
      <c r="AX324" s="3"/>
      <c r="AY324" s="3"/>
      <c r="AZ324" s="3"/>
      <c r="BA324" s="3"/>
      <c r="BB324" s="3"/>
      <c r="BC324" s="3"/>
    </row>
    <row r="325" spans="1:55">
      <c r="A325" s="1" t="str">
        <f>'Population Definitions'!$A$5</f>
        <v>0-9_females</v>
      </c>
      <c r="C325" t="s">
        <v>34</v>
      </c>
      <c r="D325" s="3"/>
      <c r="E325" s="3">
        <v>0</v>
      </c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H325" s="3"/>
      <c r="AI325" s="3"/>
      <c r="AJ325" s="3"/>
      <c r="AK325" s="3"/>
      <c r="AL325" s="3"/>
      <c r="AM325" s="3"/>
      <c r="AN325" s="3"/>
      <c r="AO325" s="3"/>
      <c r="AP325" s="3"/>
      <c r="AQ325" s="3"/>
      <c r="AR325" s="3"/>
      <c r="AS325" s="3"/>
      <c r="AT325" s="3"/>
      <c r="AU325" s="3"/>
      <c r="AV325" s="3"/>
      <c r="AW325" s="3"/>
      <c r="AX325" s="3"/>
      <c r="AY325" s="3"/>
      <c r="AZ325" s="3"/>
      <c r="BA325" s="3"/>
      <c r="BB325" s="3"/>
      <c r="BC325" s="3"/>
    </row>
    <row r="326" spans="1:55">
      <c r="A326" s="1" t="str">
        <f>'Population Definitions'!$A$6</f>
        <v>10-17_males</v>
      </c>
      <c r="C326" t="s">
        <v>34</v>
      </c>
      <c r="D326" s="3"/>
      <c r="E326" s="3">
        <v>0</v>
      </c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  <c r="AI326" s="3"/>
      <c r="AJ326" s="3"/>
      <c r="AK326" s="3"/>
      <c r="AL326" s="3"/>
      <c r="AM326" s="3"/>
      <c r="AN326" s="3"/>
      <c r="AO326" s="3"/>
      <c r="AP326" s="3"/>
      <c r="AQ326" s="3"/>
      <c r="AR326" s="3"/>
      <c r="AS326" s="3"/>
      <c r="AT326" s="3"/>
      <c r="AU326" s="3"/>
      <c r="AV326" s="3"/>
      <c r="AW326" s="3"/>
      <c r="AX326" s="3"/>
      <c r="AY326" s="3"/>
      <c r="AZ326" s="3"/>
      <c r="BA326" s="3"/>
      <c r="BB326" s="3"/>
      <c r="BC326" s="3"/>
    </row>
    <row r="327" spans="1:55">
      <c r="A327" s="1" t="str">
        <f>'Population Definitions'!$A$7</f>
        <v>10-17_females</v>
      </c>
      <c r="C327" t="s">
        <v>34</v>
      </c>
      <c r="D327" s="3"/>
      <c r="E327" s="3">
        <v>0</v>
      </c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H327" s="3"/>
      <c r="AI327" s="3"/>
      <c r="AJ327" s="3"/>
      <c r="AK327" s="3"/>
      <c r="AL327" s="3"/>
      <c r="AM327" s="3"/>
      <c r="AN327" s="3"/>
      <c r="AO327" s="3"/>
      <c r="AP327" s="3"/>
      <c r="AQ327" s="3"/>
      <c r="AR327" s="3"/>
      <c r="AS327" s="3"/>
      <c r="AT327" s="3"/>
      <c r="AU327" s="3"/>
      <c r="AV327" s="3"/>
      <c r="AW327" s="3"/>
      <c r="AX327" s="3"/>
      <c r="AY327" s="3"/>
      <c r="AZ327" s="3"/>
      <c r="BA327" s="3"/>
      <c r="BB327" s="3"/>
      <c r="BC327" s="3"/>
    </row>
    <row r="328" spans="1:55">
      <c r="A328" s="1" t="str">
        <f>'Population Definitions'!$A$8</f>
        <v>18-64_males</v>
      </c>
      <c r="C328" t="s">
        <v>34</v>
      </c>
      <c r="D328" s="3"/>
      <c r="E328" s="3">
        <v>0</v>
      </c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  <c r="AK328" s="3"/>
      <c r="AL328" s="3"/>
      <c r="AM328" s="3"/>
      <c r="AN328" s="3"/>
      <c r="AO328" s="3"/>
      <c r="AP328" s="3"/>
      <c r="AQ328" s="3"/>
      <c r="AR328" s="3"/>
      <c r="AS328" s="3"/>
      <c r="AT328" s="3"/>
      <c r="AU328" s="3"/>
      <c r="AV328" s="3"/>
      <c r="AW328" s="3"/>
      <c r="AX328" s="3"/>
      <c r="AY328" s="3"/>
      <c r="AZ328" s="3"/>
      <c r="BA328" s="3"/>
      <c r="BB328" s="3"/>
      <c r="BC328" s="3"/>
    </row>
    <row r="329" spans="1:55">
      <c r="A329" s="1" t="str">
        <f>'Population Definitions'!$A$9</f>
        <v>18-64_females</v>
      </c>
      <c r="C329" t="s">
        <v>34</v>
      </c>
      <c r="D329" s="3"/>
      <c r="E329" s="3">
        <v>0</v>
      </c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/>
      <c r="AK329" s="3"/>
      <c r="AL329" s="3"/>
      <c r="AM329" s="3"/>
      <c r="AN329" s="3"/>
      <c r="AO329" s="3"/>
      <c r="AP329" s="3"/>
      <c r="AQ329" s="3"/>
      <c r="AR329" s="3"/>
      <c r="AS329" s="3"/>
      <c r="AT329" s="3"/>
      <c r="AU329" s="3"/>
      <c r="AV329" s="3"/>
      <c r="AW329" s="3"/>
      <c r="AX329" s="3"/>
      <c r="AY329" s="3"/>
      <c r="AZ329" s="3"/>
      <c r="BA329" s="3"/>
      <c r="BB329" s="3"/>
      <c r="BC329" s="3"/>
    </row>
    <row r="330" spans="1:55">
      <c r="A330" s="1" t="str">
        <f>'Population Definitions'!$A$10</f>
        <v>65+_males</v>
      </c>
      <c r="C330" t="s">
        <v>34</v>
      </c>
      <c r="D330" s="3"/>
      <c r="E330" s="3">
        <v>0</v>
      </c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3"/>
      <c r="AK330" s="3"/>
      <c r="AL330" s="3"/>
      <c r="AM330" s="3"/>
      <c r="AN330" s="3"/>
      <c r="AO330" s="3"/>
      <c r="AP330" s="3"/>
      <c r="AQ330" s="3"/>
      <c r="AR330" s="3"/>
      <c r="AS330" s="3"/>
      <c r="AT330" s="3"/>
      <c r="AU330" s="3"/>
      <c r="AV330" s="3"/>
      <c r="AW330" s="3"/>
      <c r="AX330" s="3"/>
      <c r="AY330" s="3"/>
      <c r="AZ330" s="3"/>
      <c r="BA330" s="3"/>
      <c r="BB330" s="3"/>
      <c r="BC330" s="3"/>
    </row>
    <row r="331" spans="1:55">
      <c r="A331" s="1" t="str">
        <f>'Population Definitions'!$A$11</f>
        <v>65+_females</v>
      </c>
      <c r="C331" t="s">
        <v>34</v>
      </c>
      <c r="D331" s="3"/>
      <c r="E331" s="3">
        <v>0</v>
      </c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3"/>
      <c r="AK331" s="3"/>
      <c r="AL331" s="3"/>
      <c r="AM331" s="3"/>
      <c r="AN331" s="3"/>
      <c r="AO331" s="3"/>
      <c r="AP331" s="3"/>
      <c r="AQ331" s="3"/>
      <c r="AR331" s="3"/>
      <c r="AS331" s="3"/>
      <c r="AT331" s="3"/>
      <c r="AU331" s="3"/>
      <c r="AV331" s="3"/>
      <c r="AW331" s="3"/>
      <c r="AX331" s="3"/>
      <c r="AY331" s="3"/>
      <c r="AZ331" s="3"/>
      <c r="BA331" s="3"/>
      <c r="BB331" s="3"/>
      <c r="BC331" s="3"/>
    </row>
    <row r="332" spans="1:55">
      <c r="A332" s="1" t="str">
        <f>'Population Definitions'!$A$12</f>
        <v>Prisoners_males</v>
      </c>
      <c r="C332" t="s">
        <v>34</v>
      </c>
      <c r="D332" s="3"/>
      <c r="E332" s="3">
        <v>0</v>
      </c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H332" s="3"/>
      <c r="AI332" s="3"/>
      <c r="AJ332" s="3"/>
      <c r="AK332" s="3"/>
      <c r="AL332" s="3"/>
      <c r="AM332" s="3"/>
      <c r="AN332" s="3"/>
      <c r="AO332" s="3"/>
      <c r="AP332" s="3"/>
      <c r="AQ332" s="3"/>
      <c r="AR332" s="3"/>
      <c r="AS332" s="3"/>
      <c r="AT332" s="3"/>
      <c r="AU332" s="3"/>
      <c r="AV332" s="3"/>
      <c r="AW332" s="3"/>
      <c r="AX332" s="3"/>
      <c r="AY332" s="3"/>
      <c r="AZ332" s="3"/>
      <c r="BA332" s="3"/>
      <c r="BB332" s="3"/>
      <c r="BC332" s="3"/>
    </row>
    <row r="333" spans="1:55">
      <c r="A333" s="1" t="str">
        <f>'Population Definitions'!$A$13</f>
        <v>Prisoners_females</v>
      </c>
      <c r="C333" t="s">
        <v>34</v>
      </c>
      <c r="D333" s="3"/>
      <c r="E333" s="3">
        <v>0</v>
      </c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  <c r="AH333" s="3"/>
      <c r="AI333" s="3"/>
      <c r="AJ333" s="3"/>
      <c r="AK333" s="3"/>
      <c r="AL333" s="3"/>
      <c r="AM333" s="3"/>
      <c r="AN333" s="3"/>
      <c r="AO333" s="3"/>
      <c r="AP333" s="3"/>
      <c r="AQ333" s="3"/>
      <c r="AR333" s="3"/>
      <c r="AS333" s="3"/>
      <c r="AT333" s="3"/>
      <c r="AU333" s="3"/>
      <c r="AV333" s="3"/>
      <c r="AW333" s="3"/>
      <c r="AX333" s="3"/>
      <c r="AY333" s="3"/>
      <c r="AZ333" s="3"/>
      <c r="BA333" s="3"/>
      <c r="BB333" s="3"/>
      <c r="BC333" s="3"/>
    </row>
    <row r="334" spans="1:55">
      <c r="A334" s="1" t="str">
        <f>'Population Definitions'!$A$14</f>
        <v>Prisoners_PWID_males</v>
      </c>
      <c r="C334" t="s">
        <v>34</v>
      </c>
      <c r="D334" s="3"/>
      <c r="E334" s="3">
        <v>0</v>
      </c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  <c r="AH334" s="3"/>
      <c r="AI334" s="3"/>
      <c r="AJ334" s="3"/>
      <c r="AK334" s="3"/>
      <c r="AL334" s="3"/>
      <c r="AM334" s="3"/>
      <c r="AN334" s="3"/>
      <c r="AO334" s="3"/>
      <c r="AP334" s="3"/>
      <c r="AQ334" s="3"/>
      <c r="AR334" s="3"/>
      <c r="AS334" s="3"/>
      <c r="AT334" s="3"/>
      <c r="AU334" s="3"/>
      <c r="AV334" s="3"/>
      <c r="AW334" s="3"/>
      <c r="AX334" s="3"/>
      <c r="AY334" s="3"/>
      <c r="AZ334" s="3"/>
      <c r="BA334" s="3"/>
      <c r="BB334" s="3"/>
      <c r="BC334" s="3"/>
    </row>
    <row r="335" spans="1:55">
      <c r="A335" s="1" t="str">
        <f>'Population Definitions'!$A$15</f>
        <v>Prisoners_PWID_females</v>
      </c>
      <c r="C335" t="s">
        <v>34</v>
      </c>
      <c r="D335" s="3"/>
      <c r="E335" s="3">
        <v>0</v>
      </c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  <c r="AH335" s="3"/>
      <c r="AI335" s="3"/>
      <c r="AJ335" s="3"/>
      <c r="AK335" s="3"/>
      <c r="AL335" s="3"/>
      <c r="AM335" s="3"/>
      <c r="AN335" s="3"/>
      <c r="AO335" s="3"/>
      <c r="AP335" s="3"/>
      <c r="AQ335" s="3"/>
      <c r="AR335" s="3"/>
      <c r="AS335" s="3"/>
      <c r="AT335" s="3"/>
      <c r="AU335" s="3"/>
      <c r="AV335" s="3"/>
      <c r="AW335" s="3"/>
      <c r="AX335" s="3"/>
      <c r="AY335" s="3"/>
      <c r="AZ335" s="3"/>
      <c r="BA335" s="3"/>
      <c r="BB335" s="3"/>
      <c r="BC335" s="3"/>
    </row>
    <row r="337" spans="1:55">
      <c r="A337" s="1" t="s">
        <v>148</v>
      </c>
      <c r="B337" s="1" t="s">
        <v>31</v>
      </c>
      <c r="C337" s="1" t="s">
        <v>32</v>
      </c>
      <c r="D337" s="1" t="s">
        <v>33</v>
      </c>
      <c r="E337" s="1">
        <v>2000</v>
      </c>
      <c r="F337" s="1">
        <v>2001</v>
      </c>
      <c r="G337" s="1">
        <v>2002</v>
      </c>
      <c r="H337" s="1">
        <v>2003</v>
      </c>
      <c r="I337" s="1">
        <v>2004</v>
      </c>
      <c r="J337" s="1">
        <v>2005</v>
      </c>
      <c r="K337" s="1">
        <v>2006</v>
      </c>
      <c r="L337" s="1">
        <v>2007</v>
      </c>
      <c r="M337" s="1">
        <v>2008</v>
      </c>
      <c r="N337" s="1">
        <v>2009</v>
      </c>
      <c r="O337" s="1">
        <v>2010</v>
      </c>
      <c r="P337" s="1">
        <v>2011</v>
      </c>
      <c r="Q337" s="1">
        <v>2012</v>
      </c>
      <c r="R337" s="1">
        <v>2013</v>
      </c>
      <c r="S337" s="1">
        <v>2014</v>
      </c>
      <c r="T337" s="1">
        <v>2015</v>
      </c>
      <c r="U337" s="1">
        <v>2016</v>
      </c>
      <c r="V337" s="1">
        <v>2017</v>
      </c>
      <c r="W337" s="1">
        <v>2018</v>
      </c>
      <c r="X337" s="1">
        <v>2019</v>
      </c>
      <c r="Y337" s="1">
        <v>2020</v>
      </c>
      <c r="Z337" s="1">
        <v>2021</v>
      </c>
      <c r="AA337" s="1">
        <v>2022</v>
      </c>
      <c r="AB337" s="1">
        <v>2023</v>
      </c>
      <c r="AC337" s="1">
        <v>2024</v>
      </c>
      <c r="AD337" s="1">
        <v>2025</v>
      </c>
      <c r="AE337" s="1">
        <v>2026</v>
      </c>
      <c r="AF337" s="1">
        <v>2027</v>
      </c>
      <c r="AG337" s="1">
        <v>2028</v>
      </c>
      <c r="AH337" s="1">
        <v>2029</v>
      </c>
      <c r="AI337" s="1">
        <v>2030</v>
      </c>
      <c r="AJ337" s="1">
        <v>2031</v>
      </c>
      <c r="AK337" s="1">
        <v>2032</v>
      </c>
      <c r="AL337" s="1">
        <v>2033</v>
      </c>
      <c r="AM337" s="1">
        <v>2034</v>
      </c>
      <c r="AN337" s="1">
        <v>2035</v>
      </c>
      <c r="AO337" s="1">
        <v>2036</v>
      </c>
      <c r="AP337" s="1">
        <v>2037</v>
      </c>
      <c r="AQ337" s="1">
        <v>2038</v>
      </c>
      <c r="AR337" s="1">
        <v>2039</v>
      </c>
      <c r="AS337" s="1">
        <v>2040</v>
      </c>
      <c r="AT337" s="1">
        <v>2041</v>
      </c>
      <c r="AU337" s="1">
        <v>2042</v>
      </c>
      <c r="AV337" s="1">
        <v>2043</v>
      </c>
      <c r="AW337" s="1">
        <v>2044</v>
      </c>
      <c r="AX337" s="1">
        <v>2045</v>
      </c>
      <c r="AY337" s="1">
        <v>2046</v>
      </c>
      <c r="AZ337" s="1">
        <v>2047</v>
      </c>
      <c r="BA337" s="1">
        <v>2048</v>
      </c>
      <c r="BB337" s="1">
        <v>2049</v>
      </c>
      <c r="BC337" s="1">
        <v>2050</v>
      </c>
    </row>
    <row r="338" spans="1:55">
      <c r="A338" s="1" t="str">
        <f>'Population Definitions'!$A$2</f>
        <v>PWID_males</v>
      </c>
      <c r="C338" t="s">
        <v>34</v>
      </c>
      <c r="D338" s="3"/>
      <c r="E338" s="3">
        <v>0</v>
      </c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  <c r="AC338" s="3"/>
      <c r="AD338" s="3"/>
      <c r="AE338" s="3"/>
      <c r="AF338" s="3"/>
      <c r="AG338" s="3"/>
      <c r="AH338" s="3"/>
      <c r="AI338" s="3"/>
      <c r="AJ338" s="3"/>
      <c r="AK338" s="3"/>
      <c r="AL338" s="3"/>
      <c r="AM338" s="3"/>
      <c r="AN338" s="3"/>
      <c r="AO338" s="3"/>
      <c r="AP338" s="3"/>
      <c r="AQ338" s="3"/>
      <c r="AR338" s="3"/>
      <c r="AS338" s="3"/>
      <c r="AT338" s="3"/>
      <c r="AU338" s="3"/>
      <c r="AV338" s="3"/>
      <c r="AW338" s="3"/>
      <c r="AX338" s="3"/>
      <c r="AY338" s="3"/>
      <c r="AZ338" s="3"/>
      <c r="BA338" s="3"/>
      <c r="BB338" s="3"/>
      <c r="BC338" s="3"/>
    </row>
    <row r="339" spans="1:55">
      <c r="A339" s="1" t="str">
        <f>'Population Definitions'!$A$3</f>
        <v>PWID_females</v>
      </c>
      <c r="C339" t="s">
        <v>34</v>
      </c>
      <c r="D339" s="3"/>
      <c r="E339" s="3">
        <v>0</v>
      </c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  <c r="AC339" s="3"/>
      <c r="AD339" s="3"/>
      <c r="AE339" s="3"/>
      <c r="AF339" s="3"/>
      <c r="AG339" s="3"/>
      <c r="AH339" s="3"/>
      <c r="AI339" s="3"/>
      <c r="AJ339" s="3"/>
      <c r="AK339" s="3"/>
      <c r="AL339" s="3"/>
      <c r="AM339" s="3"/>
      <c r="AN339" s="3"/>
      <c r="AO339" s="3"/>
      <c r="AP339" s="3"/>
      <c r="AQ339" s="3"/>
      <c r="AR339" s="3"/>
      <c r="AS339" s="3"/>
      <c r="AT339" s="3"/>
      <c r="AU339" s="3"/>
      <c r="AV339" s="3"/>
      <c r="AW339" s="3"/>
      <c r="AX339" s="3"/>
      <c r="AY339" s="3"/>
      <c r="AZ339" s="3"/>
      <c r="BA339" s="3"/>
      <c r="BB339" s="3"/>
      <c r="BC339" s="3"/>
    </row>
    <row r="340" spans="1:55">
      <c r="A340" s="1" t="str">
        <f>'Population Definitions'!$A$4</f>
        <v>0-9_males</v>
      </c>
      <c r="C340" t="s">
        <v>34</v>
      </c>
      <c r="D340" s="3"/>
      <c r="E340" s="3">
        <v>0</v>
      </c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H340" s="3"/>
      <c r="AI340" s="3"/>
      <c r="AJ340" s="3"/>
      <c r="AK340" s="3"/>
      <c r="AL340" s="3"/>
      <c r="AM340" s="3"/>
      <c r="AN340" s="3"/>
      <c r="AO340" s="3"/>
      <c r="AP340" s="3"/>
      <c r="AQ340" s="3"/>
      <c r="AR340" s="3"/>
      <c r="AS340" s="3"/>
      <c r="AT340" s="3"/>
      <c r="AU340" s="3"/>
      <c r="AV340" s="3"/>
      <c r="AW340" s="3"/>
      <c r="AX340" s="3"/>
      <c r="AY340" s="3"/>
      <c r="AZ340" s="3"/>
      <c r="BA340" s="3"/>
      <c r="BB340" s="3"/>
      <c r="BC340" s="3"/>
    </row>
    <row r="341" spans="1:55">
      <c r="A341" s="1" t="str">
        <f>'Population Definitions'!$A$5</f>
        <v>0-9_females</v>
      </c>
      <c r="C341" t="s">
        <v>34</v>
      </c>
      <c r="D341" s="3"/>
      <c r="E341" s="3">
        <v>0</v>
      </c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  <c r="AH341" s="3"/>
      <c r="AI341" s="3"/>
      <c r="AJ341" s="3"/>
      <c r="AK341" s="3"/>
      <c r="AL341" s="3"/>
      <c r="AM341" s="3"/>
      <c r="AN341" s="3"/>
      <c r="AO341" s="3"/>
      <c r="AP341" s="3"/>
      <c r="AQ341" s="3"/>
      <c r="AR341" s="3"/>
      <c r="AS341" s="3"/>
      <c r="AT341" s="3"/>
      <c r="AU341" s="3"/>
      <c r="AV341" s="3"/>
      <c r="AW341" s="3"/>
      <c r="AX341" s="3"/>
      <c r="AY341" s="3"/>
      <c r="AZ341" s="3"/>
      <c r="BA341" s="3"/>
      <c r="BB341" s="3"/>
      <c r="BC341" s="3"/>
    </row>
    <row r="342" spans="1:55">
      <c r="A342" s="1" t="str">
        <f>'Population Definitions'!$A$6</f>
        <v>10-17_males</v>
      </c>
      <c r="C342" t="s">
        <v>34</v>
      </c>
      <c r="D342" s="3"/>
      <c r="E342" s="3">
        <v>0</v>
      </c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  <c r="AJ342" s="3"/>
      <c r="AK342" s="3"/>
      <c r="AL342" s="3"/>
      <c r="AM342" s="3"/>
      <c r="AN342" s="3"/>
      <c r="AO342" s="3"/>
      <c r="AP342" s="3"/>
      <c r="AQ342" s="3"/>
      <c r="AR342" s="3"/>
      <c r="AS342" s="3"/>
      <c r="AT342" s="3"/>
      <c r="AU342" s="3"/>
      <c r="AV342" s="3"/>
      <c r="AW342" s="3"/>
      <c r="AX342" s="3"/>
      <c r="AY342" s="3"/>
      <c r="AZ342" s="3"/>
      <c r="BA342" s="3"/>
      <c r="BB342" s="3"/>
      <c r="BC342" s="3"/>
    </row>
    <row r="343" spans="1:55">
      <c r="A343" s="1" t="str">
        <f>'Population Definitions'!$A$7</f>
        <v>10-17_females</v>
      </c>
      <c r="C343" t="s">
        <v>34</v>
      </c>
      <c r="D343" s="3"/>
      <c r="E343" s="3">
        <v>0</v>
      </c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/>
      <c r="AJ343" s="3"/>
      <c r="AK343" s="3"/>
      <c r="AL343" s="3"/>
      <c r="AM343" s="3"/>
      <c r="AN343" s="3"/>
      <c r="AO343" s="3"/>
      <c r="AP343" s="3"/>
      <c r="AQ343" s="3"/>
      <c r="AR343" s="3"/>
      <c r="AS343" s="3"/>
      <c r="AT343" s="3"/>
      <c r="AU343" s="3"/>
      <c r="AV343" s="3"/>
      <c r="AW343" s="3"/>
      <c r="AX343" s="3"/>
      <c r="AY343" s="3"/>
      <c r="AZ343" s="3"/>
      <c r="BA343" s="3"/>
      <c r="BB343" s="3"/>
      <c r="BC343" s="3"/>
    </row>
    <row r="344" spans="1:55">
      <c r="A344" s="1" t="str">
        <f>'Population Definitions'!$A$8</f>
        <v>18-64_males</v>
      </c>
      <c r="C344" t="s">
        <v>34</v>
      </c>
      <c r="D344" s="3"/>
      <c r="E344" s="3">
        <v>0</v>
      </c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  <c r="AK344" s="3"/>
      <c r="AL344" s="3"/>
      <c r="AM344" s="3"/>
      <c r="AN344" s="3"/>
      <c r="AO344" s="3"/>
      <c r="AP344" s="3"/>
      <c r="AQ344" s="3"/>
      <c r="AR344" s="3"/>
      <c r="AS344" s="3"/>
      <c r="AT344" s="3"/>
      <c r="AU344" s="3"/>
      <c r="AV344" s="3"/>
      <c r="AW344" s="3"/>
      <c r="AX344" s="3"/>
      <c r="AY344" s="3"/>
      <c r="AZ344" s="3"/>
      <c r="BA344" s="3"/>
      <c r="BB344" s="3"/>
      <c r="BC344" s="3"/>
    </row>
    <row r="345" spans="1:55">
      <c r="A345" s="1" t="str">
        <f>'Population Definitions'!$A$9</f>
        <v>18-64_females</v>
      </c>
      <c r="C345" t="s">
        <v>34</v>
      </c>
      <c r="D345" s="3"/>
      <c r="E345" s="3">
        <v>0</v>
      </c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  <c r="AJ345" s="3"/>
      <c r="AK345" s="3"/>
      <c r="AL345" s="3"/>
      <c r="AM345" s="3"/>
      <c r="AN345" s="3"/>
      <c r="AO345" s="3"/>
      <c r="AP345" s="3"/>
      <c r="AQ345" s="3"/>
      <c r="AR345" s="3"/>
      <c r="AS345" s="3"/>
      <c r="AT345" s="3"/>
      <c r="AU345" s="3"/>
      <c r="AV345" s="3"/>
      <c r="AW345" s="3"/>
      <c r="AX345" s="3"/>
      <c r="AY345" s="3"/>
      <c r="AZ345" s="3"/>
      <c r="BA345" s="3"/>
      <c r="BB345" s="3"/>
      <c r="BC345" s="3"/>
    </row>
    <row r="346" spans="1:55">
      <c r="A346" s="1" t="str">
        <f>'Population Definitions'!$A$10</f>
        <v>65+_males</v>
      </c>
      <c r="C346" t="s">
        <v>34</v>
      </c>
      <c r="D346" s="3"/>
      <c r="E346" s="3">
        <v>0</v>
      </c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  <c r="AH346" s="3"/>
      <c r="AI346" s="3"/>
      <c r="AJ346" s="3"/>
      <c r="AK346" s="3"/>
      <c r="AL346" s="3"/>
      <c r="AM346" s="3"/>
      <c r="AN346" s="3"/>
      <c r="AO346" s="3"/>
      <c r="AP346" s="3"/>
      <c r="AQ346" s="3"/>
      <c r="AR346" s="3"/>
      <c r="AS346" s="3"/>
      <c r="AT346" s="3"/>
      <c r="AU346" s="3"/>
      <c r="AV346" s="3"/>
      <c r="AW346" s="3"/>
      <c r="AX346" s="3"/>
      <c r="AY346" s="3"/>
      <c r="AZ346" s="3"/>
      <c r="BA346" s="3"/>
      <c r="BB346" s="3"/>
      <c r="BC346" s="3"/>
    </row>
    <row r="347" spans="1:55">
      <c r="A347" s="1" t="str">
        <f>'Population Definitions'!$A$11</f>
        <v>65+_females</v>
      </c>
      <c r="C347" t="s">
        <v>34</v>
      </c>
      <c r="D347" s="3"/>
      <c r="E347" s="3">
        <v>0</v>
      </c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  <c r="AH347" s="3"/>
      <c r="AI347" s="3"/>
      <c r="AJ347" s="3"/>
      <c r="AK347" s="3"/>
      <c r="AL347" s="3"/>
      <c r="AM347" s="3"/>
      <c r="AN347" s="3"/>
      <c r="AO347" s="3"/>
      <c r="AP347" s="3"/>
      <c r="AQ347" s="3"/>
      <c r="AR347" s="3"/>
      <c r="AS347" s="3"/>
      <c r="AT347" s="3"/>
      <c r="AU347" s="3"/>
      <c r="AV347" s="3"/>
      <c r="AW347" s="3"/>
      <c r="AX347" s="3"/>
      <c r="AY347" s="3"/>
      <c r="AZ347" s="3"/>
      <c r="BA347" s="3"/>
      <c r="BB347" s="3"/>
      <c r="BC347" s="3"/>
    </row>
    <row r="348" spans="1:55">
      <c r="A348" s="1" t="str">
        <f>'Population Definitions'!$A$12</f>
        <v>Prisoners_males</v>
      </c>
      <c r="C348" t="s">
        <v>34</v>
      </c>
      <c r="D348" s="3"/>
      <c r="E348" s="3">
        <v>0</v>
      </c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  <c r="AH348" s="3"/>
      <c r="AI348" s="3"/>
      <c r="AJ348" s="3"/>
      <c r="AK348" s="3"/>
      <c r="AL348" s="3"/>
      <c r="AM348" s="3"/>
      <c r="AN348" s="3"/>
      <c r="AO348" s="3"/>
      <c r="AP348" s="3"/>
      <c r="AQ348" s="3"/>
      <c r="AR348" s="3"/>
      <c r="AS348" s="3"/>
      <c r="AT348" s="3"/>
      <c r="AU348" s="3"/>
      <c r="AV348" s="3"/>
      <c r="AW348" s="3"/>
      <c r="AX348" s="3"/>
      <c r="AY348" s="3"/>
      <c r="AZ348" s="3"/>
      <c r="BA348" s="3"/>
      <c r="BB348" s="3"/>
      <c r="BC348" s="3"/>
    </row>
    <row r="349" spans="1:55">
      <c r="A349" s="1" t="str">
        <f>'Population Definitions'!$A$13</f>
        <v>Prisoners_females</v>
      </c>
      <c r="C349" t="s">
        <v>34</v>
      </c>
      <c r="D349" s="3"/>
      <c r="E349" s="3">
        <v>0</v>
      </c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  <c r="AH349" s="3"/>
      <c r="AI349" s="3"/>
      <c r="AJ349" s="3"/>
      <c r="AK349" s="3"/>
      <c r="AL349" s="3"/>
      <c r="AM349" s="3"/>
      <c r="AN349" s="3"/>
      <c r="AO349" s="3"/>
      <c r="AP349" s="3"/>
      <c r="AQ349" s="3"/>
      <c r="AR349" s="3"/>
      <c r="AS349" s="3"/>
      <c r="AT349" s="3"/>
      <c r="AU349" s="3"/>
      <c r="AV349" s="3"/>
      <c r="AW349" s="3"/>
      <c r="AX349" s="3"/>
      <c r="AY349" s="3"/>
      <c r="AZ349" s="3"/>
      <c r="BA349" s="3"/>
      <c r="BB349" s="3"/>
      <c r="BC349" s="3"/>
    </row>
    <row r="350" spans="1:55">
      <c r="A350" s="1" t="str">
        <f>'Population Definitions'!$A$14</f>
        <v>Prisoners_PWID_males</v>
      </c>
      <c r="C350" t="s">
        <v>34</v>
      </c>
      <c r="D350" s="3"/>
      <c r="E350" s="3">
        <v>0</v>
      </c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  <c r="AH350" s="3"/>
      <c r="AI350" s="3"/>
      <c r="AJ350" s="3"/>
      <c r="AK350" s="3"/>
      <c r="AL350" s="3"/>
      <c r="AM350" s="3"/>
      <c r="AN350" s="3"/>
      <c r="AO350" s="3"/>
      <c r="AP350" s="3"/>
      <c r="AQ350" s="3"/>
      <c r="AR350" s="3"/>
      <c r="AS350" s="3"/>
      <c r="AT350" s="3"/>
      <c r="AU350" s="3"/>
      <c r="AV350" s="3"/>
      <c r="AW350" s="3"/>
      <c r="AX350" s="3"/>
      <c r="AY350" s="3"/>
      <c r="AZ350" s="3"/>
      <c r="BA350" s="3"/>
      <c r="BB350" s="3"/>
      <c r="BC350" s="3"/>
    </row>
    <row r="351" spans="1:55">
      <c r="A351" s="1" t="str">
        <f>'Population Definitions'!$A$15</f>
        <v>Prisoners_PWID_females</v>
      </c>
      <c r="C351" t="s">
        <v>34</v>
      </c>
      <c r="D351" s="3"/>
      <c r="E351" s="3">
        <v>0</v>
      </c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  <c r="AH351" s="3"/>
      <c r="AI351" s="3"/>
      <c r="AJ351" s="3"/>
      <c r="AK351" s="3"/>
      <c r="AL351" s="3"/>
      <c r="AM351" s="3"/>
      <c r="AN351" s="3"/>
      <c r="AO351" s="3"/>
      <c r="AP351" s="3"/>
      <c r="AQ351" s="3"/>
      <c r="AR351" s="3"/>
      <c r="AS351" s="3"/>
      <c r="AT351" s="3"/>
      <c r="AU351" s="3"/>
      <c r="AV351" s="3"/>
      <c r="AW351" s="3"/>
      <c r="AX351" s="3"/>
      <c r="AY351" s="3"/>
      <c r="AZ351" s="3"/>
      <c r="BA351" s="3"/>
      <c r="BB351" s="3"/>
      <c r="BC351" s="3"/>
    </row>
    <row r="353" spans="1:55">
      <c r="A353" s="1" t="s">
        <v>149</v>
      </c>
      <c r="B353" s="1" t="s">
        <v>31</v>
      </c>
      <c r="C353" s="1" t="s">
        <v>32</v>
      </c>
      <c r="D353" s="1" t="s">
        <v>33</v>
      </c>
      <c r="E353" s="1">
        <v>2000</v>
      </c>
      <c r="F353" s="1">
        <v>2001</v>
      </c>
      <c r="G353" s="1">
        <v>2002</v>
      </c>
      <c r="H353" s="1">
        <v>2003</v>
      </c>
      <c r="I353" s="1">
        <v>2004</v>
      </c>
      <c r="J353" s="1">
        <v>2005</v>
      </c>
      <c r="K353" s="1">
        <v>2006</v>
      </c>
      <c r="L353" s="1">
        <v>2007</v>
      </c>
      <c r="M353" s="1">
        <v>2008</v>
      </c>
      <c r="N353" s="1">
        <v>2009</v>
      </c>
      <c r="O353" s="1">
        <v>2010</v>
      </c>
      <c r="P353" s="1">
        <v>2011</v>
      </c>
      <c r="Q353" s="1">
        <v>2012</v>
      </c>
      <c r="R353" s="1">
        <v>2013</v>
      </c>
      <c r="S353" s="1">
        <v>2014</v>
      </c>
      <c r="T353" s="1">
        <v>2015</v>
      </c>
      <c r="U353" s="1">
        <v>2016</v>
      </c>
      <c r="V353" s="1">
        <v>2017</v>
      </c>
      <c r="W353" s="1">
        <v>2018</v>
      </c>
      <c r="X353" s="1">
        <v>2019</v>
      </c>
      <c r="Y353" s="1">
        <v>2020</v>
      </c>
      <c r="Z353" s="1">
        <v>2021</v>
      </c>
      <c r="AA353" s="1">
        <v>2022</v>
      </c>
      <c r="AB353" s="1">
        <v>2023</v>
      </c>
      <c r="AC353" s="1">
        <v>2024</v>
      </c>
      <c r="AD353" s="1">
        <v>2025</v>
      </c>
      <c r="AE353" s="1">
        <v>2026</v>
      </c>
      <c r="AF353" s="1">
        <v>2027</v>
      </c>
      <c r="AG353" s="1">
        <v>2028</v>
      </c>
      <c r="AH353" s="1">
        <v>2029</v>
      </c>
      <c r="AI353" s="1">
        <v>2030</v>
      </c>
      <c r="AJ353" s="1">
        <v>2031</v>
      </c>
      <c r="AK353" s="1">
        <v>2032</v>
      </c>
      <c r="AL353" s="1">
        <v>2033</v>
      </c>
      <c r="AM353" s="1">
        <v>2034</v>
      </c>
      <c r="AN353" s="1">
        <v>2035</v>
      </c>
      <c r="AO353" s="1">
        <v>2036</v>
      </c>
      <c r="AP353" s="1">
        <v>2037</v>
      </c>
      <c r="AQ353" s="1">
        <v>2038</v>
      </c>
      <c r="AR353" s="1">
        <v>2039</v>
      </c>
      <c r="AS353" s="1">
        <v>2040</v>
      </c>
      <c r="AT353" s="1">
        <v>2041</v>
      </c>
      <c r="AU353" s="1">
        <v>2042</v>
      </c>
      <c r="AV353" s="1">
        <v>2043</v>
      </c>
      <c r="AW353" s="1">
        <v>2044</v>
      </c>
      <c r="AX353" s="1">
        <v>2045</v>
      </c>
      <c r="AY353" s="1">
        <v>2046</v>
      </c>
      <c r="AZ353" s="1">
        <v>2047</v>
      </c>
      <c r="BA353" s="1">
        <v>2048</v>
      </c>
      <c r="BB353" s="1">
        <v>2049</v>
      </c>
      <c r="BC353" s="1">
        <v>2050</v>
      </c>
    </row>
    <row r="354" spans="1:55">
      <c r="A354" s="1" t="str">
        <f>'Population Definitions'!$A$2</f>
        <v>PWID_males</v>
      </c>
      <c r="C354" t="s">
        <v>34</v>
      </c>
      <c r="D354" s="3"/>
      <c r="E354" s="3">
        <v>0</v>
      </c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  <c r="AH354" s="3"/>
      <c r="AI354" s="3"/>
      <c r="AJ354" s="3"/>
      <c r="AK354" s="3"/>
      <c r="AL354" s="3"/>
      <c r="AM354" s="3"/>
      <c r="AN354" s="3"/>
      <c r="AO354" s="3"/>
      <c r="AP354" s="3"/>
      <c r="AQ354" s="3"/>
      <c r="AR354" s="3"/>
      <c r="AS354" s="3"/>
      <c r="AT354" s="3"/>
      <c r="AU354" s="3"/>
      <c r="AV354" s="3"/>
      <c r="AW354" s="3"/>
      <c r="AX354" s="3"/>
      <c r="AY354" s="3"/>
      <c r="AZ354" s="3"/>
      <c r="BA354" s="3"/>
      <c r="BB354" s="3"/>
      <c r="BC354" s="3"/>
    </row>
    <row r="355" spans="1:55">
      <c r="A355" s="1" t="str">
        <f>'Population Definitions'!$A$3</f>
        <v>PWID_females</v>
      </c>
      <c r="C355" t="s">
        <v>34</v>
      </c>
      <c r="D355" s="3"/>
      <c r="E355" s="3">
        <v>0</v>
      </c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  <c r="AH355" s="3"/>
      <c r="AI355" s="3"/>
      <c r="AJ355" s="3"/>
      <c r="AK355" s="3"/>
      <c r="AL355" s="3"/>
      <c r="AM355" s="3"/>
      <c r="AN355" s="3"/>
      <c r="AO355" s="3"/>
      <c r="AP355" s="3"/>
      <c r="AQ355" s="3"/>
      <c r="AR355" s="3"/>
      <c r="AS355" s="3"/>
      <c r="AT355" s="3"/>
      <c r="AU355" s="3"/>
      <c r="AV355" s="3"/>
      <c r="AW355" s="3"/>
      <c r="AX355" s="3"/>
      <c r="AY355" s="3"/>
      <c r="AZ355" s="3"/>
      <c r="BA355" s="3"/>
      <c r="BB355" s="3"/>
      <c r="BC355" s="3"/>
    </row>
    <row r="356" spans="1:55">
      <c r="A356" s="1" t="str">
        <f>'Population Definitions'!$A$4</f>
        <v>0-9_males</v>
      </c>
      <c r="C356" t="s">
        <v>34</v>
      </c>
      <c r="D356" s="3"/>
      <c r="E356" s="3">
        <v>0</v>
      </c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  <c r="AI356" s="3"/>
      <c r="AJ356" s="3"/>
      <c r="AK356" s="3"/>
      <c r="AL356" s="3"/>
      <c r="AM356" s="3"/>
      <c r="AN356" s="3"/>
      <c r="AO356" s="3"/>
      <c r="AP356" s="3"/>
      <c r="AQ356" s="3"/>
      <c r="AR356" s="3"/>
      <c r="AS356" s="3"/>
      <c r="AT356" s="3"/>
      <c r="AU356" s="3"/>
      <c r="AV356" s="3"/>
      <c r="AW356" s="3"/>
      <c r="AX356" s="3"/>
      <c r="AY356" s="3"/>
      <c r="AZ356" s="3"/>
      <c r="BA356" s="3"/>
      <c r="BB356" s="3"/>
      <c r="BC356" s="3"/>
    </row>
    <row r="357" spans="1:55">
      <c r="A357" s="1" t="str">
        <f>'Population Definitions'!$A$5</f>
        <v>0-9_females</v>
      </c>
      <c r="C357" t="s">
        <v>34</v>
      </c>
      <c r="D357" s="3"/>
      <c r="E357" s="3">
        <v>0</v>
      </c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  <c r="AI357" s="3"/>
      <c r="AJ357" s="3"/>
      <c r="AK357" s="3"/>
      <c r="AL357" s="3"/>
      <c r="AM357" s="3"/>
      <c r="AN357" s="3"/>
      <c r="AO357" s="3"/>
      <c r="AP357" s="3"/>
      <c r="AQ357" s="3"/>
      <c r="AR357" s="3"/>
      <c r="AS357" s="3"/>
      <c r="AT357" s="3"/>
      <c r="AU357" s="3"/>
      <c r="AV357" s="3"/>
      <c r="AW357" s="3"/>
      <c r="AX357" s="3"/>
      <c r="AY357" s="3"/>
      <c r="AZ357" s="3"/>
      <c r="BA357" s="3"/>
      <c r="BB357" s="3"/>
      <c r="BC357" s="3"/>
    </row>
    <row r="358" spans="1:55">
      <c r="A358" s="1" t="str">
        <f>'Population Definitions'!$A$6</f>
        <v>10-17_males</v>
      </c>
      <c r="C358" t="s">
        <v>34</v>
      </c>
      <c r="D358" s="3"/>
      <c r="E358" s="3">
        <v>0</v>
      </c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  <c r="AI358" s="3"/>
      <c r="AJ358" s="3"/>
      <c r="AK358" s="3"/>
      <c r="AL358" s="3"/>
      <c r="AM358" s="3"/>
      <c r="AN358" s="3"/>
      <c r="AO358" s="3"/>
      <c r="AP358" s="3"/>
      <c r="AQ358" s="3"/>
      <c r="AR358" s="3"/>
      <c r="AS358" s="3"/>
      <c r="AT358" s="3"/>
      <c r="AU358" s="3"/>
      <c r="AV358" s="3"/>
      <c r="AW358" s="3"/>
      <c r="AX358" s="3"/>
      <c r="AY358" s="3"/>
      <c r="AZ358" s="3"/>
      <c r="BA358" s="3"/>
      <c r="BB358" s="3"/>
      <c r="BC358" s="3"/>
    </row>
    <row r="359" spans="1:55">
      <c r="A359" s="1" t="str">
        <f>'Population Definitions'!$A$7</f>
        <v>10-17_females</v>
      </c>
      <c r="C359" t="s">
        <v>34</v>
      </c>
      <c r="D359" s="3"/>
      <c r="E359" s="3">
        <v>0</v>
      </c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  <c r="AI359" s="3"/>
      <c r="AJ359" s="3"/>
      <c r="AK359" s="3"/>
      <c r="AL359" s="3"/>
      <c r="AM359" s="3"/>
      <c r="AN359" s="3"/>
      <c r="AO359" s="3"/>
      <c r="AP359" s="3"/>
      <c r="AQ359" s="3"/>
      <c r="AR359" s="3"/>
      <c r="AS359" s="3"/>
      <c r="AT359" s="3"/>
      <c r="AU359" s="3"/>
      <c r="AV359" s="3"/>
      <c r="AW359" s="3"/>
      <c r="AX359" s="3"/>
      <c r="AY359" s="3"/>
      <c r="AZ359" s="3"/>
      <c r="BA359" s="3"/>
      <c r="BB359" s="3"/>
      <c r="BC359" s="3"/>
    </row>
    <row r="360" spans="1:55">
      <c r="A360" s="1" t="str">
        <f>'Population Definitions'!$A$8</f>
        <v>18-64_males</v>
      </c>
      <c r="C360" t="s">
        <v>34</v>
      </c>
      <c r="D360" s="3"/>
      <c r="E360" s="3">
        <v>0</v>
      </c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  <c r="AH360" s="3"/>
      <c r="AI360" s="3"/>
      <c r="AJ360" s="3"/>
      <c r="AK360" s="3"/>
      <c r="AL360" s="3"/>
      <c r="AM360" s="3"/>
      <c r="AN360" s="3"/>
      <c r="AO360" s="3"/>
      <c r="AP360" s="3"/>
      <c r="AQ360" s="3"/>
      <c r="AR360" s="3"/>
      <c r="AS360" s="3"/>
      <c r="AT360" s="3"/>
      <c r="AU360" s="3"/>
      <c r="AV360" s="3"/>
      <c r="AW360" s="3"/>
      <c r="AX360" s="3"/>
      <c r="AY360" s="3"/>
      <c r="AZ360" s="3"/>
      <c r="BA360" s="3"/>
      <c r="BB360" s="3"/>
      <c r="BC360" s="3"/>
    </row>
    <row r="361" spans="1:55">
      <c r="A361" s="1" t="str">
        <f>'Population Definitions'!$A$9</f>
        <v>18-64_females</v>
      </c>
      <c r="C361" t="s">
        <v>34</v>
      </c>
      <c r="D361" s="3"/>
      <c r="E361" s="3">
        <v>0</v>
      </c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  <c r="AH361" s="3"/>
      <c r="AI361" s="3"/>
      <c r="AJ361" s="3"/>
      <c r="AK361" s="3"/>
      <c r="AL361" s="3"/>
      <c r="AM361" s="3"/>
      <c r="AN361" s="3"/>
      <c r="AO361" s="3"/>
      <c r="AP361" s="3"/>
      <c r="AQ361" s="3"/>
      <c r="AR361" s="3"/>
      <c r="AS361" s="3"/>
      <c r="AT361" s="3"/>
      <c r="AU361" s="3"/>
      <c r="AV361" s="3"/>
      <c r="AW361" s="3"/>
      <c r="AX361" s="3"/>
      <c r="AY361" s="3"/>
      <c r="AZ361" s="3"/>
      <c r="BA361" s="3"/>
      <c r="BB361" s="3"/>
      <c r="BC361" s="3"/>
    </row>
    <row r="362" spans="1:55">
      <c r="A362" s="1" t="str">
        <f>'Population Definitions'!$A$10</f>
        <v>65+_males</v>
      </c>
      <c r="C362" t="s">
        <v>34</v>
      </c>
      <c r="D362" s="3"/>
      <c r="E362" s="3">
        <v>0</v>
      </c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  <c r="AH362" s="3"/>
      <c r="AI362" s="3"/>
      <c r="AJ362" s="3"/>
      <c r="AK362" s="3"/>
      <c r="AL362" s="3"/>
      <c r="AM362" s="3"/>
      <c r="AN362" s="3"/>
      <c r="AO362" s="3"/>
      <c r="AP362" s="3"/>
      <c r="AQ362" s="3"/>
      <c r="AR362" s="3"/>
      <c r="AS362" s="3"/>
      <c r="AT362" s="3"/>
      <c r="AU362" s="3"/>
      <c r="AV362" s="3"/>
      <c r="AW362" s="3"/>
      <c r="AX362" s="3"/>
      <c r="AY362" s="3"/>
      <c r="AZ362" s="3"/>
      <c r="BA362" s="3"/>
      <c r="BB362" s="3"/>
      <c r="BC362" s="3"/>
    </row>
    <row r="363" spans="1:55">
      <c r="A363" s="1" t="str">
        <f>'Population Definitions'!$A$11</f>
        <v>65+_females</v>
      </c>
      <c r="C363" t="s">
        <v>34</v>
      </c>
      <c r="D363" s="3"/>
      <c r="E363" s="3">
        <v>0</v>
      </c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G363" s="3"/>
      <c r="AH363" s="3"/>
      <c r="AI363" s="3"/>
      <c r="AJ363" s="3"/>
      <c r="AK363" s="3"/>
      <c r="AL363" s="3"/>
      <c r="AM363" s="3"/>
      <c r="AN363" s="3"/>
      <c r="AO363" s="3"/>
      <c r="AP363" s="3"/>
      <c r="AQ363" s="3"/>
      <c r="AR363" s="3"/>
      <c r="AS363" s="3"/>
      <c r="AT363" s="3"/>
      <c r="AU363" s="3"/>
      <c r="AV363" s="3"/>
      <c r="AW363" s="3"/>
      <c r="AX363" s="3"/>
      <c r="AY363" s="3"/>
      <c r="AZ363" s="3"/>
      <c r="BA363" s="3"/>
      <c r="BB363" s="3"/>
      <c r="BC363" s="3"/>
    </row>
    <row r="364" spans="1:55">
      <c r="A364" s="1" t="str">
        <f>'Population Definitions'!$A$12</f>
        <v>Prisoners_males</v>
      </c>
      <c r="C364" t="s">
        <v>34</v>
      </c>
      <c r="D364" s="3"/>
      <c r="E364" s="3">
        <v>0</v>
      </c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  <c r="AC364" s="3"/>
      <c r="AD364" s="3"/>
      <c r="AE364" s="3"/>
      <c r="AF364" s="3"/>
      <c r="AG364" s="3"/>
      <c r="AH364" s="3"/>
      <c r="AI364" s="3"/>
      <c r="AJ364" s="3"/>
      <c r="AK364" s="3"/>
      <c r="AL364" s="3"/>
      <c r="AM364" s="3"/>
      <c r="AN364" s="3"/>
      <c r="AO364" s="3"/>
      <c r="AP364" s="3"/>
      <c r="AQ364" s="3"/>
      <c r="AR364" s="3"/>
      <c r="AS364" s="3"/>
      <c r="AT364" s="3"/>
      <c r="AU364" s="3"/>
      <c r="AV364" s="3"/>
      <c r="AW364" s="3"/>
      <c r="AX364" s="3"/>
      <c r="AY364" s="3"/>
      <c r="AZ364" s="3"/>
      <c r="BA364" s="3"/>
      <c r="BB364" s="3"/>
      <c r="BC364" s="3"/>
    </row>
    <row r="365" spans="1:55">
      <c r="A365" s="1" t="str">
        <f>'Population Definitions'!$A$13</f>
        <v>Prisoners_females</v>
      </c>
      <c r="C365" t="s">
        <v>34</v>
      </c>
      <c r="D365" s="3"/>
      <c r="E365" s="3">
        <v>0</v>
      </c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  <c r="AC365" s="3"/>
      <c r="AD365" s="3"/>
      <c r="AE365" s="3"/>
      <c r="AF365" s="3"/>
      <c r="AG365" s="3"/>
      <c r="AH365" s="3"/>
      <c r="AI365" s="3"/>
      <c r="AJ365" s="3"/>
      <c r="AK365" s="3"/>
      <c r="AL365" s="3"/>
      <c r="AM365" s="3"/>
      <c r="AN365" s="3"/>
      <c r="AO365" s="3"/>
      <c r="AP365" s="3"/>
      <c r="AQ365" s="3"/>
      <c r="AR365" s="3"/>
      <c r="AS365" s="3"/>
      <c r="AT365" s="3"/>
      <c r="AU365" s="3"/>
      <c r="AV365" s="3"/>
      <c r="AW365" s="3"/>
      <c r="AX365" s="3"/>
      <c r="AY365" s="3"/>
      <c r="AZ365" s="3"/>
      <c r="BA365" s="3"/>
      <c r="BB365" s="3"/>
      <c r="BC365" s="3"/>
    </row>
    <row r="366" spans="1:55">
      <c r="A366" s="1" t="str">
        <f>'Population Definitions'!$A$14</f>
        <v>Prisoners_PWID_males</v>
      </c>
      <c r="C366" t="s">
        <v>34</v>
      </c>
      <c r="D366" s="3"/>
      <c r="E366" s="3">
        <v>0</v>
      </c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  <c r="AH366" s="3"/>
      <c r="AI366" s="3"/>
      <c r="AJ366" s="3"/>
      <c r="AK366" s="3"/>
      <c r="AL366" s="3"/>
      <c r="AM366" s="3"/>
      <c r="AN366" s="3"/>
      <c r="AO366" s="3"/>
      <c r="AP366" s="3"/>
      <c r="AQ366" s="3"/>
      <c r="AR366" s="3"/>
      <c r="AS366" s="3"/>
      <c r="AT366" s="3"/>
      <c r="AU366" s="3"/>
      <c r="AV366" s="3"/>
      <c r="AW366" s="3"/>
      <c r="AX366" s="3"/>
      <c r="AY366" s="3"/>
      <c r="AZ366" s="3"/>
      <c r="BA366" s="3"/>
      <c r="BB366" s="3"/>
      <c r="BC366" s="3"/>
    </row>
    <row r="367" spans="1:55">
      <c r="A367" s="1" t="str">
        <f>'Population Definitions'!$A$15</f>
        <v>Prisoners_PWID_females</v>
      </c>
      <c r="C367" t="s">
        <v>34</v>
      </c>
      <c r="D367" s="3"/>
      <c r="E367" s="3">
        <v>0</v>
      </c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G367" s="3"/>
      <c r="AH367" s="3"/>
      <c r="AI367" s="3"/>
      <c r="AJ367" s="3"/>
      <c r="AK367" s="3"/>
      <c r="AL367" s="3"/>
      <c r="AM367" s="3"/>
      <c r="AN367" s="3"/>
      <c r="AO367" s="3"/>
      <c r="AP367" s="3"/>
      <c r="AQ367" s="3"/>
      <c r="AR367" s="3"/>
      <c r="AS367" s="3"/>
      <c r="AT367" s="3"/>
      <c r="AU367" s="3"/>
      <c r="AV367" s="3"/>
      <c r="AW367" s="3"/>
      <c r="AX367" s="3"/>
      <c r="AY367" s="3"/>
      <c r="AZ367" s="3"/>
      <c r="BA367" s="3"/>
      <c r="BB367" s="3"/>
      <c r="BC367" s="3"/>
    </row>
    <row r="369" spans="1:55">
      <c r="A369" s="1" t="s">
        <v>150</v>
      </c>
      <c r="B369" s="1" t="s">
        <v>31</v>
      </c>
      <c r="C369" s="1" t="s">
        <v>32</v>
      </c>
      <c r="D369" s="1" t="s">
        <v>33</v>
      </c>
      <c r="E369" s="1">
        <v>2000</v>
      </c>
      <c r="F369" s="1">
        <v>2001</v>
      </c>
      <c r="G369" s="1">
        <v>2002</v>
      </c>
      <c r="H369" s="1">
        <v>2003</v>
      </c>
      <c r="I369" s="1">
        <v>2004</v>
      </c>
      <c r="J369" s="1">
        <v>2005</v>
      </c>
      <c r="K369" s="1">
        <v>2006</v>
      </c>
      <c r="L369" s="1">
        <v>2007</v>
      </c>
      <c r="M369" s="1">
        <v>2008</v>
      </c>
      <c r="N369" s="1">
        <v>2009</v>
      </c>
      <c r="O369" s="1">
        <v>2010</v>
      </c>
      <c r="P369" s="1">
        <v>2011</v>
      </c>
      <c r="Q369" s="1">
        <v>2012</v>
      </c>
      <c r="R369" s="1">
        <v>2013</v>
      </c>
      <c r="S369" s="1">
        <v>2014</v>
      </c>
      <c r="T369" s="1">
        <v>2015</v>
      </c>
      <c r="U369" s="1">
        <v>2016</v>
      </c>
      <c r="V369" s="1">
        <v>2017</v>
      </c>
      <c r="W369" s="1">
        <v>2018</v>
      </c>
      <c r="X369" s="1">
        <v>2019</v>
      </c>
      <c r="Y369" s="1">
        <v>2020</v>
      </c>
      <c r="Z369" s="1">
        <v>2021</v>
      </c>
      <c r="AA369" s="1">
        <v>2022</v>
      </c>
      <c r="AB369" s="1">
        <v>2023</v>
      </c>
      <c r="AC369" s="1">
        <v>2024</v>
      </c>
      <c r="AD369" s="1">
        <v>2025</v>
      </c>
      <c r="AE369" s="1">
        <v>2026</v>
      </c>
      <c r="AF369" s="1">
        <v>2027</v>
      </c>
      <c r="AG369" s="1">
        <v>2028</v>
      </c>
      <c r="AH369" s="1">
        <v>2029</v>
      </c>
      <c r="AI369" s="1">
        <v>2030</v>
      </c>
      <c r="AJ369" s="1">
        <v>2031</v>
      </c>
      <c r="AK369" s="1">
        <v>2032</v>
      </c>
      <c r="AL369" s="1">
        <v>2033</v>
      </c>
      <c r="AM369" s="1">
        <v>2034</v>
      </c>
      <c r="AN369" s="1">
        <v>2035</v>
      </c>
      <c r="AO369" s="1">
        <v>2036</v>
      </c>
      <c r="AP369" s="1">
        <v>2037</v>
      </c>
      <c r="AQ369" s="1">
        <v>2038</v>
      </c>
      <c r="AR369" s="1">
        <v>2039</v>
      </c>
      <c r="AS369" s="1">
        <v>2040</v>
      </c>
      <c r="AT369" s="1">
        <v>2041</v>
      </c>
      <c r="AU369" s="1">
        <v>2042</v>
      </c>
      <c r="AV369" s="1">
        <v>2043</v>
      </c>
      <c r="AW369" s="1">
        <v>2044</v>
      </c>
      <c r="AX369" s="1">
        <v>2045</v>
      </c>
      <c r="AY369" s="1">
        <v>2046</v>
      </c>
      <c r="AZ369" s="1">
        <v>2047</v>
      </c>
      <c r="BA369" s="1">
        <v>2048</v>
      </c>
      <c r="BB369" s="1">
        <v>2049</v>
      </c>
      <c r="BC369" s="1">
        <v>2050</v>
      </c>
    </row>
    <row r="370" spans="1:55">
      <c r="A370" s="1" t="str">
        <f>'Population Definitions'!$A$2</f>
        <v>PWID_males</v>
      </c>
      <c r="C370" t="s">
        <v>34</v>
      </c>
      <c r="D370" s="3"/>
      <c r="E370" s="3">
        <v>0</v>
      </c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  <c r="AI370" s="3"/>
      <c r="AJ370" s="3"/>
      <c r="AK370" s="3"/>
      <c r="AL370" s="3"/>
      <c r="AM370" s="3"/>
      <c r="AN370" s="3"/>
      <c r="AO370" s="3"/>
      <c r="AP370" s="3"/>
      <c r="AQ370" s="3"/>
      <c r="AR370" s="3"/>
      <c r="AS370" s="3"/>
      <c r="AT370" s="3"/>
      <c r="AU370" s="3"/>
      <c r="AV370" s="3"/>
      <c r="AW370" s="3"/>
      <c r="AX370" s="3"/>
      <c r="AY370" s="3"/>
      <c r="AZ370" s="3"/>
      <c r="BA370" s="3"/>
      <c r="BB370" s="3"/>
      <c r="BC370" s="3"/>
    </row>
    <row r="371" spans="1:55">
      <c r="A371" s="1" t="str">
        <f>'Population Definitions'!$A$3</f>
        <v>PWID_females</v>
      </c>
      <c r="C371" t="s">
        <v>34</v>
      </c>
      <c r="D371" s="3"/>
      <c r="E371" s="3">
        <v>0</v>
      </c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  <c r="AI371" s="3"/>
      <c r="AJ371" s="3"/>
      <c r="AK371" s="3"/>
      <c r="AL371" s="3"/>
      <c r="AM371" s="3"/>
      <c r="AN371" s="3"/>
      <c r="AO371" s="3"/>
      <c r="AP371" s="3"/>
      <c r="AQ371" s="3"/>
      <c r="AR371" s="3"/>
      <c r="AS371" s="3"/>
      <c r="AT371" s="3"/>
      <c r="AU371" s="3"/>
      <c r="AV371" s="3"/>
      <c r="AW371" s="3"/>
      <c r="AX371" s="3"/>
      <c r="AY371" s="3"/>
      <c r="AZ371" s="3"/>
      <c r="BA371" s="3"/>
      <c r="BB371" s="3"/>
      <c r="BC371" s="3"/>
    </row>
    <row r="372" spans="1:55">
      <c r="A372" s="1" t="str">
        <f>'Population Definitions'!$A$4</f>
        <v>0-9_males</v>
      </c>
      <c r="C372" t="s">
        <v>34</v>
      </c>
      <c r="D372" s="3"/>
      <c r="E372" s="3">
        <v>0</v>
      </c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  <c r="AI372" s="3"/>
      <c r="AJ372" s="3"/>
      <c r="AK372" s="3"/>
      <c r="AL372" s="3"/>
      <c r="AM372" s="3"/>
      <c r="AN372" s="3"/>
      <c r="AO372" s="3"/>
      <c r="AP372" s="3"/>
      <c r="AQ372" s="3"/>
      <c r="AR372" s="3"/>
      <c r="AS372" s="3"/>
      <c r="AT372" s="3"/>
      <c r="AU372" s="3"/>
      <c r="AV372" s="3"/>
      <c r="AW372" s="3"/>
      <c r="AX372" s="3"/>
      <c r="AY372" s="3"/>
      <c r="AZ372" s="3"/>
      <c r="BA372" s="3"/>
      <c r="BB372" s="3"/>
      <c r="BC372" s="3"/>
    </row>
    <row r="373" spans="1:55">
      <c r="A373" s="1" t="str">
        <f>'Population Definitions'!$A$5</f>
        <v>0-9_females</v>
      </c>
      <c r="C373" t="s">
        <v>34</v>
      </c>
      <c r="D373" s="3"/>
      <c r="E373" s="3">
        <v>0</v>
      </c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  <c r="AI373" s="3"/>
      <c r="AJ373" s="3"/>
      <c r="AK373" s="3"/>
      <c r="AL373" s="3"/>
      <c r="AM373" s="3"/>
      <c r="AN373" s="3"/>
      <c r="AO373" s="3"/>
      <c r="AP373" s="3"/>
      <c r="AQ373" s="3"/>
      <c r="AR373" s="3"/>
      <c r="AS373" s="3"/>
      <c r="AT373" s="3"/>
      <c r="AU373" s="3"/>
      <c r="AV373" s="3"/>
      <c r="AW373" s="3"/>
      <c r="AX373" s="3"/>
      <c r="AY373" s="3"/>
      <c r="AZ373" s="3"/>
      <c r="BA373" s="3"/>
      <c r="BB373" s="3"/>
      <c r="BC373" s="3"/>
    </row>
    <row r="374" spans="1:55">
      <c r="A374" s="1" t="str">
        <f>'Population Definitions'!$A$6</f>
        <v>10-17_males</v>
      </c>
      <c r="C374" t="s">
        <v>34</v>
      </c>
      <c r="D374" s="3"/>
      <c r="E374" s="3">
        <v>0</v>
      </c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  <c r="AH374" s="3"/>
      <c r="AI374" s="3"/>
      <c r="AJ374" s="3"/>
      <c r="AK374" s="3"/>
      <c r="AL374" s="3"/>
      <c r="AM374" s="3"/>
      <c r="AN374" s="3"/>
      <c r="AO374" s="3"/>
      <c r="AP374" s="3"/>
      <c r="AQ374" s="3"/>
      <c r="AR374" s="3"/>
      <c r="AS374" s="3"/>
      <c r="AT374" s="3"/>
      <c r="AU374" s="3"/>
      <c r="AV374" s="3"/>
      <c r="AW374" s="3"/>
      <c r="AX374" s="3"/>
      <c r="AY374" s="3"/>
      <c r="AZ374" s="3"/>
      <c r="BA374" s="3"/>
      <c r="BB374" s="3"/>
      <c r="BC374" s="3"/>
    </row>
    <row r="375" spans="1:55">
      <c r="A375" s="1" t="str">
        <f>'Population Definitions'!$A$7</f>
        <v>10-17_females</v>
      </c>
      <c r="C375" t="s">
        <v>34</v>
      </c>
      <c r="D375" s="3"/>
      <c r="E375" s="3">
        <v>0</v>
      </c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  <c r="AG375" s="3"/>
      <c r="AH375" s="3"/>
      <c r="AI375" s="3"/>
      <c r="AJ375" s="3"/>
      <c r="AK375" s="3"/>
      <c r="AL375" s="3"/>
      <c r="AM375" s="3"/>
      <c r="AN375" s="3"/>
      <c r="AO375" s="3"/>
      <c r="AP375" s="3"/>
      <c r="AQ375" s="3"/>
      <c r="AR375" s="3"/>
      <c r="AS375" s="3"/>
      <c r="AT375" s="3"/>
      <c r="AU375" s="3"/>
      <c r="AV375" s="3"/>
      <c r="AW375" s="3"/>
      <c r="AX375" s="3"/>
      <c r="AY375" s="3"/>
      <c r="AZ375" s="3"/>
      <c r="BA375" s="3"/>
      <c r="BB375" s="3"/>
      <c r="BC375" s="3"/>
    </row>
    <row r="376" spans="1:55">
      <c r="A376" s="1" t="str">
        <f>'Population Definitions'!$A$8</f>
        <v>18-64_males</v>
      </c>
      <c r="C376" t="s">
        <v>34</v>
      </c>
      <c r="D376" s="3"/>
      <c r="E376" s="3">
        <v>0</v>
      </c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  <c r="AG376" s="3"/>
      <c r="AH376" s="3"/>
      <c r="AI376" s="3"/>
      <c r="AJ376" s="3"/>
      <c r="AK376" s="3"/>
      <c r="AL376" s="3"/>
      <c r="AM376" s="3"/>
      <c r="AN376" s="3"/>
      <c r="AO376" s="3"/>
      <c r="AP376" s="3"/>
      <c r="AQ376" s="3"/>
      <c r="AR376" s="3"/>
      <c r="AS376" s="3"/>
      <c r="AT376" s="3"/>
      <c r="AU376" s="3"/>
      <c r="AV376" s="3"/>
      <c r="AW376" s="3"/>
      <c r="AX376" s="3"/>
      <c r="AY376" s="3"/>
      <c r="AZ376" s="3"/>
      <c r="BA376" s="3"/>
      <c r="BB376" s="3"/>
      <c r="BC376" s="3"/>
    </row>
    <row r="377" spans="1:55">
      <c r="A377" s="1" t="str">
        <f>'Population Definitions'!$A$9</f>
        <v>18-64_females</v>
      </c>
      <c r="C377" t="s">
        <v>34</v>
      </c>
      <c r="D377" s="3"/>
      <c r="E377" s="3">
        <v>0</v>
      </c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  <c r="AG377" s="3"/>
      <c r="AH377" s="3"/>
      <c r="AI377" s="3"/>
      <c r="AJ377" s="3"/>
      <c r="AK377" s="3"/>
      <c r="AL377" s="3"/>
      <c r="AM377" s="3"/>
      <c r="AN377" s="3"/>
      <c r="AO377" s="3"/>
      <c r="AP377" s="3"/>
      <c r="AQ377" s="3"/>
      <c r="AR377" s="3"/>
      <c r="AS377" s="3"/>
      <c r="AT377" s="3"/>
      <c r="AU377" s="3"/>
      <c r="AV377" s="3"/>
      <c r="AW377" s="3"/>
      <c r="AX377" s="3"/>
      <c r="AY377" s="3"/>
      <c r="AZ377" s="3"/>
      <c r="BA377" s="3"/>
      <c r="BB377" s="3"/>
      <c r="BC377" s="3"/>
    </row>
    <row r="378" spans="1:55">
      <c r="A378" s="1" t="str">
        <f>'Population Definitions'!$A$10</f>
        <v>65+_males</v>
      </c>
      <c r="C378" t="s">
        <v>34</v>
      </c>
      <c r="D378" s="3"/>
      <c r="E378" s="3">
        <v>0</v>
      </c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  <c r="AG378" s="3"/>
      <c r="AH378" s="3"/>
      <c r="AI378" s="3"/>
      <c r="AJ378" s="3"/>
      <c r="AK378" s="3"/>
      <c r="AL378" s="3"/>
      <c r="AM378" s="3"/>
      <c r="AN378" s="3"/>
      <c r="AO378" s="3"/>
      <c r="AP378" s="3"/>
      <c r="AQ378" s="3"/>
      <c r="AR378" s="3"/>
      <c r="AS378" s="3"/>
      <c r="AT378" s="3"/>
      <c r="AU378" s="3"/>
      <c r="AV378" s="3"/>
      <c r="AW378" s="3"/>
      <c r="AX378" s="3"/>
      <c r="AY378" s="3"/>
      <c r="AZ378" s="3"/>
      <c r="BA378" s="3"/>
      <c r="BB378" s="3"/>
      <c r="BC378" s="3"/>
    </row>
    <row r="379" spans="1:55">
      <c r="A379" s="1" t="str">
        <f>'Population Definitions'!$A$11</f>
        <v>65+_females</v>
      </c>
      <c r="C379" t="s">
        <v>34</v>
      </c>
      <c r="D379" s="3"/>
      <c r="E379" s="3">
        <v>0</v>
      </c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  <c r="AG379" s="3"/>
      <c r="AH379" s="3"/>
      <c r="AI379" s="3"/>
      <c r="AJ379" s="3"/>
      <c r="AK379" s="3"/>
      <c r="AL379" s="3"/>
      <c r="AM379" s="3"/>
      <c r="AN379" s="3"/>
      <c r="AO379" s="3"/>
      <c r="AP379" s="3"/>
      <c r="AQ379" s="3"/>
      <c r="AR379" s="3"/>
      <c r="AS379" s="3"/>
      <c r="AT379" s="3"/>
      <c r="AU379" s="3"/>
      <c r="AV379" s="3"/>
      <c r="AW379" s="3"/>
      <c r="AX379" s="3"/>
      <c r="AY379" s="3"/>
      <c r="AZ379" s="3"/>
      <c r="BA379" s="3"/>
      <c r="BB379" s="3"/>
      <c r="BC379" s="3"/>
    </row>
    <row r="380" spans="1:55">
      <c r="A380" s="1" t="str">
        <f>'Population Definitions'!$A$12</f>
        <v>Prisoners_males</v>
      </c>
      <c r="C380" t="s">
        <v>34</v>
      </c>
      <c r="D380" s="3"/>
      <c r="E380" s="3">
        <v>0</v>
      </c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  <c r="AH380" s="3"/>
      <c r="AI380" s="3"/>
      <c r="AJ380" s="3"/>
      <c r="AK380" s="3"/>
      <c r="AL380" s="3"/>
      <c r="AM380" s="3"/>
      <c r="AN380" s="3"/>
      <c r="AO380" s="3"/>
      <c r="AP380" s="3"/>
      <c r="AQ380" s="3"/>
      <c r="AR380" s="3"/>
      <c r="AS380" s="3"/>
      <c r="AT380" s="3"/>
      <c r="AU380" s="3"/>
      <c r="AV380" s="3"/>
      <c r="AW380" s="3"/>
      <c r="AX380" s="3"/>
      <c r="AY380" s="3"/>
      <c r="AZ380" s="3"/>
      <c r="BA380" s="3"/>
      <c r="BB380" s="3"/>
      <c r="BC380" s="3"/>
    </row>
    <row r="381" spans="1:55">
      <c r="A381" s="1" t="str">
        <f>'Population Definitions'!$A$13</f>
        <v>Prisoners_females</v>
      </c>
      <c r="C381" t="s">
        <v>34</v>
      </c>
      <c r="D381" s="3"/>
      <c r="E381" s="3">
        <v>0</v>
      </c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  <c r="AH381" s="3"/>
      <c r="AI381" s="3"/>
      <c r="AJ381" s="3"/>
      <c r="AK381" s="3"/>
      <c r="AL381" s="3"/>
      <c r="AM381" s="3"/>
      <c r="AN381" s="3"/>
      <c r="AO381" s="3"/>
      <c r="AP381" s="3"/>
      <c r="AQ381" s="3"/>
      <c r="AR381" s="3"/>
      <c r="AS381" s="3"/>
      <c r="AT381" s="3"/>
      <c r="AU381" s="3"/>
      <c r="AV381" s="3"/>
      <c r="AW381" s="3"/>
      <c r="AX381" s="3"/>
      <c r="AY381" s="3"/>
      <c r="AZ381" s="3"/>
      <c r="BA381" s="3"/>
      <c r="BB381" s="3"/>
      <c r="BC381" s="3"/>
    </row>
    <row r="382" spans="1:55">
      <c r="A382" s="1" t="str">
        <f>'Population Definitions'!$A$14</f>
        <v>Prisoners_PWID_males</v>
      </c>
      <c r="C382" t="s">
        <v>34</v>
      </c>
      <c r="D382" s="3"/>
      <c r="E382" s="3">
        <v>0</v>
      </c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G382" s="3"/>
      <c r="AH382" s="3"/>
      <c r="AI382" s="3"/>
      <c r="AJ382" s="3"/>
      <c r="AK382" s="3"/>
      <c r="AL382" s="3"/>
      <c r="AM382" s="3"/>
      <c r="AN382" s="3"/>
      <c r="AO382" s="3"/>
      <c r="AP382" s="3"/>
      <c r="AQ382" s="3"/>
      <c r="AR382" s="3"/>
      <c r="AS382" s="3"/>
      <c r="AT382" s="3"/>
      <c r="AU382" s="3"/>
      <c r="AV382" s="3"/>
      <c r="AW382" s="3"/>
      <c r="AX382" s="3"/>
      <c r="AY382" s="3"/>
      <c r="AZ382" s="3"/>
      <c r="BA382" s="3"/>
      <c r="BB382" s="3"/>
      <c r="BC382" s="3"/>
    </row>
    <row r="383" spans="1:55">
      <c r="A383" s="1" t="str">
        <f>'Population Definitions'!$A$15</f>
        <v>Prisoners_PWID_females</v>
      </c>
      <c r="C383" t="s">
        <v>34</v>
      </c>
      <c r="D383" s="3"/>
      <c r="E383" s="3">
        <v>0</v>
      </c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  <c r="AG383" s="3"/>
      <c r="AH383" s="3"/>
      <c r="AI383" s="3"/>
      <c r="AJ383" s="3"/>
      <c r="AK383" s="3"/>
      <c r="AL383" s="3"/>
      <c r="AM383" s="3"/>
      <c r="AN383" s="3"/>
      <c r="AO383" s="3"/>
      <c r="AP383" s="3"/>
      <c r="AQ383" s="3"/>
      <c r="AR383" s="3"/>
      <c r="AS383" s="3"/>
      <c r="AT383" s="3"/>
      <c r="AU383" s="3"/>
      <c r="AV383" s="3"/>
      <c r="AW383" s="3"/>
      <c r="AX383" s="3"/>
      <c r="AY383" s="3"/>
      <c r="AZ383" s="3"/>
      <c r="BA383" s="3"/>
      <c r="BB383" s="3"/>
      <c r="BC383" s="3"/>
    </row>
    <row r="385" spans="1:55">
      <c r="A385" s="1" t="s">
        <v>151</v>
      </c>
      <c r="B385" s="1" t="s">
        <v>31</v>
      </c>
      <c r="C385" s="1" t="s">
        <v>32</v>
      </c>
      <c r="D385" s="1" t="s">
        <v>33</v>
      </c>
      <c r="E385" s="1">
        <v>2000</v>
      </c>
      <c r="F385" s="1">
        <v>2001</v>
      </c>
      <c r="G385" s="1">
        <v>2002</v>
      </c>
      <c r="H385" s="1">
        <v>2003</v>
      </c>
      <c r="I385" s="1">
        <v>2004</v>
      </c>
      <c r="J385" s="1">
        <v>2005</v>
      </c>
      <c r="K385" s="1">
        <v>2006</v>
      </c>
      <c r="L385" s="1">
        <v>2007</v>
      </c>
      <c r="M385" s="1">
        <v>2008</v>
      </c>
      <c r="N385" s="1">
        <v>2009</v>
      </c>
      <c r="O385" s="1">
        <v>2010</v>
      </c>
      <c r="P385" s="1">
        <v>2011</v>
      </c>
      <c r="Q385" s="1">
        <v>2012</v>
      </c>
      <c r="R385" s="1">
        <v>2013</v>
      </c>
      <c r="S385" s="1">
        <v>2014</v>
      </c>
      <c r="T385" s="1">
        <v>2015</v>
      </c>
      <c r="U385" s="1">
        <v>2016</v>
      </c>
      <c r="V385" s="1">
        <v>2017</v>
      </c>
      <c r="W385" s="1">
        <v>2018</v>
      </c>
      <c r="X385" s="1">
        <v>2019</v>
      </c>
      <c r="Y385" s="1">
        <v>2020</v>
      </c>
      <c r="Z385" s="1">
        <v>2021</v>
      </c>
      <c r="AA385" s="1">
        <v>2022</v>
      </c>
      <c r="AB385" s="1">
        <v>2023</v>
      </c>
      <c r="AC385" s="1">
        <v>2024</v>
      </c>
      <c r="AD385" s="1">
        <v>2025</v>
      </c>
      <c r="AE385" s="1">
        <v>2026</v>
      </c>
      <c r="AF385" s="1">
        <v>2027</v>
      </c>
      <c r="AG385" s="1">
        <v>2028</v>
      </c>
      <c r="AH385" s="1">
        <v>2029</v>
      </c>
      <c r="AI385" s="1">
        <v>2030</v>
      </c>
      <c r="AJ385" s="1">
        <v>2031</v>
      </c>
      <c r="AK385" s="1">
        <v>2032</v>
      </c>
      <c r="AL385" s="1">
        <v>2033</v>
      </c>
      <c r="AM385" s="1">
        <v>2034</v>
      </c>
      <c r="AN385" s="1">
        <v>2035</v>
      </c>
      <c r="AO385" s="1">
        <v>2036</v>
      </c>
      <c r="AP385" s="1">
        <v>2037</v>
      </c>
      <c r="AQ385" s="1">
        <v>2038</v>
      </c>
      <c r="AR385" s="1">
        <v>2039</v>
      </c>
      <c r="AS385" s="1">
        <v>2040</v>
      </c>
      <c r="AT385" s="1">
        <v>2041</v>
      </c>
      <c r="AU385" s="1">
        <v>2042</v>
      </c>
      <c r="AV385" s="1">
        <v>2043</v>
      </c>
      <c r="AW385" s="1">
        <v>2044</v>
      </c>
      <c r="AX385" s="1">
        <v>2045</v>
      </c>
      <c r="AY385" s="1">
        <v>2046</v>
      </c>
      <c r="AZ385" s="1">
        <v>2047</v>
      </c>
      <c r="BA385" s="1">
        <v>2048</v>
      </c>
      <c r="BB385" s="1">
        <v>2049</v>
      </c>
      <c r="BC385" s="1">
        <v>2050</v>
      </c>
    </row>
    <row r="386" spans="1:55">
      <c r="A386" s="1" t="str">
        <f>'Population Definitions'!$A$2</f>
        <v>PWID_males</v>
      </c>
      <c r="C386" t="s">
        <v>34</v>
      </c>
      <c r="D386" s="3"/>
      <c r="E386" s="3">
        <v>0</v>
      </c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3"/>
      <c r="AH386" s="3"/>
      <c r="AI386" s="3"/>
      <c r="AJ386" s="3"/>
      <c r="AK386" s="3"/>
      <c r="AL386" s="3"/>
      <c r="AM386" s="3"/>
      <c r="AN386" s="3"/>
      <c r="AO386" s="3"/>
      <c r="AP386" s="3"/>
      <c r="AQ386" s="3"/>
      <c r="AR386" s="3"/>
      <c r="AS386" s="3"/>
      <c r="AT386" s="3"/>
      <c r="AU386" s="3"/>
      <c r="AV386" s="3"/>
      <c r="AW386" s="3"/>
      <c r="AX386" s="3"/>
      <c r="AY386" s="3"/>
      <c r="AZ386" s="3"/>
      <c r="BA386" s="3"/>
      <c r="BB386" s="3"/>
      <c r="BC386" s="3"/>
    </row>
    <row r="387" spans="1:55">
      <c r="A387" s="1" t="str">
        <f>'Population Definitions'!$A$3</f>
        <v>PWID_females</v>
      </c>
      <c r="C387" t="s">
        <v>34</v>
      </c>
      <c r="D387" s="3"/>
      <c r="E387" s="3">
        <v>0</v>
      </c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  <c r="AH387" s="3"/>
      <c r="AI387" s="3"/>
      <c r="AJ387" s="3"/>
      <c r="AK387" s="3"/>
      <c r="AL387" s="3"/>
      <c r="AM387" s="3"/>
      <c r="AN387" s="3"/>
      <c r="AO387" s="3"/>
      <c r="AP387" s="3"/>
      <c r="AQ387" s="3"/>
      <c r="AR387" s="3"/>
      <c r="AS387" s="3"/>
      <c r="AT387" s="3"/>
      <c r="AU387" s="3"/>
      <c r="AV387" s="3"/>
      <c r="AW387" s="3"/>
      <c r="AX387" s="3"/>
      <c r="AY387" s="3"/>
      <c r="AZ387" s="3"/>
      <c r="BA387" s="3"/>
      <c r="BB387" s="3"/>
      <c r="BC387" s="3"/>
    </row>
    <row r="388" spans="1:55">
      <c r="A388" s="1" t="str">
        <f>'Population Definitions'!$A$4</f>
        <v>0-9_males</v>
      </c>
      <c r="C388" t="s">
        <v>34</v>
      </c>
      <c r="D388" s="3"/>
      <c r="E388" s="3">
        <v>0</v>
      </c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G388" s="3"/>
      <c r="AH388" s="3"/>
      <c r="AI388" s="3"/>
      <c r="AJ388" s="3"/>
      <c r="AK388" s="3"/>
      <c r="AL388" s="3"/>
      <c r="AM388" s="3"/>
      <c r="AN388" s="3"/>
      <c r="AO388" s="3"/>
      <c r="AP388" s="3"/>
      <c r="AQ388" s="3"/>
      <c r="AR388" s="3"/>
      <c r="AS388" s="3"/>
      <c r="AT388" s="3"/>
      <c r="AU388" s="3"/>
      <c r="AV388" s="3"/>
      <c r="AW388" s="3"/>
      <c r="AX388" s="3"/>
      <c r="AY388" s="3"/>
      <c r="AZ388" s="3"/>
      <c r="BA388" s="3"/>
      <c r="BB388" s="3"/>
      <c r="BC388" s="3"/>
    </row>
    <row r="389" spans="1:55">
      <c r="A389" s="1" t="str">
        <f>'Population Definitions'!$A$5</f>
        <v>0-9_females</v>
      </c>
      <c r="C389" t="s">
        <v>34</v>
      </c>
      <c r="D389" s="3"/>
      <c r="E389" s="3">
        <v>0</v>
      </c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  <c r="AH389" s="3"/>
      <c r="AI389" s="3"/>
      <c r="AJ389" s="3"/>
      <c r="AK389" s="3"/>
      <c r="AL389" s="3"/>
      <c r="AM389" s="3"/>
      <c r="AN389" s="3"/>
      <c r="AO389" s="3"/>
      <c r="AP389" s="3"/>
      <c r="AQ389" s="3"/>
      <c r="AR389" s="3"/>
      <c r="AS389" s="3"/>
      <c r="AT389" s="3"/>
      <c r="AU389" s="3"/>
      <c r="AV389" s="3"/>
      <c r="AW389" s="3"/>
      <c r="AX389" s="3"/>
      <c r="AY389" s="3"/>
      <c r="AZ389" s="3"/>
      <c r="BA389" s="3"/>
      <c r="BB389" s="3"/>
      <c r="BC389" s="3"/>
    </row>
    <row r="390" spans="1:55">
      <c r="A390" s="1" t="str">
        <f>'Population Definitions'!$A$6</f>
        <v>10-17_males</v>
      </c>
      <c r="C390" t="s">
        <v>34</v>
      </c>
      <c r="D390" s="3"/>
      <c r="E390" s="3">
        <v>0</v>
      </c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  <c r="AC390" s="3"/>
      <c r="AD390" s="3"/>
      <c r="AE390" s="3"/>
      <c r="AF390" s="3"/>
      <c r="AG390" s="3"/>
      <c r="AH390" s="3"/>
      <c r="AI390" s="3"/>
      <c r="AJ390" s="3"/>
      <c r="AK390" s="3"/>
      <c r="AL390" s="3"/>
      <c r="AM390" s="3"/>
      <c r="AN390" s="3"/>
      <c r="AO390" s="3"/>
      <c r="AP390" s="3"/>
      <c r="AQ390" s="3"/>
      <c r="AR390" s="3"/>
      <c r="AS390" s="3"/>
      <c r="AT390" s="3"/>
      <c r="AU390" s="3"/>
      <c r="AV390" s="3"/>
      <c r="AW390" s="3"/>
      <c r="AX390" s="3"/>
      <c r="AY390" s="3"/>
      <c r="AZ390" s="3"/>
      <c r="BA390" s="3"/>
      <c r="BB390" s="3"/>
      <c r="BC390" s="3"/>
    </row>
    <row r="391" spans="1:55">
      <c r="A391" s="1" t="str">
        <f>'Population Definitions'!$A$7</f>
        <v>10-17_females</v>
      </c>
      <c r="C391" t="s">
        <v>34</v>
      </c>
      <c r="D391" s="3"/>
      <c r="E391" s="3">
        <v>0</v>
      </c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  <c r="AC391" s="3"/>
      <c r="AD391" s="3"/>
      <c r="AE391" s="3"/>
      <c r="AF391" s="3"/>
      <c r="AG391" s="3"/>
      <c r="AH391" s="3"/>
      <c r="AI391" s="3"/>
      <c r="AJ391" s="3"/>
      <c r="AK391" s="3"/>
      <c r="AL391" s="3"/>
      <c r="AM391" s="3"/>
      <c r="AN391" s="3"/>
      <c r="AO391" s="3"/>
      <c r="AP391" s="3"/>
      <c r="AQ391" s="3"/>
      <c r="AR391" s="3"/>
      <c r="AS391" s="3"/>
      <c r="AT391" s="3"/>
      <c r="AU391" s="3"/>
      <c r="AV391" s="3"/>
      <c r="AW391" s="3"/>
      <c r="AX391" s="3"/>
      <c r="AY391" s="3"/>
      <c r="AZ391" s="3"/>
      <c r="BA391" s="3"/>
      <c r="BB391" s="3"/>
      <c r="BC391" s="3"/>
    </row>
    <row r="392" spans="1:55">
      <c r="A392" s="1" t="str">
        <f>'Population Definitions'!$A$8</f>
        <v>18-64_males</v>
      </c>
      <c r="C392" t="s">
        <v>34</v>
      </c>
      <c r="D392" s="3"/>
      <c r="E392" s="3">
        <v>0</v>
      </c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  <c r="AG392" s="3"/>
      <c r="AH392" s="3"/>
      <c r="AI392" s="3"/>
      <c r="AJ392" s="3"/>
      <c r="AK392" s="3"/>
      <c r="AL392" s="3"/>
      <c r="AM392" s="3"/>
      <c r="AN392" s="3"/>
      <c r="AO392" s="3"/>
      <c r="AP392" s="3"/>
      <c r="AQ392" s="3"/>
      <c r="AR392" s="3"/>
      <c r="AS392" s="3"/>
      <c r="AT392" s="3"/>
      <c r="AU392" s="3"/>
      <c r="AV392" s="3"/>
      <c r="AW392" s="3"/>
      <c r="AX392" s="3"/>
      <c r="AY392" s="3"/>
      <c r="AZ392" s="3"/>
      <c r="BA392" s="3"/>
      <c r="BB392" s="3"/>
      <c r="BC392" s="3"/>
    </row>
    <row r="393" spans="1:55">
      <c r="A393" s="1" t="str">
        <f>'Population Definitions'!$A$9</f>
        <v>18-64_females</v>
      </c>
      <c r="C393" t="s">
        <v>34</v>
      </c>
      <c r="D393" s="3"/>
      <c r="E393" s="3">
        <v>0</v>
      </c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  <c r="AG393" s="3"/>
      <c r="AH393" s="3"/>
      <c r="AI393" s="3"/>
      <c r="AJ393" s="3"/>
      <c r="AK393" s="3"/>
      <c r="AL393" s="3"/>
      <c r="AM393" s="3"/>
      <c r="AN393" s="3"/>
      <c r="AO393" s="3"/>
      <c r="AP393" s="3"/>
      <c r="AQ393" s="3"/>
      <c r="AR393" s="3"/>
      <c r="AS393" s="3"/>
      <c r="AT393" s="3"/>
      <c r="AU393" s="3"/>
      <c r="AV393" s="3"/>
      <c r="AW393" s="3"/>
      <c r="AX393" s="3"/>
      <c r="AY393" s="3"/>
      <c r="AZ393" s="3"/>
      <c r="BA393" s="3"/>
      <c r="BB393" s="3"/>
      <c r="BC393" s="3"/>
    </row>
    <row r="394" spans="1:55">
      <c r="A394" s="1" t="str">
        <f>'Population Definitions'!$A$10</f>
        <v>65+_males</v>
      </c>
      <c r="C394" t="s">
        <v>34</v>
      </c>
      <c r="D394" s="3"/>
      <c r="E394" s="3">
        <v>0</v>
      </c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  <c r="AH394" s="3"/>
      <c r="AI394" s="3"/>
      <c r="AJ394" s="3"/>
      <c r="AK394" s="3"/>
      <c r="AL394" s="3"/>
      <c r="AM394" s="3"/>
      <c r="AN394" s="3"/>
      <c r="AO394" s="3"/>
      <c r="AP394" s="3"/>
      <c r="AQ394" s="3"/>
      <c r="AR394" s="3"/>
      <c r="AS394" s="3"/>
      <c r="AT394" s="3"/>
      <c r="AU394" s="3"/>
      <c r="AV394" s="3"/>
      <c r="AW394" s="3"/>
      <c r="AX394" s="3"/>
      <c r="AY394" s="3"/>
      <c r="AZ394" s="3"/>
      <c r="BA394" s="3"/>
      <c r="BB394" s="3"/>
      <c r="BC394" s="3"/>
    </row>
    <row r="395" spans="1:55">
      <c r="A395" s="1" t="str">
        <f>'Population Definitions'!$A$11</f>
        <v>65+_females</v>
      </c>
      <c r="C395" t="s">
        <v>34</v>
      </c>
      <c r="D395" s="3"/>
      <c r="E395" s="3">
        <v>0</v>
      </c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3"/>
      <c r="AH395" s="3"/>
      <c r="AI395" s="3"/>
      <c r="AJ395" s="3"/>
      <c r="AK395" s="3"/>
      <c r="AL395" s="3"/>
      <c r="AM395" s="3"/>
      <c r="AN395" s="3"/>
      <c r="AO395" s="3"/>
      <c r="AP395" s="3"/>
      <c r="AQ395" s="3"/>
      <c r="AR395" s="3"/>
      <c r="AS395" s="3"/>
      <c r="AT395" s="3"/>
      <c r="AU395" s="3"/>
      <c r="AV395" s="3"/>
      <c r="AW395" s="3"/>
      <c r="AX395" s="3"/>
      <c r="AY395" s="3"/>
      <c r="AZ395" s="3"/>
      <c r="BA395" s="3"/>
      <c r="BB395" s="3"/>
      <c r="BC395" s="3"/>
    </row>
    <row r="396" spans="1:55">
      <c r="A396" s="1" t="str">
        <f>'Population Definitions'!$A$12</f>
        <v>Prisoners_males</v>
      </c>
      <c r="C396" t="s">
        <v>34</v>
      </c>
      <c r="D396" s="3"/>
      <c r="E396" s="3">
        <v>0</v>
      </c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  <c r="AG396" s="3"/>
      <c r="AH396" s="3"/>
      <c r="AI396" s="3"/>
      <c r="AJ396" s="3"/>
      <c r="AK396" s="3"/>
      <c r="AL396" s="3"/>
      <c r="AM396" s="3"/>
      <c r="AN396" s="3"/>
      <c r="AO396" s="3"/>
      <c r="AP396" s="3"/>
      <c r="AQ396" s="3"/>
      <c r="AR396" s="3"/>
      <c r="AS396" s="3"/>
      <c r="AT396" s="3"/>
      <c r="AU396" s="3"/>
      <c r="AV396" s="3"/>
      <c r="AW396" s="3"/>
      <c r="AX396" s="3"/>
      <c r="AY396" s="3"/>
      <c r="AZ396" s="3"/>
      <c r="BA396" s="3"/>
      <c r="BB396" s="3"/>
      <c r="BC396" s="3"/>
    </row>
    <row r="397" spans="1:55">
      <c r="A397" s="1" t="str">
        <f>'Population Definitions'!$A$13</f>
        <v>Prisoners_females</v>
      </c>
      <c r="C397" t="s">
        <v>34</v>
      </c>
      <c r="D397" s="3"/>
      <c r="E397" s="3">
        <v>0</v>
      </c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G397" s="3"/>
      <c r="AH397" s="3"/>
      <c r="AI397" s="3"/>
      <c r="AJ397" s="3"/>
      <c r="AK397" s="3"/>
      <c r="AL397" s="3"/>
      <c r="AM397" s="3"/>
      <c r="AN397" s="3"/>
      <c r="AO397" s="3"/>
      <c r="AP397" s="3"/>
      <c r="AQ397" s="3"/>
      <c r="AR397" s="3"/>
      <c r="AS397" s="3"/>
      <c r="AT397" s="3"/>
      <c r="AU397" s="3"/>
      <c r="AV397" s="3"/>
      <c r="AW397" s="3"/>
      <c r="AX397" s="3"/>
      <c r="AY397" s="3"/>
      <c r="AZ397" s="3"/>
      <c r="BA397" s="3"/>
      <c r="BB397" s="3"/>
      <c r="BC397" s="3"/>
    </row>
    <row r="398" spans="1:55">
      <c r="A398" s="1" t="str">
        <f>'Population Definitions'!$A$14</f>
        <v>Prisoners_PWID_males</v>
      </c>
      <c r="C398" t="s">
        <v>34</v>
      </c>
      <c r="D398" s="3"/>
      <c r="E398" s="3">
        <v>0</v>
      </c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  <c r="AG398" s="3"/>
      <c r="AH398" s="3"/>
      <c r="AI398" s="3"/>
      <c r="AJ398" s="3"/>
      <c r="AK398" s="3"/>
      <c r="AL398" s="3"/>
      <c r="AM398" s="3"/>
      <c r="AN398" s="3"/>
      <c r="AO398" s="3"/>
      <c r="AP398" s="3"/>
      <c r="AQ398" s="3"/>
      <c r="AR398" s="3"/>
      <c r="AS398" s="3"/>
      <c r="AT398" s="3"/>
      <c r="AU398" s="3"/>
      <c r="AV398" s="3"/>
      <c r="AW398" s="3"/>
      <c r="AX398" s="3"/>
      <c r="AY398" s="3"/>
      <c r="AZ398" s="3"/>
      <c r="BA398" s="3"/>
      <c r="BB398" s="3"/>
      <c r="BC398" s="3"/>
    </row>
    <row r="399" spans="1:55">
      <c r="A399" s="1" t="str">
        <f>'Population Definitions'!$A$15</f>
        <v>Prisoners_PWID_females</v>
      </c>
      <c r="C399" t="s">
        <v>34</v>
      </c>
      <c r="D399" s="3"/>
      <c r="E399" s="3">
        <v>0</v>
      </c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  <c r="AG399" s="3"/>
      <c r="AH399" s="3"/>
      <c r="AI399" s="3"/>
      <c r="AJ399" s="3"/>
      <c r="AK399" s="3"/>
      <c r="AL399" s="3"/>
      <c r="AM399" s="3"/>
      <c r="AN399" s="3"/>
      <c r="AO399" s="3"/>
      <c r="AP399" s="3"/>
      <c r="AQ399" s="3"/>
      <c r="AR399" s="3"/>
      <c r="AS399" s="3"/>
      <c r="AT399" s="3"/>
      <c r="AU399" s="3"/>
      <c r="AV399" s="3"/>
      <c r="AW399" s="3"/>
      <c r="AX399" s="3"/>
      <c r="AY399" s="3"/>
      <c r="AZ399" s="3"/>
      <c r="BA399" s="3"/>
      <c r="BB399" s="3"/>
      <c r="BC399" s="3"/>
    </row>
    <row r="401" spans="1:55">
      <c r="A401" s="1" t="s">
        <v>152</v>
      </c>
      <c r="B401" s="1" t="s">
        <v>31</v>
      </c>
      <c r="C401" s="1" t="s">
        <v>32</v>
      </c>
      <c r="D401" s="1" t="s">
        <v>33</v>
      </c>
      <c r="E401" s="1">
        <v>2000</v>
      </c>
      <c r="F401" s="1">
        <v>2001</v>
      </c>
      <c r="G401" s="1">
        <v>2002</v>
      </c>
      <c r="H401" s="1">
        <v>2003</v>
      </c>
      <c r="I401" s="1">
        <v>2004</v>
      </c>
      <c r="J401" s="1">
        <v>2005</v>
      </c>
      <c r="K401" s="1">
        <v>2006</v>
      </c>
      <c r="L401" s="1">
        <v>2007</v>
      </c>
      <c r="M401" s="1">
        <v>2008</v>
      </c>
      <c r="N401" s="1">
        <v>2009</v>
      </c>
      <c r="O401" s="1">
        <v>2010</v>
      </c>
      <c r="P401" s="1">
        <v>2011</v>
      </c>
      <c r="Q401" s="1">
        <v>2012</v>
      </c>
      <c r="R401" s="1">
        <v>2013</v>
      </c>
      <c r="S401" s="1">
        <v>2014</v>
      </c>
      <c r="T401" s="1">
        <v>2015</v>
      </c>
      <c r="U401" s="1">
        <v>2016</v>
      </c>
      <c r="V401" s="1">
        <v>2017</v>
      </c>
      <c r="W401" s="1">
        <v>2018</v>
      </c>
      <c r="X401" s="1">
        <v>2019</v>
      </c>
      <c r="Y401" s="1">
        <v>2020</v>
      </c>
      <c r="Z401" s="1">
        <v>2021</v>
      </c>
      <c r="AA401" s="1">
        <v>2022</v>
      </c>
      <c r="AB401" s="1">
        <v>2023</v>
      </c>
      <c r="AC401" s="1">
        <v>2024</v>
      </c>
      <c r="AD401" s="1">
        <v>2025</v>
      </c>
      <c r="AE401" s="1">
        <v>2026</v>
      </c>
      <c r="AF401" s="1">
        <v>2027</v>
      </c>
      <c r="AG401" s="1">
        <v>2028</v>
      </c>
      <c r="AH401" s="1">
        <v>2029</v>
      </c>
      <c r="AI401" s="1">
        <v>2030</v>
      </c>
      <c r="AJ401" s="1">
        <v>2031</v>
      </c>
      <c r="AK401" s="1">
        <v>2032</v>
      </c>
      <c r="AL401" s="1">
        <v>2033</v>
      </c>
      <c r="AM401" s="1">
        <v>2034</v>
      </c>
      <c r="AN401" s="1">
        <v>2035</v>
      </c>
      <c r="AO401" s="1">
        <v>2036</v>
      </c>
      <c r="AP401" s="1">
        <v>2037</v>
      </c>
      <c r="AQ401" s="1">
        <v>2038</v>
      </c>
      <c r="AR401" s="1">
        <v>2039</v>
      </c>
      <c r="AS401" s="1">
        <v>2040</v>
      </c>
      <c r="AT401" s="1">
        <v>2041</v>
      </c>
      <c r="AU401" s="1">
        <v>2042</v>
      </c>
      <c r="AV401" s="1">
        <v>2043</v>
      </c>
      <c r="AW401" s="1">
        <v>2044</v>
      </c>
      <c r="AX401" s="1">
        <v>2045</v>
      </c>
      <c r="AY401" s="1">
        <v>2046</v>
      </c>
      <c r="AZ401" s="1">
        <v>2047</v>
      </c>
      <c r="BA401" s="1">
        <v>2048</v>
      </c>
      <c r="BB401" s="1">
        <v>2049</v>
      </c>
      <c r="BC401" s="1">
        <v>2050</v>
      </c>
    </row>
    <row r="402" spans="1:55">
      <c r="A402" s="1" t="str">
        <f>'Population Definitions'!$A$2</f>
        <v>PWID_males</v>
      </c>
      <c r="C402" t="s">
        <v>34</v>
      </c>
      <c r="D402" s="3"/>
      <c r="E402" s="3">
        <v>0</v>
      </c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  <c r="AG402" s="3"/>
      <c r="AH402" s="3"/>
      <c r="AI402" s="3"/>
      <c r="AJ402" s="3"/>
      <c r="AK402" s="3"/>
      <c r="AL402" s="3"/>
      <c r="AM402" s="3"/>
      <c r="AN402" s="3"/>
      <c r="AO402" s="3"/>
      <c r="AP402" s="3"/>
      <c r="AQ402" s="3"/>
      <c r="AR402" s="3"/>
      <c r="AS402" s="3"/>
      <c r="AT402" s="3"/>
      <c r="AU402" s="3"/>
      <c r="AV402" s="3"/>
      <c r="AW402" s="3"/>
      <c r="AX402" s="3"/>
      <c r="AY402" s="3"/>
      <c r="AZ402" s="3"/>
      <c r="BA402" s="3"/>
      <c r="BB402" s="3"/>
      <c r="BC402" s="3"/>
    </row>
    <row r="403" spans="1:55">
      <c r="A403" s="1" t="str">
        <f>'Population Definitions'!$A$3</f>
        <v>PWID_females</v>
      </c>
      <c r="C403" t="s">
        <v>34</v>
      </c>
      <c r="D403" s="3"/>
      <c r="E403" s="3">
        <v>0</v>
      </c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  <c r="AG403" s="3"/>
      <c r="AH403" s="3"/>
      <c r="AI403" s="3"/>
      <c r="AJ403" s="3"/>
      <c r="AK403" s="3"/>
      <c r="AL403" s="3"/>
      <c r="AM403" s="3"/>
      <c r="AN403" s="3"/>
      <c r="AO403" s="3"/>
      <c r="AP403" s="3"/>
      <c r="AQ403" s="3"/>
      <c r="AR403" s="3"/>
      <c r="AS403" s="3"/>
      <c r="AT403" s="3"/>
      <c r="AU403" s="3"/>
      <c r="AV403" s="3"/>
      <c r="AW403" s="3"/>
      <c r="AX403" s="3"/>
      <c r="AY403" s="3"/>
      <c r="AZ403" s="3"/>
      <c r="BA403" s="3"/>
      <c r="BB403" s="3"/>
      <c r="BC403" s="3"/>
    </row>
    <row r="404" spans="1:55">
      <c r="A404" s="1" t="str">
        <f>'Population Definitions'!$A$4</f>
        <v>0-9_males</v>
      </c>
      <c r="C404" t="s">
        <v>34</v>
      </c>
      <c r="D404" s="3"/>
      <c r="E404" s="3">
        <v>0</v>
      </c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  <c r="AG404" s="3"/>
      <c r="AH404" s="3"/>
      <c r="AI404" s="3"/>
      <c r="AJ404" s="3"/>
      <c r="AK404" s="3"/>
      <c r="AL404" s="3"/>
      <c r="AM404" s="3"/>
      <c r="AN404" s="3"/>
      <c r="AO404" s="3"/>
      <c r="AP404" s="3"/>
      <c r="AQ404" s="3"/>
      <c r="AR404" s="3"/>
      <c r="AS404" s="3"/>
      <c r="AT404" s="3"/>
      <c r="AU404" s="3"/>
      <c r="AV404" s="3"/>
      <c r="AW404" s="3"/>
      <c r="AX404" s="3"/>
      <c r="AY404" s="3"/>
      <c r="AZ404" s="3"/>
      <c r="BA404" s="3"/>
      <c r="BB404" s="3"/>
      <c r="BC404" s="3"/>
    </row>
    <row r="405" spans="1:55">
      <c r="A405" s="1" t="str">
        <f>'Population Definitions'!$A$5</f>
        <v>0-9_females</v>
      </c>
      <c r="C405" t="s">
        <v>34</v>
      </c>
      <c r="D405" s="3"/>
      <c r="E405" s="3">
        <v>0</v>
      </c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  <c r="AG405" s="3"/>
      <c r="AH405" s="3"/>
      <c r="AI405" s="3"/>
      <c r="AJ405" s="3"/>
      <c r="AK405" s="3"/>
      <c r="AL405" s="3"/>
      <c r="AM405" s="3"/>
      <c r="AN405" s="3"/>
      <c r="AO405" s="3"/>
      <c r="AP405" s="3"/>
      <c r="AQ405" s="3"/>
      <c r="AR405" s="3"/>
      <c r="AS405" s="3"/>
      <c r="AT405" s="3"/>
      <c r="AU405" s="3"/>
      <c r="AV405" s="3"/>
      <c r="AW405" s="3"/>
      <c r="AX405" s="3"/>
      <c r="AY405" s="3"/>
      <c r="AZ405" s="3"/>
      <c r="BA405" s="3"/>
      <c r="BB405" s="3"/>
      <c r="BC405" s="3"/>
    </row>
    <row r="406" spans="1:55">
      <c r="A406" s="1" t="str">
        <f>'Population Definitions'!$A$6</f>
        <v>10-17_males</v>
      </c>
      <c r="C406" t="s">
        <v>34</v>
      </c>
      <c r="D406" s="3"/>
      <c r="E406" s="3">
        <v>0</v>
      </c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  <c r="AG406" s="3"/>
      <c r="AH406" s="3"/>
      <c r="AI406" s="3"/>
      <c r="AJ406" s="3"/>
      <c r="AK406" s="3"/>
      <c r="AL406" s="3"/>
      <c r="AM406" s="3"/>
      <c r="AN406" s="3"/>
      <c r="AO406" s="3"/>
      <c r="AP406" s="3"/>
      <c r="AQ406" s="3"/>
      <c r="AR406" s="3"/>
      <c r="AS406" s="3"/>
      <c r="AT406" s="3"/>
      <c r="AU406" s="3"/>
      <c r="AV406" s="3"/>
      <c r="AW406" s="3"/>
      <c r="AX406" s="3"/>
      <c r="AY406" s="3"/>
      <c r="AZ406" s="3"/>
      <c r="BA406" s="3"/>
      <c r="BB406" s="3"/>
      <c r="BC406" s="3"/>
    </row>
    <row r="407" spans="1:55">
      <c r="A407" s="1" t="str">
        <f>'Population Definitions'!$A$7</f>
        <v>10-17_females</v>
      </c>
      <c r="C407" t="s">
        <v>34</v>
      </c>
      <c r="D407" s="3"/>
      <c r="E407" s="3">
        <v>0</v>
      </c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  <c r="AG407" s="3"/>
      <c r="AH407" s="3"/>
      <c r="AI407" s="3"/>
      <c r="AJ407" s="3"/>
      <c r="AK407" s="3"/>
      <c r="AL407" s="3"/>
      <c r="AM407" s="3"/>
      <c r="AN407" s="3"/>
      <c r="AO407" s="3"/>
      <c r="AP407" s="3"/>
      <c r="AQ407" s="3"/>
      <c r="AR407" s="3"/>
      <c r="AS407" s="3"/>
      <c r="AT407" s="3"/>
      <c r="AU407" s="3"/>
      <c r="AV407" s="3"/>
      <c r="AW407" s="3"/>
      <c r="AX407" s="3"/>
      <c r="AY407" s="3"/>
      <c r="AZ407" s="3"/>
      <c r="BA407" s="3"/>
      <c r="BB407" s="3"/>
      <c r="BC407" s="3"/>
    </row>
    <row r="408" spans="1:55">
      <c r="A408" s="1" t="str">
        <f>'Population Definitions'!$A$8</f>
        <v>18-64_males</v>
      </c>
      <c r="C408" t="s">
        <v>34</v>
      </c>
      <c r="D408" s="3"/>
      <c r="E408" s="3">
        <v>0</v>
      </c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  <c r="AG408" s="3"/>
      <c r="AH408" s="3"/>
      <c r="AI408" s="3"/>
      <c r="AJ408" s="3"/>
      <c r="AK408" s="3"/>
      <c r="AL408" s="3"/>
      <c r="AM408" s="3"/>
      <c r="AN408" s="3"/>
      <c r="AO408" s="3"/>
      <c r="AP408" s="3"/>
      <c r="AQ408" s="3"/>
      <c r="AR408" s="3"/>
      <c r="AS408" s="3"/>
      <c r="AT408" s="3"/>
      <c r="AU408" s="3"/>
      <c r="AV408" s="3"/>
      <c r="AW408" s="3"/>
      <c r="AX408" s="3"/>
      <c r="AY408" s="3"/>
      <c r="AZ408" s="3"/>
      <c r="BA408" s="3"/>
      <c r="BB408" s="3"/>
      <c r="BC408" s="3"/>
    </row>
    <row r="409" spans="1:55">
      <c r="A409" s="1" t="str">
        <f>'Population Definitions'!$A$9</f>
        <v>18-64_females</v>
      </c>
      <c r="C409" t="s">
        <v>34</v>
      </c>
      <c r="D409" s="3"/>
      <c r="E409" s="3">
        <v>0</v>
      </c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  <c r="AG409" s="3"/>
      <c r="AH409" s="3"/>
      <c r="AI409" s="3"/>
      <c r="AJ409" s="3"/>
      <c r="AK409" s="3"/>
      <c r="AL409" s="3"/>
      <c r="AM409" s="3"/>
      <c r="AN409" s="3"/>
      <c r="AO409" s="3"/>
      <c r="AP409" s="3"/>
      <c r="AQ409" s="3"/>
      <c r="AR409" s="3"/>
      <c r="AS409" s="3"/>
      <c r="AT409" s="3"/>
      <c r="AU409" s="3"/>
      <c r="AV409" s="3"/>
      <c r="AW409" s="3"/>
      <c r="AX409" s="3"/>
      <c r="AY409" s="3"/>
      <c r="AZ409" s="3"/>
      <c r="BA409" s="3"/>
      <c r="BB409" s="3"/>
      <c r="BC409" s="3"/>
    </row>
    <row r="410" spans="1:55">
      <c r="A410" s="1" t="str">
        <f>'Population Definitions'!$A$10</f>
        <v>65+_males</v>
      </c>
      <c r="C410" t="s">
        <v>34</v>
      </c>
      <c r="D410" s="3"/>
      <c r="E410" s="3">
        <v>0</v>
      </c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  <c r="AG410" s="3"/>
      <c r="AH410" s="3"/>
      <c r="AI410" s="3"/>
      <c r="AJ410" s="3"/>
      <c r="AK410" s="3"/>
      <c r="AL410" s="3"/>
      <c r="AM410" s="3"/>
      <c r="AN410" s="3"/>
      <c r="AO410" s="3"/>
      <c r="AP410" s="3"/>
      <c r="AQ410" s="3"/>
      <c r="AR410" s="3"/>
      <c r="AS410" s="3"/>
      <c r="AT410" s="3"/>
      <c r="AU410" s="3"/>
      <c r="AV410" s="3"/>
      <c r="AW410" s="3"/>
      <c r="AX410" s="3"/>
      <c r="AY410" s="3"/>
      <c r="AZ410" s="3"/>
      <c r="BA410" s="3"/>
      <c r="BB410" s="3"/>
      <c r="BC410" s="3"/>
    </row>
    <row r="411" spans="1:55">
      <c r="A411" s="1" t="str">
        <f>'Population Definitions'!$A$11</f>
        <v>65+_females</v>
      </c>
      <c r="C411" t="s">
        <v>34</v>
      </c>
      <c r="D411" s="3"/>
      <c r="E411" s="3">
        <v>0</v>
      </c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  <c r="AG411" s="3"/>
      <c r="AH411" s="3"/>
      <c r="AI411" s="3"/>
      <c r="AJ411" s="3"/>
      <c r="AK411" s="3"/>
      <c r="AL411" s="3"/>
      <c r="AM411" s="3"/>
      <c r="AN411" s="3"/>
      <c r="AO411" s="3"/>
      <c r="AP411" s="3"/>
      <c r="AQ411" s="3"/>
      <c r="AR411" s="3"/>
      <c r="AS411" s="3"/>
      <c r="AT411" s="3"/>
      <c r="AU411" s="3"/>
      <c r="AV411" s="3"/>
      <c r="AW411" s="3"/>
      <c r="AX411" s="3"/>
      <c r="AY411" s="3"/>
      <c r="AZ411" s="3"/>
      <c r="BA411" s="3"/>
      <c r="BB411" s="3"/>
      <c r="BC411" s="3"/>
    </row>
    <row r="412" spans="1:55">
      <c r="A412" s="1" t="str">
        <f>'Population Definitions'!$A$12</f>
        <v>Prisoners_males</v>
      </c>
      <c r="C412" t="s">
        <v>34</v>
      </c>
      <c r="D412" s="3"/>
      <c r="E412" s="3">
        <v>0</v>
      </c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  <c r="AG412" s="3"/>
      <c r="AH412" s="3"/>
      <c r="AI412" s="3"/>
      <c r="AJ412" s="3"/>
      <c r="AK412" s="3"/>
      <c r="AL412" s="3"/>
      <c r="AM412" s="3"/>
      <c r="AN412" s="3"/>
      <c r="AO412" s="3"/>
      <c r="AP412" s="3"/>
      <c r="AQ412" s="3"/>
      <c r="AR412" s="3"/>
      <c r="AS412" s="3"/>
      <c r="AT412" s="3"/>
      <c r="AU412" s="3"/>
      <c r="AV412" s="3"/>
      <c r="AW412" s="3"/>
      <c r="AX412" s="3"/>
      <c r="AY412" s="3"/>
      <c r="AZ412" s="3"/>
      <c r="BA412" s="3"/>
      <c r="BB412" s="3"/>
      <c r="BC412" s="3"/>
    </row>
    <row r="413" spans="1:55">
      <c r="A413" s="1" t="str">
        <f>'Population Definitions'!$A$13</f>
        <v>Prisoners_females</v>
      </c>
      <c r="C413" t="s">
        <v>34</v>
      </c>
      <c r="D413" s="3"/>
      <c r="E413" s="3">
        <v>0</v>
      </c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  <c r="AG413" s="3"/>
      <c r="AH413" s="3"/>
      <c r="AI413" s="3"/>
      <c r="AJ413" s="3"/>
      <c r="AK413" s="3"/>
      <c r="AL413" s="3"/>
      <c r="AM413" s="3"/>
      <c r="AN413" s="3"/>
      <c r="AO413" s="3"/>
      <c r="AP413" s="3"/>
      <c r="AQ413" s="3"/>
      <c r="AR413" s="3"/>
      <c r="AS413" s="3"/>
      <c r="AT413" s="3"/>
      <c r="AU413" s="3"/>
      <c r="AV413" s="3"/>
      <c r="AW413" s="3"/>
      <c r="AX413" s="3"/>
      <c r="AY413" s="3"/>
      <c r="AZ413" s="3"/>
      <c r="BA413" s="3"/>
      <c r="BB413" s="3"/>
      <c r="BC413" s="3"/>
    </row>
    <row r="414" spans="1:55">
      <c r="A414" s="1" t="str">
        <f>'Population Definitions'!$A$14</f>
        <v>Prisoners_PWID_males</v>
      </c>
      <c r="C414" t="s">
        <v>34</v>
      </c>
      <c r="D414" s="3"/>
      <c r="E414" s="3">
        <v>0</v>
      </c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  <c r="AG414" s="3"/>
      <c r="AH414" s="3"/>
      <c r="AI414" s="3"/>
      <c r="AJ414" s="3"/>
      <c r="AK414" s="3"/>
      <c r="AL414" s="3"/>
      <c r="AM414" s="3"/>
      <c r="AN414" s="3"/>
      <c r="AO414" s="3"/>
      <c r="AP414" s="3"/>
      <c r="AQ414" s="3"/>
      <c r="AR414" s="3"/>
      <c r="AS414" s="3"/>
      <c r="AT414" s="3"/>
      <c r="AU414" s="3"/>
      <c r="AV414" s="3"/>
      <c r="AW414" s="3"/>
      <c r="AX414" s="3"/>
      <c r="AY414" s="3"/>
      <c r="AZ414" s="3"/>
      <c r="BA414" s="3"/>
      <c r="BB414" s="3"/>
      <c r="BC414" s="3"/>
    </row>
    <row r="415" spans="1:55">
      <c r="A415" s="1" t="str">
        <f>'Population Definitions'!$A$15</f>
        <v>Prisoners_PWID_females</v>
      </c>
      <c r="C415" t="s">
        <v>34</v>
      </c>
      <c r="D415" s="3"/>
      <c r="E415" s="3">
        <v>0</v>
      </c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  <c r="AG415" s="3"/>
      <c r="AH415" s="3"/>
      <c r="AI415" s="3"/>
      <c r="AJ415" s="3"/>
      <c r="AK415" s="3"/>
      <c r="AL415" s="3"/>
      <c r="AM415" s="3"/>
      <c r="AN415" s="3"/>
      <c r="AO415" s="3"/>
      <c r="AP415" s="3"/>
      <c r="AQ415" s="3"/>
      <c r="AR415" s="3"/>
      <c r="AS415" s="3"/>
      <c r="AT415" s="3"/>
      <c r="AU415" s="3"/>
      <c r="AV415" s="3"/>
      <c r="AW415" s="3"/>
      <c r="AX415" s="3"/>
      <c r="AY415" s="3"/>
      <c r="AZ415" s="3"/>
      <c r="BA415" s="3"/>
      <c r="BB415" s="3"/>
      <c r="BC415" s="3"/>
    </row>
    <row r="417" spans="1:55">
      <c r="A417" s="1" t="s">
        <v>153</v>
      </c>
      <c r="B417" s="1" t="s">
        <v>31</v>
      </c>
      <c r="C417" s="1" t="s">
        <v>32</v>
      </c>
      <c r="D417" s="1" t="s">
        <v>33</v>
      </c>
      <c r="E417" s="1">
        <v>2000</v>
      </c>
      <c r="F417" s="1">
        <v>2001</v>
      </c>
      <c r="G417" s="1">
        <v>2002</v>
      </c>
      <c r="H417" s="1">
        <v>2003</v>
      </c>
      <c r="I417" s="1">
        <v>2004</v>
      </c>
      <c r="J417" s="1">
        <v>2005</v>
      </c>
      <c r="K417" s="1">
        <v>2006</v>
      </c>
      <c r="L417" s="1">
        <v>2007</v>
      </c>
      <c r="M417" s="1">
        <v>2008</v>
      </c>
      <c r="N417" s="1">
        <v>2009</v>
      </c>
      <c r="O417" s="1">
        <v>2010</v>
      </c>
      <c r="P417" s="1">
        <v>2011</v>
      </c>
      <c r="Q417" s="1">
        <v>2012</v>
      </c>
      <c r="R417" s="1">
        <v>2013</v>
      </c>
      <c r="S417" s="1">
        <v>2014</v>
      </c>
      <c r="T417" s="1">
        <v>2015</v>
      </c>
      <c r="U417" s="1">
        <v>2016</v>
      </c>
      <c r="V417" s="1">
        <v>2017</v>
      </c>
      <c r="W417" s="1">
        <v>2018</v>
      </c>
      <c r="X417" s="1">
        <v>2019</v>
      </c>
      <c r="Y417" s="1">
        <v>2020</v>
      </c>
      <c r="Z417" s="1">
        <v>2021</v>
      </c>
      <c r="AA417" s="1">
        <v>2022</v>
      </c>
      <c r="AB417" s="1">
        <v>2023</v>
      </c>
      <c r="AC417" s="1">
        <v>2024</v>
      </c>
      <c r="AD417" s="1">
        <v>2025</v>
      </c>
      <c r="AE417" s="1">
        <v>2026</v>
      </c>
      <c r="AF417" s="1">
        <v>2027</v>
      </c>
      <c r="AG417" s="1">
        <v>2028</v>
      </c>
      <c r="AH417" s="1">
        <v>2029</v>
      </c>
      <c r="AI417" s="1">
        <v>2030</v>
      </c>
      <c r="AJ417" s="1">
        <v>2031</v>
      </c>
      <c r="AK417" s="1">
        <v>2032</v>
      </c>
      <c r="AL417" s="1">
        <v>2033</v>
      </c>
      <c r="AM417" s="1">
        <v>2034</v>
      </c>
      <c r="AN417" s="1">
        <v>2035</v>
      </c>
      <c r="AO417" s="1">
        <v>2036</v>
      </c>
      <c r="AP417" s="1">
        <v>2037</v>
      </c>
      <c r="AQ417" s="1">
        <v>2038</v>
      </c>
      <c r="AR417" s="1">
        <v>2039</v>
      </c>
      <c r="AS417" s="1">
        <v>2040</v>
      </c>
      <c r="AT417" s="1">
        <v>2041</v>
      </c>
      <c r="AU417" s="1">
        <v>2042</v>
      </c>
      <c r="AV417" s="1">
        <v>2043</v>
      </c>
      <c r="AW417" s="1">
        <v>2044</v>
      </c>
      <c r="AX417" s="1">
        <v>2045</v>
      </c>
      <c r="AY417" s="1">
        <v>2046</v>
      </c>
      <c r="AZ417" s="1">
        <v>2047</v>
      </c>
      <c r="BA417" s="1">
        <v>2048</v>
      </c>
      <c r="BB417" s="1">
        <v>2049</v>
      </c>
      <c r="BC417" s="1">
        <v>2050</v>
      </c>
    </row>
    <row r="418" spans="1:55">
      <c r="A418" s="1" t="str">
        <f>'Population Definitions'!$A$2</f>
        <v>PWID_males</v>
      </c>
      <c r="C418" t="s">
        <v>34</v>
      </c>
      <c r="D418" s="3"/>
      <c r="E418" s="3">
        <v>0</v>
      </c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  <c r="AG418" s="3"/>
      <c r="AH418" s="3"/>
      <c r="AI418" s="3"/>
      <c r="AJ418" s="3"/>
      <c r="AK418" s="3"/>
      <c r="AL418" s="3"/>
      <c r="AM418" s="3"/>
      <c r="AN418" s="3"/>
      <c r="AO418" s="3"/>
      <c r="AP418" s="3"/>
      <c r="AQ418" s="3"/>
      <c r="AR418" s="3"/>
      <c r="AS418" s="3"/>
      <c r="AT418" s="3"/>
      <c r="AU418" s="3"/>
      <c r="AV418" s="3"/>
      <c r="AW418" s="3"/>
      <c r="AX418" s="3"/>
      <c r="AY418" s="3"/>
      <c r="AZ418" s="3"/>
      <c r="BA418" s="3"/>
      <c r="BB418" s="3"/>
      <c r="BC418" s="3"/>
    </row>
    <row r="419" spans="1:55">
      <c r="A419" s="1" t="str">
        <f>'Population Definitions'!$A$3</f>
        <v>PWID_females</v>
      </c>
      <c r="C419" t="s">
        <v>34</v>
      </c>
      <c r="D419" s="3"/>
      <c r="E419" s="3">
        <v>0</v>
      </c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  <c r="AG419" s="3"/>
      <c r="AH419" s="3"/>
      <c r="AI419" s="3"/>
      <c r="AJ419" s="3"/>
      <c r="AK419" s="3"/>
      <c r="AL419" s="3"/>
      <c r="AM419" s="3"/>
      <c r="AN419" s="3"/>
      <c r="AO419" s="3"/>
      <c r="AP419" s="3"/>
      <c r="AQ419" s="3"/>
      <c r="AR419" s="3"/>
      <c r="AS419" s="3"/>
      <c r="AT419" s="3"/>
      <c r="AU419" s="3"/>
      <c r="AV419" s="3"/>
      <c r="AW419" s="3"/>
      <c r="AX419" s="3"/>
      <c r="AY419" s="3"/>
      <c r="AZ419" s="3"/>
      <c r="BA419" s="3"/>
      <c r="BB419" s="3"/>
      <c r="BC419" s="3"/>
    </row>
    <row r="420" spans="1:55">
      <c r="A420" s="1" t="str">
        <f>'Population Definitions'!$A$4</f>
        <v>0-9_males</v>
      </c>
      <c r="C420" t="s">
        <v>34</v>
      </c>
      <c r="D420" s="3"/>
      <c r="E420" s="3">
        <v>0</v>
      </c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  <c r="AG420" s="3"/>
      <c r="AH420" s="3"/>
      <c r="AI420" s="3"/>
      <c r="AJ420" s="3"/>
      <c r="AK420" s="3"/>
      <c r="AL420" s="3"/>
      <c r="AM420" s="3"/>
      <c r="AN420" s="3"/>
      <c r="AO420" s="3"/>
      <c r="AP420" s="3"/>
      <c r="AQ420" s="3"/>
      <c r="AR420" s="3"/>
      <c r="AS420" s="3"/>
      <c r="AT420" s="3"/>
      <c r="AU420" s="3"/>
      <c r="AV420" s="3"/>
      <c r="AW420" s="3"/>
      <c r="AX420" s="3"/>
      <c r="AY420" s="3"/>
      <c r="AZ420" s="3"/>
      <c r="BA420" s="3"/>
      <c r="BB420" s="3"/>
      <c r="BC420" s="3"/>
    </row>
    <row r="421" spans="1:55">
      <c r="A421" s="1" t="str">
        <f>'Population Definitions'!$A$5</f>
        <v>0-9_females</v>
      </c>
      <c r="C421" t="s">
        <v>34</v>
      </c>
      <c r="D421" s="3"/>
      <c r="E421" s="3">
        <v>0</v>
      </c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  <c r="AG421" s="3"/>
      <c r="AH421" s="3"/>
      <c r="AI421" s="3"/>
      <c r="AJ421" s="3"/>
      <c r="AK421" s="3"/>
      <c r="AL421" s="3"/>
      <c r="AM421" s="3"/>
      <c r="AN421" s="3"/>
      <c r="AO421" s="3"/>
      <c r="AP421" s="3"/>
      <c r="AQ421" s="3"/>
      <c r="AR421" s="3"/>
      <c r="AS421" s="3"/>
      <c r="AT421" s="3"/>
      <c r="AU421" s="3"/>
      <c r="AV421" s="3"/>
      <c r="AW421" s="3"/>
      <c r="AX421" s="3"/>
      <c r="AY421" s="3"/>
      <c r="AZ421" s="3"/>
      <c r="BA421" s="3"/>
      <c r="BB421" s="3"/>
      <c r="BC421" s="3"/>
    </row>
    <row r="422" spans="1:55">
      <c r="A422" s="1" t="str">
        <f>'Population Definitions'!$A$6</f>
        <v>10-17_males</v>
      </c>
      <c r="C422" t="s">
        <v>34</v>
      </c>
      <c r="D422" s="3"/>
      <c r="E422" s="3">
        <v>0</v>
      </c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  <c r="AG422" s="3"/>
      <c r="AH422" s="3"/>
      <c r="AI422" s="3"/>
      <c r="AJ422" s="3"/>
      <c r="AK422" s="3"/>
      <c r="AL422" s="3"/>
      <c r="AM422" s="3"/>
      <c r="AN422" s="3"/>
      <c r="AO422" s="3"/>
      <c r="AP422" s="3"/>
      <c r="AQ422" s="3"/>
      <c r="AR422" s="3"/>
      <c r="AS422" s="3"/>
      <c r="AT422" s="3"/>
      <c r="AU422" s="3"/>
      <c r="AV422" s="3"/>
      <c r="AW422" s="3"/>
      <c r="AX422" s="3"/>
      <c r="AY422" s="3"/>
      <c r="AZ422" s="3"/>
      <c r="BA422" s="3"/>
      <c r="BB422" s="3"/>
      <c r="BC422" s="3"/>
    </row>
    <row r="423" spans="1:55">
      <c r="A423" s="1" t="str">
        <f>'Population Definitions'!$A$7</f>
        <v>10-17_females</v>
      </c>
      <c r="C423" t="s">
        <v>34</v>
      </c>
      <c r="D423" s="3"/>
      <c r="E423" s="3">
        <v>0</v>
      </c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  <c r="AG423" s="3"/>
      <c r="AH423" s="3"/>
      <c r="AI423" s="3"/>
      <c r="AJ423" s="3"/>
      <c r="AK423" s="3"/>
      <c r="AL423" s="3"/>
      <c r="AM423" s="3"/>
      <c r="AN423" s="3"/>
      <c r="AO423" s="3"/>
      <c r="AP423" s="3"/>
      <c r="AQ423" s="3"/>
      <c r="AR423" s="3"/>
      <c r="AS423" s="3"/>
      <c r="AT423" s="3"/>
      <c r="AU423" s="3"/>
      <c r="AV423" s="3"/>
      <c r="AW423" s="3"/>
      <c r="AX423" s="3"/>
      <c r="AY423" s="3"/>
      <c r="AZ423" s="3"/>
      <c r="BA423" s="3"/>
      <c r="BB423" s="3"/>
      <c r="BC423" s="3"/>
    </row>
    <row r="424" spans="1:55">
      <c r="A424" s="1" t="str">
        <f>'Population Definitions'!$A$8</f>
        <v>18-64_males</v>
      </c>
      <c r="C424" t="s">
        <v>34</v>
      </c>
      <c r="D424" s="3"/>
      <c r="E424" s="3">
        <v>0</v>
      </c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  <c r="AG424" s="3"/>
      <c r="AH424" s="3"/>
      <c r="AI424" s="3"/>
      <c r="AJ424" s="3"/>
      <c r="AK424" s="3"/>
      <c r="AL424" s="3"/>
      <c r="AM424" s="3"/>
      <c r="AN424" s="3"/>
      <c r="AO424" s="3"/>
      <c r="AP424" s="3"/>
      <c r="AQ424" s="3"/>
      <c r="AR424" s="3"/>
      <c r="AS424" s="3"/>
      <c r="AT424" s="3"/>
      <c r="AU424" s="3"/>
      <c r="AV424" s="3"/>
      <c r="AW424" s="3"/>
      <c r="AX424" s="3"/>
      <c r="AY424" s="3"/>
      <c r="AZ424" s="3"/>
      <c r="BA424" s="3"/>
      <c r="BB424" s="3"/>
      <c r="BC424" s="3"/>
    </row>
    <row r="425" spans="1:55">
      <c r="A425" s="1" t="str">
        <f>'Population Definitions'!$A$9</f>
        <v>18-64_females</v>
      </c>
      <c r="C425" t="s">
        <v>34</v>
      </c>
      <c r="D425" s="3"/>
      <c r="E425" s="3">
        <v>0</v>
      </c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  <c r="AG425" s="3"/>
      <c r="AH425" s="3"/>
      <c r="AI425" s="3"/>
      <c r="AJ425" s="3"/>
      <c r="AK425" s="3"/>
      <c r="AL425" s="3"/>
      <c r="AM425" s="3"/>
      <c r="AN425" s="3"/>
      <c r="AO425" s="3"/>
      <c r="AP425" s="3"/>
      <c r="AQ425" s="3"/>
      <c r="AR425" s="3"/>
      <c r="AS425" s="3"/>
      <c r="AT425" s="3"/>
      <c r="AU425" s="3"/>
      <c r="AV425" s="3"/>
      <c r="AW425" s="3"/>
      <c r="AX425" s="3"/>
      <c r="AY425" s="3"/>
      <c r="AZ425" s="3"/>
      <c r="BA425" s="3"/>
      <c r="BB425" s="3"/>
      <c r="BC425" s="3"/>
    </row>
    <row r="426" spans="1:55">
      <c r="A426" s="1" t="str">
        <f>'Population Definitions'!$A$10</f>
        <v>65+_males</v>
      </c>
      <c r="C426" t="s">
        <v>34</v>
      </c>
      <c r="D426" s="3"/>
      <c r="E426" s="3">
        <v>0</v>
      </c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  <c r="AG426" s="3"/>
      <c r="AH426" s="3"/>
      <c r="AI426" s="3"/>
      <c r="AJ426" s="3"/>
      <c r="AK426" s="3"/>
      <c r="AL426" s="3"/>
      <c r="AM426" s="3"/>
      <c r="AN426" s="3"/>
      <c r="AO426" s="3"/>
      <c r="AP426" s="3"/>
      <c r="AQ426" s="3"/>
      <c r="AR426" s="3"/>
      <c r="AS426" s="3"/>
      <c r="AT426" s="3"/>
      <c r="AU426" s="3"/>
      <c r="AV426" s="3"/>
      <c r="AW426" s="3"/>
      <c r="AX426" s="3"/>
      <c r="AY426" s="3"/>
      <c r="AZ426" s="3"/>
      <c r="BA426" s="3"/>
      <c r="BB426" s="3"/>
      <c r="BC426" s="3"/>
    </row>
    <row r="427" spans="1:55">
      <c r="A427" s="1" t="str">
        <f>'Population Definitions'!$A$11</f>
        <v>65+_females</v>
      </c>
      <c r="C427" t="s">
        <v>34</v>
      </c>
      <c r="D427" s="3"/>
      <c r="E427" s="3">
        <v>0</v>
      </c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  <c r="AG427" s="3"/>
      <c r="AH427" s="3"/>
      <c r="AI427" s="3"/>
      <c r="AJ427" s="3"/>
      <c r="AK427" s="3"/>
      <c r="AL427" s="3"/>
      <c r="AM427" s="3"/>
      <c r="AN427" s="3"/>
      <c r="AO427" s="3"/>
      <c r="AP427" s="3"/>
      <c r="AQ427" s="3"/>
      <c r="AR427" s="3"/>
      <c r="AS427" s="3"/>
      <c r="AT427" s="3"/>
      <c r="AU427" s="3"/>
      <c r="AV427" s="3"/>
      <c r="AW427" s="3"/>
      <c r="AX427" s="3"/>
      <c r="AY427" s="3"/>
      <c r="AZ427" s="3"/>
      <c r="BA427" s="3"/>
      <c r="BB427" s="3"/>
      <c r="BC427" s="3"/>
    </row>
    <row r="428" spans="1:55">
      <c r="A428" s="1" t="str">
        <f>'Population Definitions'!$A$12</f>
        <v>Prisoners_males</v>
      </c>
      <c r="C428" t="s">
        <v>34</v>
      </c>
      <c r="D428" s="3"/>
      <c r="E428" s="3">
        <v>0</v>
      </c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  <c r="AG428" s="3"/>
      <c r="AH428" s="3"/>
      <c r="AI428" s="3"/>
      <c r="AJ428" s="3"/>
      <c r="AK428" s="3"/>
      <c r="AL428" s="3"/>
      <c r="AM428" s="3"/>
      <c r="AN428" s="3"/>
      <c r="AO428" s="3"/>
      <c r="AP428" s="3"/>
      <c r="AQ428" s="3"/>
      <c r="AR428" s="3"/>
      <c r="AS428" s="3"/>
      <c r="AT428" s="3"/>
      <c r="AU428" s="3"/>
      <c r="AV428" s="3"/>
      <c r="AW428" s="3"/>
      <c r="AX428" s="3"/>
      <c r="AY428" s="3"/>
      <c r="AZ428" s="3"/>
      <c r="BA428" s="3"/>
      <c r="BB428" s="3"/>
      <c r="BC428" s="3"/>
    </row>
    <row r="429" spans="1:55">
      <c r="A429" s="1" t="str">
        <f>'Population Definitions'!$A$13</f>
        <v>Prisoners_females</v>
      </c>
      <c r="C429" t="s">
        <v>34</v>
      </c>
      <c r="D429" s="3"/>
      <c r="E429" s="3">
        <v>0</v>
      </c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  <c r="AG429" s="3"/>
      <c r="AH429" s="3"/>
      <c r="AI429" s="3"/>
      <c r="AJ429" s="3"/>
      <c r="AK429" s="3"/>
      <c r="AL429" s="3"/>
      <c r="AM429" s="3"/>
      <c r="AN429" s="3"/>
      <c r="AO429" s="3"/>
      <c r="AP429" s="3"/>
      <c r="AQ429" s="3"/>
      <c r="AR429" s="3"/>
      <c r="AS429" s="3"/>
      <c r="AT429" s="3"/>
      <c r="AU429" s="3"/>
      <c r="AV429" s="3"/>
      <c r="AW429" s="3"/>
      <c r="AX429" s="3"/>
      <c r="AY429" s="3"/>
      <c r="AZ429" s="3"/>
      <c r="BA429" s="3"/>
      <c r="BB429" s="3"/>
      <c r="BC429" s="3"/>
    </row>
    <row r="430" spans="1:55">
      <c r="A430" s="1" t="str">
        <f>'Population Definitions'!$A$14</f>
        <v>Prisoners_PWID_males</v>
      </c>
      <c r="C430" t="s">
        <v>34</v>
      </c>
      <c r="D430" s="3"/>
      <c r="E430" s="3">
        <v>0</v>
      </c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  <c r="AG430" s="3"/>
      <c r="AH430" s="3"/>
      <c r="AI430" s="3"/>
      <c r="AJ430" s="3"/>
      <c r="AK430" s="3"/>
      <c r="AL430" s="3"/>
      <c r="AM430" s="3"/>
      <c r="AN430" s="3"/>
      <c r="AO430" s="3"/>
      <c r="AP430" s="3"/>
      <c r="AQ430" s="3"/>
      <c r="AR430" s="3"/>
      <c r="AS430" s="3"/>
      <c r="AT430" s="3"/>
      <c r="AU430" s="3"/>
      <c r="AV430" s="3"/>
      <c r="AW430" s="3"/>
      <c r="AX430" s="3"/>
      <c r="AY430" s="3"/>
      <c r="AZ430" s="3"/>
      <c r="BA430" s="3"/>
      <c r="BB430" s="3"/>
      <c r="BC430" s="3"/>
    </row>
    <row r="431" spans="1:55">
      <c r="A431" s="1" t="str">
        <f>'Population Definitions'!$A$15</f>
        <v>Prisoners_PWID_females</v>
      </c>
      <c r="C431" t="s">
        <v>34</v>
      </c>
      <c r="D431" s="3"/>
      <c r="E431" s="3">
        <v>0</v>
      </c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  <c r="AG431" s="3"/>
      <c r="AH431" s="3"/>
      <c r="AI431" s="3"/>
      <c r="AJ431" s="3"/>
      <c r="AK431" s="3"/>
      <c r="AL431" s="3"/>
      <c r="AM431" s="3"/>
      <c r="AN431" s="3"/>
      <c r="AO431" s="3"/>
      <c r="AP431" s="3"/>
      <c r="AQ431" s="3"/>
      <c r="AR431" s="3"/>
      <c r="AS431" s="3"/>
      <c r="AT431" s="3"/>
      <c r="AU431" s="3"/>
      <c r="AV431" s="3"/>
      <c r="AW431" s="3"/>
      <c r="AX431" s="3"/>
      <c r="AY431" s="3"/>
      <c r="AZ431" s="3"/>
      <c r="BA431" s="3"/>
      <c r="BB431" s="3"/>
      <c r="BC431" s="3"/>
    </row>
    <row r="433" spans="1:55">
      <c r="A433" s="1" t="s">
        <v>154</v>
      </c>
      <c r="B433" s="1" t="s">
        <v>31</v>
      </c>
      <c r="C433" s="1" t="s">
        <v>32</v>
      </c>
      <c r="D433" s="1" t="s">
        <v>33</v>
      </c>
      <c r="E433" s="1">
        <v>2000</v>
      </c>
      <c r="F433" s="1">
        <v>2001</v>
      </c>
      <c r="G433" s="1">
        <v>2002</v>
      </c>
      <c r="H433" s="1">
        <v>2003</v>
      </c>
      <c r="I433" s="1">
        <v>2004</v>
      </c>
      <c r="J433" s="1">
        <v>2005</v>
      </c>
      <c r="K433" s="1">
        <v>2006</v>
      </c>
      <c r="L433" s="1">
        <v>2007</v>
      </c>
      <c r="M433" s="1">
        <v>2008</v>
      </c>
      <c r="N433" s="1">
        <v>2009</v>
      </c>
      <c r="O433" s="1">
        <v>2010</v>
      </c>
      <c r="P433" s="1">
        <v>2011</v>
      </c>
      <c r="Q433" s="1">
        <v>2012</v>
      </c>
      <c r="R433" s="1">
        <v>2013</v>
      </c>
      <c r="S433" s="1">
        <v>2014</v>
      </c>
      <c r="T433" s="1">
        <v>2015</v>
      </c>
      <c r="U433" s="1">
        <v>2016</v>
      </c>
      <c r="V433" s="1">
        <v>2017</v>
      </c>
      <c r="W433" s="1">
        <v>2018</v>
      </c>
      <c r="X433" s="1">
        <v>2019</v>
      </c>
      <c r="Y433" s="1">
        <v>2020</v>
      </c>
      <c r="Z433" s="1">
        <v>2021</v>
      </c>
      <c r="AA433" s="1">
        <v>2022</v>
      </c>
      <c r="AB433" s="1">
        <v>2023</v>
      </c>
      <c r="AC433" s="1">
        <v>2024</v>
      </c>
      <c r="AD433" s="1">
        <v>2025</v>
      </c>
      <c r="AE433" s="1">
        <v>2026</v>
      </c>
      <c r="AF433" s="1">
        <v>2027</v>
      </c>
      <c r="AG433" s="1">
        <v>2028</v>
      </c>
      <c r="AH433" s="1">
        <v>2029</v>
      </c>
      <c r="AI433" s="1">
        <v>2030</v>
      </c>
      <c r="AJ433" s="1">
        <v>2031</v>
      </c>
      <c r="AK433" s="1">
        <v>2032</v>
      </c>
      <c r="AL433" s="1">
        <v>2033</v>
      </c>
      <c r="AM433" s="1">
        <v>2034</v>
      </c>
      <c r="AN433" s="1">
        <v>2035</v>
      </c>
      <c r="AO433" s="1">
        <v>2036</v>
      </c>
      <c r="AP433" s="1">
        <v>2037</v>
      </c>
      <c r="AQ433" s="1">
        <v>2038</v>
      </c>
      <c r="AR433" s="1">
        <v>2039</v>
      </c>
      <c r="AS433" s="1">
        <v>2040</v>
      </c>
      <c r="AT433" s="1">
        <v>2041</v>
      </c>
      <c r="AU433" s="1">
        <v>2042</v>
      </c>
      <c r="AV433" s="1">
        <v>2043</v>
      </c>
      <c r="AW433" s="1">
        <v>2044</v>
      </c>
      <c r="AX433" s="1">
        <v>2045</v>
      </c>
      <c r="AY433" s="1">
        <v>2046</v>
      </c>
      <c r="AZ433" s="1">
        <v>2047</v>
      </c>
      <c r="BA433" s="1">
        <v>2048</v>
      </c>
      <c r="BB433" s="1">
        <v>2049</v>
      </c>
      <c r="BC433" s="1">
        <v>2050</v>
      </c>
    </row>
    <row r="434" spans="1:55">
      <c r="A434" s="1" t="str">
        <f>'Population Definitions'!$A$2</f>
        <v>PWID_males</v>
      </c>
      <c r="C434" t="s">
        <v>34</v>
      </c>
      <c r="D434" s="3"/>
      <c r="E434" s="3">
        <v>0</v>
      </c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  <c r="AG434" s="3"/>
      <c r="AH434" s="3"/>
      <c r="AI434" s="3"/>
      <c r="AJ434" s="3"/>
      <c r="AK434" s="3"/>
      <c r="AL434" s="3"/>
      <c r="AM434" s="3"/>
      <c r="AN434" s="3"/>
      <c r="AO434" s="3"/>
      <c r="AP434" s="3"/>
      <c r="AQ434" s="3"/>
      <c r="AR434" s="3"/>
      <c r="AS434" s="3"/>
      <c r="AT434" s="3"/>
      <c r="AU434" s="3"/>
      <c r="AV434" s="3"/>
      <c r="AW434" s="3"/>
      <c r="AX434" s="3"/>
      <c r="AY434" s="3"/>
      <c r="AZ434" s="3"/>
      <c r="BA434" s="3"/>
      <c r="BB434" s="3"/>
      <c r="BC434" s="3"/>
    </row>
    <row r="435" spans="1:55">
      <c r="A435" s="1" t="str">
        <f>'Population Definitions'!$A$3</f>
        <v>PWID_females</v>
      </c>
      <c r="C435" t="s">
        <v>34</v>
      </c>
      <c r="D435" s="3"/>
      <c r="E435" s="3">
        <v>0</v>
      </c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  <c r="AG435" s="3"/>
      <c r="AH435" s="3"/>
      <c r="AI435" s="3"/>
      <c r="AJ435" s="3"/>
      <c r="AK435" s="3"/>
      <c r="AL435" s="3"/>
      <c r="AM435" s="3"/>
      <c r="AN435" s="3"/>
      <c r="AO435" s="3"/>
      <c r="AP435" s="3"/>
      <c r="AQ435" s="3"/>
      <c r="AR435" s="3"/>
      <c r="AS435" s="3"/>
      <c r="AT435" s="3"/>
      <c r="AU435" s="3"/>
      <c r="AV435" s="3"/>
      <c r="AW435" s="3"/>
      <c r="AX435" s="3"/>
      <c r="AY435" s="3"/>
      <c r="AZ435" s="3"/>
      <c r="BA435" s="3"/>
      <c r="BB435" s="3"/>
      <c r="BC435" s="3"/>
    </row>
    <row r="436" spans="1:55">
      <c r="A436" s="1" t="str">
        <f>'Population Definitions'!$A$4</f>
        <v>0-9_males</v>
      </c>
      <c r="C436" t="s">
        <v>34</v>
      </c>
      <c r="D436" s="3"/>
      <c r="E436" s="3">
        <v>0</v>
      </c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  <c r="AG436" s="3"/>
      <c r="AH436" s="3"/>
      <c r="AI436" s="3"/>
      <c r="AJ436" s="3"/>
      <c r="AK436" s="3"/>
      <c r="AL436" s="3"/>
      <c r="AM436" s="3"/>
      <c r="AN436" s="3"/>
      <c r="AO436" s="3"/>
      <c r="AP436" s="3"/>
      <c r="AQ436" s="3"/>
      <c r="AR436" s="3"/>
      <c r="AS436" s="3"/>
      <c r="AT436" s="3"/>
      <c r="AU436" s="3"/>
      <c r="AV436" s="3"/>
      <c r="AW436" s="3"/>
      <c r="AX436" s="3"/>
      <c r="AY436" s="3"/>
      <c r="AZ436" s="3"/>
      <c r="BA436" s="3"/>
      <c r="BB436" s="3"/>
      <c r="BC436" s="3"/>
    </row>
    <row r="437" spans="1:55">
      <c r="A437" s="1" t="str">
        <f>'Population Definitions'!$A$5</f>
        <v>0-9_females</v>
      </c>
      <c r="C437" t="s">
        <v>34</v>
      </c>
      <c r="D437" s="3"/>
      <c r="E437" s="3">
        <v>0</v>
      </c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  <c r="AG437" s="3"/>
      <c r="AH437" s="3"/>
      <c r="AI437" s="3"/>
      <c r="AJ437" s="3"/>
      <c r="AK437" s="3"/>
      <c r="AL437" s="3"/>
      <c r="AM437" s="3"/>
      <c r="AN437" s="3"/>
      <c r="AO437" s="3"/>
      <c r="AP437" s="3"/>
      <c r="AQ437" s="3"/>
      <c r="AR437" s="3"/>
      <c r="AS437" s="3"/>
      <c r="AT437" s="3"/>
      <c r="AU437" s="3"/>
      <c r="AV437" s="3"/>
      <c r="AW437" s="3"/>
      <c r="AX437" s="3"/>
      <c r="AY437" s="3"/>
      <c r="AZ437" s="3"/>
      <c r="BA437" s="3"/>
      <c r="BB437" s="3"/>
      <c r="BC437" s="3"/>
    </row>
    <row r="438" spans="1:55">
      <c r="A438" s="1" t="str">
        <f>'Population Definitions'!$A$6</f>
        <v>10-17_males</v>
      </c>
      <c r="C438" t="s">
        <v>34</v>
      </c>
      <c r="D438" s="3"/>
      <c r="E438" s="3">
        <v>0</v>
      </c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  <c r="AG438" s="3"/>
      <c r="AH438" s="3"/>
      <c r="AI438" s="3"/>
      <c r="AJ438" s="3"/>
      <c r="AK438" s="3"/>
      <c r="AL438" s="3"/>
      <c r="AM438" s="3"/>
      <c r="AN438" s="3"/>
      <c r="AO438" s="3"/>
      <c r="AP438" s="3"/>
      <c r="AQ438" s="3"/>
      <c r="AR438" s="3"/>
      <c r="AS438" s="3"/>
      <c r="AT438" s="3"/>
      <c r="AU438" s="3"/>
      <c r="AV438" s="3"/>
      <c r="AW438" s="3"/>
      <c r="AX438" s="3"/>
      <c r="AY438" s="3"/>
      <c r="AZ438" s="3"/>
      <c r="BA438" s="3"/>
      <c r="BB438" s="3"/>
      <c r="BC438" s="3"/>
    </row>
    <row r="439" spans="1:55">
      <c r="A439" s="1" t="str">
        <f>'Population Definitions'!$A$7</f>
        <v>10-17_females</v>
      </c>
      <c r="C439" t="s">
        <v>34</v>
      </c>
      <c r="D439" s="3"/>
      <c r="E439" s="3">
        <v>0</v>
      </c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  <c r="AG439" s="3"/>
      <c r="AH439" s="3"/>
      <c r="AI439" s="3"/>
      <c r="AJ439" s="3"/>
      <c r="AK439" s="3"/>
      <c r="AL439" s="3"/>
      <c r="AM439" s="3"/>
      <c r="AN439" s="3"/>
      <c r="AO439" s="3"/>
      <c r="AP439" s="3"/>
      <c r="AQ439" s="3"/>
      <c r="AR439" s="3"/>
      <c r="AS439" s="3"/>
      <c r="AT439" s="3"/>
      <c r="AU439" s="3"/>
      <c r="AV439" s="3"/>
      <c r="AW439" s="3"/>
      <c r="AX439" s="3"/>
      <c r="AY439" s="3"/>
      <c r="AZ439" s="3"/>
      <c r="BA439" s="3"/>
      <c r="BB439" s="3"/>
      <c r="BC439" s="3"/>
    </row>
    <row r="440" spans="1:55">
      <c r="A440" s="1" t="str">
        <f>'Population Definitions'!$A$8</f>
        <v>18-64_males</v>
      </c>
      <c r="C440" t="s">
        <v>34</v>
      </c>
      <c r="D440" s="3"/>
      <c r="E440" s="3">
        <v>0</v>
      </c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  <c r="AG440" s="3"/>
      <c r="AH440" s="3"/>
      <c r="AI440" s="3"/>
      <c r="AJ440" s="3"/>
      <c r="AK440" s="3"/>
      <c r="AL440" s="3"/>
      <c r="AM440" s="3"/>
      <c r="AN440" s="3"/>
      <c r="AO440" s="3"/>
      <c r="AP440" s="3"/>
      <c r="AQ440" s="3"/>
      <c r="AR440" s="3"/>
      <c r="AS440" s="3"/>
      <c r="AT440" s="3"/>
      <c r="AU440" s="3"/>
      <c r="AV440" s="3"/>
      <c r="AW440" s="3"/>
      <c r="AX440" s="3"/>
      <c r="AY440" s="3"/>
      <c r="AZ440" s="3"/>
      <c r="BA440" s="3"/>
      <c r="BB440" s="3"/>
      <c r="BC440" s="3"/>
    </row>
    <row r="441" spans="1:55">
      <c r="A441" s="1" t="str">
        <f>'Population Definitions'!$A$9</f>
        <v>18-64_females</v>
      </c>
      <c r="C441" t="s">
        <v>34</v>
      </c>
      <c r="D441" s="3"/>
      <c r="E441" s="3">
        <v>0</v>
      </c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  <c r="AG441" s="3"/>
      <c r="AH441" s="3"/>
      <c r="AI441" s="3"/>
      <c r="AJ441" s="3"/>
      <c r="AK441" s="3"/>
      <c r="AL441" s="3"/>
      <c r="AM441" s="3"/>
      <c r="AN441" s="3"/>
      <c r="AO441" s="3"/>
      <c r="AP441" s="3"/>
      <c r="AQ441" s="3"/>
      <c r="AR441" s="3"/>
      <c r="AS441" s="3"/>
      <c r="AT441" s="3"/>
      <c r="AU441" s="3"/>
      <c r="AV441" s="3"/>
      <c r="AW441" s="3"/>
      <c r="AX441" s="3"/>
      <c r="AY441" s="3"/>
      <c r="AZ441" s="3"/>
      <c r="BA441" s="3"/>
      <c r="BB441" s="3"/>
      <c r="BC441" s="3"/>
    </row>
    <row r="442" spans="1:55">
      <c r="A442" s="1" t="str">
        <f>'Population Definitions'!$A$10</f>
        <v>65+_males</v>
      </c>
      <c r="C442" t="s">
        <v>34</v>
      </c>
      <c r="D442" s="3"/>
      <c r="E442" s="3">
        <v>0</v>
      </c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  <c r="AC442" s="3"/>
      <c r="AD442" s="3"/>
      <c r="AE442" s="3"/>
      <c r="AF442" s="3"/>
      <c r="AG442" s="3"/>
      <c r="AH442" s="3"/>
      <c r="AI442" s="3"/>
      <c r="AJ442" s="3"/>
      <c r="AK442" s="3"/>
      <c r="AL442" s="3"/>
      <c r="AM442" s="3"/>
      <c r="AN442" s="3"/>
      <c r="AO442" s="3"/>
      <c r="AP442" s="3"/>
      <c r="AQ442" s="3"/>
      <c r="AR442" s="3"/>
      <c r="AS442" s="3"/>
      <c r="AT442" s="3"/>
      <c r="AU442" s="3"/>
      <c r="AV442" s="3"/>
      <c r="AW442" s="3"/>
      <c r="AX442" s="3"/>
      <c r="AY442" s="3"/>
      <c r="AZ442" s="3"/>
      <c r="BA442" s="3"/>
      <c r="BB442" s="3"/>
      <c r="BC442" s="3"/>
    </row>
    <row r="443" spans="1:55">
      <c r="A443" s="1" t="str">
        <f>'Population Definitions'!$A$11</f>
        <v>65+_females</v>
      </c>
      <c r="C443" t="s">
        <v>34</v>
      </c>
      <c r="D443" s="3"/>
      <c r="E443" s="3">
        <v>0</v>
      </c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  <c r="AC443" s="3"/>
      <c r="AD443" s="3"/>
      <c r="AE443" s="3"/>
      <c r="AF443" s="3"/>
      <c r="AG443" s="3"/>
      <c r="AH443" s="3"/>
      <c r="AI443" s="3"/>
      <c r="AJ443" s="3"/>
      <c r="AK443" s="3"/>
      <c r="AL443" s="3"/>
      <c r="AM443" s="3"/>
      <c r="AN443" s="3"/>
      <c r="AO443" s="3"/>
      <c r="AP443" s="3"/>
      <c r="AQ443" s="3"/>
      <c r="AR443" s="3"/>
      <c r="AS443" s="3"/>
      <c r="AT443" s="3"/>
      <c r="AU443" s="3"/>
      <c r="AV443" s="3"/>
      <c r="AW443" s="3"/>
      <c r="AX443" s="3"/>
      <c r="AY443" s="3"/>
      <c r="AZ443" s="3"/>
      <c r="BA443" s="3"/>
      <c r="BB443" s="3"/>
      <c r="BC443" s="3"/>
    </row>
    <row r="444" spans="1:55">
      <c r="A444" s="1" t="str">
        <f>'Population Definitions'!$A$12</f>
        <v>Prisoners_males</v>
      </c>
      <c r="C444" t="s">
        <v>34</v>
      </c>
      <c r="D444" s="3"/>
      <c r="E444" s="3">
        <v>0</v>
      </c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  <c r="AG444" s="3"/>
      <c r="AH444" s="3"/>
      <c r="AI444" s="3"/>
      <c r="AJ444" s="3"/>
      <c r="AK444" s="3"/>
      <c r="AL444" s="3"/>
      <c r="AM444" s="3"/>
      <c r="AN444" s="3"/>
      <c r="AO444" s="3"/>
      <c r="AP444" s="3"/>
      <c r="AQ444" s="3"/>
      <c r="AR444" s="3"/>
      <c r="AS444" s="3"/>
      <c r="AT444" s="3"/>
      <c r="AU444" s="3"/>
      <c r="AV444" s="3"/>
      <c r="AW444" s="3"/>
      <c r="AX444" s="3"/>
      <c r="AY444" s="3"/>
      <c r="AZ444" s="3"/>
      <c r="BA444" s="3"/>
      <c r="BB444" s="3"/>
      <c r="BC444" s="3"/>
    </row>
    <row r="445" spans="1:55">
      <c r="A445" s="1" t="str">
        <f>'Population Definitions'!$A$13</f>
        <v>Prisoners_females</v>
      </c>
      <c r="C445" t="s">
        <v>34</v>
      </c>
      <c r="D445" s="3"/>
      <c r="E445" s="3">
        <v>0</v>
      </c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  <c r="AG445" s="3"/>
      <c r="AH445" s="3"/>
      <c r="AI445" s="3"/>
      <c r="AJ445" s="3"/>
      <c r="AK445" s="3"/>
      <c r="AL445" s="3"/>
      <c r="AM445" s="3"/>
      <c r="AN445" s="3"/>
      <c r="AO445" s="3"/>
      <c r="AP445" s="3"/>
      <c r="AQ445" s="3"/>
      <c r="AR445" s="3"/>
      <c r="AS445" s="3"/>
      <c r="AT445" s="3"/>
      <c r="AU445" s="3"/>
      <c r="AV445" s="3"/>
      <c r="AW445" s="3"/>
      <c r="AX445" s="3"/>
      <c r="AY445" s="3"/>
      <c r="AZ445" s="3"/>
      <c r="BA445" s="3"/>
      <c r="BB445" s="3"/>
      <c r="BC445" s="3"/>
    </row>
    <row r="446" spans="1:55">
      <c r="A446" s="1" t="str">
        <f>'Population Definitions'!$A$14</f>
        <v>Prisoners_PWID_males</v>
      </c>
      <c r="C446" t="s">
        <v>34</v>
      </c>
      <c r="D446" s="3"/>
      <c r="E446" s="3">
        <v>0</v>
      </c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  <c r="AG446" s="3"/>
      <c r="AH446" s="3"/>
      <c r="AI446" s="3"/>
      <c r="AJ446" s="3"/>
      <c r="AK446" s="3"/>
      <c r="AL446" s="3"/>
      <c r="AM446" s="3"/>
      <c r="AN446" s="3"/>
      <c r="AO446" s="3"/>
      <c r="AP446" s="3"/>
      <c r="AQ446" s="3"/>
      <c r="AR446" s="3"/>
      <c r="AS446" s="3"/>
      <c r="AT446" s="3"/>
      <c r="AU446" s="3"/>
      <c r="AV446" s="3"/>
      <c r="AW446" s="3"/>
      <c r="AX446" s="3"/>
      <c r="AY446" s="3"/>
      <c r="AZ446" s="3"/>
      <c r="BA446" s="3"/>
      <c r="BB446" s="3"/>
      <c r="BC446" s="3"/>
    </row>
    <row r="447" spans="1:55">
      <c r="A447" s="1" t="str">
        <f>'Population Definitions'!$A$15</f>
        <v>Prisoners_PWID_females</v>
      </c>
      <c r="C447" t="s">
        <v>34</v>
      </c>
      <c r="D447" s="3"/>
      <c r="E447" s="3">
        <v>0</v>
      </c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  <c r="AG447" s="3"/>
      <c r="AH447" s="3"/>
      <c r="AI447" s="3"/>
      <c r="AJ447" s="3"/>
      <c r="AK447" s="3"/>
      <c r="AL447" s="3"/>
      <c r="AM447" s="3"/>
      <c r="AN447" s="3"/>
      <c r="AO447" s="3"/>
      <c r="AP447" s="3"/>
      <c r="AQ447" s="3"/>
      <c r="AR447" s="3"/>
      <c r="AS447" s="3"/>
      <c r="AT447" s="3"/>
      <c r="AU447" s="3"/>
      <c r="AV447" s="3"/>
      <c r="AW447" s="3"/>
      <c r="AX447" s="3"/>
      <c r="AY447" s="3"/>
      <c r="AZ447" s="3"/>
      <c r="BA447" s="3"/>
      <c r="BB447" s="3"/>
      <c r="BC447" s="3"/>
    </row>
    <row r="449" spans="1:55">
      <c r="A449" s="1" t="s">
        <v>155</v>
      </c>
      <c r="B449" s="1" t="s">
        <v>31</v>
      </c>
      <c r="C449" s="1" t="s">
        <v>32</v>
      </c>
      <c r="D449" s="1" t="s">
        <v>33</v>
      </c>
      <c r="E449" s="1">
        <v>2000</v>
      </c>
      <c r="F449" s="1">
        <v>2001</v>
      </c>
      <c r="G449" s="1">
        <v>2002</v>
      </c>
      <c r="H449" s="1">
        <v>2003</v>
      </c>
      <c r="I449" s="1">
        <v>2004</v>
      </c>
      <c r="J449" s="1">
        <v>2005</v>
      </c>
      <c r="K449" s="1">
        <v>2006</v>
      </c>
      <c r="L449" s="1">
        <v>2007</v>
      </c>
      <c r="M449" s="1">
        <v>2008</v>
      </c>
      <c r="N449" s="1">
        <v>2009</v>
      </c>
      <c r="O449" s="1">
        <v>2010</v>
      </c>
      <c r="P449" s="1">
        <v>2011</v>
      </c>
      <c r="Q449" s="1">
        <v>2012</v>
      </c>
      <c r="R449" s="1">
        <v>2013</v>
      </c>
      <c r="S449" s="1">
        <v>2014</v>
      </c>
      <c r="T449" s="1">
        <v>2015</v>
      </c>
      <c r="U449" s="1">
        <v>2016</v>
      </c>
      <c r="V449" s="1">
        <v>2017</v>
      </c>
      <c r="W449" s="1">
        <v>2018</v>
      </c>
      <c r="X449" s="1">
        <v>2019</v>
      </c>
      <c r="Y449" s="1">
        <v>2020</v>
      </c>
      <c r="Z449" s="1">
        <v>2021</v>
      </c>
      <c r="AA449" s="1">
        <v>2022</v>
      </c>
      <c r="AB449" s="1">
        <v>2023</v>
      </c>
      <c r="AC449" s="1">
        <v>2024</v>
      </c>
      <c r="AD449" s="1">
        <v>2025</v>
      </c>
      <c r="AE449" s="1">
        <v>2026</v>
      </c>
      <c r="AF449" s="1">
        <v>2027</v>
      </c>
      <c r="AG449" s="1">
        <v>2028</v>
      </c>
      <c r="AH449" s="1">
        <v>2029</v>
      </c>
      <c r="AI449" s="1">
        <v>2030</v>
      </c>
      <c r="AJ449" s="1">
        <v>2031</v>
      </c>
      <c r="AK449" s="1">
        <v>2032</v>
      </c>
      <c r="AL449" s="1">
        <v>2033</v>
      </c>
      <c r="AM449" s="1">
        <v>2034</v>
      </c>
      <c r="AN449" s="1">
        <v>2035</v>
      </c>
      <c r="AO449" s="1">
        <v>2036</v>
      </c>
      <c r="AP449" s="1">
        <v>2037</v>
      </c>
      <c r="AQ449" s="1">
        <v>2038</v>
      </c>
      <c r="AR449" s="1">
        <v>2039</v>
      </c>
      <c r="AS449" s="1">
        <v>2040</v>
      </c>
      <c r="AT449" s="1">
        <v>2041</v>
      </c>
      <c r="AU449" s="1">
        <v>2042</v>
      </c>
      <c r="AV449" s="1">
        <v>2043</v>
      </c>
      <c r="AW449" s="1">
        <v>2044</v>
      </c>
      <c r="AX449" s="1">
        <v>2045</v>
      </c>
      <c r="AY449" s="1">
        <v>2046</v>
      </c>
      <c r="AZ449" s="1">
        <v>2047</v>
      </c>
      <c r="BA449" s="1">
        <v>2048</v>
      </c>
      <c r="BB449" s="1">
        <v>2049</v>
      </c>
      <c r="BC449" s="1">
        <v>2050</v>
      </c>
    </row>
    <row r="450" spans="1:55">
      <c r="A450" s="1" t="str">
        <f>'Population Definitions'!$A$2</f>
        <v>PWID_males</v>
      </c>
      <c r="C450" t="s">
        <v>34</v>
      </c>
      <c r="D450" s="3"/>
      <c r="E450" s="3">
        <v>0</v>
      </c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  <c r="AG450" s="3"/>
      <c r="AH450" s="3"/>
      <c r="AI450" s="3"/>
      <c r="AJ450" s="3"/>
      <c r="AK450" s="3"/>
      <c r="AL450" s="3"/>
      <c r="AM450" s="3"/>
      <c r="AN450" s="3"/>
      <c r="AO450" s="3"/>
      <c r="AP450" s="3"/>
      <c r="AQ450" s="3"/>
      <c r="AR450" s="3"/>
      <c r="AS450" s="3"/>
      <c r="AT450" s="3"/>
      <c r="AU450" s="3"/>
      <c r="AV450" s="3"/>
      <c r="AW450" s="3"/>
      <c r="AX450" s="3"/>
      <c r="AY450" s="3"/>
      <c r="AZ450" s="3"/>
      <c r="BA450" s="3"/>
      <c r="BB450" s="3"/>
      <c r="BC450" s="3"/>
    </row>
    <row r="451" spans="1:55">
      <c r="A451" s="1" t="str">
        <f>'Population Definitions'!$A$3</f>
        <v>PWID_females</v>
      </c>
      <c r="C451" t="s">
        <v>34</v>
      </c>
      <c r="D451" s="3"/>
      <c r="E451" s="3">
        <v>0</v>
      </c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  <c r="AG451" s="3"/>
      <c r="AH451" s="3"/>
      <c r="AI451" s="3"/>
      <c r="AJ451" s="3"/>
      <c r="AK451" s="3"/>
      <c r="AL451" s="3"/>
      <c r="AM451" s="3"/>
      <c r="AN451" s="3"/>
      <c r="AO451" s="3"/>
      <c r="AP451" s="3"/>
      <c r="AQ451" s="3"/>
      <c r="AR451" s="3"/>
      <c r="AS451" s="3"/>
      <c r="AT451" s="3"/>
      <c r="AU451" s="3"/>
      <c r="AV451" s="3"/>
      <c r="AW451" s="3"/>
      <c r="AX451" s="3"/>
      <c r="AY451" s="3"/>
      <c r="AZ451" s="3"/>
      <c r="BA451" s="3"/>
      <c r="BB451" s="3"/>
      <c r="BC451" s="3"/>
    </row>
    <row r="452" spans="1:55">
      <c r="A452" s="1" t="str">
        <f>'Population Definitions'!$A$4</f>
        <v>0-9_males</v>
      </c>
      <c r="C452" t="s">
        <v>34</v>
      </c>
      <c r="D452" s="3"/>
      <c r="E452" s="3">
        <v>0</v>
      </c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  <c r="AG452" s="3"/>
      <c r="AH452" s="3"/>
      <c r="AI452" s="3"/>
      <c r="AJ452" s="3"/>
      <c r="AK452" s="3"/>
      <c r="AL452" s="3"/>
      <c r="AM452" s="3"/>
      <c r="AN452" s="3"/>
      <c r="AO452" s="3"/>
      <c r="AP452" s="3"/>
      <c r="AQ452" s="3"/>
      <c r="AR452" s="3"/>
      <c r="AS452" s="3"/>
      <c r="AT452" s="3"/>
      <c r="AU452" s="3"/>
      <c r="AV452" s="3"/>
      <c r="AW452" s="3"/>
      <c r="AX452" s="3"/>
      <c r="AY452" s="3"/>
      <c r="AZ452" s="3"/>
      <c r="BA452" s="3"/>
      <c r="BB452" s="3"/>
      <c r="BC452" s="3"/>
    </row>
    <row r="453" spans="1:55">
      <c r="A453" s="1" t="str">
        <f>'Population Definitions'!$A$5</f>
        <v>0-9_females</v>
      </c>
      <c r="C453" t="s">
        <v>34</v>
      </c>
      <c r="D453" s="3"/>
      <c r="E453" s="3">
        <v>0</v>
      </c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  <c r="AG453" s="3"/>
      <c r="AH453" s="3"/>
      <c r="AI453" s="3"/>
      <c r="AJ453" s="3"/>
      <c r="AK453" s="3"/>
      <c r="AL453" s="3"/>
      <c r="AM453" s="3"/>
      <c r="AN453" s="3"/>
      <c r="AO453" s="3"/>
      <c r="AP453" s="3"/>
      <c r="AQ453" s="3"/>
      <c r="AR453" s="3"/>
      <c r="AS453" s="3"/>
      <c r="AT453" s="3"/>
      <c r="AU453" s="3"/>
      <c r="AV453" s="3"/>
      <c r="AW453" s="3"/>
      <c r="AX453" s="3"/>
      <c r="AY453" s="3"/>
      <c r="AZ453" s="3"/>
      <c r="BA453" s="3"/>
      <c r="BB453" s="3"/>
      <c r="BC453" s="3"/>
    </row>
    <row r="454" spans="1:55">
      <c r="A454" s="1" t="str">
        <f>'Population Definitions'!$A$6</f>
        <v>10-17_males</v>
      </c>
      <c r="C454" t="s">
        <v>34</v>
      </c>
      <c r="D454" s="3"/>
      <c r="E454" s="3">
        <v>0</v>
      </c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  <c r="AG454" s="3"/>
      <c r="AH454" s="3"/>
      <c r="AI454" s="3"/>
      <c r="AJ454" s="3"/>
      <c r="AK454" s="3"/>
      <c r="AL454" s="3"/>
      <c r="AM454" s="3"/>
      <c r="AN454" s="3"/>
      <c r="AO454" s="3"/>
      <c r="AP454" s="3"/>
      <c r="AQ454" s="3"/>
      <c r="AR454" s="3"/>
      <c r="AS454" s="3"/>
      <c r="AT454" s="3"/>
      <c r="AU454" s="3"/>
      <c r="AV454" s="3"/>
      <c r="AW454" s="3"/>
      <c r="AX454" s="3"/>
      <c r="AY454" s="3"/>
      <c r="AZ454" s="3"/>
      <c r="BA454" s="3"/>
      <c r="BB454" s="3"/>
      <c r="BC454" s="3"/>
    </row>
    <row r="455" spans="1:55">
      <c r="A455" s="1" t="str">
        <f>'Population Definitions'!$A$7</f>
        <v>10-17_females</v>
      </c>
      <c r="C455" t="s">
        <v>34</v>
      </c>
      <c r="D455" s="3"/>
      <c r="E455" s="3">
        <v>0</v>
      </c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  <c r="AG455" s="3"/>
      <c r="AH455" s="3"/>
      <c r="AI455" s="3"/>
      <c r="AJ455" s="3"/>
      <c r="AK455" s="3"/>
      <c r="AL455" s="3"/>
      <c r="AM455" s="3"/>
      <c r="AN455" s="3"/>
      <c r="AO455" s="3"/>
      <c r="AP455" s="3"/>
      <c r="AQ455" s="3"/>
      <c r="AR455" s="3"/>
      <c r="AS455" s="3"/>
      <c r="AT455" s="3"/>
      <c r="AU455" s="3"/>
      <c r="AV455" s="3"/>
      <c r="AW455" s="3"/>
      <c r="AX455" s="3"/>
      <c r="AY455" s="3"/>
      <c r="AZ455" s="3"/>
      <c r="BA455" s="3"/>
      <c r="BB455" s="3"/>
      <c r="BC455" s="3"/>
    </row>
    <row r="456" spans="1:55">
      <c r="A456" s="1" t="str">
        <f>'Population Definitions'!$A$8</f>
        <v>18-64_males</v>
      </c>
      <c r="C456" t="s">
        <v>34</v>
      </c>
      <c r="D456" s="3"/>
      <c r="E456" s="3">
        <v>0</v>
      </c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  <c r="AG456" s="3"/>
      <c r="AH456" s="3"/>
      <c r="AI456" s="3"/>
      <c r="AJ456" s="3"/>
      <c r="AK456" s="3"/>
      <c r="AL456" s="3"/>
      <c r="AM456" s="3"/>
      <c r="AN456" s="3"/>
      <c r="AO456" s="3"/>
      <c r="AP456" s="3"/>
      <c r="AQ456" s="3"/>
      <c r="AR456" s="3"/>
      <c r="AS456" s="3"/>
      <c r="AT456" s="3"/>
      <c r="AU456" s="3"/>
      <c r="AV456" s="3"/>
      <c r="AW456" s="3"/>
      <c r="AX456" s="3"/>
      <c r="AY456" s="3"/>
      <c r="AZ456" s="3"/>
      <c r="BA456" s="3"/>
      <c r="BB456" s="3"/>
      <c r="BC456" s="3"/>
    </row>
    <row r="457" spans="1:55">
      <c r="A457" s="1" t="str">
        <f>'Population Definitions'!$A$9</f>
        <v>18-64_females</v>
      </c>
      <c r="C457" t="s">
        <v>34</v>
      </c>
      <c r="D457" s="3"/>
      <c r="E457" s="3">
        <v>0</v>
      </c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  <c r="AG457" s="3"/>
      <c r="AH457" s="3"/>
      <c r="AI457" s="3"/>
      <c r="AJ457" s="3"/>
      <c r="AK457" s="3"/>
      <c r="AL457" s="3"/>
      <c r="AM457" s="3"/>
      <c r="AN457" s="3"/>
      <c r="AO457" s="3"/>
      <c r="AP457" s="3"/>
      <c r="AQ457" s="3"/>
      <c r="AR457" s="3"/>
      <c r="AS457" s="3"/>
      <c r="AT457" s="3"/>
      <c r="AU457" s="3"/>
      <c r="AV457" s="3"/>
      <c r="AW457" s="3"/>
      <c r="AX457" s="3"/>
      <c r="AY457" s="3"/>
      <c r="AZ457" s="3"/>
      <c r="BA457" s="3"/>
      <c r="BB457" s="3"/>
      <c r="BC457" s="3"/>
    </row>
    <row r="458" spans="1:55">
      <c r="A458" s="1" t="str">
        <f>'Population Definitions'!$A$10</f>
        <v>65+_males</v>
      </c>
      <c r="C458" t="s">
        <v>34</v>
      </c>
      <c r="D458" s="3"/>
      <c r="E458" s="3">
        <v>0</v>
      </c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  <c r="AG458" s="3"/>
      <c r="AH458" s="3"/>
      <c r="AI458" s="3"/>
      <c r="AJ458" s="3"/>
      <c r="AK458" s="3"/>
      <c r="AL458" s="3"/>
      <c r="AM458" s="3"/>
      <c r="AN458" s="3"/>
      <c r="AO458" s="3"/>
      <c r="AP458" s="3"/>
      <c r="AQ458" s="3"/>
      <c r="AR458" s="3"/>
      <c r="AS458" s="3"/>
      <c r="AT458" s="3"/>
      <c r="AU458" s="3"/>
      <c r="AV458" s="3"/>
      <c r="AW458" s="3"/>
      <c r="AX458" s="3"/>
      <c r="AY458" s="3"/>
      <c r="AZ458" s="3"/>
      <c r="BA458" s="3"/>
      <c r="BB458" s="3"/>
      <c r="BC458" s="3"/>
    </row>
    <row r="459" spans="1:55">
      <c r="A459" s="1" t="str">
        <f>'Population Definitions'!$A$11</f>
        <v>65+_females</v>
      </c>
      <c r="C459" t="s">
        <v>34</v>
      </c>
      <c r="D459" s="3"/>
      <c r="E459" s="3">
        <v>0</v>
      </c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  <c r="AG459" s="3"/>
      <c r="AH459" s="3"/>
      <c r="AI459" s="3"/>
      <c r="AJ459" s="3"/>
      <c r="AK459" s="3"/>
      <c r="AL459" s="3"/>
      <c r="AM459" s="3"/>
      <c r="AN459" s="3"/>
      <c r="AO459" s="3"/>
      <c r="AP459" s="3"/>
      <c r="AQ459" s="3"/>
      <c r="AR459" s="3"/>
      <c r="AS459" s="3"/>
      <c r="AT459" s="3"/>
      <c r="AU459" s="3"/>
      <c r="AV459" s="3"/>
      <c r="AW459" s="3"/>
      <c r="AX459" s="3"/>
      <c r="AY459" s="3"/>
      <c r="AZ459" s="3"/>
      <c r="BA459" s="3"/>
      <c r="BB459" s="3"/>
      <c r="BC459" s="3"/>
    </row>
    <row r="460" spans="1:55">
      <c r="A460" s="1" t="str">
        <f>'Population Definitions'!$A$12</f>
        <v>Prisoners_males</v>
      </c>
      <c r="C460" t="s">
        <v>34</v>
      </c>
      <c r="D460" s="3"/>
      <c r="E460" s="3">
        <v>0</v>
      </c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  <c r="AG460" s="3"/>
      <c r="AH460" s="3"/>
      <c r="AI460" s="3"/>
      <c r="AJ460" s="3"/>
      <c r="AK460" s="3"/>
      <c r="AL460" s="3"/>
      <c r="AM460" s="3"/>
      <c r="AN460" s="3"/>
      <c r="AO460" s="3"/>
      <c r="AP460" s="3"/>
      <c r="AQ460" s="3"/>
      <c r="AR460" s="3"/>
      <c r="AS460" s="3"/>
      <c r="AT460" s="3"/>
      <c r="AU460" s="3"/>
      <c r="AV460" s="3"/>
      <c r="AW460" s="3"/>
      <c r="AX460" s="3"/>
      <c r="AY460" s="3"/>
      <c r="AZ460" s="3"/>
      <c r="BA460" s="3"/>
      <c r="BB460" s="3"/>
      <c r="BC460" s="3"/>
    </row>
    <row r="461" spans="1:55">
      <c r="A461" s="1" t="str">
        <f>'Population Definitions'!$A$13</f>
        <v>Prisoners_females</v>
      </c>
      <c r="C461" t="s">
        <v>34</v>
      </c>
      <c r="D461" s="3"/>
      <c r="E461" s="3">
        <v>0</v>
      </c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  <c r="AG461" s="3"/>
      <c r="AH461" s="3"/>
      <c r="AI461" s="3"/>
      <c r="AJ461" s="3"/>
      <c r="AK461" s="3"/>
      <c r="AL461" s="3"/>
      <c r="AM461" s="3"/>
      <c r="AN461" s="3"/>
      <c r="AO461" s="3"/>
      <c r="AP461" s="3"/>
      <c r="AQ461" s="3"/>
      <c r="AR461" s="3"/>
      <c r="AS461" s="3"/>
      <c r="AT461" s="3"/>
      <c r="AU461" s="3"/>
      <c r="AV461" s="3"/>
      <c r="AW461" s="3"/>
      <c r="AX461" s="3"/>
      <c r="AY461" s="3"/>
      <c r="AZ461" s="3"/>
      <c r="BA461" s="3"/>
      <c r="BB461" s="3"/>
      <c r="BC461" s="3"/>
    </row>
    <row r="462" spans="1:55">
      <c r="A462" s="1" t="str">
        <f>'Population Definitions'!$A$14</f>
        <v>Prisoners_PWID_males</v>
      </c>
      <c r="C462" t="s">
        <v>34</v>
      </c>
      <c r="D462" s="3"/>
      <c r="E462" s="3">
        <v>0</v>
      </c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  <c r="AG462" s="3"/>
      <c r="AH462" s="3"/>
      <c r="AI462" s="3"/>
      <c r="AJ462" s="3"/>
      <c r="AK462" s="3"/>
      <c r="AL462" s="3"/>
      <c r="AM462" s="3"/>
      <c r="AN462" s="3"/>
      <c r="AO462" s="3"/>
      <c r="AP462" s="3"/>
      <c r="AQ462" s="3"/>
      <c r="AR462" s="3"/>
      <c r="AS462" s="3"/>
      <c r="AT462" s="3"/>
      <c r="AU462" s="3"/>
      <c r="AV462" s="3"/>
      <c r="AW462" s="3"/>
      <c r="AX462" s="3"/>
      <c r="AY462" s="3"/>
      <c r="AZ462" s="3"/>
      <c r="BA462" s="3"/>
      <c r="BB462" s="3"/>
      <c r="BC462" s="3"/>
    </row>
    <row r="463" spans="1:55">
      <c r="A463" s="1" t="str">
        <f>'Population Definitions'!$A$15</f>
        <v>Prisoners_PWID_females</v>
      </c>
      <c r="C463" t="s">
        <v>34</v>
      </c>
      <c r="D463" s="3"/>
      <c r="E463" s="3">
        <v>0</v>
      </c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  <c r="AG463" s="3"/>
      <c r="AH463" s="3"/>
      <c r="AI463" s="3"/>
      <c r="AJ463" s="3"/>
      <c r="AK463" s="3"/>
      <c r="AL463" s="3"/>
      <c r="AM463" s="3"/>
      <c r="AN463" s="3"/>
      <c r="AO463" s="3"/>
      <c r="AP463" s="3"/>
      <c r="AQ463" s="3"/>
      <c r="AR463" s="3"/>
      <c r="AS463" s="3"/>
      <c r="AT463" s="3"/>
      <c r="AU463" s="3"/>
      <c r="AV463" s="3"/>
      <c r="AW463" s="3"/>
      <c r="AX463" s="3"/>
      <c r="AY463" s="3"/>
      <c r="AZ463" s="3"/>
      <c r="BA463" s="3"/>
      <c r="BB463" s="3"/>
      <c r="BC463" s="3"/>
    </row>
    <row r="465" spans="1:55">
      <c r="A465" s="1" t="s">
        <v>156</v>
      </c>
      <c r="B465" s="1" t="s">
        <v>31</v>
      </c>
      <c r="C465" s="1" t="s">
        <v>32</v>
      </c>
      <c r="D465" s="1" t="s">
        <v>33</v>
      </c>
      <c r="E465" s="1">
        <v>2000</v>
      </c>
      <c r="F465" s="1">
        <v>2001</v>
      </c>
      <c r="G465" s="1">
        <v>2002</v>
      </c>
      <c r="H465" s="1">
        <v>2003</v>
      </c>
      <c r="I465" s="1">
        <v>2004</v>
      </c>
      <c r="J465" s="1">
        <v>2005</v>
      </c>
      <c r="K465" s="1">
        <v>2006</v>
      </c>
      <c r="L465" s="1">
        <v>2007</v>
      </c>
      <c r="M465" s="1">
        <v>2008</v>
      </c>
      <c r="N465" s="1">
        <v>2009</v>
      </c>
      <c r="O465" s="1">
        <v>2010</v>
      </c>
      <c r="P465" s="1">
        <v>2011</v>
      </c>
      <c r="Q465" s="1">
        <v>2012</v>
      </c>
      <c r="R465" s="1">
        <v>2013</v>
      </c>
      <c r="S465" s="1">
        <v>2014</v>
      </c>
      <c r="T465" s="1">
        <v>2015</v>
      </c>
      <c r="U465" s="1">
        <v>2016</v>
      </c>
      <c r="V465" s="1">
        <v>2017</v>
      </c>
      <c r="W465" s="1">
        <v>2018</v>
      </c>
      <c r="X465" s="1">
        <v>2019</v>
      </c>
      <c r="Y465" s="1">
        <v>2020</v>
      </c>
      <c r="Z465" s="1">
        <v>2021</v>
      </c>
      <c r="AA465" s="1">
        <v>2022</v>
      </c>
      <c r="AB465" s="1">
        <v>2023</v>
      </c>
      <c r="AC465" s="1">
        <v>2024</v>
      </c>
      <c r="AD465" s="1">
        <v>2025</v>
      </c>
      <c r="AE465" s="1">
        <v>2026</v>
      </c>
      <c r="AF465" s="1">
        <v>2027</v>
      </c>
      <c r="AG465" s="1">
        <v>2028</v>
      </c>
      <c r="AH465" s="1">
        <v>2029</v>
      </c>
      <c r="AI465" s="1">
        <v>2030</v>
      </c>
      <c r="AJ465" s="1">
        <v>2031</v>
      </c>
      <c r="AK465" s="1">
        <v>2032</v>
      </c>
      <c r="AL465" s="1">
        <v>2033</v>
      </c>
      <c r="AM465" s="1">
        <v>2034</v>
      </c>
      <c r="AN465" s="1">
        <v>2035</v>
      </c>
      <c r="AO465" s="1">
        <v>2036</v>
      </c>
      <c r="AP465" s="1">
        <v>2037</v>
      </c>
      <c r="AQ465" s="1">
        <v>2038</v>
      </c>
      <c r="AR465" s="1">
        <v>2039</v>
      </c>
      <c r="AS465" s="1">
        <v>2040</v>
      </c>
      <c r="AT465" s="1">
        <v>2041</v>
      </c>
      <c r="AU465" s="1">
        <v>2042</v>
      </c>
      <c r="AV465" s="1">
        <v>2043</v>
      </c>
      <c r="AW465" s="1">
        <v>2044</v>
      </c>
      <c r="AX465" s="1">
        <v>2045</v>
      </c>
      <c r="AY465" s="1">
        <v>2046</v>
      </c>
      <c r="AZ465" s="1">
        <v>2047</v>
      </c>
      <c r="BA465" s="1">
        <v>2048</v>
      </c>
      <c r="BB465" s="1">
        <v>2049</v>
      </c>
      <c r="BC465" s="1">
        <v>2050</v>
      </c>
    </row>
    <row r="466" spans="1:55">
      <c r="A466" s="1" t="str">
        <f>'Population Definitions'!$A$2</f>
        <v>PWID_males</v>
      </c>
      <c r="C466" t="s">
        <v>34</v>
      </c>
      <c r="D466" s="3"/>
      <c r="E466" s="3">
        <v>0</v>
      </c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  <c r="AG466" s="3"/>
      <c r="AH466" s="3"/>
      <c r="AI466" s="3"/>
      <c r="AJ466" s="3"/>
      <c r="AK466" s="3"/>
      <c r="AL466" s="3"/>
      <c r="AM466" s="3"/>
      <c r="AN466" s="3"/>
      <c r="AO466" s="3"/>
      <c r="AP466" s="3"/>
      <c r="AQ466" s="3"/>
      <c r="AR466" s="3"/>
      <c r="AS466" s="3"/>
      <c r="AT466" s="3"/>
      <c r="AU466" s="3"/>
      <c r="AV466" s="3"/>
      <c r="AW466" s="3"/>
      <c r="AX466" s="3"/>
      <c r="AY466" s="3"/>
      <c r="AZ466" s="3"/>
      <c r="BA466" s="3"/>
      <c r="BB466" s="3"/>
      <c r="BC466" s="3"/>
    </row>
    <row r="467" spans="1:55">
      <c r="A467" s="1" t="str">
        <f>'Population Definitions'!$A$3</f>
        <v>PWID_females</v>
      </c>
      <c r="C467" t="s">
        <v>34</v>
      </c>
      <c r="D467" s="3"/>
      <c r="E467" s="3">
        <v>0</v>
      </c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  <c r="AH467" s="3"/>
      <c r="AI467" s="3"/>
      <c r="AJ467" s="3"/>
      <c r="AK467" s="3"/>
      <c r="AL467" s="3"/>
      <c r="AM467" s="3"/>
      <c r="AN467" s="3"/>
      <c r="AO467" s="3"/>
      <c r="AP467" s="3"/>
      <c r="AQ467" s="3"/>
      <c r="AR467" s="3"/>
      <c r="AS467" s="3"/>
      <c r="AT467" s="3"/>
      <c r="AU467" s="3"/>
      <c r="AV467" s="3"/>
      <c r="AW467" s="3"/>
      <c r="AX467" s="3"/>
      <c r="AY467" s="3"/>
      <c r="AZ467" s="3"/>
      <c r="BA467" s="3"/>
      <c r="BB467" s="3"/>
      <c r="BC467" s="3"/>
    </row>
    <row r="468" spans="1:55">
      <c r="A468" s="1" t="str">
        <f>'Population Definitions'!$A$4</f>
        <v>0-9_males</v>
      </c>
      <c r="C468" t="s">
        <v>34</v>
      </c>
      <c r="D468" s="3"/>
      <c r="E468" s="3">
        <v>0</v>
      </c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  <c r="AC468" s="3"/>
      <c r="AD468" s="3"/>
      <c r="AE468" s="3"/>
      <c r="AF468" s="3"/>
      <c r="AG468" s="3"/>
      <c r="AH468" s="3"/>
      <c r="AI468" s="3"/>
      <c r="AJ468" s="3"/>
      <c r="AK468" s="3"/>
      <c r="AL468" s="3"/>
      <c r="AM468" s="3"/>
      <c r="AN468" s="3"/>
      <c r="AO468" s="3"/>
      <c r="AP468" s="3"/>
      <c r="AQ468" s="3"/>
      <c r="AR468" s="3"/>
      <c r="AS468" s="3"/>
      <c r="AT468" s="3"/>
      <c r="AU468" s="3"/>
      <c r="AV468" s="3"/>
      <c r="AW468" s="3"/>
      <c r="AX468" s="3"/>
      <c r="AY468" s="3"/>
      <c r="AZ468" s="3"/>
      <c r="BA468" s="3"/>
      <c r="BB468" s="3"/>
      <c r="BC468" s="3"/>
    </row>
    <row r="469" spans="1:55">
      <c r="A469" s="1" t="str">
        <f>'Population Definitions'!$A$5</f>
        <v>0-9_females</v>
      </c>
      <c r="C469" t="s">
        <v>34</v>
      </c>
      <c r="D469" s="3"/>
      <c r="E469" s="3">
        <v>0</v>
      </c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  <c r="AC469" s="3"/>
      <c r="AD469" s="3"/>
      <c r="AE469" s="3"/>
      <c r="AF469" s="3"/>
      <c r="AG469" s="3"/>
      <c r="AH469" s="3"/>
      <c r="AI469" s="3"/>
      <c r="AJ469" s="3"/>
      <c r="AK469" s="3"/>
      <c r="AL469" s="3"/>
      <c r="AM469" s="3"/>
      <c r="AN469" s="3"/>
      <c r="AO469" s="3"/>
      <c r="AP469" s="3"/>
      <c r="AQ469" s="3"/>
      <c r="AR469" s="3"/>
      <c r="AS469" s="3"/>
      <c r="AT469" s="3"/>
      <c r="AU469" s="3"/>
      <c r="AV469" s="3"/>
      <c r="AW469" s="3"/>
      <c r="AX469" s="3"/>
      <c r="AY469" s="3"/>
      <c r="AZ469" s="3"/>
      <c r="BA469" s="3"/>
      <c r="BB469" s="3"/>
      <c r="BC469" s="3"/>
    </row>
    <row r="470" spans="1:55">
      <c r="A470" s="1" t="str">
        <f>'Population Definitions'!$A$6</f>
        <v>10-17_males</v>
      </c>
      <c r="C470" t="s">
        <v>34</v>
      </c>
      <c r="D470" s="3"/>
      <c r="E470" s="3">
        <v>0</v>
      </c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  <c r="AG470" s="3"/>
      <c r="AH470" s="3"/>
      <c r="AI470" s="3"/>
      <c r="AJ470" s="3"/>
      <c r="AK470" s="3"/>
      <c r="AL470" s="3"/>
      <c r="AM470" s="3"/>
      <c r="AN470" s="3"/>
      <c r="AO470" s="3"/>
      <c r="AP470" s="3"/>
      <c r="AQ470" s="3"/>
      <c r="AR470" s="3"/>
      <c r="AS470" s="3"/>
      <c r="AT470" s="3"/>
      <c r="AU470" s="3"/>
      <c r="AV470" s="3"/>
      <c r="AW470" s="3"/>
      <c r="AX470" s="3"/>
      <c r="AY470" s="3"/>
      <c r="AZ470" s="3"/>
      <c r="BA470" s="3"/>
      <c r="BB470" s="3"/>
      <c r="BC470" s="3"/>
    </row>
    <row r="471" spans="1:55">
      <c r="A471" s="1" t="str">
        <f>'Population Definitions'!$A$7</f>
        <v>10-17_females</v>
      </c>
      <c r="C471" t="s">
        <v>34</v>
      </c>
      <c r="D471" s="3"/>
      <c r="E471" s="3">
        <v>0</v>
      </c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  <c r="AG471" s="3"/>
      <c r="AH471" s="3"/>
      <c r="AI471" s="3"/>
      <c r="AJ471" s="3"/>
      <c r="AK471" s="3"/>
      <c r="AL471" s="3"/>
      <c r="AM471" s="3"/>
      <c r="AN471" s="3"/>
      <c r="AO471" s="3"/>
      <c r="AP471" s="3"/>
      <c r="AQ471" s="3"/>
      <c r="AR471" s="3"/>
      <c r="AS471" s="3"/>
      <c r="AT471" s="3"/>
      <c r="AU471" s="3"/>
      <c r="AV471" s="3"/>
      <c r="AW471" s="3"/>
      <c r="AX471" s="3"/>
      <c r="AY471" s="3"/>
      <c r="AZ471" s="3"/>
      <c r="BA471" s="3"/>
      <c r="BB471" s="3"/>
      <c r="BC471" s="3"/>
    </row>
    <row r="472" spans="1:55">
      <c r="A472" s="1" t="str">
        <f>'Population Definitions'!$A$8</f>
        <v>18-64_males</v>
      </c>
      <c r="C472" t="s">
        <v>34</v>
      </c>
      <c r="D472" s="3"/>
      <c r="E472" s="3">
        <v>0</v>
      </c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  <c r="AG472" s="3"/>
      <c r="AH472" s="3"/>
      <c r="AI472" s="3"/>
      <c r="AJ472" s="3"/>
      <c r="AK472" s="3"/>
      <c r="AL472" s="3"/>
      <c r="AM472" s="3"/>
      <c r="AN472" s="3"/>
      <c r="AO472" s="3"/>
      <c r="AP472" s="3"/>
      <c r="AQ472" s="3"/>
      <c r="AR472" s="3"/>
      <c r="AS472" s="3"/>
      <c r="AT472" s="3"/>
      <c r="AU472" s="3"/>
      <c r="AV472" s="3"/>
      <c r="AW472" s="3"/>
      <c r="AX472" s="3"/>
      <c r="AY472" s="3"/>
      <c r="AZ472" s="3"/>
      <c r="BA472" s="3"/>
      <c r="BB472" s="3"/>
      <c r="BC472" s="3"/>
    </row>
    <row r="473" spans="1:55">
      <c r="A473" s="1" t="str">
        <f>'Population Definitions'!$A$9</f>
        <v>18-64_females</v>
      </c>
      <c r="C473" t="s">
        <v>34</v>
      </c>
      <c r="D473" s="3"/>
      <c r="E473" s="3">
        <v>0</v>
      </c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  <c r="AG473" s="3"/>
      <c r="AH473" s="3"/>
      <c r="AI473" s="3"/>
      <c r="AJ473" s="3"/>
      <c r="AK473" s="3"/>
      <c r="AL473" s="3"/>
      <c r="AM473" s="3"/>
      <c r="AN473" s="3"/>
      <c r="AO473" s="3"/>
      <c r="AP473" s="3"/>
      <c r="AQ473" s="3"/>
      <c r="AR473" s="3"/>
      <c r="AS473" s="3"/>
      <c r="AT473" s="3"/>
      <c r="AU473" s="3"/>
      <c r="AV473" s="3"/>
      <c r="AW473" s="3"/>
      <c r="AX473" s="3"/>
      <c r="AY473" s="3"/>
      <c r="AZ473" s="3"/>
      <c r="BA473" s="3"/>
      <c r="BB473" s="3"/>
      <c r="BC473" s="3"/>
    </row>
    <row r="474" spans="1:55">
      <c r="A474" s="1" t="str">
        <f>'Population Definitions'!$A$10</f>
        <v>65+_males</v>
      </c>
      <c r="C474" t="s">
        <v>34</v>
      </c>
      <c r="D474" s="3"/>
      <c r="E474" s="3">
        <v>0</v>
      </c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  <c r="AG474" s="3"/>
      <c r="AH474" s="3"/>
      <c r="AI474" s="3"/>
      <c r="AJ474" s="3"/>
      <c r="AK474" s="3"/>
      <c r="AL474" s="3"/>
      <c r="AM474" s="3"/>
      <c r="AN474" s="3"/>
      <c r="AO474" s="3"/>
      <c r="AP474" s="3"/>
      <c r="AQ474" s="3"/>
      <c r="AR474" s="3"/>
      <c r="AS474" s="3"/>
      <c r="AT474" s="3"/>
      <c r="AU474" s="3"/>
      <c r="AV474" s="3"/>
      <c r="AW474" s="3"/>
      <c r="AX474" s="3"/>
      <c r="AY474" s="3"/>
      <c r="AZ474" s="3"/>
      <c r="BA474" s="3"/>
      <c r="BB474" s="3"/>
      <c r="BC474" s="3"/>
    </row>
    <row r="475" spans="1:55">
      <c r="A475" s="1" t="str">
        <f>'Population Definitions'!$A$11</f>
        <v>65+_females</v>
      </c>
      <c r="C475" t="s">
        <v>34</v>
      </c>
      <c r="D475" s="3"/>
      <c r="E475" s="3">
        <v>0</v>
      </c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  <c r="AG475" s="3"/>
      <c r="AH475" s="3"/>
      <c r="AI475" s="3"/>
      <c r="AJ475" s="3"/>
      <c r="AK475" s="3"/>
      <c r="AL475" s="3"/>
      <c r="AM475" s="3"/>
      <c r="AN475" s="3"/>
      <c r="AO475" s="3"/>
      <c r="AP475" s="3"/>
      <c r="AQ475" s="3"/>
      <c r="AR475" s="3"/>
      <c r="AS475" s="3"/>
      <c r="AT475" s="3"/>
      <c r="AU475" s="3"/>
      <c r="AV475" s="3"/>
      <c r="AW475" s="3"/>
      <c r="AX475" s="3"/>
      <c r="AY475" s="3"/>
      <c r="AZ475" s="3"/>
      <c r="BA475" s="3"/>
      <c r="BB475" s="3"/>
      <c r="BC475" s="3"/>
    </row>
    <row r="476" spans="1:55">
      <c r="A476" s="1" t="str">
        <f>'Population Definitions'!$A$12</f>
        <v>Prisoners_males</v>
      </c>
      <c r="C476" t="s">
        <v>34</v>
      </c>
      <c r="D476" s="3"/>
      <c r="E476" s="3">
        <v>0</v>
      </c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  <c r="AG476" s="3"/>
      <c r="AH476" s="3"/>
      <c r="AI476" s="3"/>
      <c r="AJ476" s="3"/>
      <c r="AK476" s="3"/>
      <c r="AL476" s="3"/>
      <c r="AM476" s="3"/>
      <c r="AN476" s="3"/>
      <c r="AO476" s="3"/>
      <c r="AP476" s="3"/>
      <c r="AQ476" s="3"/>
      <c r="AR476" s="3"/>
      <c r="AS476" s="3"/>
      <c r="AT476" s="3"/>
      <c r="AU476" s="3"/>
      <c r="AV476" s="3"/>
      <c r="AW476" s="3"/>
      <c r="AX476" s="3"/>
      <c r="AY476" s="3"/>
      <c r="AZ476" s="3"/>
      <c r="BA476" s="3"/>
      <c r="BB476" s="3"/>
      <c r="BC476" s="3"/>
    </row>
    <row r="477" spans="1:55">
      <c r="A477" s="1" t="str">
        <f>'Population Definitions'!$A$13</f>
        <v>Prisoners_females</v>
      </c>
      <c r="C477" t="s">
        <v>34</v>
      </c>
      <c r="D477" s="3"/>
      <c r="E477" s="3">
        <v>0</v>
      </c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  <c r="AG477" s="3"/>
      <c r="AH477" s="3"/>
      <c r="AI477" s="3"/>
      <c r="AJ477" s="3"/>
      <c r="AK477" s="3"/>
      <c r="AL477" s="3"/>
      <c r="AM477" s="3"/>
      <c r="AN477" s="3"/>
      <c r="AO477" s="3"/>
      <c r="AP477" s="3"/>
      <c r="AQ477" s="3"/>
      <c r="AR477" s="3"/>
      <c r="AS477" s="3"/>
      <c r="AT477" s="3"/>
      <c r="AU477" s="3"/>
      <c r="AV477" s="3"/>
      <c r="AW477" s="3"/>
      <c r="AX477" s="3"/>
      <c r="AY477" s="3"/>
      <c r="AZ477" s="3"/>
      <c r="BA477" s="3"/>
      <c r="BB477" s="3"/>
      <c r="BC477" s="3"/>
    </row>
    <row r="478" spans="1:55">
      <c r="A478" s="1" t="str">
        <f>'Population Definitions'!$A$14</f>
        <v>Prisoners_PWID_males</v>
      </c>
      <c r="C478" t="s">
        <v>34</v>
      </c>
      <c r="D478" s="3"/>
      <c r="E478" s="3">
        <v>0</v>
      </c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  <c r="AG478" s="3"/>
      <c r="AH478" s="3"/>
      <c r="AI478" s="3"/>
      <c r="AJ478" s="3"/>
      <c r="AK478" s="3"/>
      <c r="AL478" s="3"/>
      <c r="AM478" s="3"/>
      <c r="AN478" s="3"/>
      <c r="AO478" s="3"/>
      <c r="AP478" s="3"/>
      <c r="AQ478" s="3"/>
      <c r="AR478" s="3"/>
      <c r="AS478" s="3"/>
      <c r="AT478" s="3"/>
      <c r="AU478" s="3"/>
      <c r="AV478" s="3"/>
      <c r="AW478" s="3"/>
      <c r="AX478" s="3"/>
      <c r="AY478" s="3"/>
      <c r="AZ478" s="3"/>
      <c r="BA478" s="3"/>
      <c r="BB478" s="3"/>
      <c r="BC478" s="3"/>
    </row>
    <row r="479" spans="1:55">
      <c r="A479" s="1" t="str">
        <f>'Population Definitions'!$A$15</f>
        <v>Prisoners_PWID_females</v>
      </c>
      <c r="C479" t="s">
        <v>34</v>
      </c>
      <c r="D479" s="3"/>
      <c r="E479" s="3">
        <v>0</v>
      </c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  <c r="AG479" s="3"/>
      <c r="AH479" s="3"/>
      <c r="AI479" s="3"/>
      <c r="AJ479" s="3"/>
      <c r="AK479" s="3"/>
      <c r="AL479" s="3"/>
      <c r="AM479" s="3"/>
      <c r="AN479" s="3"/>
      <c r="AO479" s="3"/>
      <c r="AP479" s="3"/>
      <c r="AQ479" s="3"/>
      <c r="AR479" s="3"/>
      <c r="AS479" s="3"/>
      <c r="AT479" s="3"/>
      <c r="AU479" s="3"/>
      <c r="AV479" s="3"/>
      <c r="AW479" s="3"/>
      <c r="AX479" s="3"/>
      <c r="AY479" s="3"/>
      <c r="AZ479" s="3"/>
      <c r="BA479" s="3"/>
      <c r="BB479" s="3"/>
      <c r="BC479" s="3"/>
    </row>
    <row r="481" spans="1:55">
      <c r="A481" s="1" t="s">
        <v>157</v>
      </c>
      <c r="B481" s="1" t="s">
        <v>31</v>
      </c>
      <c r="C481" s="1" t="s">
        <v>32</v>
      </c>
      <c r="D481" s="1" t="s">
        <v>33</v>
      </c>
      <c r="E481" s="1">
        <v>2000</v>
      </c>
      <c r="F481" s="1">
        <v>2001</v>
      </c>
      <c r="G481" s="1">
        <v>2002</v>
      </c>
      <c r="H481" s="1">
        <v>2003</v>
      </c>
      <c r="I481" s="1">
        <v>2004</v>
      </c>
      <c r="J481" s="1">
        <v>2005</v>
      </c>
      <c r="K481" s="1">
        <v>2006</v>
      </c>
      <c r="L481" s="1">
        <v>2007</v>
      </c>
      <c r="M481" s="1">
        <v>2008</v>
      </c>
      <c r="N481" s="1">
        <v>2009</v>
      </c>
      <c r="O481" s="1">
        <v>2010</v>
      </c>
      <c r="P481" s="1">
        <v>2011</v>
      </c>
      <c r="Q481" s="1">
        <v>2012</v>
      </c>
      <c r="R481" s="1">
        <v>2013</v>
      </c>
      <c r="S481" s="1">
        <v>2014</v>
      </c>
      <c r="T481" s="1">
        <v>2015</v>
      </c>
      <c r="U481" s="1">
        <v>2016</v>
      </c>
      <c r="V481" s="1">
        <v>2017</v>
      </c>
      <c r="W481" s="1">
        <v>2018</v>
      </c>
      <c r="X481" s="1">
        <v>2019</v>
      </c>
      <c r="Y481" s="1">
        <v>2020</v>
      </c>
      <c r="Z481" s="1">
        <v>2021</v>
      </c>
      <c r="AA481" s="1">
        <v>2022</v>
      </c>
      <c r="AB481" s="1">
        <v>2023</v>
      </c>
      <c r="AC481" s="1">
        <v>2024</v>
      </c>
      <c r="AD481" s="1">
        <v>2025</v>
      </c>
      <c r="AE481" s="1">
        <v>2026</v>
      </c>
      <c r="AF481" s="1">
        <v>2027</v>
      </c>
      <c r="AG481" s="1">
        <v>2028</v>
      </c>
      <c r="AH481" s="1">
        <v>2029</v>
      </c>
      <c r="AI481" s="1">
        <v>2030</v>
      </c>
      <c r="AJ481" s="1">
        <v>2031</v>
      </c>
      <c r="AK481" s="1">
        <v>2032</v>
      </c>
      <c r="AL481" s="1">
        <v>2033</v>
      </c>
      <c r="AM481" s="1">
        <v>2034</v>
      </c>
      <c r="AN481" s="1">
        <v>2035</v>
      </c>
      <c r="AO481" s="1">
        <v>2036</v>
      </c>
      <c r="AP481" s="1">
        <v>2037</v>
      </c>
      <c r="AQ481" s="1">
        <v>2038</v>
      </c>
      <c r="AR481" s="1">
        <v>2039</v>
      </c>
      <c r="AS481" s="1">
        <v>2040</v>
      </c>
      <c r="AT481" s="1">
        <v>2041</v>
      </c>
      <c r="AU481" s="1">
        <v>2042</v>
      </c>
      <c r="AV481" s="1">
        <v>2043</v>
      </c>
      <c r="AW481" s="1">
        <v>2044</v>
      </c>
      <c r="AX481" s="1">
        <v>2045</v>
      </c>
      <c r="AY481" s="1">
        <v>2046</v>
      </c>
      <c r="AZ481" s="1">
        <v>2047</v>
      </c>
      <c r="BA481" s="1">
        <v>2048</v>
      </c>
      <c r="BB481" s="1">
        <v>2049</v>
      </c>
      <c r="BC481" s="1">
        <v>2050</v>
      </c>
    </row>
    <row r="482" spans="1:55">
      <c r="A482" s="1" t="str">
        <f>'Population Definitions'!$A$2</f>
        <v>PWID_males</v>
      </c>
      <c r="C482" t="s">
        <v>34</v>
      </c>
      <c r="D482" s="3"/>
      <c r="E482" s="3">
        <v>0</v>
      </c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  <c r="AH482" s="3"/>
      <c r="AI482" s="3"/>
      <c r="AJ482" s="3"/>
      <c r="AK482" s="3"/>
      <c r="AL482" s="3"/>
      <c r="AM482" s="3"/>
      <c r="AN482" s="3"/>
      <c r="AO482" s="3"/>
      <c r="AP482" s="3"/>
      <c r="AQ482" s="3"/>
      <c r="AR482" s="3"/>
      <c r="AS482" s="3"/>
      <c r="AT482" s="3"/>
      <c r="AU482" s="3"/>
      <c r="AV482" s="3"/>
      <c r="AW482" s="3"/>
      <c r="AX482" s="3"/>
      <c r="AY482" s="3"/>
      <c r="AZ482" s="3"/>
      <c r="BA482" s="3"/>
      <c r="BB482" s="3"/>
      <c r="BC482" s="3"/>
    </row>
    <row r="483" spans="1:55">
      <c r="A483" s="1" t="str">
        <f>'Population Definitions'!$A$3</f>
        <v>PWID_females</v>
      </c>
      <c r="C483" t="s">
        <v>34</v>
      </c>
      <c r="D483" s="3"/>
      <c r="E483" s="3">
        <v>0</v>
      </c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  <c r="AG483" s="3"/>
      <c r="AH483" s="3"/>
      <c r="AI483" s="3"/>
      <c r="AJ483" s="3"/>
      <c r="AK483" s="3"/>
      <c r="AL483" s="3"/>
      <c r="AM483" s="3"/>
      <c r="AN483" s="3"/>
      <c r="AO483" s="3"/>
      <c r="AP483" s="3"/>
      <c r="AQ483" s="3"/>
      <c r="AR483" s="3"/>
      <c r="AS483" s="3"/>
      <c r="AT483" s="3"/>
      <c r="AU483" s="3"/>
      <c r="AV483" s="3"/>
      <c r="AW483" s="3"/>
      <c r="AX483" s="3"/>
      <c r="AY483" s="3"/>
      <c r="AZ483" s="3"/>
      <c r="BA483" s="3"/>
      <c r="BB483" s="3"/>
      <c r="BC483" s="3"/>
    </row>
    <row r="484" spans="1:55">
      <c r="A484" s="1" t="str">
        <f>'Population Definitions'!$A$4</f>
        <v>0-9_males</v>
      </c>
      <c r="C484" t="s">
        <v>34</v>
      </c>
      <c r="D484" s="3"/>
      <c r="E484" s="3">
        <v>0</v>
      </c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  <c r="AG484" s="3"/>
      <c r="AH484" s="3"/>
      <c r="AI484" s="3"/>
      <c r="AJ484" s="3"/>
      <c r="AK484" s="3"/>
      <c r="AL484" s="3"/>
      <c r="AM484" s="3"/>
      <c r="AN484" s="3"/>
      <c r="AO484" s="3"/>
      <c r="AP484" s="3"/>
      <c r="AQ484" s="3"/>
      <c r="AR484" s="3"/>
      <c r="AS484" s="3"/>
      <c r="AT484" s="3"/>
      <c r="AU484" s="3"/>
      <c r="AV484" s="3"/>
      <c r="AW484" s="3"/>
      <c r="AX484" s="3"/>
      <c r="AY484" s="3"/>
      <c r="AZ484" s="3"/>
      <c r="BA484" s="3"/>
      <c r="BB484" s="3"/>
      <c r="BC484" s="3"/>
    </row>
    <row r="485" spans="1:55">
      <c r="A485" s="1" t="str">
        <f>'Population Definitions'!$A$5</f>
        <v>0-9_females</v>
      </c>
      <c r="C485" t="s">
        <v>34</v>
      </c>
      <c r="D485" s="3"/>
      <c r="E485" s="3">
        <v>0</v>
      </c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  <c r="AG485" s="3"/>
      <c r="AH485" s="3"/>
      <c r="AI485" s="3"/>
      <c r="AJ485" s="3"/>
      <c r="AK485" s="3"/>
      <c r="AL485" s="3"/>
      <c r="AM485" s="3"/>
      <c r="AN485" s="3"/>
      <c r="AO485" s="3"/>
      <c r="AP485" s="3"/>
      <c r="AQ485" s="3"/>
      <c r="AR485" s="3"/>
      <c r="AS485" s="3"/>
      <c r="AT485" s="3"/>
      <c r="AU485" s="3"/>
      <c r="AV485" s="3"/>
      <c r="AW485" s="3"/>
      <c r="AX485" s="3"/>
      <c r="AY485" s="3"/>
      <c r="AZ485" s="3"/>
      <c r="BA485" s="3"/>
      <c r="BB485" s="3"/>
      <c r="BC485" s="3"/>
    </row>
    <row r="486" spans="1:55">
      <c r="A486" s="1" t="str">
        <f>'Population Definitions'!$A$6</f>
        <v>10-17_males</v>
      </c>
      <c r="C486" t="s">
        <v>34</v>
      </c>
      <c r="D486" s="3"/>
      <c r="E486" s="3">
        <v>0</v>
      </c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  <c r="AG486" s="3"/>
      <c r="AH486" s="3"/>
      <c r="AI486" s="3"/>
      <c r="AJ486" s="3"/>
      <c r="AK486" s="3"/>
      <c r="AL486" s="3"/>
      <c r="AM486" s="3"/>
      <c r="AN486" s="3"/>
      <c r="AO486" s="3"/>
      <c r="AP486" s="3"/>
      <c r="AQ486" s="3"/>
      <c r="AR486" s="3"/>
      <c r="AS486" s="3"/>
      <c r="AT486" s="3"/>
      <c r="AU486" s="3"/>
      <c r="AV486" s="3"/>
      <c r="AW486" s="3"/>
      <c r="AX486" s="3"/>
      <c r="AY486" s="3"/>
      <c r="AZ486" s="3"/>
      <c r="BA486" s="3"/>
      <c r="BB486" s="3"/>
      <c r="BC486" s="3"/>
    </row>
    <row r="487" spans="1:55">
      <c r="A487" s="1" t="str">
        <f>'Population Definitions'!$A$7</f>
        <v>10-17_females</v>
      </c>
      <c r="C487" t="s">
        <v>34</v>
      </c>
      <c r="D487" s="3"/>
      <c r="E487" s="3">
        <v>0</v>
      </c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  <c r="AG487" s="3"/>
      <c r="AH487" s="3"/>
      <c r="AI487" s="3"/>
      <c r="AJ487" s="3"/>
      <c r="AK487" s="3"/>
      <c r="AL487" s="3"/>
      <c r="AM487" s="3"/>
      <c r="AN487" s="3"/>
      <c r="AO487" s="3"/>
      <c r="AP487" s="3"/>
      <c r="AQ487" s="3"/>
      <c r="AR487" s="3"/>
      <c r="AS487" s="3"/>
      <c r="AT487" s="3"/>
      <c r="AU487" s="3"/>
      <c r="AV487" s="3"/>
      <c r="AW487" s="3"/>
      <c r="AX487" s="3"/>
      <c r="AY487" s="3"/>
      <c r="AZ487" s="3"/>
      <c r="BA487" s="3"/>
      <c r="BB487" s="3"/>
      <c r="BC487" s="3"/>
    </row>
    <row r="488" spans="1:55">
      <c r="A488" s="1" t="str">
        <f>'Population Definitions'!$A$8</f>
        <v>18-64_males</v>
      </c>
      <c r="C488" t="s">
        <v>34</v>
      </c>
      <c r="D488" s="3"/>
      <c r="E488" s="3">
        <v>0</v>
      </c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  <c r="AG488" s="3"/>
      <c r="AH488" s="3"/>
      <c r="AI488" s="3"/>
      <c r="AJ488" s="3"/>
      <c r="AK488" s="3"/>
      <c r="AL488" s="3"/>
      <c r="AM488" s="3"/>
      <c r="AN488" s="3"/>
      <c r="AO488" s="3"/>
      <c r="AP488" s="3"/>
      <c r="AQ488" s="3"/>
      <c r="AR488" s="3"/>
      <c r="AS488" s="3"/>
      <c r="AT488" s="3"/>
      <c r="AU488" s="3"/>
      <c r="AV488" s="3"/>
      <c r="AW488" s="3"/>
      <c r="AX488" s="3"/>
      <c r="AY488" s="3"/>
      <c r="AZ488" s="3"/>
      <c r="BA488" s="3"/>
      <c r="BB488" s="3"/>
      <c r="BC488" s="3"/>
    </row>
    <row r="489" spans="1:55">
      <c r="A489" s="1" t="str">
        <f>'Population Definitions'!$A$9</f>
        <v>18-64_females</v>
      </c>
      <c r="C489" t="s">
        <v>34</v>
      </c>
      <c r="D489" s="3"/>
      <c r="E489" s="3">
        <v>0</v>
      </c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  <c r="AG489" s="3"/>
      <c r="AH489" s="3"/>
      <c r="AI489" s="3"/>
      <c r="AJ489" s="3"/>
      <c r="AK489" s="3"/>
      <c r="AL489" s="3"/>
      <c r="AM489" s="3"/>
      <c r="AN489" s="3"/>
      <c r="AO489" s="3"/>
      <c r="AP489" s="3"/>
      <c r="AQ489" s="3"/>
      <c r="AR489" s="3"/>
      <c r="AS489" s="3"/>
      <c r="AT489" s="3"/>
      <c r="AU489" s="3"/>
      <c r="AV489" s="3"/>
      <c r="AW489" s="3"/>
      <c r="AX489" s="3"/>
      <c r="AY489" s="3"/>
      <c r="AZ489" s="3"/>
      <c r="BA489" s="3"/>
      <c r="BB489" s="3"/>
      <c r="BC489" s="3"/>
    </row>
    <row r="490" spans="1:55">
      <c r="A490" s="1" t="str">
        <f>'Population Definitions'!$A$10</f>
        <v>65+_males</v>
      </c>
      <c r="C490" t="s">
        <v>34</v>
      </c>
      <c r="D490" s="3"/>
      <c r="E490" s="3">
        <v>0</v>
      </c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  <c r="AG490" s="3"/>
      <c r="AH490" s="3"/>
      <c r="AI490" s="3"/>
      <c r="AJ490" s="3"/>
      <c r="AK490" s="3"/>
      <c r="AL490" s="3"/>
      <c r="AM490" s="3"/>
      <c r="AN490" s="3"/>
      <c r="AO490" s="3"/>
      <c r="AP490" s="3"/>
      <c r="AQ490" s="3"/>
      <c r="AR490" s="3"/>
      <c r="AS490" s="3"/>
      <c r="AT490" s="3"/>
      <c r="AU490" s="3"/>
      <c r="AV490" s="3"/>
      <c r="AW490" s="3"/>
      <c r="AX490" s="3"/>
      <c r="AY490" s="3"/>
      <c r="AZ490" s="3"/>
      <c r="BA490" s="3"/>
      <c r="BB490" s="3"/>
      <c r="BC490" s="3"/>
    </row>
    <row r="491" spans="1:55">
      <c r="A491" s="1" t="str">
        <f>'Population Definitions'!$A$11</f>
        <v>65+_females</v>
      </c>
      <c r="C491" t="s">
        <v>34</v>
      </c>
      <c r="D491" s="3"/>
      <c r="E491" s="3">
        <v>0</v>
      </c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  <c r="AG491" s="3"/>
      <c r="AH491" s="3"/>
      <c r="AI491" s="3"/>
      <c r="AJ491" s="3"/>
      <c r="AK491" s="3"/>
      <c r="AL491" s="3"/>
      <c r="AM491" s="3"/>
      <c r="AN491" s="3"/>
      <c r="AO491" s="3"/>
      <c r="AP491" s="3"/>
      <c r="AQ491" s="3"/>
      <c r="AR491" s="3"/>
      <c r="AS491" s="3"/>
      <c r="AT491" s="3"/>
      <c r="AU491" s="3"/>
      <c r="AV491" s="3"/>
      <c r="AW491" s="3"/>
      <c r="AX491" s="3"/>
      <c r="AY491" s="3"/>
      <c r="AZ491" s="3"/>
      <c r="BA491" s="3"/>
      <c r="BB491" s="3"/>
      <c r="BC491" s="3"/>
    </row>
    <row r="492" spans="1:55">
      <c r="A492" s="1" t="str">
        <f>'Population Definitions'!$A$12</f>
        <v>Prisoners_males</v>
      </c>
      <c r="C492" t="s">
        <v>34</v>
      </c>
      <c r="D492" s="3"/>
      <c r="E492" s="3">
        <v>0</v>
      </c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  <c r="AG492" s="3"/>
      <c r="AH492" s="3"/>
      <c r="AI492" s="3"/>
      <c r="AJ492" s="3"/>
      <c r="AK492" s="3"/>
      <c r="AL492" s="3"/>
      <c r="AM492" s="3"/>
      <c r="AN492" s="3"/>
      <c r="AO492" s="3"/>
      <c r="AP492" s="3"/>
      <c r="AQ492" s="3"/>
      <c r="AR492" s="3"/>
      <c r="AS492" s="3"/>
      <c r="AT492" s="3"/>
      <c r="AU492" s="3"/>
      <c r="AV492" s="3"/>
      <c r="AW492" s="3"/>
      <c r="AX492" s="3"/>
      <c r="AY492" s="3"/>
      <c r="AZ492" s="3"/>
      <c r="BA492" s="3"/>
      <c r="BB492" s="3"/>
      <c r="BC492" s="3"/>
    </row>
    <row r="493" spans="1:55">
      <c r="A493" s="1" t="str">
        <f>'Population Definitions'!$A$13</f>
        <v>Prisoners_females</v>
      </c>
      <c r="C493" t="s">
        <v>34</v>
      </c>
      <c r="D493" s="3"/>
      <c r="E493" s="3">
        <v>0</v>
      </c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  <c r="AG493" s="3"/>
      <c r="AH493" s="3"/>
      <c r="AI493" s="3"/>
      <c r="AJ493" s="3"/>
      <c r="AK493" s="3"/>
      <c r="AL493" s="3"/>
      <c r="AM493" s="3"/>
      <c r="AN493" s="3"/>
      <c r="AO493" s="3"/>
      <c r="AP493" s="3"/>
      <c r="AQ493" s="3"/>
      <c r="AR493" s="3"/>
      <c r="AS493" s="3"/>
      <c r="AT493" s="3"/>
      <c r="AU493" s="3"/>
      <c r="AV493" s="3"/>
      <c r="AW493" s="3"/>
      <c r="AX493" s="3"/>
      <c r="AY493" s="3"/>
      <c r="AZ493" s="3"/>
      <c r="BA493" s="3"/>
      <c r="BB493" s="3"/>
      <c r="BC493" s="3"/>
    </row>
    <row r="494" spans="1:55">
      <c r="A494" s="1" t="str">
        <f>'Population Definitions'!$A$14</f>
        <v>Prisoners_PWID_males</v>
      </c>
      <c r="C494" t="s">
        <v>34</v>
      </c>
      <c r="D494" s="3"/>
      <c r="E494" s="3">
        <v>0</v>
      </c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  <c r="AC494" s="3"/>
      <c r="AD494" s="3"/>
      <c r="AE494" s="3"/>
      <c r="AF494" s="3"/>
      <c r="AG494" s="3"/>
      <c r="AH494" s="3"/>
      <c r="AI494" s="3"/>
      <c r="AJ494" s="3"/>
      <c r="AK494" s="3"/>
      <c r="AL494" s="3"/>
      <c r="AM494" s="3"/>
      <c r="AN494" s="3"/>
      <c r="AO494" s="3"/>
      <c r="AP494" s="3"/>
      <c r="AQ494" s="3"/>
      <c r="AR494" s="3"/>
      <c r="AS494" s="3"/>
      <c r="AT494" s="3"/>
      <c r="AU494" s="3"/>
      <c r="AV494" s="3"/>
      <c r="AW494" s="3"/>
      <c r="AX494" s="3"/>
      <c r="AY494" s="3"/>
      <c r="AZ494" s="3"/>
      <c r="BA494" s="3"/>
      <c r="BB494" s="3"/>
      <c r="BC494" s="3"/>
    </row>
    <row r="495" spans="1:55">
      <c r="A495" s="1" t="str">
        <f>'Population Definitions'!$A$15</f>
        <v>Prisoners_PWID_females</v>
      </c>
      <c r="C495" t="s">
        <v>34</v>
      </c>
      <c r="D495" s="3"/>
      <c r="E495" s="3">
        <v>0</v>
      </c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  <c r="AC495" s="3"/>
      <c r="AD495" s="3"/>
      <c r="AE495" s="3"/>
      <c r="AF495" s="3"/>
      <c r="AG495" s="3"/>
      <c r="AH495" s="3"/>
      <c r="AI495" s="3"/>
      <c r="AJ495" s="3"/>
      <c r="AK495" s="3"/>
      <c r="AL495" s="3"/>
      <c r="AM495" s="3"/>
      <c r="AN495" s="3"/>
      <c r="AO495" s="3"/>
      <c r="AP495" s="3"/>
      <c r="AQ495" s="3"/>
      <c r="AR495" s="3"/>
      <c r="AS495" s="3"/>
      <c r="AT495" s="3"/>
      <c r="AU495" s="3"/>
      <c r="AV495" s="3"/>
      <c r="AW495" s="3"/>
      <c r="AX495" s="3"/>
      <c r="AY495" s="3"/>
      <c r="AZ495" s="3"/>
      <c r="BA495" s="3"/>
      <c r="BB495" s="3"/>
      <c r="BC495" s="3"/>
    </row>
    <row r="497" spans="1:55">
      <c r="A497" s="1" t="s">
        <v>158</v>
      </c>
      <c r="B497" s="1" t="s">
        <v>31</v>
      </c>
      <c r="C497" s="1" t="s">
        <v>32</v>
      </c>
      <c r="D497" s="1" t="s">
        <v>33</v>
      </c>
      <c r="E497" s="1">
        <v>2000</v>
      </c>
      <c r="F497" s="1">
        <v>2001</v>
      </c>
      <c r="G497" s="1">
        <v>2002</v>
      </c>
      <c r="H497" s="1">
        <v>2003</v>
      </c>
      <c r="I497" s="1">
        <v>2004</v>
      </c>
      <c r="J497" s="1">
        <v>2005</v>
      </c>
      <c r="K497" s="1">
        <v>2006</v>
      </c>
      <c r="L497" s="1">
        <v>2007</v>
      </c>
      <c r="M497" s="1">
        <v>2008</v>
      </c>
      <c r="N497" s="1">
        <v>2009</v>
      </c>
      <c r="O497" s="1">
        <v>2010</v>
      </c>
      <c r="P497" s="1">
        <v>2011</v>
      </c>
      <c r="Q497" s="1">
        <v>2012</v>
      </c>
      <c r="R497" s="1">
        <v>2013</v>
      </c>
      <c r="S497" s="1">
        <v>2014</v>
      </c>
      <c r="T497" s="1">
        <v>2015</v>
      </c>
      <c r="U497" s="1">
        <v>2016</v>
      </c>
      <c r="V497" s="1">
        <v>2017</v>
      </c>
      <c r="W497" s="1">
        <v>2018</v>
      </c>
      <c r="X497" s="1">
        <v>2019</v>
      </c>
      <c r="Y497" s="1">
        <v>2020</v>
      </c>
      <c r="Z497" s="1">
        <v>2021</v>
      </c>
      <c r="AA497" s="1">
        <v>2022</v>
      </c>
      <c r="AB497" s="1">
        <v>2023</v>
      </c>
      <c r="AC497" s="1">
        <v>2024</v>
      </c>
      <c r="AD497" s="1">
        <v>2025</v>
      </c>
      <c r="AE497" s="1">
        <v>2026</v>
      </c>
      <c r="AF497" s="1">
        <v>2027</v>
      </c>
      <c r="AG497" s="1">
        <v>2028</v>
      </c>
      <c r="AH497" s="1">
        <v>2029</v>
      </c>
      <c r="AI497" s="1">
        <v>2030</v>
      </c>
      <c r="AJ497" s="1">
        <v>2031</v>
      </c>
      <c r="AK497" s="1">
        <v>2032</v>
      </c>
      <c r="AL497" s="1">
        <v>2033</v>
      </c>
      <c r="AM497" s="1">
        <v>2034</v>
      </c>
      <c r="AN497" s="1">
        <v>2035</v>
      </c>
      <c r="AO497" s="1">
        <v>2036</v>
      </c>
      <c r="AP497" s="1">
        <v>2037</v>
      </c>
      <c r="AQ497" s="1">
        <v>2038</v>
      </c>
      <c r="AR497" s="1">
        <v>2039</v>
      </c>
      <c r="AS497" s="1">
        <v>2040</v>
      </c>
      <c r="AT497" s="1">
        <v>2041</v>
      </c>
      <c r="AU497" s="1">
        <v>2042</v>
      </c>
      <c r="AV497" s="1">
        <v>2043</v>
      </c>
      <c r="AW497" s="1">
        <v>2044</v>
      </c>
      <c r="AX497" s="1">
        <v>2045</v>
      </c>
      <c r="AY497" s="1">
        <v>2046</v>
      </c>
      <c r="AZ497" s="1">
        <v>2047</v>
      </c>
      <c r="BA497" s="1">
        <v>2048</v>
      </c>
      <c r="BB497" s="1">
        <v>2049</v>
      </c>
      <c r="BC497" s="1">
        <v>2050</v>
      </c>
    </row>
    <row r="498" spans="1:55">
      <c r="A498" s="1" t="str">
        <f>'Population Definitions'!$A$2</f>
        <v>PWID_males</v>
      </c>
      <c r="C498" t="s">
        <v>34</v>
      </c>
      <c r="D498" s="3"/>
      <c r="E498" s="3">
        <v>0</v>
      </c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  <c r="AG498" s="3"/>
      <c r="AH498" s="3"/>
      <c r="AI498" s="3"/>
      <c r="AJ498" s="3"/>
      <c r="AK498" s="3"/>
      <c r="AL498" s="3"/>
      <c r="AM498" s="3"/>
      <c r="AN498" s="3"/>
      <c r="AO498" s="3"/>
      <c r="AP498" s="3"/>
      <c r="AQ498" s="3"/>
      <c r="AR498" s="3"/>
      <c r="AS498" s="3"/>
      <c r="AT498" s="3"/>
      <c r="AU498" s="3"/>
      <c r="AV498" s="3"/>
      <c r="AW498" s="3"/>
      <c r="AX498" s="3"/>
      <c r="AY498" s="3"/>
      <c r="AZ498" s="3"/>
      <c r="BA498" s="3"/>
      <c r="BB498" s="3"/>
      <c r="BC498" s="3"/>
    </row>
    <row r="499" spans="1:55">
      <c r="A499" s="1" t="str">
        <f>'Population Definitions'!$A$3</f>
        <v>PWID_females</v>
      </c>
      <c r="C499" t="s">
        <v>34</v>
      </c>
      <c r="D499" s="3"/>
      <c r="E499" s="3">
        <v>0</v>
      </c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  <c r="AG499" s="3"/>
      <c r="AH499" s="3"/>
      <c r="AI499" s="3"/>
      <c r="AJ499" s="3"/>
      <c r="AK499" s="3"/>
      <c r="AL499" s="3"/>
      <c r="AM499" s="3"/>
      <c r="AN499" s="3"/>
      <c r="AO499" s="3"/>
      <c r="AP499" s="3"/>
      <c r="AQ499" s="3"/>
      <c r="AR499" s="3"/>
      <c r="AS499" s="3"/>
      <c r="AT499" s="3"/>
      <c r="AU499" s="3"/>
      <c r="AV499" s="3"/>
      <c r="AW499" s="3"/>
      <c r="AX499" s="3"/>
      <c r="AY499" s="3"/>
      <c r="AZ499" s="3"/>
      <c r="BA499" s="3"/>
      <c r="BB499" s="3"/>
      <c r="BC499" s="3"/>
    </row>
    <row r="500" spans="1:55">
      <c r="A500" s="1" t="str">
        <f>'Population Definitions'!$A$4</f>
        <v>0-9_males</v>
      </c>
      <c r="C500" t="s">
        <v>34</v>
      </c>
      <c r="D500" s="3"/>
      <c r="E500" s="3">
        <v>0</v>
      </c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  <c r="AG500" s="3"/>
      <c r="AH500" s="3"/>
      <c r="AI500" s="3"/>
      <c r="AJ500" s="3"/>
      <c r="AK500" s="3"/>
      <c r="AL500" s="3"/>
      <c r="AM500" s="3"/>
      <c r="AN500" s="3"/>
      <c r="AO500" s="3"/>
      <c r="AP500" s="3"/>
      <c r="AQ500" s="3"/>
      <c r="AR500" s="3"/>
      <c r="AS500" s="3"/>
      <c r="AT500" s="3"/>
      <c r="AU500" s="3"/>
      <c r="AV500" s="3"/>
      <c r="AW500" s="3"/>
      <c r="AX500" s="3"/>
      <c r="AY500" s="3"/>
      <c r="AZ500" s="3"/>
      <c r="BA500" s="3"/>
      <c r="BB500" s="3"/>
      <c r="BC500" s="3"/>
    </row>
    <row r="501" spans="1:55">
      <c r="A501" s="1" t="str">
        <f>'Population Definitions'!$A$5</f>
        <v>0-9_females</v>
      </c>
      <c r="C501" t="s">
        <v>34</v>
      </c>
      <c r="D501" s="3"/>
      <c r="E501" s="3">
        <v>0</v>
      </c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  <c r="AG501" s="3"/>
      <c r="AH501" s="3"/>
      <c r="AI501" s="3"/>
      <c r="AJ501" s="3"/>
      <c r="AK501" s="3"/>
      <c r="AL501" s="3"/>
      <c r="AM501" s="3"/>
      <c r="AN501" s="3"/>
      <c r="AO501" s="3"/>
      <c r="AP501" s="3"/>
      <c r="AQ501" s="3"/>
      <c r="AR501" s="3"/>
      <c r="AS501" s="3"/>
      <c r="AT501" s="3"/>
      <c r="AU501" s="3"/>
      <c r="AV501" s="3"/>
      <c r="AW501" s="3"/>
      <c r="AX501" s="3"/>
      <c r="AY501" s="3"/>
      <c r="AZ501" s="3"/>
      <c r="BA501" s="3"/>
      <c r="BB501" s="3"/>
      <c r="BC501" s="3"/>
    </row>
    <row r="502" spans="1:55">
      <c r="A502" s="1" t="str">
        <f>'Population Definitions'!$A$6</f>
        <v>10-17_males</v>
      </c>
      <c r="C502" t="s">
        <v>34</v>
      </c>
      <c r="D502" s="3"/>
      <c r="E502" s="3">
        <v>0</v>
      </c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  <c r="AG502" s="3"/>
      <c r="AH502" s="3"/>
      <c r="AI502" s="3"/>
      <c r="AJ502" s="3"/>
      <c r="AK502" s="3"/>
      <c r="AL502" s="3"/>
      <c r="AM502" s="3"/>
      <c r="AN502" s="3"/>
      <c r="AO502" s="3"/>
      <c r="AP502" s="3"/>
      <c r="AQ502" s="3"/>
      <c r="AR502" s="3"/>
      <c r="AS502" s="3"/>
      <c r="AT502" s="3"/>
      <c r="AU502" s="3"/>
      <c r="AV502" s="3"/>
      <c r="AW502" s="3"/>
      <c r="AX502" s="3"/>
      <c r="AY502" s="3"/>
      <c r="AZ502" s="3"/>
      <c r="BA502" s="3"/>
      <c r="BB502" s="3"/>
      <c r="BC502" s="3"/>
    </row>
    <row r="503" spans="1:55">
      <c r="A503" s="1" t="str">
        <f>'Population Definitions'!$A$7</f>
        <v>10-17_females</v>
      </c>
      <c r="C503" t="s">
        <v>34</v>
      </c>
      <c r="D503" s="3"/>
      <c r="E503" s="3">
        <v>0</v>
      </c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  <c r="AG503" s="3"/>
      <c r="AH503" s="3"/>
      <c r="AI503" s="3"/>
      <c r="AJ503" s="3"/>
      <c r="AK503" s="3"/>
      <c r="AL503" s="3"/>
      <c r="AM503" s="3"/>
      <c r="AN503" s="3"/>
      <c r="AO503" s="3"/>
      <c r="AP503" s="3"/>
      <c r="AQ503" s="3"/>
      <c r="AR503" s="3"/>
      <c r="AS503" s="3"/>
      <c r="AT503" s="3"/>
      <c r="AU503" s="3"/>
      <c r="AV503" s="3"/>
      <c r="AW503" s="3"/>
      <c r="AX503" s="3"/>
      <c r="AY503" s="3"/>
      <c r="AZ503" s="3"/>
      <c r="BA503" s="3"/>
      <c r="BB503" s="3"/>
      <c r="BC503" s="3"/>
    </row>
    <row r="504" spans="1:55">
      <c r="A504" s="1" t="str">
        <f>'Population Definitions'!$A$8</f>
        <v>18-64_males</v>
      </c>
      <c r="C504" t="s">
        <v>34</v>
      </c>
      <c r="D504" s="3"/>
      <c r="E504" s="3">
        <v>0</v>
      </c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  <c r="AG504" s="3"/>
      <c r="AH504" s="3"/>
      <c r="AI504" s="3"/>
      <c r="AJ504" s="3"/>
      <c r="AK504" s="3"/>
      <c r="AL504" s="3"/>
      <c r="AM504" s="3"/>
      <c r="AN504" s="3"/>
      <c r="AO504" s="3"/>
      <c r="AP504" s="3"/>
      <c r="AQ504" s="3"/>
      <c r="AR504" s="3"/>
      <c r="AS504" s="3"/>
      <c r="AT504" s="3"/>
      <c r="AU504" s="3"/>
      <c r="AV504" s="3"/>
      <c r="AW504" s="3"/>
      <c r="AX504" s="3"/>
      <c r="AY504" s="3"/>
      <c r="AZ504" s="3"/>
      <c r="BA504" s="3"/>
      <c r="BB504" s="3"/>
      <c r="BC504" s="3"/>
    </row>
    <row r="505" spans="1:55">
      <c r="A505" s="1" t="str">
        <f>'Population Definitions'!$A$9</f>
        <v>18-64_females</v>
      </c>
      <c r="C505" t="s">
        <v>34</v>
      </c>
      <c r="D505" s="3"/>
      <c r="E505" s="3">
        <v>0</v>
      </c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  <c r="AG505" s="3"/>
      <c r="AH505" s="3"/>
      <c r="AI505" s="3"/>
      <c r="AJ505" s="3"/>
      <c r="AK505" s="3"/>
      <c r="AL505" s="3"/>
      <c r="AM505" s="3"/>
      <c r="AN505" s="3"/>
      <c r="AO505" s="3"/>
      <c r="AP505" s="3"/>
      <c r="AQ505" s="3"/>
      <c r="AR505" s="3"/>
      <c r="AS505" s="3"/>
      <c r="AT505" s="3"/>
      <c r="AU505" s="3"/>
      <c r="AV505" s="3"/>
      <c r="AW505" s="3"/>
      <c r="AX505" s="3"/>
      <c r="AY505" s="3"/>
      <c r="AZ505" s="3"/>
      <c r="BA505" s="3"/>
      <c r="BB505" s="3"/>
      <c r="BC505" s="3"/>
    </row>
    <row r="506" spans="1:55">
      <c r="A506" s="1" t="str">
        <f>'Population Definitions'!$A$10</f>
        <v>65+_males</v>
      </c>
      <c r="C506" t="s">
        <v>34</v>
      </c>
      <c r="D506" s="3"/>
      <c r="E506" s="3">
        <v>0</v>
      </c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  <c r="AG506" s="3"/>
      <c r="AH506" s="3"/>
      <c r="AI506" s="3"/>
      <c r="AJ506" s="3"/>
      <c r="AK506" s="3"/>
      <c r="AL506" s="3"/>
      <c r="AM506" s="3"/>
      <c r="AN506" s="3"/>
      <c r="AO506" s="3"/>
      <c r="AP506" s="3"/>
      <c r="AQ506" s="3"/>
      <c r="AR506" s="3"/>
      <c r="AS506" s="3"/>
      <c r="AT506" s="3"/>
      <c r="AU506" s="3"/>
      <c r="AV506" s="3"/>
      <c r="AW506" s="3"/>
      <c r="AX506" s="3"/>
      <c r="AY506" s="3"/>
      <c r="AZ506" s="3"/>
      <c r="BA506" s="3"/>
      <c r="BB506" s="3"/>
      <c r="BC506" s="3"/>
    </row>
    <row r="507" spans="1:55">
      <c r="A507" s="1" t="str">
        <f>'Population Definitions'!$A$11</f>
        <v>65+_females</v>
      </c>
      <c r="C507" t="s">
        <v>34</v>
      </c>
      <c r="D507" s="3"/>
      <c r="E507" s="3">
        <v>0</v>
      </c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  <c r="AG507" s="3"/>
      <c r="AH507" s="3"/>
      <c r="AI507" s="3"/>
      <c r="AJ507" s="3"/>
      <c r="AK507" s="3"/>
      <c r="AL507" s="3"/>
      <c r="AM507" s="3"/>
      <c r="AN507" s="3"/>
      <c r="AO507" s="3"/>
      <c r="AP507" s="3"/>
      <c r="AQ507" s="3"/>
      <c r="AR507" s="3"/>
      <c r="AS507" s="3"/>
      <c r="AT507" s="3"/>
      <c r="AU507" s="3"/>
      <c r="AV507" s="3"/>
      <c r="AW507" s="3"/>
      <c r="AX507" s="3"/>
      <c r="AY507" s="3"/>
      <c r="AZ507" s="3"/>
      <c r="BA507" s="3"/>
      <c r="BB507" s="3"/>
      <c r="BC507" s="3"/>
    </row>
    <row r="508" spans="1:55">
      <c r="A508" s="1" t="str">
        <f>'Population Definitions'!$A$12</f>
        <v>Prisoners_males</v>
      </c>
      <c r="C508" t="s">
        <v>34</v>
      </c>
      <c r="D508" s="3"/>
      <c r="E508" s="3">
        <v>0</v>
      </c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  <c r="AG508" s="3"/>
      <c r="AH508" s="3"/>
      <c r="AI508" s="3"/>
      <c r="AJ508" s="3"/>
      <c r="AK508" s="3"/>
      <c r="AL508" s="3"/>
      <c r="AM508" s="3"/>
      <c r="AN508" s="3"/>
      <c r="AO508" s="3"/>
      <c r="AP508" s="3"/>
      <c r="AQ508" s="3"/>
      <c r="AR508" s="3"/>
      <c r="AS508" s="3"/>
      <c r="AT508" s="3"/>
      <c r="AU508" s="3"/>
      <c r="AV508" s="3"/>
      <c r="AW508" s="3"/>
      <c r="AX508" s="3"/>
      <c r="AY508" s="3"/>
      <c r="AZ508" s="3"/>
      <c r="BA508" s="3"/>
      <c r="BB508" s="3"/>
      <c r="BC508" s="3"/>
    </row>
    <row r="509" spans="1:55">
      <c r="A509" s="1" t="str">
        <f>'Population Definitions'!$A$13</f>
        <v>Prisoners_females</v>
      </c>
      <c r="C509" t="s">
        <v>34</v>
      </c>
      <c r="D509" s="3"/>
      <c r="E509" s="3">
        <v>0</v>
      </c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  <c r="AG509" s="3"/>
      <c r="AH509" s="3"/>
      <c r="AI509" s="3"/>
      <c r="AJ509" s="3"/>
      <c r="AK509" s="3"/>
      <c r="AL509" s="3"/>
      <c r="AM509" s="3"/>
      <c r="AN509" s="3"/>
      <c r="AO509" s="3"/>
      <c r="AP509" s="3"/>
      <c r="AQ509" s="3"/>
      <c r="AR509" s="3"/>
      <c r="AS509" s="3"/>
      <c r="AT509" s="3"/>
      <c r="AU509" s="3"/>
      <c r="AV509" s="3"/>
      <c r="AW509" s="3"/>
      <c r="AX509" s="3"/>
      <c r="AY509" s="3"/>
      <c r="AZ509" s="3"/>
      <c r="BA509" s="3"/>
      <c r="BB509" s="3"/>
      <c r="BC509" s="3"/>
    </row>
    <row r="510" spans="1:55">
      <c r="A510" s="1" t="str">
        <f>'Population Definitions'!$A$14</f>
        <v>Prisoners_PWID_males</v>
      </c>
      <c r="C510" t="s">
        <v>34</v>
      </c>
      <c r="D510" s="3"/>
      <c r="E510" s="3">
        <v>0</v>
      </c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  <c r="AG510" s="3"/>
      <c r="AH510" s="3"/>
      <c r="AI510" s="3"/>
      <c r="AJ510" s="3"/>
      <c r="AK510" s="3"/>
      <c r="AL510" s="3"/>
      <c r="AM510" s="3"/>
      <c r="AN510" s="3"/>
      <c r="AO510" s="3"/>
      <c r="AP510" s="3"/>
      <c r="AQ510" s="3"/>
      <c r="AR510" s="3"/>
      <c r="AS510" s="3"/>
      <c r="AT510" s="3"/>
      <c r="AU510" s="3"/>
      <c r="AV510" s="3"/>
      <c r="AW510" s="3"/>
      <c r="AX510" s="3"/>
      <c r="AY510" s="3"/>
      <c r="AZ510" s="3"/>
      <c r="BA510" s="3"/>
      <c r="BB510" s="3"/>
      <c r="BC510" s="3"/>
    </row>
    <row r="511" spans="1:55">
      <c r="A511" s="1" t="str">
        <f>'Population Definitions'!$A$15</f>
        <v>Prisoners_PWID_females</v>
      </c>
      <c r="C511" t="s">
        <v>34</v>
      </c>
      <c r="D511" s="3"/>
      <c r="E511" s="3">
        <v>0</v>
      </c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  <c r="AG511" s="3"/>
      <c r="AH511" s="3"/>
      <c r="AI511" s="3"/>
      <c r="AJ511" s="3"/>
      <c r="AK511" s="3"/>
      <c r="AL511" s="3"/>
      <c r="AM511" s="3"/>
      <c r="AN511" s="3"/>
      <c r="AO511" s="3"/>
      <c r="AP511" s="3"/>
      <c r="AQ511" s="3"/>
      <c r="AR511" s="3"/>
      <c r="AS511" s="3"/>
      <c r="AT511" s="3"/>
      <c r="AU511" s="3"/>
      <c r="AV511" s="3"/>
      <c r="AW511" s="3"/>
      <c r="AX511" s="3"/>
      <c r="AY511" s="3"/>
      <c r="AZ511" s="3"/>
      <c r="BA511" s="3"/>
      <c r="BB511" s="3"/>
      <c r="BC511" s="3"/>
    </row>
    <row r="513" spans="1:55">
      <c r="A513" s="1" t="s">
        <v>159</v>
      </c>
      <c r="B513" s="1" t="s">
        <v>31</v>
      </c>
      <c r="C513" s="1" t="s">
        <v>32</v>
      </c>
      <c r="D513" s="1" t="s">
        <v>33</v>
      </c>
      <c r="E513" s="1">
        <v>2000</v>
      </c>
      <c r="F513" s="1">
        <v>2001</v>
      </c>
      <c r="G513" s="1">
        <v>2002</v>
      </c>
      <c r="H513" s="1">
        <v>2003</v>
      </c>
      <c r="I513" s="1">
        <v>2004</v>
      </c>
      <c r="J513" s="1">
        <v>2005</v>
      </c>
      <c r="K513" s="1">
        <v>2006</v>
      </c>
      <c r="L513" s="1">
        <v>2007</v>
      </c>
      <c r="M513" s="1">
        <v>2008</v>
      </c>
      <c r="N513" s="1">
        <v>2009</v>
      </c>
      <c r="O513" s="1">
        <v>2010</v>
      </c>
      <c r="P513" s="1">
        <v>2011</v>
      </c>
      <c r="Q513" s="1">
        <v>2012</v>
      </c>
      <c r="R513" s="1">
        <v>2013</v>
      </c>
      <c r="S513" s="1">
        <v>2014</v>
      </c>
      <c r="T513" s="1">
        <v>2015</v>
      </c>
      <c r="U513" s="1">
        <v>2016</v>
      </c>
      <c r="V513" s="1">
        <v>2017</v>
      </c>
      <c r="W513" s="1">
        <v>2018</v>
      </c>
      <c r="X513" s="1">
        <v>2019</v>
      </c>
      <c r="Y513" s="1">
        <v>2020</v>
      </c>
      <c r="Z513" s="1">
        <v>2021</v>
      </c>
      <c r="AA513" s="1">
        <v>2022</v>
      </c>
      <c r="AB513" s="1">
        <v>2023</v>
      </c>
      <c r="AC513" s="1">
        <v>2024</v>
      </c>
      <c r="AD513" s="1">
        <v>2025</v>
      </c>
      <c r="AE513" s="1">
        <v>2026</v>
      </c>
      <c r="AF513" s="1">
        <v>2027</v>
      </c>
      <c r="AG513" s="1">
        <v>2028</v>
      </c>
      <c r="AH513" s="1">
        <v>2029</v>
      </c>
      <c r="AI513" s="1">
        <v>2030</v>
      </c>
      <c r="AJ513" s="1">
        <v>2031</v>
      </c>
      <c r="AK513" s="1">
        <v>2032</v>
      </c>
      <c r="AL513" s="1">
        <v>2033</v>
      </c>
      <c r="AM513" s="1">
        <v>2034</v>
      </c>
      <c r="AN513" s="1">
        <v>2035</v>
      </c>
      <c r="AO513" s="1">
        <v>2036</v>
      </c>
      <c r="AP513" s="1">
        <v>2037</v>
      </c>
      <c r="AQ513" s="1">
        <v>2038</v>
      </c>
      <c r="AR513" s="1">
        <v>2039</v>
      </c>
      <c r="AS513" s="1">
        <v>2040</v>
      </c>
      <c r="AT513" s="1">
        <v>2041</v>
      </c>
      <c r="AU513" s="1">
        <v>2042</v>
      </c>
      <c r="AV513" s="1">
        <v>2043</v>
      </c>
      <c r="AW513" s="1">
        <v>2044</v>
      </c>
      <c r="AX513" s="1">
        <v>2045</v>
      </c>
      <c r="AY513" s="1">
        <v>2046</v>
      </c>
      <c r="AZ513" s="1">
        <v>2047</v>
      </c>
      <c r="BA513" s="1">
        <v>2048</v>
      </c>
      <c r="BB513" s="1">
        <v>2049</v>
      </c>
      <c r="BC513" s="1">
        <v>2050</v>
      </c>
    </row>
    <row r="514" spans="1:55">
      <c r="A514" s="1" t="str">
        <f>'Population Definitions'!$A$2</f>
        <v>PWID_males</v>
      </c>
      <c r="C514" t="s">
        <v>34</v>
      </c>
      <c r="D514" s="3"/>
      <c r="E514" s="3">
        <v>0</v>
      </c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  <c r="AG514" s="3"/>
      <c r="AH514" s="3"/>
      <c r="AI514" s="3"/>
      <c r="AJ514" s="3"/>
      <c r="AK514" s="3"/>
      <c r="AL514" s="3"/>
      <c r="AM514" s="3"/>
      <c r="AN514" s="3"/>
      <c r="AO514" s="3"/>
      <c r="AP514" s="3"/>
      <c r="AQ514" s="3"/>
      <c r="AR514" s="3"/>
      <c r="AS514" s="3"/>
      <c r="AT514" s="3"/>
      <c r="AU514" s="3"/>
      <c r="AV514" s="3"/>
      <c r="AW514" s="3"/>
      <c r="AX514" s="3"/>
      <c r="AY514" s="3"/>
      <c r="AZ514" s="3"/>
      <c r="BA514" s="3"/>
      <c r="BB514" s="3"/>
      <c r="BC514" s="3"/>
    </row>
    <row r="515" spans="1:55">
      <c r="A515" s="1" t="str">
        <f>'Population Definitions'!$A$3</f>
        <v>PWID_females</v>
      </c>
      <c r="C515" t="s">
        <v>34</v>
      </c>
      <c r="D515" s="3"/>
      <c r="E515" s="3">
        <v>0</v>
      </c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  <c r="AG515" s="3"/>
      <c r="AH515" s="3"/>
      <c r="AI515" s="3"/>
      <c r="AJ515" s="3"/>
      <c r="AK515" s="3"/>
      <c r="AL515" s="3"/>
      <c r="AM515" s="3"/>
      <c r="AN515" s="3"/>
      <c r="AO515" s="3"/>
      <c r="AP515" s="3"/>
      <c r="AQ515" s="3"/>
      <c r="AR515" s="3"/>
      <c r="AS515" s="3"/>
      <c r="AT515" s="3"/>
      <c r="AU515" s="3"/>
      <c r="AV515" s="3"/>
      <c r="AW515" s="3"/>
      <c r="AX515" s="3"/>
      <c r="AY515" s="3"/>
      <c r="AZ515" s="3"/>
      <c r="BA515" s="3"/>
      <c r="BB515" s="3"/>
      <c r="BC515" s="3"/>
    </row>
    <row r="516" spans="1:55">
      <c r="A516" s="1" t="str">
        <f>'Population Definitions'!$A$4</f>
        <v>0-9_males</v>
      </c>
      <c r="C516" t="s">
        <v>34</v>
      </c>
      <c r="D516" s="3"/>
      <c r="E516" s="3">
        <v>0</v>
      </c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  <c r="AG516" s="3"/>
      <c r="AH516" s="3"/>
      <c r="AI516" s="3"/>
      <c r="AJ516" s="3"/>
      <c r="AK516" s="3"/>
      <c r="AL516" s="3"/>
      <c r="AM516" s="3"/>
      <c r="AN516" s="3"/>
      <c r="AO516" s="3"/>
      <c r="AP516" s="3"/>
      <c r="AQ516" s="3"/>
      <c r="AR516" s="3"/>
      <c r="AS516" s="3"/>
      <c r="AT516" s="3"/>
      <c r="AU516" s="3"/>
      <c r="AV516" s="3"/>
      <c r="AW516" s="3"/>
      <c r="AX516" s="3"/>
      <c r="AY516" s="3"/>
      <c r="AZ516" s="3"/>
      <c r="BA516" s="3"/>
      <c r="BB516" s="3"/>
      <c r="BC516" s="3"/>
    </row>
    <row r="517" spans="1:55">
      <c r="A517" s="1" t="str">
        <f>'Population Definitions'!$A$5</f>
        <v>0-9_females</v>
      </c>
      <c r="C517" t="s">
        <v>34</v>
      </c>
      <c r="D517" s="3"/>
      <c r="E517" s="3">
        <v>0</v>
      </c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  <c r="AG517" s="3"/>
      <c r="AH517" s="3"/>
      <c r="AI517" s="3"/>
      <c r="AJ517" s="3"/>
      <c r="AK517" s="3"/>
      <c r="AL517" s="3"/>
      <c r="AM517" s="3"/>
      <c r="AN517" s="3"/>
      <c r="AO517" s="3"/>
      <c r="AP517" s="3"/>
      <c r="AQ517" s="3"/>
      <c r="AR517" s="3"/>
      <c r="AS517" s="3"/>
      <c r="AT517" s="3"/>
      <c r="AU517" s="3"/>
      <c r="AV517" s="3"/>
      <c r="AW517" s="3"/>
      <c r="AX517" s="3"/>
      <c r="AY517" s="3"/>
      <c r="AZ517" s="3"/>
      <c r="BA517" s="3"/>
      <c r="BB517" s="3"/>
      <c r="BC517" s="3"/>
    </row>
    <row r="518" spans="1:55">
      <c r="A518" s="1" t="str">
        <f>'Population Definitions'!$A$6</f>
        <v>10-17_males</v>
      </c>
      <c r="C518" t="s">
        <v>34</v>
      </c>
      <c r="D518" s="3"/>
      <c r="E518" s="3">
        <v>0</v>
      </c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  <c r="AG518" s="3"/>
      <c r="AH518" s="3"/>
      <c r="AI518" s="3"/>
      <c r="AJ518" s="3"/>
      <c r="AK518" s="3"/>
      <c r="AL518" s="3"/>
      <c r="AM518" s="3"/>
      <c r="AN518" s="3"/>
      <c r="AO518" s="3"/>
      <c r="AP518" s="3"/>
      <c r="AQ518" s="3"/>
      <c r="AR518" s="3"/>
      <c r="AS518" s="3"/>
      <c r="AT518" s="3"/>
      <c r="AU518" s="3"/>
      <c r="AV518" s="3"/>
      <c r="AW518" s="3"/>
      <c r="AX518" s="3"/>
      <c r="AY518" s="3"/>
      <c r="AZ518" s="3"/>
      <c r="BA518" s="3"/>
      <c r="BB518" s="3"/>
      <c r="BC518" s="3"/>
    </row>
    <row r="519" spans="1:55">
      <c r="A519" s="1" t="str">
        <f>'Population Definitions'!$A$7</f>
        <v>10-17_females</v>
      </c>
      <c r="C519" t="s">
        <v>34</v>
      </c>
      <c r="D519" s="3"/>
      <c r="E519" s="3">
        <v>0</v>
      </c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  <c r="AG519" s="3"/>
      <c r="AH519" s="3"/>
      <c r="AI519" s="3"/>
      <c r="AJ519" s="3"/>
      <c r="AK519" s="3"/>
      <c r="AL519" s="3"/>
      <c r="AM519" s="3"/>
      <c r="AN519" s="3"/>
      <c r="AO519" s="3"/>
      <c r="AP519" s="3"/>
      <c r="AQ519" s="3"/>
      <c r="AR519" s="3"/>
      <c r="AS519" s="3"/>
      <c r="AT519" s="3"/>
      <c r="AU519" s="3"/>
      <c r="AV519" s="3"/>
      <c r="AW519" s="3"/>
      <c r="AX519" s="3"/>
      <c r="AY519" s="3"/>
      <c r="AZ519" s="3"/>
      <c r="BA519" s="3"/>
      <c r="BB519" s="3"/>
      <c r="BC519" s="3"/>
    </row>
    <row r="520" spans="1:55">
      <c r="A520" s="1" t="str">
        <f>'Population Definitions'!$A$8</f>
        <v>18-64_males</v>
      </c>
      <c r="C520" t="s">
        <v>34</v>
      </c>
      <c r="D520" s="3"/>
      <c r="E520" s="3">
        <v>0</v>
      </c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/>
      <c r="AC520" s="3"/>
      <c r="AD520" s="3"/>
      <c r="AE520" s="3"/>
      <c r="AF520" s="3"/>
      <c r="AG520" s="3"/>
      <c r="AH520" s="3"/>
      <c r="AI520" s="3"/>
      <c r="AJ520" s="3"/>
      <c r="AK520" s="3"/>
      <c r="AL520" s="3"/>
      <c r="AM520" s="3"/>
      <c r="AN520" s="3"/>
      <c r="AO520" s="3"/>
      <c r="AP520" s="3"/>
      <c r="AQ520" s="3"/>
      <c r="AR520" s="3"/>
      <c r="AS520" s="3"/>
      <c r="AT520" s="3"/>
      <c r="AU520" s="3"/>
      <c r="AV520" s="3"/>
      <c r="AW520" s="3"/>
      <c r="AX520" s="3"/>
      <c r="AY520" s="3"/>
      <c r="AZ520" s="3"/>
      <c r="BA520" s="3"/>
      <c r="BB520" s="3"/>
      <c r="BC520" s="3"/>
    </row>
    <row r="521" spans="1:55">
      <c r="A521" s="1" t="str">
        <f>'Population Definitions'!$A$9</f>
        <v>18-64_females</v>
      </c>
      <c r="C521" t="s">
        <v>34</v>
      </c>
      <c r="D521" s="3"/>
      <c r="E521" s="3">
        <v>0</v>
      </c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/>
      <c r="AC521" s="3"/>
      <c r="AD521" s="3"/>
      <c r="AE521" s="3"/>
      <c r="AF521" s="3"/>
      <c r="AG521" s="3"/>
      <c r="AH521" s="3"/>
      <c r="AI521" s="3"/>
      <c r="AJ521" s="3"/>
      <c r="AK521" s="3"/>
      <c r="AL521" s="3"/>
      <c r="AM521" s="3"/>
      <c r="AN521" s="3"/>
      <c r="AO521" s="3"/>
      <c r="AP521" s="3"/>
      <c r="AQ521" s="3"/>
      <c r="AR521" s="3"/>
      <c r="AS521" s="3"/>
      <c r="AT521" s="3"/>
      <c r="AU521" s="3"/>
      <c r="AV521" s="3"/>
      <c r="AW521" s="3"/>
      <c r="AX521" s="3"/>
      <c r="AY521" s="3"/>
      <c r="AZ521" s="3"/>
      <c r="BA521" s="3"/>
      <c r="BB521" s="3"/>
      <c r="BC521" s="3"/>
    </row>
    <row r="522" spans="1:55">
      <c r="A522" s="1" t="str">
        <f>'Population Definitions'!$A$10</f>
        <v>65+_males</v>
      </c>
      <c r="C522" t="s">
        <v>34</v>
      </c>
      <c r="D522" s="3"/>
      <c r="E522" s="3">
        <v>0</v>
      </c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  <c r="AG522" s="3"/>
      <c r="AH522" s="3"/>
      <c r="AI522" s="3"/>
      <c r="AJ522" s="3"/>
      <c r="AK522" s="3"/>
      <c r="AL522" s="3"/>
      <c r="AM522" s="3"/>
      <c r="AN522" s="3"/>
      <c r="AO522" s="3"/>
      <c r="AP522" s="3"/>
      <c r="AQ522" s="3"/>
      <c r="AR522" s="3"/>
      <c r="AS522" s="3"/>
      <c r="AT522" s="3"/>
      <c r="AU522" s="3"/>
      <c r="AV522" s="3"/>
      <c r="AW522" s="3"/>
      <c r="AX522" s="3"/>
      <c r="AY522" s="3"/>
      <c r="AZ522" s="3"/>
      <c r="BA522" s="3"/>
      <c r="BB522" s="3"/>
      <c r="BC522" s="3"/>
    </row>
    <row r="523" spans="1:55">
      <c r="A523" s="1" t="str">
        <f>'Population Definitions'!$A$11</f>
        <v>65+_females</v>
      </c>
      <c r="C523" t="s">
        <v>34</v>
      </c>
      <c r="D523" s="3"/>
      <c r="E523" s="3">
        <v>0</v>
      </c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  <c r="AG523" s="3"/>
      <c r="AH523" s="3"/>
      <c r="AI523" s="3"/>
      <c r="AJ523" s="3"/>
      <c r="AK523" s="3"/>
      <c r="AL523" s="3"/>
      <c r="AM523" s="3"/>
      <c r="AN523" s="3"/>
      <c r="AO523" s="3"/>
      <c r="AP523" s="3"/>
      <c r="AQ523" s="3"/>
      <c r="AR523" s="3"/>
      <c r="AS523" s="3"/>
      <c r="AT523" s="3"/>
      <c r="AU523" s="3"/>
      <c r="AV523" s="3"/>
      <c r="AW523" s="3"/>
      <c r="AX523" s="3"/>
      <c r="AY523" s="3"/>
      <c r="AZ523" s="3"/>
      <c r="BA523" s="3"/>
      <c r="BB523" s="3"/>
      <c r="BC523" s="3"/>
    </row>
    <row r="524" spans="1:55">
      <c r="A524" s="1" t="str">
        <f>'Population Definitions'!$A$12</f>
        <v>Prisoners_males</v>
      </c>
      <c r="C524" t="s">
        <v>34</v>
      </c>
      <c r="D524" s="3"/>
      <c r="E524" s="3">
        <v>0</v>
      </c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  <c r="AG524" s="3"/>
      <c r="AH524" s="3"/>
      <c r="AI524" s="3"/>
      <c r="AJ524" s="3"/>
      <c r="AK524" s="3"/>
      <c r="AL524" s="3"/>
      <c r="AM524" s="3"/>
      <c r="AN524" s="3"/>
      <c r="AO524" s="3"/>
      <c r="AP524" s="3"/>
      <c r="AQ524" s="3"/>
      <c r="AR524" s="3"/>
      <c r="AS524" s="3"/>
      <c r="AT524" s="3"/>
      <c r="AU524" s="3"/>
      <c r="AV524" s="3"/>
      <c r="AW524" s="3"/>
      <c r="AX524" s="3"/>
      <c r="AY524" s="3"/>
      <c r="AZ524" s="3"/>
      <c r="BA524" s="3"/>
      <c r="BB524" s="3"/>
      <c r="BC524" s="3"/>
    </row>
    <row r="525" spans="1:55">
      <c r="A525" s="1" t="str">
        <f>'Population Definitions'!$A$13</f>
        <v>Prisoners_females</v>
      </c>
      <c r="C525" t="s">
        <v>34</v>
      </c>
      <c r="D525" s="3"/>
      <c r="E525" s="3">
        <v>0</v>
      </c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  <c r="AG525" s="3"/>
      <c r="AH525" s="3"/>
      <c r="AI525" s="3"/>
      <c r="AJ525" s="3"/>
      <c r="AK525" s="3"/>
      <c r="AL525" s="3"/>
      <c r="AM525" s="3"/>
      <c r="AN525" s="3"/>
      <c r="AO525" s="3"/>
      <c r="AP525" s="3"/>
      <c r="AQ525" s="3"/>
      <c r="AR525" s="3"/>
      <c r="AS525" s="3"/>
      <c r="AT525" s="3"/>
      <c r="AU525" s="3"/>
      <c r="AV525" s="3"/>
      <c r="AW525" s="3"/>
      <c r="AX525" s="3"/>
      <c r="AY525" s="3"/>
      <c r="AZ525" s="3"/>
      <c r="BA525" s="3"/>
      <c r="BB525" s="3"/>
      <c r="BC525" s="3"/>
    </row>
    <row r="526" spans="1:55">
      <c r="A526" s="1" t="str">
        <f>'Population Definitions'!$A$14</f>
        <v>Prisoners_PWID_males</v>
      </c>
      <c r="C526" t="s">
        <v>34</v>
      </c>
      <c r="D526" s="3"/>
      <c r="E526" s="3">
        <v>0</v>
      </c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  <c r="AG526" s="3"/>
      <c r="AH526" s="3"/>
      <c r="AI526" s="3"/>
      <c r="AJ526" s="3"/>
      <c r="AK526" s="3"/>
      <c r="AL526" s="3"/>
      <c r="AM526" s="3"/>
      <c r="AN526" s="3"/>
      <c r="AO526" s="3"/>
      <c r="AP526" s="3"/>
      <c r="AQ526" s="3"/>
      <c r="AR526" s="3"/>
      <c r="AS526" s="3"/>
      <c r="AT526" s="3"/>
      <c r="AU526" s="3"/>
      <c r="AV526" s="3"/>
      <c r="AW526" s="3"/>
      <c r="AX526" s="3"/>
      <c r="AY526" s="3"/>
      <c r="AZ526" s="3"/>
      <c r="BA526" s="3"/>
      <c r="BB526" s="3"/>
      <c r="BC526" s="3"/>
    </row>
    <row r="527" spans="1:55">
      <c r="A527" s="1" t="str">
        <f>'Population Definitions'!$A$15</f>
        <v>Prisoners_PWID_females</v>
      </c>
      <c r="C527" t="s">
        <v>34</v>
      </c>
      <c r="D527" s="3"/>
      <c r="E527" s="3">
        <v>0</v>
      </c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  <c r="AG527" s="3"/>
      <c r="AH527" s="3"/>
      <c r="AI527" s="3"/>
      <c r="AJ527" s="3"/>
      <c r="AK527" s="3"/>
      <c r="AL527" s="3"/>
      <c r="AM527" s="3"/>
      <c r="AN527" s="3"/>
      <c r="AO527" s="3"/>
      <c r="AP527" s="3"/>
      <c r="AQ527" s="3"/>
      <c r="AR527" s="3"/>
      <c r="AS527" s="3"/>
      <c r="AT527" s="3"/>
      <c r="AU527" s="3"/>
      <c r="AV527" s="3"/>
      <c r="AW527" s="3"/>
      <c r="AX527" s="3"/>
      <c r="AY527" s="3"/>
      <c r="AZ527" s="3"/>
      <c r="BA527" s="3"/>
      <c r="BB527" s="3"/>
      <c r="BC527" s="3"/>
    </row>
    <row r="529" spans="1:55">
      <c r="A529" s="1" t="s">
        <v>160</v>
      </c>
      <c r="B529" s="1" t="s">
        <v>31</v>
      </c>
      <c r="C529" s="1" t="s">
        <v>32</v>
      </c>
      <c r="D529" s="1" t="s">
        <v>33</v>
      </c>
      <c r="E529" s="1">
        <v>2000</v>
      </c>
      <c r="F529" s="1">
        <v>2001</v>
      </c>
      <c r="G529" s="1">
        <v>2002</v>
      </c>
      <c r="H529" s="1">
        <v>2003</v>
      </c>
      <c r="I529" s="1">
        <v>2004</v>
      </c>
      <c r="J529" s="1">
        <v>2005</v>
      </c>
      <c r="K529" s="1">
        <v>2006</v>
      </c>
      <c r="L529" s="1">
        <v>2007</v>
      </c>
      <c r="M529" s="1">
        <v>2008</v>
      </c>
      <c r="N529" s="1">
        <v>2009</v>
      </c>
      <c r="O529" s="1">
        <v>2010</v>
      </c>
      <c r="P529" s="1">
        <v>2011</v>
      </c>
      <c r="Q529" s="1">
        <v>2012</v>
      </c>
      <c r="R529" s="1">
        <v>2013</v>
      </c>
      <c r="S529" s="1">
        <v>2014</v>
      </c>
      <c r="T529" s="1">
        <v>2015</v>
      </c>
      <c r="U529" s="1">
        <v>2016</v>
      </c>
      <c r="V529" s="1">
        <v>2017</v>
      </c>
      <c r="W529" s="1">
        <v>2018</v>
      </c>
      <c r="X529" s="1">
        <v>2019</v>
      </c>
      <c r="Y529" s="1">
        <v>2020</v>
      </c>
      <c r="Z529" s="1">
        <v>2021</v>
      </c>
      <c r="AA529" s="1">
        <v>2022</v>
      </c>
      <c r="AB529" s="1">
        <v>2023</v>
      </c>
      <c r="AC529" s="1">
        <v>2024</v>
      </c>
      <c r="AD529" s="1">
        <v>2025</v>
      </c>
      <c r="AE529" s="1">
        <v>2026</v>
      </c>
      <c r="AF529" s="1">
        <v>2027</v>
      </c>
      <c r="AG529" s="1">
        <v>2028</v>
      </c>
      <c r="AH529" s="1">
        <v>2029</v>
      </c>
      <c r="AI529" s="1">
        <v>2030</v>
      </c>
      <c r="AJ529" s="1">
        <v>2031</v>
      </c>
      <c r="AK529" s="1">
        <v>2032</v>
      </c>
      <c r="AL529" s="1">
        <v>2033</v>
      </c>
      <c r="AM529" s="1">
        <v>2034</v>
      </c>
      <c r="AN529" s="1">
        <v>2035</v>
      </c>
      <c r="AO529" s="1">
        <v>2036</v>
      </c>
      <c r="AP529" s="1">
        <v>2037</v>
      </c>
      <c r="AQ529" s="1">
        <v>2038</v>
      </c>
      <c r="AR529" s="1">
        <v>2039</v>
      </c>
      <c r="AS529" s="1">
        <v>2040</v>
      </c>
      <c r="AT529" s="1">
        <v>2041</v>
      </c>
      <c r="AU529" s="1">
        <v>2042</v>
      </c>
      <c r="AV529" s="1">
        <v>2043</v>
      </c>
      <c r="AW529" s="1">
        <v>2044</v>
      </c>
      <c r="AX529" s="1">
        <v>2045</v>
      </c>
      <c r="AY529" s="1">
        <v>2046</v>
      </c>
      <c r="AZ529" s="1">
        <v>2047</v>
      </c>
      <c r="BA529" s="1">
        <v>2048</v>
      </c>
      <c r="BB529" s="1">
        <v>2049</v>
      </c>
      <c r="BC529" s="1">
        <v>2050</v>
      </c>
    </row>
    <row r="530" spans="1:55">
      <c r="A530" s="1" t="str">
        <f>'Population Definitions'!$A$2</f>
        <v>PWID_males</v>
      </c>
      <c r="C530" t="s">
        <v>34</v>
      </c>
      <c r="D530" s="3"/>
      <c r="E530" s="3">
        <v>7402.302000733587</v>
      </c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  <c r="AG530" s="3"/>
      <c r="AH530" s="3"/>
      <c r="AI530" s="3"/>
      <c r="AJ530" s="3"/>
      <c r="AK530" s="3"/>
      <c r="AL530" s="3"/>
      <c r="AM530" s="3"/>
      <c r="AN530" s="3"/>
      <c r="AO530" s="3"/>
      <c r="AP530" s="3"/>
      <c r="AQ530" s="3"/>
      <c r="AR530" s="3"/>
      <c r="AS530" s="3"/>
      <c r="AT530" s="3"/>
      <c r="AU530" s="3"/>
      <c r="AV530" s="3"/>
      <c r="AW530" s="3"/>
      <c r="AX530" s="3"/>
      <c r="AY530" s="3"/>
      <c r="AZ530" s="3"/>
      <c r="BA530" s="3"/>
      <c r="BB530" s="3"/>
      <c r="BC530" s="3"/>
    </row>
    <row r="531" spans="1:55">
      <c r="A531" s="1" t="str">
        <f>'Population Definitions'!$A$3</f>
        <v>PWID_females</v>
      </c>
      <c r="C531" t="s">
        <v>34</v>
      </c>
      <c r="D531" s="3"/>
      <c r="E531" s="3">
        <v>2088.905459244433</v>
      </c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  <c r="AG531" s="3"/>
      <c r="AH531" s="3"/>
      <c r="AI531" s="3"/>
      <c r="AJ531" s="3"/>
      <c r="AK531" s="3"/>
      <c r="AL531" s="3"/>
      <c r="AM531" s="3"/>
      <c r="AN531" s="3"/>
      <c r="AO531" s="3"/>
      <c r="AP531" s="3"/>
      <c r="AQ531" s="3"/>
      <c r="AR531" s="3"/>
      <c r="AS531" s="3"/>
      <c r="AT531" s="3"/>
      <c r="AU531" s="3"/>
      <c r="AV531" s="3"/>
      <c r="AW531" s="3"/>
      <c r="AX531" s="3"/>
      <c r="AY531" s="3"/>
      <c r="AZ531" s="3"/>
      <c r="BA531" s="3"/>
      <c r="BB531" s="3"/>
      <c r="BC531" s="3"/>
    </row>
    <row r="532" spans="1:55">
      <c r="A532" s="1" t="str">
        <f>'Population Definitions'!$A$4</f>
        <v>0-9_males</v>
      </c>
      <c r="C532" t="s">
        <v>34</v>
      </c>
      <c r="D532" s="3"/>
      <c r="E532" s="3">
        <v>0</v>
      </c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  <c r="AG532" s="3"/>
      <c r="AH532" s="3"/>
      <c r="AI532" s="3"/>
      <c r="AJ532" s="3"/>
      <c r="AK532" s="3"/>
      <c r="AL532" s="3"/>
      <c r="AM532" s="3"/>
      <c r="AN532" s="3"/>
      <c r="AO532" s="3"/>
      <c r="AP532" s="3"/>
      <c r="AQ532" s="3"/>
      <c r="AR532" s="3"/>
      <c r="AS532" s="3"/>
      <c r="AT532" s="3"/>
      <c r="AU532" s="3"/>
      <c r="AV532" s="3"/>
      <c r="AW532" s="3"/>
      <c r="AX532" s="3"/>
      <c r="AY532" s="3"/>
      <c r="AZ532" s="3"/>
      <c r="BA532" s="3"/>
      <c r="BB532" s="3"/>
      <c r="BC532" s="3"/>
    </row>
    <row r="533" spans="1:55">
      <c r="A533" s="1" t="str">
        <f>'Population Definitions'!$A$5</f>
        <v>0-9_females</v>
      </c>
      <c r="C533" t="s">
        <v>34</v>
      </c>
      <c r="D533" s="3"/>
      <c r="E533" s="3">
        <v>0</v>
      </c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  <c r="AG533" s="3"/>
      <c r="AH533" s="3"/>
      <c r="AI533" s="3"/>
      <c r="AJ533" s="3"/>
      <c r="AK533" s="3"/>
      <c r="AL533" s="3"/>
      <c r="AM533" s="3"/>
      <c r="AN533" s="3"/>
      <c r="AO533" s="3"/>
      <c r="AP533" s="3"/>
      <c r="AQ533" s="3"/>
      <c r="AR533" s="3"/>
      <c r="AS533" s="3"/>
      <c r="AT533" s="3"/>
      <c r="AU533" s="3"/>
      <c r="AV533" s="3"/>
      <c r="AW533" s="3"/>
      <c r="AX533" s="3"/>
      <c r="AY533" s="3"/>
      <c r="AZ533" s="3"/>
      <c r="BA533" s="3"/>
      <c r="BB533" s="3"/>
      <c r="BC533" s="3"/>
    </row>
    <row r="534" spans="1:55">
      <c r="A534" s="1" t="str">
        <f>'Population Definitions'!$A$6</f>
        <v>10-17_males</v>
      </c>
      <c r="C534" t="s">
        <v>34</v>
      </c>
      <c r="D534" s="3"/>
      <c r="E534" s="3">
        <v>0</v>
      </c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  <c r="AG534" s="3"/>
      <c r="AH534" s="3"/>
      <c r="AI534" s="3"/>
      <c r="AJ534" s="3"/>
      <c r="AK534" s="3"/>
      <c r="AL534" s="3"/>
      <c r="AM534" s="3"/>
      <c r="AN534" s="3"/>
      <c r="AO534" s="3"/>
      <c r="AP534" s="3"/>
      <c r="AQ534" s="3"/>
      <c r="AR534" s="3"/>
      <c r="AS534" s="3"/>
      <c r="AT534" s="3"/>
      <c r="AU534" s="3"/>
      <c r="AV534" s="3"/>
      <c r="AW534" s="3"/>
      <c r="AX534" s="3"/>
      <c r="AY534" s="3"/>
      <c r="AZ534" s="3"/>
      <c r="BA534" s="3"/>
      <c r="BB534" s="3"/>
      <c r="BC534" s="3"/>
    </row>
    <row r="535" spans="1:55">
      <c r="A535" s="1" t="str">
        <f>'Population Definitions'!$A$7</f>
        <v>10-17_females</v>
      </c>
      <c r="C535" t="s">
        <v>34</v>
      </c>
      <c r="D535" s="3"/>
      <c r="E535" s="3">
        <v>0</v>
      </c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  <c r="AG535" s="3"/>
      <c r="AH535" s="3"/>
      <c r="AI535" s="3"/>
      <c r="AJ535" s="3"/>
      <c r="AK535" s="3"/>
      <c r="AL535" s="3"/>
      <c r="AM535" s="3"/>
      <c r="AN535" s="3"/>
      <c r="AO535" s="3"/>
      <c r="AP535" s="3"/>
      <c r="AQ535" s="3"/>
      <c r="AR535" s="3"/>
      <c r="AS535" s="3"/>
      <c r="AT535" s="3"/>
      <c r="AU535" s="3"/>
      <c r="AV535" s="3"/>
      <c r="AW535" s="3"/>
      <c r="AX535" s="3"/>
      <c r="AY535" s="3"/>
      <c r="AZ535" s="3"/>
      <c r="BA535" s="3"/>
      <c r="BB535" s="3"/>
      <c r="BC535" s="3"/>
    </row>
    <row r="536" spans="1:55">
      <c r="A536" s="1" t="str">
        <f>'Population Definitions'!$A$8</f>
        <v>18-64_males</v>
      </c>
      <c r="C536" t="s">
        <v>34</v>
      </c>
      <c r="D536" s="3"/>
      <c r="E536" s="3">
        <v>14277.4290606877</v>
      </c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  <c r="AG536" s="3"/>
      <c r="AH536" s="3"/>
      <c r="AI536" s="3"/>
      <c r="AJ536" s="3"/>
      <c r="AK536" s="3"/>
      <c r="AL536" s="3"/>
      <c r="AM536" s="3"/>
      <c r="AN536" s="3"/>
      <c r="AO536" s="3"/>
      <c r="AP536" s="3"/>
      <c r="AQ536" s="3"/>
      <c r="AR536" s="3"/>
      <c r="AS536" s="3"/>
      <c r="AT536" s="3"/>
      <c r="AU536" s="3"/>
      <c r="AV536" s="3"/>
      <c r="AW536" s="3"/>
      <c r="AX536" s="3"/>
      <c r="AY536" s="3"/>
      <c r="AZ536" s="3"/>
      <c r="BA536" s="3"/>
      <c r="BB536" s="3"/>
      <c r="BC536" s="3"/>
    </row>
    <row r="537" spans="1:55">
      <c r="A537" s="1" t="str">
        <f>'Population Definitions'!$A$9</f>
        <v>18-64_females</v>
      </c>
      <c r="C537" t="s">
        <v>34</v>
      </c>
      <c r="D537" s="3"/>
      <c r="E537" s="3">
        <v>15103.94852940542</v>
      </c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  <c r="AG537" s="3"/>
      <c r="AH537" s="3"/>
      <c r="AI537" s="3"/>
      <c r="AJ537" s="3"/>
      <c r="AK537" s="3"/>
      <c r="AL537" s="3"/>
      <c r="AM537" s="3"/>
      <c r="AN537" s="3"/>
      <c r="AO537" s="3"/>
      <c r="AP537" s="3"/>
      <c r="AQ537" s="3"/>
      <c r="AR537" s="3"/>
      <c r="AS537" s="3"/>
      <c r="AT537" s="3"/>
      <c r="AU537" s="3"/>
      <c r="AV537" s="3"/>
      <c r="AW537" s="3"/>
      <c r="AX537" s="3"/>
      <c r="AY537" s="3"/>
      <c r="AZ537" s="3"/>
      <c r="BA537" s="3"/>
      <c r="BB537" s="3"/>
      <c r="BC537" s="3"/>
    </row>
    <row r="538" spans="1:55">
      <c r="A538" s="1" t="str">
        <f>'Population Definitions'!$A$10</f>
        <v>65+_males</v>
      </c>
      <c r="C538" t="s">
        <v>34</v>
      </c>
      <c r="D538" s="3"/>
      <c r="E538" s="3">
        <v>818.0352151024074</v>
      </c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  <c r="AG538" s="3"/>
      <c r="AH538" s="3"/>
      <c r="AI538" s="3"/>
      <c r="AJ538" s="3"/>
      <c r="AK538" s="3"/>
      <c r="AL538" s="3"/>
      <c r="AM538" s="3"/>
      <c r="AN538" s="3"/>
      <c r="AO538" s="3"/>
      <c r="AP538" s="3"/>
      <c r="AQ538" s="3"/>
      <c r="AR538" s="3"/>
      <c r="AS538" s="3"/>
      <c r="AT538" s="3"/>
      <c r="AU538" s="3"/>
      <c r="AV538" s="3"/>
      <c r="AW538" s="3"/>
      <c r="AX538" s="3"/>
      <c r="AY538" s="3"/>
      <c r="AZ538" s="3"/>
      <c r="BA538" s="3"/>
      <c r="BB538" s="3"/>
      <c r="BC538" s="3"/>
    </row>
    <row r="539" spans="1:55">
      <c r="A539" s="1" t="str">
        <f>'Population Definitions'!$A$11</f>
        <v>65+_females</v>
      </c>
      <c r="C539" t="s">
        <v>34</v>
      </c>
      <c r="D539" s="3"/>
      <c r="E539" s="3">
        <v>1006.80200853238</v>
      </c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  <c r="AG539" s="3"/>
      <c r="AH539" s="3"/>
      <c r="AI539" s="3"/>
      <c r="AJ539" s="3"/>
      <c r="AK539" s="3"/>
      <c r="AL539" s="3"/>
      <c r="AM539" s="3"/>
      <c r="AN539" s="3"/>
      <c r="AO539" s="3"/>
      <c r="AP539" s="3"/>
      <c r="AQ539" s="3"/>
      <c r="AR539" s="3"/>
      <c r="AS539" s="3"/>
      <c r="AT539" s="3"/>
      <c r="AU539" s="3"/>
      <c r="AV539" s="3"/>
      <c r="AW539" s="3"/>
      <c r="AX539" s="3"/>
      <c r="AY539" s="3"/>
      <c r="AZ539" s="3"/>
      <c r="BA539" s="3"/>
      <c r="BB539" s="3"/>
      <c r="BC539" s="3"/>
    </row>
    <row r="540" spans="1:55">
      <c r="A540" s="1" t="str">
        <f>'Population Definitions'!$A$12</f>
        <v>Prisoners_males</v>
      </c>
      <c r="C540" t="s">
        <v>34</v>
      </c>
      <c r="D540" s="3"/>
      <c r="E540" s="3">
        <v>21.03154946101991</v>
      </c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  <c r="AG540" s="3"/>
      <c r="AH540" s="3"/>
      <c r="AI540" s="3"/>
      <c r="AJ540" s="3"/>
      <c r="AK540" s="3"/>
      <c r="AL540" s="3"/>
      <c r="AM540" s="3"/>
      <c r="AN540" s="3"/>
      <c r="AO540" s="3"/>
      <c r="AP540" s="3"/>
      <c r="AQ540" s="3"/>
      <c r="AR540" s="3"/>
      <c r="AS540" s="3"/>
      <c r="AT540" s="3"/>
      <c r="AU540" s="3"/>
      <c r="AV540" s="3"/>
      <c r="AW540" s="3"/>
      <c r="AX540" s="3"/>
      <c r="AY540" s="3"/>
      <c r="AZ540" s="3"/>
      <c r="BA540" s="3"/>
      <c r="BB540" s="3"/>
      <c r="BC540" s="3"/>
    </row>
    <row r="541" spans="1:55">
      <c r="A541" s="1" t="str">
        <f>'Population Definitions'!$A$13</f>
        <v>Prisoners_females</v>
      </c>
      <c r="C541" t="s">
        <v>34</v>
      </c>
      <c r="D541" s="3"/>
      <c r="E541" s="3">
        <v>0.7177260932923033</v>
      </c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  <c r="AG541" s="3"/>
      <c r="AH541" s="3"/>
      <c r="AI541" s="3"/>
      <c r="AJ541" s="3"/>
      <c r="AK541" s="3"/>
      <c r="AL541" s="3"/>
      <c r="AM541" s="3"/>
      <c r="AN541" s="3"/>
      <c r="AO541" s="3"/>
      <c r="AP541" s="3"/>
      <c r="AQ541" s="3"/>
      <c r="AR541" s="3"/>
      <c r="AS541" s="3"/>
      <c r="AT541" s="3"/>
      <c r="AU541" s="3"/>
      <c r="AV541" s="3"/>
      <c r="AW541" s="3"/>
      <c r="AX541" s="3"/>
      <c r="AY541" s="3"/>
      <c r="AZ541" s="3"/>
      <c r="BA541" s="3"/>
      <c r="BB541" s="3"/>
      <c r="BC541" s="3"/>
    </row>
    <row r="542" spans="1:55">
      <c r="A542" s="1" t="str">
        <f>'Population Definitions'!$A$14</f>
        <v>Prisoners_PWID_males</v>
      </c>
      <c r="C542" t="s">
        <v>34</v>
      </c>
      <c r="D542" s="3"/>
      <c r="E542" s="3">
        <v>2265.289530105342</v>
      </c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  <c r="AG542" s="3"/>
      <c r="AH542" s="3"/>
      <c r="AI542" s="3"/>
      <c r="AJ542" s="3"/>
      <c r="AK542" s="3"/>
      <c r="AL542" s="3"/>
      <c r="AM542" s="3"/>
      <c r="AN542" s="3"/>
      <c r="AO542" s="3"/>
      <c r="AP542" s="3"/>
      <c r="AQ542" s="3"/>
      <c r="AR542" s="3"/>
      <c r="AS542" s="3"/>
      <c r="AT542" s="3"/>
      <c r="AU542" s="3"/>
      <c r="AV542" s="3"/>
      <c r="AW542" s="3"/>
      <c r="AX542" s="3"/>
      <c r="AY542" s="3"/>
      <c r="AZ542" s="3"/>
      <c r="BA542" s="3"/>
      <c r="BB542" s="3"/>
      <c r="BC542" s="3"/>
    </row>
    <row r="543" spans="1:55">
      <c r="A543" s="1" t="str">
        <f>'Population Definitions'!$A$15</f>
        <v>Prisoners_PWID_females</v>
      </c>
      <c r="C543" t="s">
        <v>34</v>
      </c>
      <c r="D543" s="3"/>
      <c r="E543" s="3">
        <v>77.30564063441193</v>
      </c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  <c r="AG543" s="3"/>
      <c r="AH543" s="3"/>
      <c r="AI543" s="3"/>
      <c r="AJ543" s="3"/>
      <c r="AK543" s="3"/>
      <c r="AL543" s="3"/>
      <c r="AM543" s="3"/>
      <c r="AN543" s="3"/>
      <c r="AO543" s="3"/>
      <c r="AP543" s="3"/>
      <c r="AQ543" s="3"/>
      <c r="AR543" s="3"/>
      <c r="AS543" s="3"/>
      <c r="AT543" s="3"/>
      <c r="AU543" s="3"/>
      <c r="AV543" s="3"/>
      <c r="AW543" s="3"/>
      <c r="AX543" s="3"/>
      <c r="AY543" s="3"/>
      <c r="AZ543" s="3"/>
      <c r="BA543" s="3"/>
      <c r="BB543" s="3"/>
      <c r="BC543" s="3"/>
    </row>
    <row r="545" spans="1:55">
      <c r="A545" s="1" t="s">
        <v>161</v>
      </c>
      <c r="B545" s="1" t="s">
        <v>31</v>
      </c>
      <c r="C545" s="1" t="s">
        <v>32</v>
      </c>
      <c r="D545" s="1" t="s">
        <v>33</v>
      </c>
      <c r="E545" s="1">
        <v>2000</v>
      </c>
      <c r="F545" s="1">
        <v>2001</v>
      </c>
      <c r="G545" s="1">
        <v>2002</v>
      </c>
      <c r="H545" s="1">
        <v>2003</v>
      </c>
      <c r="I545" s="1">
        <v>2004</v>
      </c>
      <c r="J545" s="1">
        <v>2005</v>
      </c>
      <c r="K545" s="1">
        <v>2006</v>
      </c>
      <c r="L545" s="1">
        <v>2007</v>
      </c>
      <c r="M545" s="1">
        <v>2008</v>
      </c>
      <c r="N545" s="1">
        <v>2009</v>
      </c>
      <c r="O545" s="1">
        <v>2010</v>
      </c>
      <c r="P545" s="1">
        <v>2011</v>
      </c>
      <c r="Q545" s="1">
        <v>2012</v>
      </c>
      <c r="R545" s="1">
        <v>2013</v>
      </c>
      <c r="S545" s="1">
        <v>2014</v>
      </c>
      <c r="T545" s="1">
        <v>2015</v>
      </c>
      <c r="U545" s="1">
        <v>2016</v>
      </c>
      <c r="V545" s="1">
        <v>2017</v>
      </c>
      <c r="W545" s="1">
        <v>2018</v>
      </c>
      <c r="X545" s="1">
        <v>2019</v>
      </c>
      <c r="Y545" s="1">
        <v>2020</v>
      </c>
      <c r="Z545" s="1">
        <v>2021</v>
      </c>
      <c r="AA545" s="1">
        <v>2022</v>
      </c>
      <c r="AB545" s="1">
        <v>2023</v>
      </c>
      <c r="AC545" s="1">
        <v>2024</v>
      </c>
      <c r="AD545" s="1">
        <v>2025</v>
      </c>
      <c r="AE545" s="1">
        <v>2026</v>
      </c>
      <c r="AF545" s="1">
        <v>2027</v>
      </c>
      <c r="AG545" s="1">
        <v>2028</v>
      </c>
      <c r="AH545" s="1">
        <v>2029</v>
      </c>
      <c r="AI545" s="1">
        <v>2030</v>
      </c>
      <c r="AJ545" s="1">
        <v>2031</v>
      </c>
      <c r="AK545" s="1">
        <v>2032</v>
      </c>
      <c r="AL545" s="1">
        <v>2033</v>
      </c>
      <c r="AM545" s="1">
        <v>2034</v>
      </c>
      <c r="AN545" s="1">
        <v>2035</v>
      </c>
      <c r="AO545" s="1">
        <v>2036</v>
      </c>
      <c r="AP545" s="1">
        <v>2037</v>
      </c>
      <c r="AQ545" s="1">
        <v>2038</v>
      </c>
      <c r="AR545" s="1">
        <v>2039</v>
      </c>
      <c r="AS545" s="1">
        <v>2040</v>
      </c>
      <c r="AT545" s="1">
        <v>2041</v>
      </c>
      <c r="AU545" s="1">
        <v>2042</v>
      </c>
      <c r="AV545" s="1">
        <v>2043</v>
      </c>
      <c r="AW545" s="1">
        <v>2044</v>
      </c>
      <c r="AX545" s="1">
        <v>2045</v>
      </c>
      <c r="AY545" s="1">
        <v>2046</v>
      </c>
      <c r="AZ545" s="1">
        <v>2047</v>
      </c>
      <c r="BA545" s="1">
        <v>2048</v>
      </c>
      <c r="BB545" s="1">
        <v>2049</v>
      </c>
      <c r="BC545" s="1">
        <v>2050</v>
      </c>
    </row>
    <row r="546" spans="1:55">
      <c r="A546" s="1" t="str">
        <f>'Population Definitions'!$A$2</f>
        <v>PWID_males</v>
      </c>
      <c r="C546" t="s">
        <v>34</v>
      </c>
      <c r="D546" s="3"/>
      <c r="E546" s="3">
        <v>7402.302000733587</v>
      </c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/>
      <c r="AC546" s="3"/>
      <c r="AD546" s="3"/>
      <c r="AE546" s="3"/>
      <c r="AF546" s="3"/>
      <c r="AG546" s="3"/>
      <c r="AH546" s="3"/>
      <c r="AI546" s="3"/>
      <c r="AJ546" s="3"/>
      <c r="AK546" s="3"/>
      <c r="AL546" s="3"/>
      <c r="AM546" s="3"/>
      <c r="AN546" s="3"/>
      <c r="AO546" s="3"/>
      <c r="AP546" s="3"/>
      <c r="AQ546" s="3"/>
      <c r="AR546" s="3"/>
      <c r="AS546" s="3"/>
      <c r="AT546" s="3"/>
      <c r="AU546" s="3"/>
      <c r="AV546" s="3"/>
      <c r="AW546" s="3"/>
      <c r="AX546" s="3"/>
      <c r="AY546" s="3"/>
      <c r="AZ546" s="3"/>
      <c r="BA546" s="3"/>
      <c r="BB546" s="3"/>
      <c r="BC546" s="3"/>
    </row>
    <row r="547" spans="1:55">
      <c r="A547" s="1" t="str">
        <f>'Population Definitions'!$A$3</f>
        <v>PWID_females</v>
      </c>
      <c r="C547" t="s">
        <v>34</v>
      </c>
      <c r="D547" s="3"/>
      <c r="E547" s="3">
        <v>2088.905459244433</v>
      </c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/>
      <c r="AC547" s="3"/>
      <c r="AD547" s="3"/>
      <c r="AE547" s="3"/>
      <c r="AF547" s="3"/>
      <c r="AG547" s="3"/>
      <c r="AH547" s="3"/>
      <c r="AI547" s="3"/>
      <c r="AJ547" s="3"/>
      <c r="AK547" s="3"/>
      <c r="AL547" s="3"/>
      <c r="AM547" s="3"/>
      <c r="AN547" s="3"/>
      <c r="AO547" s="3"/>
      <c r="AP547" s="3"/>
      <c r="AQ547" s="3"/>
      <c r="AR547" s="3"/>
      <c r="AS547" s="3"/>
      <c r="AT547" s="3"/>
      <c r="AU547" s="3"/>
      <c r="AV547" s="3"/>
      <c r="AW547" s="3"/>
      <c r="AX547" s="3"/>
      <c r="AY547" s="3"/>
      <c r="AZ547" s="3"/>
      <c r="BA547" s="3"/>
      <c r="BB547" s="3"/>
      <c r="BC547" s="3"/>
    </row>
    <row r="548" spans="1:55">
      <c r="A548" s="1" t="str">
        <f>'Population Definitions'!$A$4</f>
        <v>0-9_males</v>
      </c>
      <c r="C548" t="s">
        <v>34</v>
      </c>
      <c r="D548" s="3"/>
      <c r="E548" s="3">
        <v>0</v>
      </c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  <c r="AF548" s="3"/>
      <c r="AG548" s="3"/>
      <c r="AH548" s="3"/>
      <c r="AI548" s="3"/>
      <c r="AJ548" s="3"/>
      <c r="AK548" s="3"/>
      <c r="AL548" s="3"/>
      <c r="AM548" s="3"/>
      <c r="AN548" s="3"/>
      <c r="AO548" s="3"/>
      <c r="AP548" s="3"/>
      <c r="AQ548" s="3"/>
      <c r="AR548" s="3"/>
      <c r="AS548" s="3"/>
      <c r="AT548" s="3"/>
      <c r="AU548" s="3"/>
      <c r="AV548" s="3"/>
      <c r="AW548" s="3"/>
      <c r="AX548" s="3"/>
      <c r="AY548" s="3"/>
      <c r="AZ548" s="3"/>
      <c r="BA548" s="3"/>
      <c r="BB548" s="3"/>
      <c r="BC548" s="3"/>
    </row>
    <row r="549" spans="1:55">
      <c r="A549" s="1" t="str">
        <f>'Population Definitions'!$A$5</f>
        <v>0-9_females</v>
      </c>
      <c r="C549" t="s">
        <v>34</v>
      </c>
      <c r="D549" s="3"/>
      <c r="E549" s="3">
        <v>0</v>
      </c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  <c r="AG549" s="3"/>
      <c r="AH549" s="3"/>
      <c r="AI549" s="3"/>
      <c r="AJ549" s="3"/>
      <c r="AK549" s="3"/>
      <c r="AL549" s="3"/>
      <c r="AM549" s="3"/>
      <c r="AN549" s="3"/>
      <c r="AO549" s="3"/>
      <c r="AP549" s="3"/>
      <c r="AQ549" s="3"/>
      <c r="AR549" s="3"/>
      <c r="AS549" s="3"/>
      <c r="AT549" s="3"/>
      <c r="AU549" s="3"/>
      <c r="AV549" s="3"/>
      <c r="AW549" s="3"/>
      <c r="AX549" s="3"/>
      <c r="AY549" s="3"/>
      <c r="AZ549" s="3"/>
      <c r="BA549" s="3"/>
      <c r="BB549" s="3"/>
      <c r="BC549" s="3"/>
    </row>
    <row r="550" spans="1:55">
      <c r="A550" s="1" t="str">
        <f>'Population Definitions'!$A$6</f>
        <v>10-17_males</v>
      </c>
      <c r="C550" t="s">
        <v>34</v>
      </c>
      <c r="D550" s="3"/>
      <c r="E550" s="3">
        <v>0</v>
      </c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3"/>
      <c r="AG550" s="3"/>
      <c r="AH550" s="3"/>
      <c r="AI550" s="3"/>
      <c r="AJ550" s="3"/>
      <c r="AK550" s="3"/>
      <c r="AL550" s="3"/>
      <c r="AM550" s="3"/>
      <c r="AN550" s="3"/>
      <c r="AO550" s="3"/>
      <c r="AP550" s="3"/>
      <c r="AQ550" s="3"/>
      <c r="AR550" s="3"/>
      <c r="AS550" s="3"/>
      <c r="AT550" s="3"/>
      <c r="AU550" s="3"/>
      <c r="AV550" s="3"/>
      <c r="AW550" s="3"/>
      <c r="AX550" s="3"/>
      <c r="AY550" s="3"/>
      <c r="AZ550" s="3"/>
      <c r="BA550" s="3"/>
      <c r="BB550" s="3"/>
      <c r="BC550" s="3"/>
    </row>
    <row r="551" spans="1:55">
      <c r="A551" s="1" t="str">
        <f>'Population Definitions'!$A$7</f>
        <v>10-17_females</v>
      </c>
      <c r="C551" t="s">
        <v>34</v>
      </c>
      <c r="D551" s="3"/>
      <c r="E551" s="3">
        <v>0</v>
      </c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  <c r="AF551" s="3"/>
      <c r="AG551" s="3"/>
      <c r="AH551" s="3"/>
      <c r="AI551" s="3"/>
      <c r="AJ551" s="3"/>
      <c r="AK551" s="3"/>
      <c r="AL551" s="3"/>
      <c r="AM551" s="3"/>
      <c r="AN551" s="3"/>
      <c r="AO551" s="3"/>
      <c r="AP551" s="3"/>
      <c r="AQ551" s="3"/>
      <c r="AR551" s="3"/>
      <c r="AS551" s="3"/>
      <c r="AT551" s="3"/>
      <c r="AU551" s="3"/>
      <c r="AV551" s="3"/>
      <c r="AW551" s="3"/>
      <c r="AX551" s="3"/>
      <c r="AY551" s="3"/>
      <c r="AZ551" s="3"/>
      <c r="BA551" s="3"/>
      <c r="BB551" s="3"/>
      <c r="BC551" s="3"/>
    </row>
    <row r="552" spans="1:55">
      <c r="A552" s="1" t="str">
        <f>'Population Definitions'!$A$8</f>
        <v>18-64_males</v>
      </c>
      <c r="C552" t="s">
        <v>34</v>
      </c>
      <c r="D552" s="3"/>
      <c r="E552" s="3">
        <v>14277.4290606877</v>
      </c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3"/>
      <c r="AG552" s="3"/>
      <c r="AH552" s="3"/>
      <c r="AI552" s="3"/>
      <c r="AJ552" s="3"/>
      <c r="AK552" s="3"/>
      <c r="AL552" s="3"/>
      <c r="AM552" s="3"/>
      <c r="AN552" s="3"/>
      <c r="AO552" s="3"/>
      <c r="AP552" s="3"/>
      <c r="AQ552" s="3"/>
      <c r="AR552" s="3"/>
      <c r="AS552" s="3"/>
      <c r="AT552" s="3"/>
      <c r="AU552" s="3"/>
      <c r="AV552" s="3"/>
      <c r="AW552" s="3"/>
      <c r="AX552" s="3"/>
      <c r="AY552" s="3"/>
      <c r="AZ552" s="3"/>
      <c r="BA552" s="3"/>
      <c r="BB552" s="3"/>
      <c r="BC552" s="3"/>
    </row>
    <row r="553" spans="1:55">
      <c r="A553" s="1" t="str">
        <f>'Population Definitions'!$A$9</f>
        <v>18-64_females</v>
      </c>
      <c r="C553" t="s">
        <v>34</v>
      </c>
      <c r="D553" s="3"/>
      <c r="E553" s="3">
        <v>15103.94852940542</v>
      </c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  <c r="AF553" s="3"/>
      <c r="AG553" s="3"/>
      <c r="AH553" s="3"/>
      <c r="AI553" s="3"/>
      <c r="AJ553" s="3"/>
      <c r="AK553" s="3"/>
      <c r="AL553" s="3"/>
      <c r="AM553" s="3"/>
      <c r="AN553" s="3"/>
      <c r="AO553" s="3"/>
      <c r="AP553" s="3"/>
      <c r="AQ553" s="3"/>
      <c r="AR553" s="3"/>
      <c r="AS553" s="3"/>
      <c r="AT553" s="3"/>
      <c r="AU553" s="3"/>
      <c r="AV553" s="3"/>
      <c r="AW553" s="3"/>
      <c r="AX553" s="3"/>
      <c r="AY553" s="3"/>
      <c r="AZ553" s="3"/>
      <c r="BA553" s="3"/>
      <c r="BB553" s="3"/>
      <c r="BC553" s="3"/>
    </row>
    <row r="554" spans="1:55">
      <c r="A554" s="1" t="str">
        <f>'Population Definitions'!$A$10</f>
        <v>65+_males</v>
      </c>
      <c r="C554" t="s">
        <v>34</v>
      </c>
      <c r="D554" s="3"/>
      <c r="E554" s="3">
        <v>818.0352151024074</v>
      </c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  <c r="AF554" s="3"/>
      <c r="AG554" s="3"/>
      <c r="AH554" s="3"/>
      <c r="AI554" s="3"/>
      <c r="AJ554" s="3"/>
      <c r="AK554" s="3"/>
      <c r="AL554" s="3"/>
      <c r="AM554" s="3"/>
      <c r="AN554" s="3"/>
      <c r="AO554" s="3"/>
      <c r="AP554" s="3"/>
      <c r="AQ554" s="3"/>
      <c r="AR554" s="3"/>
      <c r="AS554" s="3"/>
      <c r="AT554" s="3"/>
      <c r="AU554" s="3"/>
      <c r="AV554" s="3"/>
      <c r="AW554" s="3"/>
      <c r="AX554" s="3"/>
      <c r="AY554" s="3"/>
      <c r="AZ554" s="3"/>
      <c r="BA554" s="3"/>
      <c r="BB554" s="3"/>
      <c r="BC554" s="3"/>
    </row>
    <row r="555" spans="1:55">
      <c r="A555" s="1" t="str">
        <f>'Population Definitions'!$A$11</f>
        <v>65+_females</v>
      </c>
      <c r="C555" t="s">
        <v>34</v>
      </c>
      <c r="D555" s="3"/>
      <c r="E555" s="3">
        <v>1006.80200853238</v>
      </c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  <c r="AF555" s="3"/>
      <c r="AG555" s="3"/>
      <c r="AH555" s="3"/>
      <c r="AI555" s="3"/>
      <c r="AJ555" s="3"/>
      <c r="AK555" s="3"/>
      <c r="AL555" s="3"/>
      <c r="AM555" s="3"/>
      <c r="AN555" s="3"/>
      <c r="AO555" s="3"/>
      <c r="AP555" s="3"/>
      <c r="AQ555" s="3"/>
      <c r="AR555" s="3"/>
      <c r="AS555" s="3"/>
      <c r="AT555" s="3"/>
      <c r="AU555" s="3"/>
      <c r="AV555" s="3"/>
      <c r="AW555" s="3"/>
      <c r="AX555" s="3"/>
      <c r="AY555" s="3"/>
      <c r="AZ555" s="3"/>
      <c r="BA555" s="3"/>
      <c r="BB555" s="3"/>
      <c r="BC555" s="3"/>
    </row>
    <row r="556" spans="1:55">
      <c r="A556" s="1" t="str">
        <f>'Population Definitions'!$A$12</f>
        <v>Prisoners_males</v>
      </c>
      <c r="C556" t="s">
        <v>34</v>
      </c>
      <c r="D556" s="3"/>
      <c r="E556" s="3">
        <v>21.03154946101991</v>
      </c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  <c r="AF556" s="3"/>
      <c r="AG556" s="3"/>
      <c r="AH556" s="3"/>
      <c r="AI556" s="3"/>
      <c r="AJ556" s="3"/>
      <c r="AK556" s="3"/>
      <c r="AL556" s="3"/>
      <c r="AM556" s="3"/>
      <c r="AN556" s="3"/>
      <c r="AO556" s="3"/>
      <c r="AP556" s="3"/>
      <c r="AQ556" s="3"/>
      <c r="AR556" s="3"/>
      <c r="AS556" s="3"/>
      <c r="AT556" s="3"/>
      <c r="AU556" s="3"/>
      <c r="AV556" s="3"/>
      <c r="AW556" s="3"/>
      <c r="AX556" s="3"/>
      <c r="AY556" s="3"/>
      <c r="AZ556" s="3"/>
      <c r="BA556" s="3"/>
      <c r="BB556" s="3"/>
      <c r="BC556" s="3"/>
    </row>
    <row r="557" spans="1:55">
      <c r="A557" s="1" t="str">
        <f>'Population Definitions'!$A$13</f>
        <v>Prisoners_females</v>
      </c>
      <c r="C557" t="s">
        <v>34</v>
      </c>
      <c r="D557" s="3"/>
      <c r="E557" s="3">
        <v>0.7177260932923033</v>
      </c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  <c r="AF557" s="3"/>
      <c r="AG557" s="3"/>
      <c r="AH557" s="3"/>
      <c r="AI557" s="3"/>
      <c r="AJ557" s="3"/>
      <c r="AK557" s="3"/>
      <c r="AL557" s="3"/>
      <c r="AM557" s="3"/>
      <c r="AN557" s="3"/>
      <c r="AO557" s="3"/>
      <c r="AP557" s="3"/>
      <c r="AQ557" s="3"/>
      <c r="AR557" s="3"/>
      <c r="AS557" s="3"/>
      <c r="AT557" s="3"/>
      <c r="AU557" s="3"/>
      <c r="AV557" s="3"/>
      <c r="AW557" s="3"/>
      <c r="AX557" s="3"/>
      <c r="AY557" s="3"/>
      <c r="AZ557" s="3"/>
      <c r="BA557" s="3"/>
      <c r="BB557" s="3"/>
      <c r="BC557" s="3"/>
    </row>
    <row r="558" spans="1:55">
      <c r="A558" s="1" t="str">
        <f>'Population Definitions'!$A$14</f>
        <v>Prisoners_PWID_males</v>
      </c>
      <c r="C558" t="s">
        <v>34</v>
      </c>
      <c r="D558" s="3"/>
      <c r="E558" s="3">
        <v>2265.289530105342</v>
      </c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  <c r="AF558" s="3"/>
      <c r="AG558" s="3"/>
      <c r="AH558" s="3"/>
      <c r="AI558" s="3"/>
      <c r="AJ558" s="3"/>
      <c r="AK558" s="3"/>
      <c r="AL558" s="3"/>
      <c r="AM558" s="3"/>
      <c r="AN558" s="3"/>
      <c r="AO558" s="3"/>
      <c r="AP558" s="3"/>
      <c r="AQ558" s="3"/>
      <c r="AR558" s="3"/>
      <c r="AS558" s="3"/>
      <c r="AT558" s="3"/>
      <c r="AU558" s="3"/>
      <c r="AV558" s="3"/>
      <c r="AW558" s="3"/>
      <c r="AX558" s="3"/>
      <c r="AY558" s="3"/>
      <c r="AZ558" s="3"/>
      <c r="BA558" s="3"/>
      <c r="BB558" s="3"/>
      <c r="BC558" s="3"/>
    </row>
    <row r="559" spans="1:55">
      <c r="A559" s="1" t="str">
        <f>'Population Definitions'!$A$15</f>
        <v>Prisoners_PWID_females</v>
      </c>
      <c r="C559" t="s">
        <v>34</v>
      </c>
      <c r="D559" s="3"/>
      <c r="E559" s="3">
        <v>77.30564063441193</v>
      </c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  <c r="AF559" s="3"/>
      <c r="AG559" s="3"/>
      <c r="AH559" s="3"/>
      <c r="AI559" s="3"/>
      <c r="AJ559" s="3"/>
      <c r="AK559" s="3"/>
      <c r="AL559" s="3"/>
      <c r="AM559" s="3"/>
      <c r="AN559" s="3"/>
      <c r="AO559" s="3"/>
      <c r="AP559" s="3"/>
      <c r="AQ559" s="3"/>
      <c r="AR559" s="3"/>
      <c r="AS559" s="3"/>
      <c r="AT559" s="3"/>
      <c r="AU559" s="3"/>
      <c r="AV559" s="3"/>
      <c r="AW559" s="3"/>
      <c r="AX559" s="3"/>
      <c r="AY559" s="3"/>
      <c r="AZ559" s="3"/>
      <c r="BA559" s="3"/>
      <c r="BB559" s="3"/>
      <c r="BC559" s="3"/>
    </row>
    <row r="561" spans="1:55">
      <c r="A561" s="1" t="s">
        <v>162</v>
      </c>
      <c r="B561" s="1" t="s">
        <v>31</v>
      </c>
      <c r="C561" s="1" t="s">
        <v>32</v>
      </c>
      <c r="D561" s="1" t="s">
        <v>33</v>
      </c>
      <c r="E561" s="1">
        <v>2000</v>
      </c>
      <c r="F561" s="1">
        <v>2001</v>
      </c>
      <c r="G561" s="1">
        <v>2002</v>
      </c>
      <c r="H561" s="1">
        <v>2003</v>
      </c>
      <c r="I561" s="1">
        <v>2004</v>
      </c>
      <c r="J561" s="1">
        <v>2005</v>
      </c>
      <c r="K561" s="1">
        <v>2006</v>
      </c>
      <c r="L561" s="1">
        <v>2007</v>
      </c>
      <c r="M561" s="1">
        <v>2008</v>
      </c>
      <c r="N561" s="1">
        <v>2009</v>
      </c>
      <c r="O561" s="1">
        <v>2010</v>
      </c>
      <c r="P561" s="1">
        <v>2011</v>
      </c>
      <c r="Q561" s="1">
        <v>2012</v>
      </c>
      <c r="R561" s="1">
        <v>2013</v>
      </c>
      <c r="S561" s="1">
        <v>2014</v>
      </c>
      <c r="T561" s="1">
        <v>2015</v>
      </c>
      <c r="U561" s="1">
        <v>2016</v>
      </c>
      <c r="V561" s="1">
        <v>2017</v>
      </c>
      <c r="W561" s="1">
        <v>2018</v>
      </c>
      <c r="X561" s="1">
        <v>2019</v>
      </c>
      <c r="Y561" s="1">
        <v>2020</v>
      </c>
      <c r="Z561" s="1">
        <v>2021</v>
      </c>
      <c r="AA561" s="1">
        <v>2022</v>
      </c>
      <c r="AB561" s="1">
        <v>2023</v>
      </c>
      <c r="AC561" s="1">
        <v>2024</v>
      </c>
      <c r="AD561" s="1">
        <v>2025</v>
      </c>
      <c r="AE561" s="1">
        <v>2026</v>
      </c>
      <c r="AF561" s="1">
        <v>2027</v>
      </c>
      <c r="AG561" s="1">
        <v>2028</v>
      </c>
      <c r="AH561" s="1">
        <v>2029</v>
      </c>
      <c r="AI561" s="1">
        <v>2030</v>
      </c>
      <c r="AJ561" s="1">
        <v>2031</v>
      </c>
      <c r="AK561" s="1">
        <v>2032</v>
      </c>
      <c r="AL561" s="1">
        <v>2033</v>
      </c>
      <c r="AM561" s="1">
        <v>2034</v>
      </c>
      <c r="AN561" s="1">
        <v>2035</v>
      </c>
      <c r="AO561" s="1">
        <v>2036</v>
      </c>
      <c r="AP561" s="1">
        <v>2037</v>
      </c>
      <c r="AQ561" s="1">
        <v>2038</v>
      </c>
      <c r="AR561" s="1">
        <v>2039</v>
      </c>
      <c r="AS561" s="1">
        <v>2040</v>
      </c>
      <c r="AT561" s="1">
        <v>2041</v>
      </c>
      <c r="AU561" s="1">
        <v>2042</v>
      </c>
      <c r="AV561" s="1">
        <v>2043</v>
      </c>
      <c r="AW561" s="1">
        <v>2044</v>
      </c>
      <c r="AX561" s="1">
        <v>2045</v>
      </c>
      <c r="AY561" s="1">
        <v>2046</v>
      </c>
      <c r="AZ561" s="1">
        <v>2047</v>
      </c>
      <c r="BA561" s="1">
        <v>2048</v>
      </c>
      <c r="BB561" s="1">
        <v>2049</v>
      </c>
      <c r="BC561" s="1">
        <v>2050</v>
      </c>
    </row>
    <row r="562" spans="1:55">
      <c r="A562" s="1" t="str">
        <f>'Population Definitions'!$A$2</f>
        <v>PWID_males</v>
      </c>
      <c r="C562" t="s">
        <v>34</v>
      </c>
      <c r="D562" s="3"/>
      <c r="E562" s="3">
        <v>1850.575500183397</v>
      </c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  <c r="AF562" s="3"/>
      <c r="AG562" s="3"/>
      <c r="AH562" s="3"/>
      <c r="AI562" s="3"/>
      <c r="AJ562" s="3"/>
      <c r="AK562" s="3"/>
      <c r="AL562" s="3"/>
      <c r="AM562" s="3"/>
      <c r="AN562" s="3"/>
      <c r="AO562" s="3"/>
      <c r="AP562" s="3"/>
      <c r="AQ562" s="3"/>
      <c r="AR562" s="3"/>
      <c r="AS562" s="3"/>
      <c r="AT562" s="3"/>
      <c r="AU562" s="3"/>
      <c r="AV562" s="3"/>
      <c r="AW562" s="3"/>
      <c r="AX562" s="3"/>
      <c r="AY562" s="3"/>
      <c r="AZ562" s="3"/>
      <c r="BA562" s="3"/>
      <c r="BB562" s="3"/>
      <c r="BC562" s="3"/>
    </row>
    <row r="563" spans="1:55">
      <c r="A563" s="1" t="str">
        <f>'Population Definitions'!$A$3</f>
        <v>PWID_females</v>
      </c>
      <c r="C563" t="s">
        <v>34</v>
      </c>
      <c r="D563" s="3"/>
      <c r="E563" s="3">
        <v>522.2263648111083</v>
      </c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  <c r="AF563" s="3"/>
      <c r="AG563" s="3"/>
      <c r="AH563" s="3"/>
      <c r="AI563" s="3"/>
      <c r="AJ563" s="3"/>
      <c r="AK563" s="3"/>
      <c r="AL563" s="3"/>
      <c r="AM563" s="3"/>
      <c r="AN563" s="3"/>
      <c r="AO563" s="3"/>
      <c r="AP563" s="3"/>
      <c r="AQ563" s="3"/>
      <c r="AR563" s="3"/>
      <c r="AS563" s="3"/>
      <c r="AT563" s="3"/>
      <c r="AU563" s="3"/>
      <c r="AV563" s="3"/>
      <c r="AW563" s="3"/>
      <c r="AX563" s="3"/>
      <c r="AY563" s="3"/>
      <c r="AZ563" s="3"/>
      <c r="BA563" s="3"/>
      <c r="BB563" s="3"/>
      <c r="BC563" s="3"/>
    </row>
    <row r="564" spans="1:55">
      <c r="A564" s="1" t="str">
        <f>'Population Definitions'!$A$4</f>
        <v>0-9_males</v>
      </c>
      <c r="C564" t="s">
        <v>34</v>
      </c>
      <c r="D564" s="3"/>
      <c r="E564" s="3">
        <v>0</v>
      </c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  <c r="AG564" s="3"/>
      <c r="AH564" s="3"/>
      <c r="AI564" s="3"/>
      <c r="AJ564" s="3"/>
      <c r="AK564" s="3"/>
      <c r="AL564" s="3"/>
      <c r="AM564" s="3"/>
      <c r="AN564" s="3"/>
      <c r="AO564" s="3"/>
      <c r="AP564" s="3"/>
      <c r="AQ564" s="3"/>
      <c r="AR564" s="3"/>
      <c r="AS564" s="3"/>
      <c r="AT564" s="3"/>
      <c r="AU564" s="3"/>
      <c r="AV564" s="3"/>
      <c r="AW564" s="3"/>
      <c r="AX564" s="3"/>
      <c r="AY564" s="3"/>
      <c r="AZ564" s="3"/>
      <c r="BA564" s="3"/>
      <c r="BB564" s="3"/>
      <c r="BC564" s="3"/>
    </row>
    <row r="565" spans="1:55">
      <c r="A565" s="1" t="str">
        <f>'Population Definitions'!$A$5</f>
        <v>0-9_females</v>
      </c>
      <c r="C565" t="s">
        <v>34</v>
      </c>
      <c r="D565" s="3"/>
      <c r="E565" s="3">
        <v>0</v>
      </c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  <c r="AF565" s="3"/>
      <c r="AG565" s="3"/>
      <c r="AH565" s="3"/>
      <c r="AI565" s="3"/>
      <c r="AJ565" s="3"/>
      <c r="AK565" s="3"/>
      <c r="AL565" s="3"/>
      <c r="AM565" s="3"/>
      <c r="AN565" s="3"/>
      <c r="AO565" s="3"/>
      <c r="AP565" s="3"/>
      <c r="AQ565" s="3"/>
      <c r="AR565" s="3"/>
      <c r="AS565" s="3"/>
      <c r="AT565" s="3"/>
      <c r="AU565" s="3"/>
      <c r="AV565" s="3"/>
      <c r="AW565" s="3"/>
      <c r="AX565" s="3"/>
      <c r="AY565" s="3"/>
      <c r="AZ565" s="3"/>
      <c r="BA565" s="3"/>
      <c r="BB565" s="3"/>
      <c r="BC565" s="3"/>
    </row>
    <row r="566" spans="1:55">
      <c r="A566" s="1" t="str">
        <f>'Population Definitions'!$A$6</f>
        <v>10-17_males</v>
      </c>
      <c r="C566" t="s">
        <v>34</v>
      </c>
      <c r="D566" s="3"/>
      <c r="E566" s="3">
        <v>0</v>
      </c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  <c r="AG566" s="3"/>
      <c r="AH566" s="3"/>
      <c r="AI566" s="3"/>
      <c r="AJ566" s="3"/>
      <c r="AK566" s="3"/>
      <c r="AL566" s="3"/>
      <c r="AM566" s="3"/>
      <c r="AN566" s="3"/>
      <c r="AO566" s="3"/>
      <c r="AP566" s="3"/>
      <c r="AQ566" s="3"/>
      <c r="AR566" s="3"/>
      <c r="AS566" s="3"/>
      <c r="AT566" s="3"/>
      <c r="AU566" s="3"/>
      <c r="AV566" s="3"/>
      <c r="AW566" s="3"/>
      <c r="AX566" s="3"/>
      <c r="AY566" s="3"/>
      <c r="AZ566" s="3"/>
      <c r="BA566" s="3"/>
      <c r="BB566" s="3"/>
      <c r="BC566" s="3"/>
    </row>
    <row r="567" spans="1:55">
      <c r="A567" s="1" t="str">
        <f>'Population Definitions'!$A$7</f>
        <v>10-17_females</v>
      </c>
      <c r="C567" t="s">
        <v>34</v>
      </c>
      <c r="D567" s="3"/>
      <c r="E567" s="3">
        <v>0</v>
      </c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3"/>
      <c r="AG567" s="3"/>
      <c r="AH567" s="3"/>
      <c r="AI567" s="3"/>
      <c r="AJ567" s="3"/>
      <c r="AK567" s="3"/>
      <c r="AL567" s="3"/>
      <c r="AM567" s="3"/>
      <c r="AN567" s="3"/>
      <c r="AO567" s="3"/>
      <c r="AP567" s="3"/>
      <c r="AQ567" s="3"/>
      <c r="AR567" s="3"/>
      <c r="AS567" s="3"/>
      <c r="AT567" s="3"/>
      <c r="AU567" s="3"/>
      <c r="AV567" s="3"/>
      <c r="AW567" s="3"/>
      <c r="AX567" s="3"/>
      <c r="AY567" s="3"/>
      <c r="AZ567" s="3"/>
      <c r="BA567" s="3"/>
      <c r="BB567" s="3"/>
      <c r="BC567" s="3"/>
    </row>
    <row r="568" spans="1:55">
      <c r="A568" s="1" t="str">
        <f>'Population Definitions'!$A$8</f>
        <v>18-64_males</v>
      </c>
      <c r="C568" t="s">
        <v>34</v>
      </c>
      <c r="D568" s="3"/>
      <c r="E568" s="3">
        <v>3569.357265171926</v>
      </c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3"/>
      <c r="AG568" s="3"/>
      <c r="AH568" s="3"/>
      <c r="AI568" s="3"/>
      <c r="AJ568" s="3"/>
      <c r="AK568" s="3"/>
      <c r="AL568" s="3"/>
      <c r="AM568" s="3"/>
      <c r="AN568" s="3"/>
      <c r="AO568" s="3"/>
      <c r="AP568" s="3"/>
      <c r="AQ568" s="3"/>
      <c r="AR568" s="3"/>
      <c r="AS568" s="3"/>
      <c r="AT568" s="3"/>
      <c r="AU568" s="3"/>
      <c r="AV568" s="3"/>
      <c r="AW568" s="3"/>
      <c r="AX568" s="3"/>
      <c r="AY568" s="3"/>
      <c r="AZ568" s="3"/>
      <c r="BA568" s="3"/>
      <c r="BB568" s="3"/>
      <c r="BC568" s="3"/>
    </row>
    <row r="569" spans="1:55">
      <c r="A569" s="1" t="str">
        <f>'Population Definitions'!$A$9</f>
        <v>18-64_females</v>
      </c>
      <c r="C569" t="s">
        <v>34</v>
      </c>
      <c r="D569" s="3"/>
      <c r="E569" s="3">
        <v>3775.987132351356</v>
      </c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  <c r="AF569" s="3"/>
      <c r="AG569" s="3"/>
      <c r="AH569" s="3"/>
      <c r="AI569" s="3"/>
      <c r="AJ569" s="3"/>
      <c r="AK569" s="3"/>
      <c r="AL569" s="3"/>
      <c r="AM569" s="3"/>
      <c r="AN569" s="3"/>
      <c r="AO569" s="3"/>
      <c r="AP569" s="3"/>
      <c r="AQ569" s="3"/>
      <c r="AR569" s="3"/>
      <c r="AS569" s="3"/>
      <c r="AT569" s="3"/>
      <c r="AU569" s="3"/>
      <c r="AV569" s="3"/>
      <c r="AW569" s="3"/>
      <c r="AX569" s="3"/>
      <c r="AY569" s="3"/>
      <c r="AZ569" s="3"/>
      <c r="BA569" s="3"/>
      <c r="BB569" s="3"/>
      <c r="BC569" s="3"/>
    </row>
    <row r="570" spans="1:55">
      <c r="A570" s="1" t="str">
        <f>'Population Definitions'!$A$10</f>
        <v>65+_males</v>
      </c>
      <c r="C570" t="s">
        <v>34</v>
      </c>
      <c r="D570" s="3"/>
      <c r="E570" s="3">
        <v>204.5088037756018</v>
      </c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  <c r="AG570" s="3"/>
      <c r="AH570" s="3"/>
      <c r="AI570" s="3"/>
      <c r="AJ570" s="3"/>
      <c r="AK570" s="3"/>
      <c r="AL570" s="3"/>
      <c r="AM570" s="3"/>
      <c r="AN570" s="3"/>
      <c r="AO570" s="3"/>
      <c r="AP570" s="3"/>
      <c r="AQ570" s="3"/>
      <c r="AR570" s="3"/>
      <c r="AS570" s="3"/>
      <c r="AT570" s="3"/>
      <c r="AU570" s="3"/>
      <c r="AV570" s="3"/>
      <c r="AW570" s="3"/>
      <c r="AX570" s="3"/>
      <c r="AY570" s="3"/>
      <c r="AZ570" s="3"/>
      <c r="BA570" s="3"/>
      <c r="BB570" s="3"/>
      <c r="BC570" s="3"/>
    </row>
    <row r="571" spans="1:55">
      <c r="A571" s="1" t="str">
        <f>'Population Definitions'!$A$11</f>
        <v>65+_females</v>
      </c>
      <c r="C571" t="s">
        <v>34</v>
      </c>
      <c r="D571" s="3"/>
      <c r="E571" s="3">
        <v>251.700502133095</v>
      </c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  <c r="AG571" s="3"/>
      <c r="AH571" s="3"/>
      <c r="AI571" s="3"/>
      <c r="AJ571" s="3"/>
      <c r="AK571" s="3"/>
      <c r="AL571" s="3"/>
      <c r="AM571" s="3"/>
      <c r="AN571" s="3"/>
      <c r="AO571" s="3"/>
      <c r="AP571" s="3"/>
      <c r="AQ571" s="3"/>
      <c r="AR571" s="3"/>
      <c r="AS571" s="3"/>
      <c r="AT571" s="3"/>
      <c r="AU571" s="3"/>
      <c r="AV571" s="3"/>
      <c r="AW571" s="3"/>
      <c r="AX571" s="3"/>
      <c r="AY571" s="3"/>
      <c r="AZ571" s="3"/>
      <c r="BA571" s="3"/>
      <c r="BB571" s="3"/>
      <c r="BC571" s="3"/>
    </row>
    <row r="572" spans="1:55">
      <c r="A572" s="1" t="str">
        <f>'Population Definitions'!$A$12</f>
        <v>Prisoners_males</v>
      </c>
      <c r="C572" t="s">
        <v>34</v>
      </c>
      <c r="D572" s="3"/>
      <c r="E572" s="3">
        <v>5.257887365254978</v>
      </c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  <c r="AC572" s="3"/>
      <c r="AD572" s="3"/>
      <c r="AE572" s="3"/>
      <c r="AF572" s="3"/>
      <c r="AG572" s="3"/>
      <c r="AH572" s="3"/>
      <c r="AI572" s="3"/>
      <c r="AJ572" s="3"/>
      <c r="AK572" s="3"/>
      <c r="AL572" s="3"/>
      <c r="AM572" s="3"/>
      <c r="AN572" s="3"/>
      <c r="AO572" s="3"/>
      <c r="AP572" s="3"/>
      <c r="AQ572" s="3"/>
      <c r="AR572" s="3"/>
      <c r="AS572" s="3"/>
      <c r="AT572" s="3"/>
      <c r="AU572" s="3"/>
      <c r="AV572" s="3"/>
      <c r="AW572" s="3"/>
      <c r="AX572" s="3"/>
      <c r="AY572" s="3"/>
      <c r="AZ572" s="3"/>
      <c r="BA572" s="3"/>
      <c r="BB572" s="3"/>
      <c r="BC572" s="3"/>
    </row>
    <row r="573" spans="1:55">
      <c r="A573" s="1" t="str">
        <f>'Population Definitions'!$A$13</f>
        <v>Prisoners_females</v>
      </c>
      <c r="C573" t="s">
        <v>34</v>
      </c>
      <c r="D573" s="3"/>
      <c r="E573" s="3">
        <v>0.1794315233230758</v>
      </c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/>
      <c r="AC573" s="3"/>
      <c r="AD573" s="3"/>
      <c r="AE573" s="3"/>
      <c r="AF573" s="3"/>
      <c r="AG573" s="3"/>
      <c r="AH573" s="3"/>
      <c r="AI573" s="3"/>
      <c r="AJ573" s="3"/>
      <c r="AK573" s="3"/>
      <c r="AL573" s="3"/>
      <c r="AM573" s="3"/>
      <c r="AN573" s="3"/>
      <c r="AO573" s="3"/>
      <c r="AP573" s="3"/>
      <c r="AQ573" s="3"/>
      <c r="AR573" s="3"/>
      <c r="AS573" s="3"/>
      <c r="AT573" s="3"/>
      <c r="AU573" s="3"/>
      <c r="AV573" s="3"/>
      <c r="AW573" s="3"/>
      <c r="AX573" s="3"/>
      <c r="AY573" s="3"/>
      <c r="AZ573" s="3"/>
      <c r="BA573" s="3"/>
      <c r="BB573" s="3"/>
      <c r="BC573" s="3"/>
    </row>
    <row r="574" spans="1:55">
      <c r="A574" s="1" t="str">
        <f>'Population Definitions'!$A$14</f>
        <v>Prisoners_PWID_males</v>
      </c>
      <c r="C574" t="s">
        <v>34</v>
      </c>
      <c r="D574" s="3"/>
      <c r="E574" s="3">
        <v>566.3223825263354</v>
      </c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  <c r="AE574" s="3"/>
      <c r="AF574" s="3"/>
      <c r="AG574" s="3"/>
      <c r="AH574" s="3"/>
      <c r="AI574" s="3"/>
      <c r="AJ574" s="3"/>
      <c r="AK574" s="3"/>
      <c r="AL574" s="3"/>
      <c r="AM574" s="3"/>
      <c r="AN574" s="3"/>
      <c r="AO574" s="3"/>
      <c r="AP574" s="3"/>
      <c r="AQ574" s="3"/>
      <c r="AR574" s="3"/>
      <c r="AS574" s="3"/>
      <c r="AT574" s="3"/>
      <c r="AU574" s="3"/>
      <c r="AV574" s="3"/>
      <c r="AW574" s="3"/>
      <c r="AX574" s="3"/>
      <c r="AY574" s="3"/>
      <c r="AZ574" s="3"/>
      <c r="BA574" s="3"/>
      <c r="BB574" s="3"/>
      <c r="BC574" s="3"/>
    </row>
    <row r="575" spans="1:55">
      <c r="A575" s="1" t="str">
        <f>'Population Definitions'!$A$15</f>
        <v>Prisoners_PWID_females</v>
      </c>
      <c r="C575" t="s">
        <v>34</v>
      </c>
      <c r="D575" s="3"/>
      <c r="E575" s="3">
        <v>19.32641015860298</v>
      </c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  <c r="AE575" s="3"/>
      <c r="AF575" s="3"/>
      <c r="AG575" s="3"/>
      <c r="AH575" s="3"/>
      <c r="AI575" s="3"/>
      <c r="AJ575" s="3"/>
      <c r="AK575" s="3"/>
      <c r="AL575" s="3"/>
      <c r="AM575" s="3"/>
      <c r="AN575" s="3"/>
      <c r="AO575" s="3"/>
      <c r="AP575" s="3"/>
      <c r="AQ575" s="3"/>
      <c r="AR575" s="3"/>
      <c r="AS575" s="3"/>
      <c r="AT575" s="3"/>
      <c r="AU575" s="3"/>
      <c r="AV575" s="3"/>
      <c r="AW575" s="3"/>
      <c r="AX575" s="3"/>
      <c r="AY575" s="3"/>
      <c r="AZ575" s="3"/>
      <c r="BA575" s="3"/>
      <c r="BB575" s="3"/>
      <c r="BC575" s="3"/>
    </row>
    <row r="577" spans="1:55">
      <c r="A577" s="1" t="s">
        <v>163</v>
      </c>
      <c r="B577" s="1" t="s">
        <v>31</v>
      </c>
      <c r="C577" s="1" t="s">
        <v>32</v>
      </c>
      <c r="D577" s="1" t="s">
        <v>33</v>
      </c>
      <c r="E577" s="1">
        <v>2000</v>
      </c>
      <c r="F577" s="1">
        <v>2001</v>
      </c>
      <c r="G577" s="1">
        <v>2002</v>
      </c>
      <c r="H577" s="1">
        <v>2003</v>
      </c>
      <c r="I577" s="1">
        <v>2004</v>
      </c>
      <c r="J577" s="1">
        <v>2005</v>
      </c>
      <c r="K577" s="1">
        <v>2006</v>
      </c>
      <c r="L577" s="1">
        <v>2007</v>
      </c>
      <c r="M577" s="1">
        <v>2008</v>
      </c>
      <c r="N577" s="1">
        <v>2009</v>
      </c>
      <c r="O577" s="1">
        <v>2010</v>
      </c>
      <c r="P577" s="1">
        <v>2011</v>
      </c>
      <c r="Q577" s="1">
        <v>2012</v>
      </c>
      <c r="R577" s="1">
        <v>2013</v>
      </c>
      <c r="S577" s="1">
        <v>2014</v>
      </c>
      <c r="T577" s="1">
        <v>2015</v>
      </c>
      <c r="U577" s="1">
        <v>2016</v>
      </c>
      <c r="V577" s="1">
        <v>2017</v>
      </c>
      <c r="W577" s="1">
        <v>2018</v>
      </c>
      <c r="X577" s="1">
        <v>2019</v>
      </c>
      <c r="Y577" s="1">
        <v>2020</v>
      </c>
      <c r="Z577" s="1">
        <v>2021</v>
      </c>
      <c r="AA577" s="1">
        <v>2022</v>
      </c>
      <c r="AB577" s="1">
        <v>2023</v>
      </c>
      <c r="AC577" s="1">
        <v>2024</v>
      </c>
      <c r="AD577" s="1">
        <v>2025</v>
      </c>
      <c r="AE577" s="1">
        <v>2026</v>
      </c>
      <c r="AF577" s="1">
        <v>2027</v>
      </c>
      <c r="AG577" s="1">
        <v>2028</v>
      </c>
      <c r="AH577" s="1">
        <v>2029</v>
      </c>
      <c r="AI577" s="1">
        <v>2030</v>
      </c>
      <c r="AJ577" s="1">
        <v>2031</v>
      </c>
      <c r="AK577" s="1">
        <v>2032</v>
      </c>
      <c r="AL577" s="1">
        <v>2033</v>
      </c>
      <c r="AM577" s="1">
        <v>2034</v>
      </c>
      <c r="AN577" s="1">
        <v>2035</v>
      </c>
      <c r="AO577" s="1">
        <v>2036</v>
      </c>
      <c r="AP577" s="1">
        <v>2037</v>
      </c>
      <c r="AQ577" s="1">
        <v>2038</v>
      </c>
      <c r="AR577" s="1">
        <v>2039</v>
      </c>
      <c r="AS577" s="1">
        <v>2040</v>
      </c>
      <c r="AT577" s="1">
        <v>2041</v>
      </c>
      <c r="AU577" s="1">
        <v>2042</v>
      </c>
      <c r="AV577" s="1">
        <v>2043</v>
      </c>
      <c r="AW577" s="1">
        <v>2044</v>
      </c>
      <c r="AX577" s="1">
        <v>2045</v>
      </c>
      <c r="AY577" s="1">
        <v>2046</v>
      </c>
      <c r="AZ577" s="1">
        <v>2047</v>
      </c>
      <c r="BA577" s="1">
        <v>2048</v>
      </c>
      <c r="BB577" s="1">
        <v>2049</v>
      </c>
      <c r="BC577" s="1">
        <v>2050</v>
      </c>
    </row>
    <row r="578" spans="1:55">
      <c r="A578" s="1" t="str">
        <f>'Population Definitions'!$A$2</f>
        <v>PWID_males</v>
      </c>
      <c r="C578" t="s">
        <v>34</v>
      </c>
      <c r="D578" s="3"/>
      <c r="E578" s="3">
        <v>528.7358571952562</v>
      </c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  <c r="AE578" s="3"/>
      <c r="AF578" s="3"/>
      <c r="AG578" s="3"/>
      <c r="AH578" s="3"/>
      <c r="AI578" s="3"/>
      <c r="AJ578" s="3"/>
      <c r="AK578" s="3"/>
      <c r="AL578" s="3"/>
      <c r="AM578" s="3"/>
      <c r="AN578" s="3"/>
      <c r="AO578" s="3"/>
      <c r="AP578" s="3"/>
      <c r="AQ578" s="3"/>
      <c r="AR578" s="3"/>
      <c r="AS578" s="3"/>
      <c r="AT578" s="3"/>
      <c r="AU578" s="3"/>
      <c r="AV578" s="3"/>
      <c r="AW578" s="3"/>
      <c r="AX578" s="3"/>
      <c r="AY578" s="3"/>
      <c r="AZ578" s="3"/>
      <c r="BA578" s="3"/>
      <c r="BB578" s="3"/>
      <c r="BC578" s="3"/>
    </row>
    <row r="579" spans="1:55">
      <c r="A579" s="1" t="str">
        <f>'Population Definitions'!$A$3</f>
        <v>PWID_females</v>
      </c>
      <c r="C579" t="s">
        <v>34</v>
      </c>
      <c r="D579" s="3"/>
      <c r="E579" s="3">
        <v>149.2075328031738</v>
      </c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  <c r="AE579" s="3"/>
      <c r="AF579" s="3"/>
      <c r="AG579" s="3"/>
      <c r="AH579" s="3"/>
      <c r="AI579" s="3"/>
      <c r="AJ579" s="3"/>
      <c r="AK579" s="3"/>
      <c r="AL579" s="3"/>
      <c r="AM579" s="3"/>
      <c r="AN579" s="3"/>
      <c r="AO579" s="3"/>
      <c r="AP579" s="3"/>
      <c r="AQ579" s="3"/>
      <c r="AR579" s="3"/>
      <c r="AS579" s="3"/>
      <c r="AT579" s="3"/>
      <c r="AU579" s="3"/>
      <c r="AV579" s="3"/>
      <c r="AW579" s="3"/>
      <c r="AX579" s="3"/>
      <c r="AY579" s="3"/>
      <c r="AZ579" s="3"/>
      <c r="BA579" s="3"/>
      <c r="BB579" s="3"/>
      <c r="BC579" s="3"/>
    </row>
    <row r="580" spans="1:55">
      <c r="A580" s="1" t="str">
        <f>'Population Definitions'!$A$4</f>
        <v>0-9_males</v>
      </c>
      <c r="C580" t="s">
        <v>34</v>
      </c>
      <c r="D580" s="3"/>
      <c r="E580" s="3">
        <v>0</v>
      </c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  <c r="AE580" s="3"/>
      <c r="AF580" s="3"/>
      <c r="AG580" s="3"/>
      <c r="AH580" s="3"/>
      <c r="AI580" s="3"/>
      <c r="AJ580" s="3"/>
      <c r="AK580" s="3"/>
      <c r="AL580" s="3"/>
      <c r="AM580" s="3"/>
      <c r="AN580" s="3"/>
      <c r="AO580" s="3"/>
      <c r="AP580" s="3"/>
      <c r="AQ580" s="3"/>
      <c r="AR580" s="3"/>
      <c r="AS580" s="3"/>
      <c r="AT580" s="3"/>
      <c r="AU580" s="3"/>
      <c r="AV580" s="3"/>
      <c r="AW580" s="3"/>
      <c r="AX580" s="3"/>
      <c r="AY580" s="3"/>
      <c r="AZ580" s="3"/>
      <c r="BA580" s="3"/>
      <c r="BB580" s="3"/>
      <c r="BC580" s="3"/>
    </row>
    <row r="581" spans="1:55">
      <c r="A581" s="1" t="str">
        <f>'Population Definitions'!$A$5</f>
        <v>0-9_females</v>
      </c>
      <c r="C581" t="s">
        <v>34</v>
      </c>
      <c r="D581" s="3"/>
      <c r="E581" s="3">
        <v>0</v>
      </c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  <c r="AE581" s="3"/>
      <c r="AF581" s="3"/>
      <c r="AG581" s="3"/>
      <c r="AH581" s="3"/>
      <c r="AI581" s="3"/>
      <c r="AJ581" s="3"/>
      <c r="AK581" s="3"/>
      <c r="AL581" s="3"/>
      <c r="AM581" s="3"/>
      <c r="AN581" s="3"/>
      <c r="AO581" s="3"/>
      <c r="AP581" s="3"/>
      <c r="AQ581" s="3"/>
      <c r="AR581" s="3"/>
      <c r="AS581" s="3"/>
      <c r="AT581" s="3"/>
      <c r="AU581" s="3"/>
      <c r="AV581" s="3"/>
      <c r="AW581" s="3"/>
      <c r="AX581" s="3"/>
      <c r="AY581" s="3"/>
      <c r="AZ581" s="3"/>
      <c r="BA581" s="3"/>
      <c r="BB581" s="3"/>
      <c r="BC581" s="3"/>
    </row>
    <row r="582" spans="1:55">
      <c r="A582" s="1" t="str">
        <f>'Population Definitions'!$A$6</f>
        <v>10-17_males</v>
      </c>
      <c r="C582" t="s">
        <v>34</v>
      </c>
      <c r="D582" s="3"/>
      <c r="E582" s="3">
        <v>0</v>
      </c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  <c r="AE582" s="3"/>
      <c r="AF582" s="3"/>
      <c r="AG582" s="3"/>
      <c r="AH582" s="3"/>
      <c r="AI582" s="3"/>
      <c r="AJ582" s="3"/>
      <c r="AK582" s="3"/>
      <c r="AL582" s="3"/>
      <c r="AM582" s="3"/>
      <c r="AN582" s="3"/>
      <c r="AO582" s="3"/>
      <c r="AP582" s="3"/>
      <c r="AQ582" s="3"/>
      <c r="AR582" s="3"/>
      <c r="AS582" s="3"/>
      <c r="AT582" s="3"/>
      <c r="AU582" s="3"/>
      <c r="AV582" s="3"/>
      <c r="AW582" s="3"/>
      <c r="AX582" s="3"/>
      <c r="AY582" s="3"/>
      <c r="AZ582" s="3"/>
      <c r="BA582" s="3"/>
      <c r="BB582" s="3"/>
      <c r="BC582" s="3"/>
    </row>
    <row r="583" spans="1:55">
      <c r="A583" s="1" t="str">
        <f>'Population Definitions'!$A$7</f>
        <v>10-17_females</v>
      </c>
      <c r="C583" t="s">
        <v>34</v>
      </c>
      <c r="D583" s="3"/>
      <c r="E583" s="3">
        <v>0</v>
      </c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  <c r="AE583" s="3"/>
      <c r="AF583" s="3"/>
      <c r="AG583" s="3"/>
      <c r="AH583" s="3"/>
      <c r="AI583" s="3"/>
      <c r="AJ583" s="3"/>
      <c r="AK583" s="3"/>
      <c r="AL583" s="3"/>
      <c r="AM583" s="3"/>
      <c r="AN583" s="3"/>
      <c r="AO583" s="3"/>
      <c r="AP583" s="3"/>
      <c r="AQ583" s="3"/>
      <c r="AR583" s="3"/>
      <c r="AS583" s="3"/>
      <c r="AT583" s="3"/>
      <c r="AU583" s="3"/>
      <c r="AV583" s="3"/>
      <c r="AW583" s="3"/>
      <c r="AX583" s="3"/>
      <c r="AY583" s="3"/>
      <c r="AZ583" s="3"/>
      <c r="BA583" s="3"/>
      <c r="BB583" s="3"/>
      <c r="BC583" s="3"/>
    </row>
    <row r="584" spans="1:55">
      <c r="A584" s="1" t="str">
        <f>'Population Definitions'!$A$8</f>
        <v>18-64_males</v>
      </c>
      <c r="C584" t="s">
        <v>34</v>
      </c>
      <c r="D584" s="3"/>
      <c r="E584" s="3">
        <v>1019.816361477693</v>
      </c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  <c r="AE584" s="3"/>
      <c r="AF584" s="3"/>
      <c r="AG584" s="3"/>
      <c r="AH584" s="3"/>
      <c r="AI584" s="3"/>
      <c r="AJ584" s="3"/>
      <c r="AK584" s="3"/>
      <c r="AL584" s="3"/>
      <c r="AM584" s="3"/>
      <c r="AN584" s="3"/>
      <c r="AO584" s="3"/>
      <c r="AP584" s="3"/>
      <c r="AQ584" s="3"/>
      <c r="AR584" s="3"/>
      <c r="AS584" s="3"/>
      <c r="AT584" s="3"/>
      <c r="AU584" s="3"/>
      <c r="AV584" s="3"/>
      <c r="AW584" s="3"/>
      <c r="AX584" s="3"/>
      <c r="AY584" s="3"/>
      <c r="AZ584" s="3"/>
      <c r="BA584" s="3"/>
      <c r="BB584" s="3"/>
      <c r="BC584" s="3"/>
    </row>
    <row r="585" spans="1:55">
      <c r="A585" s="1" t="str">
        <f>'Population Definitions'!$A$9</f>
        <v>18-64_females</v>
      </c>
      <c r="C585" t="s">
        <v>34</v>
      </c>
      <c r="D585" s="3"/>
      <c r="E585" s="3">
        <v>1078.853466386102</v>
      </c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  <c r="AE585" s="3"/>
      <c r="AF585" s="3"/>
      <c r="AG585" s="3"/>
      <c r="AH585" s="3"/>
      <c r="AI585" s="3"/>
      <c r="AJ585" s="3"/>
      <c r="AK585" s="3"/>
      <c r="AL585" s="3"/>
      <c r="AM585" s="3"/>
      <c r="AN585" s="3"/>
      <c r="AO585" s="3"/>
      <c r="AP585" s="3"/>
      <c r="AQ585" s="3"/>
      <c r="AR585" s="3"/>
      <c r="AS585" s="3"/>
      <c r="AT585" s="3"/>
      <c r="AU585" s="3"/>
      <c r="AV585" s="3"/>
      <c r="AW585" s="3"/>
      <c r="AX585" s="3"/>
      <c r="AY585" s="3"/>
      <c r="AZ585" s="3"/>
      <c r="BA585" s="3"/>
      <c r="BB585" s="3"/>
      <c r="BC585" s="3"/>
    </row>
    <row r="586" spans="1:55">
      <c r="A586" s="1" t="str">
        <f>'Population Definitions'!$A$10</f>
        <v>65+_males</v>
      </c>
      <c r="C586" t="s">
        <v>34</v>
      </c>
      <c r="D586" s="3"/>
      <c r="E586" s="3">
        <v>58.4310867930291</v>
      </c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  <c r="AE586" s="3"/>
      <c r="AF586" s="3"/>
      <c r="AG586" s="3"/>
      <c r="AH586" s="3"/>
      <c r="AI586" s="3"/>
      <c r="AJ586" s="3"/>
      <c r="AK586" s="3"/>
      <c r="AL586" s="3"/>
      <c r="AM586" s="3"/>
      <c r="AN586" s="3"/>
      <c r="AO586" s="3"/>
      <c r="AP586" s="3"/>
      <c r="AQ586" s="3"/>
      <c r="AR586" s="3"/>
      <c r="AS586" s="3"/>
      <c r="AT586" s="3"/>
      <c r="AU586" s="3"/>
      <c r="AV586" s="3"/>
      <c r="AW586" s="3"/>
      <c r="AX586" s="3"/>
      <c r="AY586" s="3"/>
      <c r="AZ586" s="3"/>
      <c r="BA586" s="3"/>
      <c r="BB586" s="3"/>
      <c r="BC586" s="3"/>
    </row>
    <row r="587" spans="1:55">
      <c r="A587" s="1" t="str">
        <f>'Population Definitions'!$A$11</f>
        <v>65+_females</v>
      </c>
      <c r="C587" t="s">
        <v>34</v>
      </c>
      <c r="D587" s="3"/>
      <c r="E587" s="3">
        <v>71.91442918088428</v>
      </c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  <c r="AE587" s="3"/>
      <c r="AF587" s="3"/>
      <c r="AG587" s="3"/>
      <c r="AH587" s="3"/>
      <c r="AI587" s="3"/>
      <c r="AJ587" s="3"/>
      <c r="AK587" s="3"/>
      <c r="AL587" s="3"/>
      <c r="AM587" s="3"/>
      <c r="AN587" s="3"/>
      <c r="AO587" s="3"/>
      <c r="AP587" s="3"/>
      <c r="AQ587" s="3"/>
      <c r="AR587" s="3"/>
      <c r="AS587" s="3"/>
      <c r="AT587" s="3"/>
      <c r="AU587" s="3"/>
      <c r="AV587" s="3"/>
      <c r="AW587" s="3"/>
      <c r="AX587" s="3"/>
      <c r="AY587" s="3"/>
      <c r="AZ587" s="3"/>
      <c r="BA587" s="3"/>
      <c r="BB587" s="3"/>
      <c r="BC587" s="3"/>
    </row>
    <row r="588" spans="1:55">
      <c r="A588" s="1" t="str">
        <f>'Population Definitions'!$A$12</f>
        <v>Prisoners_males</v>
      </c>
      <c r="C588" t="s">
        <v>34</v>
      </c>
      <c r="D588" s="3"/>
      <c r="E588" s="3">
        <v>1.502253532929994</v>
      </c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  <c r="AE588" s="3"/>
      <c r="AF588" s="3"/>
      <c r="AG588" s="3"/>
      <c r="AH588" s="3"/>
      <c r="AI588" s="3"/>
      <c r="AJ588" s="3"/>
      <c r="AK588" s="3"/>
      <c r="AL588" s="3"/>
      <c r="AM588" s="3"/>
      <c r="AN588" s="3"/>
      <c r="AO588" s="3"/>
      <c r="AP588" s="3"/>
      <c r="AQ588" s="3"/>
      <c r="AR588" s="3"/>
      <c r="AS588" s="3"/>
      <c r="AT588" s="3"/>
      <c r="AU588" s="3"/>
      <c r="AV588" s="3"/>
      <c r="AW588" s="3"/>
      <c r="AX588" s="3"/>
      <c r="AY588" s="3"/>
      <c r="AZ588" s="3"/>
      <c r="BA588" s="3"/>
      <c r="BB588" s="3"/>
      <c r="BC588" s="3"/>
    </row>
    <row r="589" spans="1:55">
      <c r="A589" s="1" t="str">
        <f>'Population Definitions'!$A$13</f>
        <v>Prisoners_females</v>
      </c>
      <c r="C589" t="s">
        <v>34</v>
      </c>
      <c r="D589" s="3"/>
      <c r="E589" s="3">
        <v>0.0512661495208788</v>
      </c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  <c r="AE589" s="3"/>
      <c r="AF589" s="3"/>
      <c r="AG589" s="3"/>
      <c r="AH589" s="3"/>
      <c r="AI589" s="3"/>
      <c r="AJ589" s="3"/>
      <c r="AK589" s="3"/>
      <c r="AL589" s="3"/>
      <c r="AM589" s="3"/>
      <c r="AN589" s="3"/>
      <c r="AO589" s="3"/>
      <c r="AP589" s="3"/>
      <c r="AQ589" s="3"/>
      <c r="AR589" s="3"/>
      <c r="AS589" s="3"/>
      <c r="AT589" s="3"/>
      <c r="AU589" s="3"/>
      <c r="AV589" s="3"/>
      <c r="AW589" s="3"/>
      <c r="AX589" s="3"/>
      <c r="AY589" s="3"/>
      <c r="AZ589" s="3"/>
      <c r="BA589" s="3"/>
      <c r="BB589" s="3"/>
      <c r="BC589" s="3"/>
    </row>
    <row r="590" spans="1:55">
      <c r="A590" s="1" t="str">
        <f>'Population Definitions'!$A$14</f>
        <v>Prisoners_PWID_males</v>
      </c>
      <c r="C590" t="s">
        <v>34</v>
      </c>
      <c r="D590" s="3"/>
      <c r="E590" s="3">
        <v>161.8063950075244</v>
      </c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  <c r="AE590" s="3"/>
      <c r="AF590" s="3"/>
      <c r="AG590" s="3"/>
      <c r="AH590" s="3"/>
      <c r="AI590" s="3"/>
      <c r="AJ590" s="3"/>
      <c r="AK590" s="3"/>
      <c r="AL590" s="3"/>
      <c r="AM590" s="3"/>
      <c r="AN590" s="3"/>
      <c r="AO590" s="3"/>
      <c r="AP590" s="3"/>
      <c r="AQ590" s="3"/>
      <c r="AR590" s="3"/>
      <c r="AS590" s="3"/>
      <c r="AT590" s="3"/>
      <c r="AU590" s="3"/>
      <c r="AV590" s="3"/>
      <c r="AW590" s="3"/>
      <c r="AX590" s="3"/>
      <c r="AY590" s="3"/>
      <c r="AZ590" s="3"/>
      <c r="BA590" s="3"/>
      <c r="BB590" s="3"/>
      <c r="BC590" s="3"/>
    </row>
    <row r="591" spans="1:55">
      <c r="A591" s="1" t="str">
        <f>'Population Definitions'!$A$15</f>
        <v>Prisoners_PWID_females</v>
      </c>
      <c r="C591" t="s">
        <v>34</v>
      </c>
      <c r="D591" s="3"/>
      <c r="E591" s="3">
        <v>5.521831473886567</v>
      </c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  <c r="AE591" s="3"/>
      <c r="AF591" s="3"/>
      <c r="AG591" s="3"/>
      <c r="AH591" s="3"/>
      <c r="AI591" s="3"/>
      <c r="AJ591" s="3"/>
      <c r="AK591" s="3"/>
      <c r="AL591" s="3"/>
      <c r="AM591" s="3"/>
      <c r="AN591" s="3"/>
      <c r="AO591" s="3"/>
      <c r="AP591" s="3"/>
      <c r="AQ591" s="3"/>
      <c r="AR591" s="3"/>
      <c r="AS591" s="3"/>
      <c r="AT591" s="3"/>
      <c r="AU591" s="3"/>
      <c r="AV591" s="3"/>
      <c r="AW591" s="3"/>
      <c r="AX591" s="3"/>
      <c r="AY591" s="3"/>
      <c r="AZ591" s="3"/>
      <c r="BA591" s="3"/>
      <c r="BB591" s="3"/>
      <c r="BC591" s="3"/>
    </row>
    <row r="593" spans="1:55">
      <c r="A593" s="1" t="s">
        <v>164</v>
      </c>
      <c r="B593" s="1" t="s">
        <v>31</v>
      </c>
      <c r="C593" s="1" t="s">
        <v>32</v>
      </c>
      <c r="D593" s="1" t="s">
        <v>33</v>
      </c>
      <c r="E593" s="1">
        <v>2000</v>
      </c>
      <c r="F593" s="1">
        <v>2001</v>
      </c>
      <c r="G593" s="1">
        <v>2002</v>
      </c>
      <c r="H593" s="1">
        <v>2003</v>
      </c>
      <c r="I593" s="1">
        <v>2004</v>
      </c>
      <c r="J593" s="1">
        <v>2005</v>
      </c>
      <c r="K593" s="1">
        <v>2006</v>
      </c>
      <c r="L593" s="1">
        <v>2007</v>
      </c>
      <c r="M593" s="1">
        <v>2008</v>
      </c>
      <c r="N593" s="1">
        <v>2009</v>
      </c>
      <c r="O593" s="1">
        <v>2010</v>
      </c>
      <c r="P593" s="1">
        <v>2011</v>
      </c>
      <c r="Q593" s="1">
        <v>2012</v>
      </c>
      <c r="R593" s="1">
        <v>2013</v>
      </c>
      <c r="S593" s="1">
        <v>2014</v>
      </c>
      <c r="T593" s="1">
        <v>2015</v>
      </c>
      <c r="U593" s="1">
        <v>2016</v>
      </c>
      <c r="V593" s="1">
        <v>2017</v>
      </c>
      <c r="W593" s="1">
        <v>2018</v>
      </c>
      <c r="X593" s="1">
        <v>2019</v>
      </c>
      <c r="Y593" s="1">
        <v>2020</v>
      </c>
      <c r="Z593" s="1">
        <v>2021</v>
      </c>
      <c r="AA593" s="1">
        <v>2022</v>
      </c>
      <c r="AB593" s="1">
        <v>2023</v>
      </c>
      <c r="AC593" s="1">
        <v>2024</v>
      </c>
      <c r="AD593" s="1">
        <v>2025</v>
      </c>
      <c r="AE593" s="1">
        <v>2026</v>
      </c>
      <c r="AF593" s="1">
        <v>2027</v>
      </c>
      <c r="AG593" s="1">
        <v>2028</v>
      </c>
      <c r="AH593" s="1">
        <v>2029</v>
      </c>
      <c r="AI593" s="1">
        <v>2030</v>
      </c>
      <c r="AJ593" s="1">
        <v>2031</v>
      </c>
      <c r="AK593" s="1">
        <v>2032</v>
      </c>
      <c r="AL593" s="1">
        <v>2033</v>
      </c>
      <c r="AM593" s="1">
        <v>2034</v>
      </c>
      <c r="AN593" s="1">
        <v>2035</v>
      </c>
      <c r="AO593" s="1">
        <v>2036</v>
      </c>
      <c r="AP593" s="1">
        <v>2037</v>
      </c>
      <c r="AQ593" s="1">
        <v>2038</v>
      </c>
      <c r="AR593" s="1">
        <v>2039</v>
      </c>
      <c r="AS593" s="1">
        <v>2040</v>
      </c>
      <c r="AT593" s="1">
        <v>2041</v>
      </c>
      <c r="AU593" s="1">
        <v>2042</v>
      </c>
      <c r="AV593" s="1">
        <v>2043</v>
      </c>
      <c r="AW593" s="1">
        <v>2044</v>
      </c>
      <c r="AX593" s="1">
        <v>2045</v>
      </c>
      <c r="AY593" s="1">
        <v>2046</v>
      </c>
      <c r="AZ593" s="1">
        <v>2047</v>
      </c>
      <c r="BA593" s="1">
        <v>2048</v>
      </c>
      <c r="BB593" s="1">
        <v>2049</v>
      </c>
      <c r="BC593" s="1">
        <v>2050</v>
      </c>
    </row>
    <row r="594" spans="1:55">
      <c r="A594" s="1" t="str">
        <f>'Population Definitions'!$A$2</f>
        <v>PWID_males</v>
      </c>
      <c r="C594" t="s">
        <v>34</v>
      </c>
      <c r="D594" s="3"/>
      <c r="E594" s="3">
        <v>352.4905714635042</v>
      </c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  <c r="AE594" s="3"/>
      <c r="AF594" s="3"/>
      <c r="AG594" s="3"/>
      <c r="AH594" s="3"/>
      <c r="AI594" s="3"/>
      <c r="AJ594" s="3"/>
      <c r="AK594" s="3"/>
      <c r="AL594" s="3"/>
      <c r="AM594" s="3"/>
      <c r="AN594" s="3"/>
      <c r="AO594" s="3"/>
      <c r="AP594" s="3"/>
      <c r="AQ594" s="3"/>
      <c r="AR594" s="3"/>
      <c r="AS594" s="3"/>
      <c r="AT594" s="3"/>
      <c r="AU594" s="3"/>
      <c r="AV594" s="3"/>
      <c r="AW594" s="3"/>
      <c r="AX594" s="3"/>
      <c r="AY594" s="3"/>
      <c r="AZ594" s="3"/>
      <c r="BA594" s="3"/>
      <c r="BB594" s="3"/>
      <c r="BC594" s="3"/>
    </row>
    <row r="595" spans="1:55">
      <c r="A595" s="1" t="str">
        <f>'Population Definitions'!$A$3</f>
        <v>PWID_females</v>
      </c>
      <c r="C595" t="s">
        <v>34</v>
      </c>
      <c r="D595" s="3"/>
      <c r="E595" s="3">
        <v>99.47168853544919</v>
      </c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  <c r="AE595" s="3"/>
      <c r="AF595" s="3"/>
      <c r="AG595" s="3"/>
      <c r="AH595" s="3"/>
      <c r="AI595" s="3"/>
      <c r="AJ595" s="3"/>
      <c r="AK595" s="3"/>
      <c r="AL595" s="3"/>
      <c r="AM595" s="3"/>
      <c r="AN595" s="3"/>
      <c r="AO595" s="3"/>
      <c r="AP595" s="3"/>
      <c r="AQ595" s="3"/>
      <c r="AR595" s="3"/>
      <c r="AS595" s="3"/>
      <c r="AT595" s="3"/>
      <c r="AU595" s="3"/>
      <c r="AV595" s="3"/>
      <c r="AW595" s="3"/>
      <c r="AX595" s="3"/>
      <c r="AY595" s="3"/>
      <c r="AZ595" s="3"/>
      <c r="BA595" s="3"/>
      <c r="BB595" s="3"/>
      <c r="BC595" s="3"/>
    </row>
    <row r="596" spans="1:55">
      <c r="A596" s="1" t="str">
        <f>'Population Definitions'!$A$4</f>
        <v>0-9_males</v>
      </c>
      <c r="C596" t="s">
        <v>34</v>
      </c>
      <c r="D596" s="3"/>
      <c r="E596" s="3">
        <v>0</v>
      </c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  <c r="AE596" s="3"/>
      <c r="AF596" s="3"/>
      <c r="AG596" s="3"/>
      <c r="AH596" s="3"/>
      <c r="AI596" s="3"/>
      <c r="AJ596" s="3"/>
      <c r="AK596" s="3"/>
      <c r="AL596" s="3"/>
      <c r="AM596" s="3"/>
      <c r="AN596" s="3"/>
      <c r="AO596" s="3"/>
      <c r="AP596" s="3"/>
      <c r="AQ596" s="3"/>
      <c r="AR596" s="3"/>
      <c r="AS596" s="3"/>
      <c r="AT596" s="3"/>
      <c r="AU596" s="3"/>
      <c r="AV596" s="3"/>
      <c r="AW596" s="3"/>
      <c r="AX596" s="3"/>
      <c r="AY596" s="3"/>
      <c r="AZ596" s="3"/>
      <c r="BA596" s="3"/>
      <c r="BB596" s="3"/>
      <c r="BC596" s="3"/>
    </row>
    <row r="597" spans="1:55">
      <c r="A597" s="1" t="str">
        <f>'Population Definitions'!$A$5</f>
        <v>0-9_females</v>
      </c>
      <c r="C597" t="s">
        <v>34</v>
      </c>
      <c r="D597" s="3"/>
      <c r="E597" s="3">
        <v>0</v>
      </c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  <c r="AE597" s="3"/>
      <c r="AF597" s="3"/>
      <c r="AG597" s="3"/>
      <c r="AH597" s="3"/>
      <c r="AI597" s="3"/>
      <c r="AJ597" s="3"/>
      <c r="AK597" s="3"/>
      <c r="AL597" s="3"/>
      <c r="AM597" s="3"/>
      <c r="AN597" s="3"/>
      <c r="AO597" s="3"/>
      <c r="AP597" s="3"/>
      <c r="AQ597" s="3"/>
      <c r="AR597" s="3"/>
      <c r="AS597" s="3"/>
      <c r="AT597" s="3"/>
      <c r="AU597" s="3"/>
      <c r="AV597" s="3"/>
      <c r="AW597" s="3"/>
      <c r="AX597" s="3"/>
      <c r="AY597" s="3"/>
      <c r="AZ597" s="3"/>
      <c r="BA597" s="3"/>
      <c r="BB597" s="3"/>
      <c r="BC597" s="3"/>
    </row>
    <row r="598" spans="1:55">
      <c r="A598" s="1" t="str">
        <f>'Population Definitions'!$A$6</f>
        <v>10-17_males</v>
      </c>
      <c r="C598" t="s">
        <v>34</v>
      </c>
      <c r="D598" s="3"/>
      <c r="E598" s="3">
        <v>0</v>
      </c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/>
      <c r="AC598" s="3"/>
      <c r="AD598" s="3"/>
      <c r="AE598" s="3"/>
      <c r="AF598" s="3"/>
      <c r="AG598" s="3"/>
      <c r="AH598" s="3"/>
      <c r="AI598" s="3"/>
      <c r="AJ598" s="3"/>
      <c r="AK598" s="3"/>
      <c r="AL598" s="3"/>
      <c r="AM598" s="3"/>
      <c r="AN598" s="3"/>
      <c r="AO598" s="3"/>
      <c r="AP598" s="3"/>
      <c r="AQ598" s="3"/>
      <c r="AR598" s="3"/>
      <c r="AS598" s="3"/>
      <c r="AT598" s="3"/>
      <c r="AU598" s="3"/>
      <c r="AV598" s="3"/>
      <c r="AW598" s="3"/>
      <c r="AX598" s="3"/>
      <c r="AY598" s="3"/>
      <c r="AZ598" s="3"/>
      <c r="BA598" s="3"/>
      <c r="BB598" s="3"/>
      <c r="BC598" s="3"/>
    </row>
    <row r="599" spans="1:55">
      <c r="A599" s="1" t="str">
        <f>'Population Definitions'!$A$7</f>
        <v>10-17_females</v>
      </c>
      <c r="C599" t="s">
        <v>34</v>
      </c>
      <c r="D599" s="3"/>
      <c r="E599" s="3">
        <v>0</v>
      </c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/>
      <c r="AC599" s="3"/>
      <c r="AD599" s="3"/>
      <c r="AE599" s="3"/>
      <c r="AF599" s="3"/>
      <c r="AG599" s="3"/>
      <c r="AH599" s="3"/>
      <c r="AI599" s="3"/>
      <c r="AJ599" s="3"/>
      <c r="AK599" s="3"/>
      <c r="AL599" s="3"/>
      <c r="AM599" s="3"/>
      <c r="AN599" s="3"/>
      <c r="AO599" s="3"/>
      <c r="AP599" s="3"/>
      <c r="AQ599" s="3"/>
      <c r="AR599" s="3"/>
      <c r="AS599" s="3"/>
      <c r="AT599" s="3"/>
      <c r="AU599" s="3"/>
      <c r="AV599" s="3"/>
      <c r="AW599" s="3"/>
      <c r="AX599" s="3"/>
      <c r="AY599" s="3"/>
      <c r="AZ599" s="3"/>
      <c r="BA599" s="3"/>
      <c r="BB599" s="3"/>
      <c r="BC599" s="3"/>
    </row>
    <row r="600" spans="1:55">
      <c r="A600" s="1" t="str">
        <f>'Population Definitions'!$A$8</f>
        <v>18-64_males</v>
      </c>
      <c r="C600" t="s">
        <v>34</v>
      </c>
      <c r="D600" s="3"/>
      <c r="E600" s="3">
        <v>679.8775743184621</v>
      </c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  <c r="AE600" s="3"/>
      <c r="AF600" s="3"/>
      <c r="AG600" s="3"/>
      <c r="AH600" s="3"/>
      <c r="AI600" s="3"/>
      <c r="AJ600" s="3"/>
      <c r="AK600" s="3"/>
      <c r="AL600" s="3"/>
      <c r="AM600" s="3"/>
      <c r="AN600" s="3"/>
      <c r="AO600" s="3"/>
      <c r="AP600" s="3"/>
      <c r="AQ600" s="3"/>
      <c r="AR600" s="3"/>
      <c r="AS600" s="3"/>
      <c r="AT600" s="3"/>
      <c r="AU600" s="3"/>
      <c r="AV600" s="3"/>
      <c r="AW600" s="3"/>
      <c r="AX600" s="3"/>
      <c r="AY600" s="3"/>
      <c r="AZ600" s="3"/>
      <c r="BA600" s="3"/>
      <c r="BB600" s="3"/>
      <c r="BC600" s="3"/>
    </row>
    <row r="601" spans="1:55">
      <c r="A601" s="1" t="str">
        <f>'Population Definitions'!$A$9</f>
        <v>18-64_females</v>
      </c>
      <c r="C601" t="s">
        <v>34</v>
      </c>
      <c r="D601" s="3"/>
      <c r="E601" s="3">
        <v>719.2356442574012</v>
      </c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/>
      <c r="AF601" s="3"/>
      <c r="AG601" s="3"/>
      <c r="AH601" s="3"/>
      <c r="AI601" s="3"/>
      <c r="AJ601" s="3"/>
      <c r="AK601" s="3"/>
      <c r="AL601" s="3"/>
      <c r="AM601" s="3"/>
      <c r="AN601" s="3"/>
      <c r="AO601" s="3"/>
      <c r="AP601" s="3"/>
      <c r="AQ601" s="3"/>
      <c r="AR601" s="3"/>
      <c r="AS601" s="3"/>
      <c r="AT601" s="3"/>
      <c r="AU601" s="3"/>
      <c r="AV601" s="3"/>
      <c r="AW601" s="3"/>
      <c r="AX601" s="3"/>
      <c r="AY601" s="3"/>
      <c r="AZ601" s="3"/>
      <c r="BA601" s="3"/>
      <c r="BB601" s="3"/>
      <c r="BC601" s="3"/>
    </row>
    <row r="602" spans="1:55">
      <c r="A602" s="1" t="str">
        <f>'Population Definitions'!$A$10</f>
        <v>65+_males</v>
      </c>
      <c r="C602" t="s">
        <v>34</v>
      </c>
      <c r="D602" s="3"/>
      <c r="E602" s="3">
        <v>38.9540578620194</v>
      </c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  <c r="AE602" s="3"/>
      <c r="AF602" s="3"/>
      <c r="AG602" s="3"/>
      <c r="AH602" s="3"/>
      <c r="AI602" s="3"/>
      <c r="AJ602" s="3"/>
      <c r="AK602" s="3"/>
      <c r="AL602" s="3"/>
      <c r="AM602" s="3"/>
      <c r="AN602" s="3"/>
      <c r="AO602" s="3"/>
      <c r="AP602" s="3"/>
      <c r="AQ602" s="3"/>
      <c r="AR602" s="3"/>
      <c r="AS602" s="3"/>
      <c r="AT602" s="3"/>
      <c r="AU602" s="3"/>
      <c r="AV602" s="3"/>
      <c r="AW602" s="3"/>
      <c r="AX602" s="3"/>
      <c r="AY602" s="3"/>
      <c r="AZ602" s="3"/>
      <c r="BA602" s="3"/>
      <c r="BB602" s="3"/>
      <c r="BC602" s="3"/>
    </row>
    <row r="603" spans="1:55">
      <c r="A603" s="1" t="str">
        <f>'Population Definitions'!$A$11</f>
        <v>65+_females</v>
      </c>
      <c r="C603" t="s">
        <v>34</v>
      </c>
      <c r="D603" s="3"/>
      <c r="E603" s="3">
        <v>47.94295278725619</v>
      </c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  <c r="AE603" s="3"/>
      <c r="AF603" s="3"/>
      <c r="AG603" s="3"/>
      <c r="AH603" s="3"/>
      <c r="AI603" s="3"/>
      <c r="AJ603" s="3"/>
      <c r="AK603" s="3"/>
      <c r="AL603" s="3"/>
      <c r="AM603" s="3"/>
      <c r="AN603" s="3"/>
      <c r="AO603" s="3"/>
      <c r="AP603" s="3"/>
      <c r="AQ603" s="3"/>
      <c r="AR603" s="3"/>
      <c r="AS603" s="3"/>
      <c r="AT603" s="3"/>
      <c r="AU603" s="3"/>
      <c r="AV603" s="3"/>
      <c r="AW603" s="3"/>
      <c r="AX603" s="3"/>
      <c r="AY603" s="3"/>
      <c r="AZ603" s="3"/>
      <c r="BA603" s="3"/>
      <c r="BB603" s="3"/>
      <c r="BC603" s="3"/>
    </row>
    <row r="604" spans="1:55">
      <c r="A604" s="1" t="str">
        <f>'Population Definitions'!$A$12</f>
        <v>Prisoners_males</v>
      </c>
      <c r="C604" t="s">
        <v>34</v>
      </c>
      <c r="D604" s="3"/>
      <c r="E604" s="3">
        <v>1.001502355286663</v>
      </c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  <c r="AE604" s="3"/>
      <c r="AF604" s="3"/>
      <c r="AG604" s="3"/>
      <c r="AH604" s="3"/>
      <c r="AI604" s="3"/>
      <c r="AJ604" s="3"/>
      <c r="AK604" s="3"/>
      <c r="AL604" s="3"/>
      <c r="AM604" s="3"/>
      <c r="AN604" s="3"/>
      <c r="AO604" s="3"/>
      <c r="AP604" s="3"/>
      <c r="AQ604" s="3"/>
      <c r="AR604" s="3"/>
      <c r="AS604" s="3"/>
      <c r="AT604" s="3"/>
      <c r="AU604" s="3"/>
      <c r="AV604" s="3"/>
      <c r="AW604" s="3"/>
      <c r="AX604" s="3"/>
      <c r="AY604" s="3"/>
      <c r="AZ604" s="3"/>
      <c r="BA604" s="3"/>
      <c r="BB604" s="3"/>
      <c r="BC604" s="3"/>
    </row>
    <row r="605" spans="1:55">
      <c r="A605" s="1" t="str">
        <f>'Population Definitions'!$A$13</f>
        <v>Prisoners_females</v>
      </c>
      <c r="C605" t="s">
        <v>34</v>
      </c>
      <c r="D605" s="3"/>
      <c r="E605" s="3">
        <v>0.03417743301391921</v>
      </c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  <c r="AE605" s="3"/>
      <c r="AF605" s="3"/>
      <c r="AG605" s="3"/>
      <c r="AH605" s="3"/>
      <c r="AI605" s="3"/>
      <c r="AJ605" s="3"/>
      <c r="AK605" s="3"/>
      <c r="AL605" s="3"/>
      <c r="AM605" s="3"/>
      <c r="AN605" s="3"/>
      <c r="AO605" s="3"/>
      <c r="AP605" s="3"/>
      <c r="AQ605" s="3"/>
      <c r="AR605" s="3"/>
      <c r="AS605" s="3"/>
      <c r="AT605" s="3"/>
      <c r="AU605" s="3"/>
      <c r="AV605" s="3"/>
      <c r="AW605" s="3"/>
      <c r="AX605" s="3"/>
      <c r="AY605" s="3"/>
      <c r="AZ605" s="3"/>
      <c r="BA605" s="3"/>
      <c r="BB605" s="3"/>
      <c r="BC605" s="3"/>
    </row>
    <row r="606" spans="1:55">
      <c r="A606" s="1" t="str">
        <f>'Population Definitions'!$A$14</f>
        <v>Prisoners_PWID_males</v>
      </c>
      <c r="C606" t="s">
        <v>34</v>
      </c>
      <c r="D606" s="3"/>
      <c r="E606" s="3">
        <v>107.8709300050163</v>
      </c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  <c r="AE606" s="3"/>
      <c r="AF606" s="3"/>
      <c r="AG606" s="3"/>
      <c r="AH606" s="3"/>
      <c r="AI606" s="3"/>
      <c r="AJ606" s="3"/>
      <c r="AK606" s="3"/>
      <c r="AL606" s="3"/>
      <c r="AM606" s="3"/>
      <c r="AN606" s="3"/>
      <c r="AO606" s="3"/>
      <c r="AP606" s="3"/>
      <c r="AQ606" s="3"/>
      <c r="AR606" s="3"/>
      <c r="AS606" s="3"/>
      <c r="AT606" s="3"/>
      <c r="AU606" s="3"/>
      <c r="AV606" s="3"/>
      <c r="AW606" s="3"/>
      <c r="AX606" s="3"/>
      <c r="AY606" s="3"/>
      <c r="AZ606" s="3"/>
      <c r="BA606" s="3"/>
      <c r="BB606" s="3"/>
      <c r="BC606" s="3"/>
    </row>
    <row r="607" spans="1:55">
      <c r="A607" s="1" t="str">
        <f>'Population Definitions'!$A$15</f>
        <v>Prisoners_PWID_females</v>
      </c>
      <c r="C607" t="s">
        <v>34</v>
      </c>
      <c r="D607" s="3"/>
      <c r="E607" s="3">
        <v>3.681220982591045</v>
      </c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  <c r="AE607" s="3"/>
      <c r="AF607" s="3"/>
      <c r="AG607" s="3"/>
      <c r="AH607" s="3"/>
      <c r="AI607" s="3"/>
      <c r="AJ607" s="3"/>
      <c r="AK607" s="3"/>
      <c r="AL607" s="3"/>
      <c r="AM607" s="3"/>
      <c r="AN607" s="3"/>
      <c r="AO607" s="3"/>
      <c r="AP607" s="3"/>
      <c r="AQ607" s="3"/>
      <c r="AR607" s="3"/>
      <c r="AS607" s="3"/>
      <c r="AT607" s="3"/>
      <c r="AU607" s="3"/>
      <c r="AV607" s="3"/>
      <c r="AW607" s="3"/>
      <c r="AX607" s="3"/>
      <c r="AY607" s="3"/>
      <c r="AZ607" s="3"/>
      <c r="BA607" s="3"/>
      <c r="BB607" s="3"/>
      <c r="BC607" s="3"/>
    </row>
    <row r="609" spans="1:55">
      <c r="A609" s="1" t="s">
        <v>165</v>
      </c>
      <c r="B609" s="1" t="s">
        <v>31</v>
      </c>
      <c r="C609" s="1" t="s">
        <v>32</v>
      </c>
      <c r="D609" s="1" t="s">
        <v>33</v>
      </c>
      <c r="E609" s="1">
        <v>2000</v>
      </c>
      <c r="F609" s="1">
        <v>2001</v>
      </c>
      <c r="G609" s="1">
        <v>2002</v>
      </c>
      <c r="H609" s="1">
        <v>2003</v>
      </c>
      <c r="I609" s="1">
        <v>2004</v>
      </c>
      <c r="J609" s="1">
        <v>2005</v>
      </c>
      <c r="K609" s="1">
        <v>2006</v>
      </c>
      <c r="L609" s="1">
        <v>2007</v>
      </c>
      <c r="M609" s="1">
        <v>2008</v>
      </c>
      <c r="N609" s="1">
        <v>2009</v>
      </c>
      <c r="O609" s="1">
        <v>2010</v>
      </c>
      <c r="P609" s="1">
        <v>2011</v>
      </c>
      <c r="Q609" s="1">
        <v>2012</v>
      </c>
      <c r="R609" s="1">
        <v>2013</v>
      </c>
      <c r="S609" s="1">
        <v>2014</v>
      </c>
      <c r="T609" s="1">
        <v>2015</v>
      </c>
      <c r="U609" s="1">
        <v>2016</v>
      </c>
      <c r="V609" s="1">
        <v>2017</v>
      </c>
      <c r="W609" s="1">
        <v>2018</v>
      </c>
      <c r="X609" s="1">
        <v>2019</v>
      </c>
      <c r="Y609" s="1">
        <v>2020</v>
      </c>
      <c r="Z609" s="1">
        <v>2021</v>
      </c>
      <c r="AA609" s="1">
        <v>2022</v>
      </c>
      <c r="AB609" s="1">
        <v>2023</v>
      </c>
      <c r="AC609" s="1">
        <v>2024</v>
      </c>
      <c r="AD609" s="1">
        <v>2025</v>
      </c>
      <c r="AE609" s="1">
        <v>2026</v>
      </c>
      <c r="AF609" s="1">
        <v>2027</v>
      </c>
      <c r="AG609" s="1">
        <v>2028</v>
      </c>
      <c r="AH609" s="1">
        <v>2029</v>
      </c>
      <c r="AI609" s="1">
        <v>2030</v>
      </c>
      <c r="AJ609" s="1">
        <v>2031</v>
      </c>
      <c r="AK609" s="1">
        <v>2032</v>
      </c>
      <c r="AL609" s="1">
        <v>2033</v>
      </c>
      <c r="AM609" s="1">
        <v>2034</v>
      </c>
      <c r="AN609" s="1">
        <v>2035</v>
      </c>
      <c r="AO609" s="1">
        <v>2036</v>
      </c>
      <c r="AP609" s="1">
        <v>2037</v>
      </c>
      <c r="AQ609" s="1">
        <v>2038</v>
      </c>
      <c r="AR609" s="1">
        <v>2039</v>
      </c>
      <c r="AS609" s="1">
        <v>2040</v>
      </c>
      <c r="AT609" s="1">
        <v>2041</v>
      </c>
      <c r="AU609" s="1">
        <v>2042</v>
      </c>
      <c r="AV609" s="1">
        <v>2043</v>
      </c>
      <c r="AW609" s="1">
        <v>2044</v>
      </c>
      <c r="AX609" s="1">
        <v>2045</v>
      </c>
      <c r="AY609" s="1">
        <v>2046</v>
      </c>
      <c r="AZ609" s="1">
        <v>2047</v>
      </c>
      <c r="BA609" s="1">
        <v>2048</v>
      </c>
      <c r="BB609" s="1">
        <v>2049</v>
      </c>
      <c r="BC609" s="1">
        <v>2050</v>
      </c>
    </row>
    <row r="610" spans="1:55">
      <c r="A610" s="1" t="str">
        <f>'Population Definitions'!$A$2</f>
        <v>PWID_males</v>
      </c>
      <c r="C610" t="s">
        <v>34</v>
      </c>
      <c r="D610" s="3"/>
      <c r="E610" s="3">
        <v>79.31037857928843</v>
      </c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  <c r="AE610" s="3"/>
      <c r="AF610" s="3"/>
      <c r="AG610" s="3"/>
      <c r="AH610" s="3"/>
      <c r="AI610" s="3"/>
      <c r="AJ610" s="3"/>
      <c r="AK610" s="3"/>
      <c r="AL610" s="3"/>
      <c r="AM610" s="3"/>
      <c r="AN610" s="3"/>
      <c r="AO610" s="3"/>
      <c r="AP610" s="3"/>
      <c r="AQ610" s="3"/>
      <c r="AR610" s="3"/>
      <c r="AS610" s="3"/>
      <c r="AT610" s="3"/>
      <c r="AU610" s="3"/>
      <c r="AV610" s="3"/>
      <c r="AW610" s="3"/>
      <c r="AX610" s="3"/>
      <c r="AY610" s="3"/>
      <c r="AZ610" s="3"/>
      <c r="BA610" s="3"/>
      <c r="BB610" s="3"/>
      <c r="BC610" s="3"/>
    </row>
    <row r="611" spans="1:55">
      <c r="A611" s="1" t="str">
        <f>'Population Definitions'!$A$3</f>
        <v>PWID_females</v>
      </c>
      <c r="C611" t="s">
        <v>34</v>
      </c>
      <c r="D611" s="3"/>
      <c r="E611" s="3">
        <v>22.38112992047607</v>
      </c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  <c r="AE611" s="3"/>
      <c r="AF611" s="3"/>
      <c r="AG611" s="3"/>
      <c r="AH611" s="3"/>
      <c r="AI611" s="3"/>
      <c r="AJ611" s="3"/>
      <c r="AK611" s="3"/>
      <c r="AL611" s="3"/>
      <c r="AM611" s="3"/>
      <c r="AN611" s="3"/>
      <c r="AO611" s="3"/>
      <c r="AP611" s="3"/>
      <c r="AQ611" s="3"/>
      <c r="AR611" s="3"/>
      <c r="AS611" s="3"/>
      <c r="AT611" s="3"/>
      <c r="AU611" s="3"/>
      <c r="AV611" s="3"/>
      <c r="AW611" s="3"/>
      <c r="AX611" s="3"/>
      <c r="AY611" s="3"/>
      <c r="AZ611" s="3"/>
      <c r="BA611" s="3"/>
      <c r="BB611" s="3"/>
      <c r="BC611" s="3"/>
    </row>
    <row r="612" spans="1:55">
      <c r="A612" s="1" t="str">
        <f>'Population Definitions'!$A$4</f>
        <v>0-9_males</v>
      </c>
      <c r="C612" t="s">
        <v>34</v>
      </c>
      <c r="D612" s="3"/>
      <c r="E612" s="3">
        <v>0</v>
      </c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  <c r="AE612" s="3"/>
      <c r="AF612" s="3"/>
      <c r="AG612" s="3"/>
      <c r="AH612" s="3"/>
      <c r="AI612" s="3"/>
      <c r="AJ612" s="3"/>
      <c r="AK612" s="3"/>
      <c r="AL612" s="3"/>
      <c r="AM612" s="3"/>
      <c r="AN612" s="3"/>
      <c r="AO612" s="3"/>
      <c r="AP612" s="3"/>
      <c r="AQ612" s="3"/>
      <c r="AR612" s="3"/>
      <c r="AS612" s="3"/>
      <c r="AT612" s="3"/>
      <c r="AU612" s="3"/>
      <c r="AV612" s="3"/>
      <c r="AW612" s="3"/>
      <c r="AX612" s="3"/>
      <c r="AY612" s="3"/>
      <c r="AZ612" s="3"/>
      <c r="BA612" s="3"/>
      <c r="BB612" s="3"/>
      <c r="BC612" s="3"/>
    </row>
    <row r="613" spans="1:55">
      <c r="A613" s="1" t="str">
        <f>'Population Definitions'!$A$5</f>
        <v>0-9_females</v>
      </c>
      <c r="C613" t="s">
        <v>34</v>
      </c>
      <c r="D613" s="3"/>
      <c r="E613" s="3">
        <v>0</v>
      </c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  <c r="AE613" s="3"/>
      <c r="AF613" s="3"/>
      <c r="AG613" s="3"/>
      <c r="AH613" s="3"/>
      <c r="AI613" s="3"/>
      <c r="AJ613" s="3"/>
      <c r="AK613" s="3"/>
      <c r="AL613" s="3"/>
      <c r="AM613" s="3"/>
      <c r="AN613" s="3"/>
      <c r="AO613" s="3"/>
      <c r="AP613" s="3"/>
      <c r="AQ613" s="3"/>
      <c r="AR613" s="3"/>
      <c r="AS613" s="3"/>
      <c r="AT613" s="3"/>
      <c r="AU613" s="3"/>
      <c r="AV613" s="3"/>
      <c r="AW613" s="3"/>
      <c r="AX613" s="3"/>
      <c r="AY613" s="3"/>
      <c r="AZ613" s="3"/>
      <c r="BA613" s="3"/>
      <c r="BB613" s="3"/>
      <c r="BC613" s="3"/>
    </row>
    <row r="614" spans="1:55">
      <c r="A614" s="1" t="str">
        <f>'Population Definitions'!$A$6</f>
        <v>10-17_males</v>
      </c>
      <c r="C614" t="s">
        <v>34</v>
      </c>
      <c r="D614" s="3"/>
      <c r="E614" s="3">
        <v>0</v>
      </c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  <c r="AE614" s="3"/>
      <c r="AF614" s="3"/>
      <c r="AG614" s="3"/>
      <c r="AH614" s="3"/>
      <c r="AI614" s="3"/>
      <c r="AJ614" s="3"/>
      <c r="AK614" s="3"/>
      <c r="AL614" s="3"/>
      <c r="AM614" s="3"/>
      <c r="AN614" s="3"/>
      <c r="AO614" s="3"/>
      <c r="AP614" s="3"/>
      <c r="AQ614" s="3"/>
      <c r="AR614" s="3"/>
      <c r="AS614" s="3"/>
      <c r="AT614" s="3"/>
      <c r="AU614" s="3"/>
      <c r="AV614" s="3"/>
      <c r="AW614" s="3"/>
      <c r="AX614" s="3"/>
      <c r="AY614" s="3"/>
      <c r="AZ614" s="3"/>
      <c r="BA614" s="3"/>
      <c r="BB614" s="3"/>
      <c r="BC614" s="3"/>
    </row>
    <row r="615" spans="1:55">
      <c r="A615" s="1" t="str">
        <f>'Population Definitions'!$A$7</f>
        <v>10-17_females</v>
      </c>
      <c r="C615" t="s">
        <v>34</v>
      </c>
      <c r="D615" s="3"/>
      <c r="E615" s="3">
        <v>0</v>
      </c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  <c r="AE615" s="3"/>
      <c r="AF615" s="3"/>
      <c r="AG615" s="3"/>
      <c r="AH615" s="3"/>
      <c r="AI615" s="3"/>
      <c r="AJ615" s="3"/>
      <c r="AK615" s="3"/>
      <c r="AL615" s="3"/>
      <c r="AM615" s="3"/>
      <c r="AN615" s="3"/>
      <c r="AO615" s="3"/>
      <c r="AP615" s="3"/>
      <c r="AQ615" s="3"/>
      <c r="AR615" s="3"/>
      <c r="AS615" s="3"/>
      <c r="AT615" s="3"/>
      <c r="AU615" s="3"/>
      <c r="AV615" s="3"/>
      <c r="AW615" s="3"/>
      <c r="AX615" s="3"/>
      <c r="AY615" s="3"/>
      <c r="AZ615" s="3"/>
      <c r="BA615" s="3"/>
      <c r="BB615" s="3"/>
      <c r="BC615" s="3"/>
    </row>
    <row r="616" spans="1:55">
      <c r="A616" s="1" t="str">
        <f>'Population Definitions'!$A$8</f>
        <v>18-64_males</v>
      </c>
      <c r="C616" t="s">
        <v>34</v>
      </c>
      <c r="D616" s="3"/>
      <c r="E616" s="3">
        <v>152.9724542216539</v>
      </c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/>
      <c r="AF616" s="3"/>
      <c r="AG616" s="3"/>
      <c r="AH616" s="3"/>
      <c r="AI616" s="3"/>
      <c r="AJ616" s="3"/>
      <c r="AK616" s="3"/>
      <c r="AL616" s="3"/>
      <c r="AM616" s="3"/>
      <c r="AN616" s="3"/>
      <c r="AO616" s="3"/>
      <c r="AP616" s="3"/>
      <c r="AQ616" s="3"/>
      <c r="AR616" s="3"/>
      <c r="AS616" s="3"/>
      <c r="AT616" s="3"/>
      <c r="AU616" s="3"/>
      <c r="AV616" s="3"/>
      <c r="AW616" s="3"/>
      <c r="AX616" s="3"/>
      <c r="AY616" s="3"/>
      <c r="AZ616" s="3"/>
      <c r="BA616" s="3"/>
      <c r="BB616" s="3"/>
      <c r="BC616" s="3"/>
    </row>
    <row r="617" spans="1:55">
      <c r="A617" s="1" t="str">
        <f>'Population Definitions'!$A$9</f>
        <v>18-64_females</v>
      </c>
      <c r="C617" t="s">
        <v>34</v>
      </c>
      <c r="D617" s="3"/>
      <c r="E617" s="3">
        <v>161.8280199579152</v>
      </c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  <c r="AE617" s="3"/>
      <c r="AF617" s="3"/>
      <c r="AG617" s="3"/>
      <c r="AH617" s="3"/>
      <c r="AI617" s="3"/>
      <c r="AJ617" s="3"/>
      <c r="AK617" s="3"/>
      <c r="AL617" s="3"/>
      <c r="AM617" s="3"/>
      <c r="AN617" s="3"/>
      <c r="AO617" s="3"/>
      <c r="AP617" s="3"/>
      <c r="AQ617" s="3"/>
      <c r="AR617" s="3"/>
      <c r="AS617" s="3"/>
      <c r="AT617" s="3"/>
      <c r="AU617" s="3"/>
      <c r="AV617" s="3"/>
      <c r="AW617" s="3"/>
      <c r="AX617" s="3"/>
      <c r="AY617" s="3"/>
      <c r="AZ617" s="3"/>
      <c r="BA617" s="3"/>
      <c r="BB617" s="3"/>
      <c r="BC617" s="3"/>
    </row>
    <row r="618" spans="1:55">
      <c r="A618" s="1" t="str">
        <f>'Population Definitions'!$A$10</f>
        <v>65+_males</v>
      </c>
      <c r="C618" t="s">
        <v>34</v>
      </c>
      <c r="D618" s="3"/>
      <c r="E618" s="3">
        <v>8.764663018954366</v>
      </c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  <c r="AE618" s="3"/>
      <c r="AF618" s="3"/>
      <c r="AG618" s="3"/>
      <c r="AH618" s="3"/>
      <c r="AI618" s="3"/>
      <c r="AJ618" s="3"/>
      <c r="AK618" s="3"/>
      <c r="AL618" s="3"/>
      <c r="AM618" s="3"/>
      <c r="AN618" s="3"/>
      <c r="AO618" s="3"/>
      <c r="AP618" s="3"/>
      <c r="AQ618" s="3"/>
      <c r="AR618" s="3"/>
      <c r="AS618" s="3"/>
      <c r="AT618" s="3"/>
      <c r="AU618" s="3"/>
      <c r="AV618" s="3"/>
      <c r="AW618" s="3"/>
      <c r="AX618" s="3"/>
      <c r="AY618" s="3"/>
      <c r="AZ618" s="3"/>
      <c r="BA618" s="3"/>
      <c r="BB618" s="3"/>
      <c r="BC618" s="3"/>
    </row>
    <row r="619" spans="1:55">
      <c r="A619" s="1" t="str">
        <f>'Population Definitions'!$A$11</f>
        <v>65+_females</v>
      </c>
      <c r="C619" t="s">
        <v>34</v>
      </c>
      <c r="D619" s="3"/>
      <c r="E619" s="3">
        <v>10.78716437713264</v>
      </c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  <c r="AE619" s="3"/>
      <c r="AF619" s="3"/>
      <c r="AG619" s="3"/>
      <c r="AH619" s="3"/>
      <c r="AI619" s="3"/>
      <c r="AJ619" s="3"/>
      <c r="AK619" s="3"/>
      <c r="AL619" s="3"/>
      <c r="AM619" s="3"/>
      <c r="AN619" s="3"/>
      <c r="AO619" s="3"/>
      <c r="AP619" s="3"/>
      <c r="AQ619" s="3"/>
      <c r="AR619" s="3"/>
      <c r="AS619" s="3"/>
      <c r="AT619" s="3"/>
      <c r="AU619" s="3"/>
      <c r="AV619" s="3"/>
      <c r="AW619" s="3"/>
      <c r="AX619" s="3"/>
      <c r="AY619" s="3"/>
      <c r="AZ619" s="3"/>
      <c r="BA619" s="3"/>
      <c r="BB619" s="3"/>
      <c r="BC619" s="3"/>
    </row>
    <row r="620" spans="1:55">
      <c r="A620" s="1" t="str">
        <f>'Population Definitions'!$A$12</f>
        <v>Prisoners_males</v>
      </c>
      <c r="C620" t="s">
        <v>34</v>
      </c>
      <c r="D620" s="3"/>
      <c r="E620" s="3">
        <v>0.2253380299394991</v>
      </c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  <c r="AE620" s="3"/>
      <c r="AF620" s="3"/>
      <c r="AG620" s="3"/>
      <c r="AH620" s="3"/>
      <c r="AI620" s="3"/>
      <c r="AJ620" s="3"/>
      <c r="AK620" s="3"/>
      <c r="AL620" s="3"/>
      <c r="AM620" s="3"/>
      <c r="AN620" s="3"/>
      <c r="AO620" s="3"/>
      <c r="AP620" s="3"/>
      <c r="AQ620" s="3"/>
      <c r="AR620" s="3"/>
      <c r="AS620" s="3"/>
      <c r="AT620" s="3"/>
      <c r="AU620" s="3"/>
      <c r="AV620" s="3"/>
      <c r="AW620" s="3"/>
      <c r="AX620" s="3"/>
      <c r="AY620" s="3"/>
      <c r="AZ620" s="3"/>
      <c r="BA620" s="3"/>
      <c r="BB620" s="3"/>
      <c r="BC620" s="3"/>
    </row>
    <row r="621" spans="1:55">
      <c r="A621" s="1" t="str">
        <f>'Population Definitions'!$A$13</f>
        <v>Prisoners_females</v>
      </c>
      <c r="C621" t="s">
        <v>34</v>
      </c>
      <c r="D621" s="3"/>
      <c r="E621" s="3">
        <v>0.007689922428131821</v>
      </c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  <c r="AE621" s="3"/>
      <c r="AF621" s="3"/>
      <c r="AG621" s="3"/>
      <c r="AH621" s="3"/>
      <c r="AI621" s="3"/>
      <c r="AJ621" s="3"/>
      <c r="AK621" s="3"/>
      <c r="AL621" s="3"/>
      <c r="AM621" s="3"/>
      <c r="AN621" s="3"/>
      <c r="AO621" s="3"/>
      <c r="AP621" s="3"/>
      <c r="AQ621" s="3"/>
      <c r="AR621" s="3"/>
      <c r="AS621" s="3"/>
      <c r="AT621" s="3"/>
      <c r="AU621" s="3"/>
      <c r="AV621" s="3"/>
      <c r="AW621" s="3"/>
      <c r="AX621" s="3"/>
      <c r="AY621" s="3"/>
      <c r="AZ621" s="3"/>
      <c r="BA621" s="3"/>
      <c r="BB621" s="3"/>
      <c r="BC621" s="3"/>
    </row>
    <row r="622" spans="1:55">
      <c r="A622" s="1" t="str">
        <f>'Population Definitions'!$A$14</f>
        <v>Prisoners_PWID_males</v>
      </c>
      <c r="C622" t="s">
        <v>34</v>
      </c>
      <c r="D622" s="3"/>
      <c r="E622" s="3">
        <v>24.27095925112866</v>
      </c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  <c r="AE622" s="3"/>
      <c r="AF622" s="3"/>
      <c r="AG622" s="3"/>
      <c r="AH622" s="3"/>
      <c r="AI622" s="3"/>
      <c r="AJ622" s="3"/>
      <c r="AK622" s="3"/>
      <c r="AL622" s="3"/>
      <c r="AM622" s="3"/>
      <c r="AN622" s="3"/>
      <c r="AO622" s="3"/>
      <c r="AP622" s="3"/>
      <c r="AQ622" s="3"/>
      <c r="AR622" s="3"/>
      <c r="AS622" s="3"/>
      <c r="AT622" s="3"/>
      <c r="AU622" s="3"/>
      <c r="AV622" s="3"/>
      <c r="AW622" s="3"/>
      <c r="AX622" s="3"/>
      <c r="AY622" s="3"/>
      <c r="AZ622" s="3"/>
      <c r="BA622" s="3"/>
      <c r="BB622" s="3"/>
      <c r="BC622" s="3"/>
    </row>
    <row r="623" spans="1:55">
      <c r="A623" s="1" t="str">
        <f>'Population Definitions'!$A$15</f>
        <v>Prisoners_PWID_females</v>
      </c>
      <c r="C623" t="s">
        <v>34</v>
      </c>
      <c r="D623" s="3"/>
      <c r="E623" s="3">
        <v>0.8282747210829849</v>
      </c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3"/>
      <c r="AF623" s="3"/>
      <c r="AG623" s="3"/>
      <c r="AH623" s="3"/>
      <c r="AI623" s="3"/>
      <c r="AJ623" s="3"/>
      <c r="AK623" s="3"/>
      <c r="AL623" s="3"/>
      <c r="AM623" s="3"/>
      <c r="AN623" s="3"/>
      <c r="AO623" s="3"/>
      <c r="AP623" s="3"/>
      <c r="AQ623" s="3"/>
      <c r="AR623" s="3"/>
      <c r="AS623" s="3"/>
      <c r="AT623" s="3"/>
      <c r="AU623" s="3"/>
      <c r="AV623" s="3"/>
      <c r="AW623" s="3"/>
      <c r="AX623" s="3"/>
      <c r="AY623" s="3"/>
      <c r="AZ623" s="3"/>
      <c r="BA623" s="3"/>
      <c r="BB623" s="3"/>
      <c r="BC623" s="3"/>
    </row>
    <row r="625" spans="1:55">
      <c r="A625" s="1" t="s">
        <v>166</v>
      </c>
      <c r="B625" s="1" t="s">
        <v>31</v>
      </c>
      <c r="C625" s="1" t="s">
        <v>32</v>
      </c>
      <c r="D625" s="1" t="s">
        <v>33</v>
      </c>
      <c r="E625" s="1">
        <v>2000</v>
      </c>
      <c r="F625" s="1">
        <v>2001</v>
      </c>
      <c r="G625" s="1">
        <v>2002</v>
      </c>
      <c r="H625" s="1">
        <v>2003</v>
      </c>
      <c r="I625" s="1">
        <v>2004</v>
      </c>
      <c r="J625" s="1">
        <v>2005</v>
      </c>
      <c r="K625" s="1">
        <v>2006</v>
      </c>
      <c r="L625" s="1">
        <v>2007</v>
      </c>
      <c r="M625" s="1">
        <v>2008</v>
      </c>
      <c r="N625" s="1">
        <v>2009</v>
      </c>
      <c r="O625" s="1">
        <v>2010</v>
      </c>
      <c r="P625" s="1">
        <v>2011</v>
      </c>
      <c r="Q625" s="1">
        <v>2012</v>
      </c>
      <c r="R625" s="1">
        <v>2013</v>
      </c>
      <c r="S625" s="1">
        <v>2014</v>
      </c>
      <c r="T625" s="1">
        <v>2015</v>
      </c>
      <c r="U625" s="1">
        <v>2016</v>
      </c>
      <c r="V625" s="1">
        <v>2017</v>
      </c>
      <c r="W625" s="1">
        <v>2018</v>
      </c>
      <c r="X625" s="1">
        <v>2019</v>
      </c>
      <c r="Y625" s="1">
        <v>2020</v>
      </c>
      <c r="Z625" s="1">
        <v>2021</v>
      </c>
      <c r="AA625" s="1">
        <v>2022</v>
      </c>
      <c r="AB625" s="1">
        <v>2023</v>
      </c>
      <c r="AC625" s="1">
        <v>2024</v>
      </c>
      <c r="AD625" s="1">
        <v>2025</v>
      </c>
      <c r="AE625" s="1">
        <v>2026</v>
      </c>
      <c r="AF625" s="1">
        <v>2027</v>
      </c>
      <c r="AG625" s="1">
        <v>2028</v>
      </c>
      <c r="AH625" s="1">
        <v>2029</v>
      </c>
      <c r="AI625" s="1">
        <v>2030</v>
      </c>
      <c r="AJ625" s="1">
        <v>2031</v>
      </c>
      <c r="AK625" s="1">
        <v>2032</v>
      </c>
      <c r="AL625" s="1">
        <v>2033</v>
      </c>
      <c r="AM625" s="1">
        <v>2034</v>
      </c>
      <c r="AN625" s="1">
        <v>2035</v>
      </c>
      <c r="AO625" s="1">
        <v>2036</v>
      </c>
      <c r="AP625" s="1">
        <v>2037</v>
      </c>
      <c r="AQ625" s="1">
        <v>2038</v>
      </c>
      <c r="AR625" s="1">
        <v>2039</v>
      </c>
      <c r="AS625" s="1">
        <v>2040</v>
      </c>
      <c r="AT625" s="1">
        <v>2041</v>
      </c>
      <c r="AU625" s="1">
        <v>2042</v>
      </c>
      <c r="AV625" s="1">
        <v>2043</v>
      </c>
      <c r="AW625" s="1">
        <v>2044</v>
      </c>
      <c r="AX625" s="1">
        <v>2045</v>
      </c>
      <c r="AY625" s="1">
        <v>2046</v>
      </c>
      <c r="AZ625" s="1">
        <v>2047</v>
      </c>
      <c r="BA625" s="1">
        <v>2048</v>
      </c>
      <c r="BB625" s="1">
        <v>2049</v>
      </c>
      <c r="BC625" s="1">
        <v>2050</v>
      </c>
    </row>
    <row r="626" spans="1:55">
      <c r="A626" s="1" t="str">
        <f>'Population Definitions'!$A$2</f>
        <v>PWID_males</v>
      </c>
      <c r="C626" t="s">
        <v>34</v>
      </c>
      <c r="D626" s="3"/>
      <c r="E626" s="3">
        <v>8.81226428658859</v>
      </c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  <c r="AD626" s="3"/>
      <c r="AE626" s="3"/>
      <c r="AF626" s="3"/>
      <c r="AG626" s="3"/>
      <c r="AH626" s="3"/>
      <c r="AI626" s="3"/>
      <c r="AJ626" s="3"/>
      <c r="AK626" s="3"/>
      <c r="AL626" s="3"/>
      <c r="AM626" s="3"/>
      <c r="AN626" s="3"/>
      <c r="AO626" s="3"/>
      <c r="AP626" s="3"/>
      <c r="AQ626" s="3"/>
      <c r="AR626" s="3"/>
      <c r="AS626" s="3"/>
      <c r="AT626" s="3"/>
      <c r="AU626" s="3"/>
      <c r="AV626" s="3"/>
      <c r="AW626" s="3"/>
      <c r="AX626" s="3"/>
      <c r="AY626" s="3"/>
      <c r="AZ626" s="3"/>
      <c r="BA626" s="3"/>
      <c r="BB626" s="3"/>
      <c r="BC626" s="3"/>
    </row>
    <row r="627" spans="1:55">
      <c r="A627" s="1" t="str">
        <f>'Population Definitions'!$A$3</f>
        <v>PWID_females</v>
      </c>
      <c r="C627" t="s">
        <v>34</v>
      </c>
      <c r="D627" s="3"/>
      <c r="E627" s="3">
        <v>2.486792213386508</v>
      </c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/>
      <c r="AD627" s="3"/>
      <c r="AE627" s="3"/>
      <c r="AF627" s="3"/>
      <c r="AG627" s="3"/>
      <c r="AH627" s="3"/>
      <c r="AI627" s="3"/>
      <c r="AJ627" s="3"/>
      <c r="AK627" s="3"/>
      <c r="AL627" s="3"/>
      <c r="AM627" s="3"/>
      <c r="AN627" s="3"/>
      <c r="AO627" s="3"/>
      <c r="AP627" s="3"/>
      <c r="AQ627" s="3"/>
      <c r="AR627" s="3"/>
      <c r="AS627" s="3"/>
      <c r="AT627" s="3"/>
      <c r="AU627" s="3"/>
      <c r="AV627" s="3"/>
      <c r="AW627" s="3"/>
      <c r="AX627" s="3"/>
      <c r="AY627" s="3"/>
      <c r="AZ627" s="3"/>
      <c r="BA627" s="3"/>
      <c r="BB627" s="3"/>
      <c r="BC627" s="3"/>
    </row>
    <row r="628" spans="1:55">
      <c r="A628" s="1" t="str">
        <f>'Population Definitions'!$A$4</f>
        <v>0-9_males</v>
      </c>
      <c r="C628" t="s">
        <v>34</v>
      </c>
      <c r="D628" s="3"/>
      <c r="E628" s="3">
        <v>0</v>
      </c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/>
      <c r="AD628" s="3"/>
      <c r="AE628" s="3"/>
      <c r="AF628" s="3"/>
      <c r="AG628" s="3"/>
      <c r="AH628" s="3"/>
      <c r="AI628" s="3"/>
      <c r="AJ628" s="3"/>
      <c r="AK628" s="3"/>
      <c r="AL628" s="3"/>
      <c r="AM628" s="3"/>
      <c r="AN628" s="3"/>
      <c r="AO628" s="3"/>
      <c r="AP628" s="3"/>
      <c r="AQ628" s="3"/>
      <c r="AR628" s="3"/>
      <c r="AS628" s="3"/>
      <c r="AT628" s="3"/>
      <c r="AU628" s="3"/>
      <c r="AV628" s="3"/>
      <c r="AW628" s="3"/>
      <c r="AX628" s="3"/>
      <c r="AY628" s="3"/>
      <c r="AZ628" s="3"/>
      <c r="BA628" s="3"/>
      <c r="BB628" s="3"/>
      <c r="BC628" s="3"/>
    </row>
    <row r="629" spans="1:55">
      <c r="A629" s="1" t="str">
        <f>'Population Definitions'!$A$5</f>
        <v>0-9_females</v>
      </c>
      <c r="C629" t="s">
        <v>34</v>
      </c>
      <c r="D629" s="3"/>
      <c r="E629" s="3">
        <v>0</v>
      </c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/>
      <c r="AD629" s="3"/>
      <c r="AE629" s="3"/>
      <c r="AF629" s="3"/>
      <c r="AG629" s="3"/>
      <c r="AH629" s="3"/>
      <c r="AI629" s="3"/>
      <c r="AJ629" s="3"/>
      <c r="AK629" s="3"/>
      <c r="AL629" s="3"/>
      <c r="AM629" s="3"/>
      <c r="AN629" s="3"/>
      <c r="AO629" s="3"/>
      <c r="AP629" s="3"/>
      <c r="AQ629" s="3"/>
      <c r="AR629" s="3"/>
      <c r="AS629" s="3"/>
      <c r="AT629" s="3"/>
      <c r="AU629" s="3"/>
      <c r="AV629" s="3"/>
      <c r="AW629" s="3"/>
      <c r="AX629" s="3"/>
      <c r="AY629" s="3"/>
      <c r="AZ629" s="3"/>
      <c r="BA629" s="3"/>
      <c r="BB629" s="3"/>
      <c r="BC629" s="3"/>
    </row>
    <row r="630" spans="1:55">
      <c r="A630" s="1" t="str">
        <f>'Population Definitions'!$A$6</f>
        <v>10-17_males</v>
      </c>
      <c r="C630" t="s">
        <v>34</v>
      </c>
      <c r="D630" s="3"/>
      <c r="E630" s="3">
        <v>0</v>
      </c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/>
      <c r="AD630" s="3"/>
      <c r="AE630" s="3"/>
      <c r="AF630" s="3"/>
      <c r="AG630" s="3"/>
      <c r="AH630" s="3"/>
      <c r="AI630" s="3"/>
      <c r="AJ630" s="3"/>
      <c r="AK630" s="3"/>
      <c r="AL630" s="3"/>
      <c r="AM630" s="3"/>
      <c r="AN630" s="3"/>
      <c r="AO630" s="3"/>
      <c r="AP630" s="3"/>
      <c r="AQ630" s="3"/>
      <c r="AR630" s="3"/>
      <c r="AS630" s="3"/>
      <c r="AT630" s="3"/>
      <c r="AU630" s="3"/>
      <c r="AV630" s="3"/>
      <c r="AW630" s="3"/>
      <c r="AX630" s="3"/>
      <c r="AY630" s="3"/>
      <c r="AZ630" s="3"/>
      <c r="BA630" s="3"/>
      <c r="BB630" s="3"/>
      <c r="BC630" s="3"/>
    </row>
    <row r="631" spans="1:55">
      <c r="A631" s="1" t="str">
        <f>'Population Definitions'!$A$7</f>
        <v>10-17_females</v>
      </c>
      <c r="C631" t="s">
        <v>34</v>
      </c>
      <c r="D631" s="3"/>
      <c r="E631" s="3">
        <v>0</v>
      </c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/>
      <c r="AD631" s="3"/>
      <c r="AE631" s="3"/>
      <c r="AF631" s="3"/>
      <c r="AG631" s="3"/>
      <c r="AH631" s="3"/>
      <c r="AI631" s="3"/>
      <c r="AJ631" s="3"/>
      <c r="AK631" s="3"/>
      <c r="AL631" s="3"/>
      <c r="AM631" s="3"/>
      <c r="AN631" s="3"/>
      <c r="AO631" s="3"/>
      <c r="AP631" s="3"/>
      <c r="AQ631" s="3"/>
      <c r="AR631" s="3"/>
      <c r="AS631" s="3"/>
      <c r="AT631" s="3"/>
      <c r="AU631" s="3"/>
      <c r="AV631" s="3"/>
      <c r="AW631" s="3"/>
      <c r="AX631" s="3"/>
      <c r="AY631" s="3"/>
      <c r="AZ631" s="3"/>
      <c r="BA631" s="3"/>
      <c r="BB631" s="3"/>
      <c r="BC631" s="3"/>
    </row>
    <row r="632" spans="1:55">
      <c r="A632" s="1" t="str">
        <f>'Population Definitions'!$A$8</f>
        <v>18-64_males</v>
      </c>
      <c r="C632" t="s">
        <v>34</v>
      </c>
      <c r="D632" s="3"/>
      <c r="E632" s="3">
        <v>16.99693935796345</v>
      </c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/>
      <c r="AD632" s="3"/>
      <c r="AE632" s="3"/>
      <c r="AF632" s="3"/>
      <c r="AG632" s="3"/>
      <c r="AH632" s="3"/>
      <c r="AI632" s="3"/>
      <c r="AJ632" s="3"/>
      <c r="AK632" s="3"/>
      <c r="AL632" s="3"/>
      <c r="AM632" s="3"/>
      <c r="AN632" s="3"/>
      <c r="AO632" s="3"/>
      <c r="AP632" s="3"/>
      <c r="AQ632" s="3"/>
      <c r="AR632" s="3"/>
      <c r="AS632" s="3"/>
      <c r="AT632" s="3"/>
      <c r="AU632" s="3"/>
      <c r="AV632" s="3"/>
      <c r="AW632" s="3"/>
      <c r="AX632" s="3"/>
      <c r="AY632" s="3"/>
      <c r="AZ632" s="3"/>
      <c r="BA632" s="3"/>
      <c r="BB632" s="3"/>
      <c r="BC632" s="3"/>
    </row>
    <row r="633" spans="1:55">
      <c r="A633" s="1" t="str">
        <f>'Population Definitions'!$A$9</f>
        <v>18-64_females</v>
      </c>
      <c r="C633" t="s">
        <v>34</v>
      </c>
      <c r="D633" s="3"/>
      <c r="E633" s="3">
        <v>17.98089110643704</v>
      </c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/>
      <c r="AD633" s="3"/>
      <c r="AE633" s="3"/>
      <c r="AF633" s="3"/>
      <c r="AG633" s="3"/>
      <c r="AH633" s="3"/>
      <c r="AI633" s="3"/>
      <c r="AJ633" s="3"/>
      <c r="AK633" s="3"/>
      <c r="AL633" s="3"/>
      <c r="AM633" s="3"/>
      <c r="AN633" s="3"/>
      <c r="AO633" s="3"/>
      <c r="AP633" s="3"/>
      <c r="AQ633" s="3"/>
      <c r="AR633" s="3"/>
      <c r="AS633" s="3"/>
      <c r="AT633" s="3"/>
      <c r="AU633" s="3"/>
      <c r="AV633" s="3"/>
      <c r="AW633" s="3"/>
      <c r="AX633" s="3"/>
      <c r="AY633" s="3"/>
      <c r="AZ633" s="3"/>
      <c r="BA633" s="3"/>
      <c r="BB633" s="3"/>
      <c r="BC633" s="3"/>
    </row>
    <row r="634" spans="1:55">
      <c r="A634" s="1" t="str">
        <f>'Population Definitions'!$A$10</f>
        <v>65+_males</v>
      </c>
      <c r="C634" t="s">
        <v>34</v>
      </c>
      <c r="D634" s="3"/>
      <c r="E634" s="3">
        <v>0.9738514465505941</v>
      </c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/>
      <c r="AD634" s="3"/>
      <c r="AE634" s="3"/>
      <c r="AF634" s="3"/>
      <c r="AG634" s="3"/>
      <c r="AH634" s="3"/>
      <c r="AI634" s="3"/>
      <c r="AJ634" s="3"/>
      <c r="AK634" s="3"/>
      <c r="AL634" s="3"/>
      <c r="AM634" s="3"/>
      <c r="AN634" s="3"/>
      <c r="AO634" s="3"/>
      <c r="AP634" s="3"/>
      <c r="AQ634" s="3"/>
      <c r="AR634" s="3"/>
      <c r="AS634" s="3"/>
      <c r="AT634" s="3"/>
      <c r="AU634" s="3"/>
      <c r="AV634" s="3"/>
      <c r="AW634" s="3"/>
      <c r="AX634" s="3"/>
      <c r="AY634" s="3"/>
      <c r="AZ634" s="3"/>
      <c r="BA634" s="3"/>
      <c r="BB634" s="3"/>
      <c r="BC634" s="3"/>
    </row>
    <row r="635" spans="1:55">
      <c r="A635" s="1" t="str">
        <f>'Population Definitions'!$A$11</f>
        <v>65+_females</v>
      </c>
      <c r="C635" t="s">
        <v>34</v>
      </c>
      <c r="D635" s="3"/>
      <c r="E635" s="3">
        <v>1.198573819681539</v>
      </c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/>
      <c r="AD635" s="3"/>
      <c r="AE635" s="3"/>
      <c r="AF635" s="3"/>
      <c r="AG635" s="3"/>
      <c r="AH635" s="3"/>
      <c r="AI635" s="3"/>
      <c r="AJ635" s="3"/>
      <c r="AK635" s="3"/>
      <c r="AL635" s="3"/>
      <c r="AM635" s="3"/>
      <c r="AN635" s="3"/>
      <c r="AO635" s="3"/>
      <c r="AP635" s="3"/>
      <c r="AQ635" s="3"/>
      <c r="AR635" s="3"/>
      <c r="AS635" s="3"/>
      <c r="AT635" s="3"/>
      <c r="AU635" s="3"/>
      <c r="AV635" s="3"/>
      <c r="AW635" s="3"/>
      <c r="AX635" s="3"/>
      <c r="AY635" s="3"/>
      <c r="AZ635" s="3"/>
      <c r="BA635" s="3"/>
      <c r="BB635" s="3"/>
      <c r="BC635" s="3"/>
    </row>
    <row r="636" spans="1:55">
      <c r="A636" s="1" t="str">
        <f>'Population Definitions'!$A$12</f>
        <v>Prisoners_males</v>
      </c>
      <c r="C636" t="s">
        <v>34</v>
      </c>
      <c r="D636" s="3"/>
      <c r="E636" s="3">
        <v>0.02503755888216937</v>
      </c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/>
      <c r="AD636" s="3"/>
      <c r="AE636" s="3"/>
      <c r="AF636" s="3"/>
      <c r="AG636" s="3"/>
      <c r="AH636" s="3"/>
      <c r="AI636" s="3"/>
      <c r="AJ636" s="3"/>
      <c r="AK636" s="3"/>
      <c r="AL636" s="3"/>
      <c r="AM636" s="3"/>
      <c r="AN636" s="3"/>
      <c r="AO636" s="3"/>
      <c r="AP636" s="3"/>
      <c r="AQ636" s="3"/>
      <c r="AR636" s="3"/>
      <c r="AS636" s="3"/>
      <c r="AT636" s="3"/>
      <c r="AU636" s="3"/>
      <c r="AV636" s="3"/>
      <c r="AW636" s="3"/>
      <c r="AX636" s="3"/>
      <c r="AY636" s="3"/>
      <c r="AZ636" s="3"/>
      <c r="BA636" s="3"/>
      <c r="BB636" s="3"/>
      <c r="BC636" s="3"/>
    </row>
    <row r="637" spans="1:55">
      <c r="A637" s="1" t="str">
        <f>'Population Definitions'!$A$13</f>
        <v>Prisoners_females</v>
      </c>
      <c r="C637" t="s">
        <v>34</v>
      </c>
      <c r="D637" s="3"/>
      <c r="E637" s="3">
        <v>0.0008544358253480758</v>
      </c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/>
      <c r="AD637" s="3"/>
      <c r="AE637" s="3"/>
      <c r="AF637" s="3"/>
      <c r="AG637" s="3"/>
      <c r="AH637" s="3"/>
      <c r="AI637" s="3"/>
      <c r="AJ637" s="3"/>
      <c r="AK637" s="3"/>
      <c r="AL637" s="3"/>
      <c r="AM637" s="3"/>
      <c r="AN637" s="3"/>
      <c r="AO637" s="3"/>
      <c r="AP637" s="3"/>
      <c r="AQ637" s="3"/>
      <c r="AR637" s="3"/>
      <c r="AS637" s="3"/>
      <c r="AT637" s="3"/>
      <c r="AU637" s="3"/>
      <c r="AV637" s="3"/>
      <c r="AW637" s="3"/>
      <c r="AX637" s="3"/>
      <c r="AY637" s="3"/>
      <c r="AZ637" s="3"/>
      <c r="BA637" s="3"/>
      <c r="BB637" s="3"/>
      <c r="BC637" s="3"/>
    </row>
    <row r="638" spans="1:55">
      <c r="A638" s="1" t="str">
        <f>'Population Definitions'!$A$14</f>
        <v>Prisoners_PWID_males</v>
      </c>
      <c r="C638" t="s">
        <v>34</v>
      </c>
      <c r="D638" s="3"/>
      <c r="E638" s="3">
        <v>2.696773250125708</v>
      </c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3"/>
      <c r="AF638" s="3"/>
      <c r="AG638" s="3"/>
      <c r="AH638" s="3"/>
      <c r="AI638" s="3"/>
      <c r="AJ638" s="3"/>
      <c r="AK638" s="3"/>
      <c r="AL638" s="3"/>
      <c r="AM638" s="3"/>
      <c r="AN638" s="3"/>
      <c r="AO638" s="3"/>
      <c r="AP638" s="3"/>
      <c r="AQ638" s="3"/>
      <c r="AR638" s="3"/>
      <c r="AS638" s="3"/>
      <c r="AT638" s="3"/>
      <c r="AU638" s="3"/>
      <c r="AV638" s="3"/>
      <c r="AW638" s="3"/>
      <c r="AX638" s="3"/>
      <c r="AY638" s="3"/>
      <c r="AZ638" s="3"/>
      <c r="BA638" s="3"/>
      <c r="BB638" s="3"/>
      <c r="BC638" s="3"/>
    </row>
    <row r="639" spans="1:55">
      <c r="A639" s="1" t="str">
        <f>'Population Definitions'!$A$15</f>
        <v>Prisoners_PWID_females</v>
      </c>
      <c r="C639" t="s">
        <v>34</v>
      </c>
      <c r="D639" s="3"/>
      <c r="E639" s="3">
        <v>0.09203052456478641</v>
      </c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  <c r="AE639" s="3"/>
      <c r="AF639" s="3"/>
      <c r="AG639" s="3"/>
      <c r="AH639" s="3"/>
      <c r="AI639" s="3"/>
      <c r="AJ639" s="3"/>
      <c r="AK639" s="3"/>
      <c r="AL639" s="3"/>
      <c r="AM639" s="3"/>
      <c r="AN639" s="3"/>
      <c r="AO639" s="3"/>
      <c r="AP639" s="3"/>
      <c r="AQ639" s="3"/>
      <c r="AR639" s="3"/>
      <c r="AS639" s="3"/>
      <c r="AT639" s="3"/>
      <c r="AU639" s="3"/>
      <c r="AV639" s="3"/>
      <c r="AW639" s="3"/>
      <c r="AX639" s="3"/>
      <c r="AY639" s="3"/>
      <c r="AZ639" s="3"/>
      <c r="BA639" s="3"/>
      <c r="BB639" s="3"/>
      <c r="BC639" s="3"/>
    </row>
    <row r="641" spans="1:57">
      <c r="A641" s="1" t="s">
        <v>167</v>
      </c>
      <c r="B641" s="1" t="s">
        <v>31</v>
      </c>
      <c r="C641" s="1" t="s">
        <v>32</v>
      </c>
      <c r="D641" s="1" t="s">
        <v>33</v>
      </c>
      <c r="E641" s="1" t="s">
        <v>38</v>
      </c>
      <c r="F641" s="1"/>
      <c r="G641" s="1">
        <v>2000</v>
      </c>
      <c r="H641" s="1">
        <v>2001</v>
      </c>
      <c r="I641" s="1">
        <v>2002</v>
      </c>
      <c r="J641" s="1">
        <v>2003</v>
      </c>
      <c r="K641" s="1">
        <v>2004</v>
      </c>
      <c r="L641" s="1">
        <v>2005</v>
      </c>
      <c r="M641" s="1">
        <v>2006</v>
      </c>
      <c r="N641" s="1">
        <v>2007</v>
      </c>
      <c r="O641" s="1">
        <v>2008</v>
      </c>
      <c r="P641" s="1">
        <v>2009</v>
      </c>
      <c r="Q641" s="1">
        <v>2010</v>
      </c>
      <c r="R641" s="1">
        <v>2011</v>
      </c>
      <c r="S641" s="1">
        <v>2012</v>
      </c>
      <c r="T641" s="1">
        <v>2013</v>
      </c>
      <c r="U641" s="1">
        <v>2014</v>
      </c>
      <c r="V641" s="1">
        <v>2015</v>
      </c>
      <c r="W641" s="1">
        <v>2016</v>
      </c>
      <c r="X641" s="1">
        <v>2017</v>
      </c>
      <c r="Y641" s="1">
        <v>2018</v>
      </c>
      <c r="Z641" s="1">
        <v>2019</v>
      </c>
      <c r="AA641" s="1">
        <v>2020</v>
      </c>
      <c r="AB641" s="1">
        <v>2021</v>
      </c>
      <c r="AC641" s="1">
        <v>2022</v>
      </c>
      <c r="AD641" s="1">
        <v>2023</v>
      </c>
      <c r="AE641" s="1">
        <v>2024</v>
      </c>
      <c r="AF641" s="1">
        <v>2025</v>
      </c>
      <c r="AG641" s="1">
        <v>2026</v>
      </c>
      <c r="AH641" s="1">
        <v>2027</v>
      </c>
      <c r="AI641" s="1">
        <v>2028</v>
      </c>
      <c r="AJ641" s="1">
        <v>2029</v>
      </c>
      <c r="AK641" s="1">
        <v>2030</v>
      </c>
      <c r="AL641" s="1">
        <v>2031</v>
      </c>
      <c r="AM641" s="1">
        <v>2032</v>
      </c>
      <c r="AN641" s="1">
        <v>2033</v>
      </c>
      <c r="AO641" s="1">
        <v>2034</v>
      </c>
      <c r="AP641" s="1">
        <v>2035</v>
      </c>
      <c r="AQ641" s="1">
        <v>2036</v>
      </c>
      <c r="AR641" s="1">
        <v>2037</v>
      </c>
      <c r="AS641" s="1">
        <v>2038</v>
      </c>
      <c r="AT641" s="1">
        <v>2039</v>
      </c>
      <c r="AU641" s="1">
        <v>2040</v>
      </c>
      <c r="AV641" s="1">
        <v>2041</v>
      </c>
      <c r="AW641" s="1">
        <v>2042</v>
      </c>
      <c r="AX641" s="1">
        <v>2043</v>
      </c>
      <c r="AY641" s="1">
        <v>2044</v>
      </c>
      <c r="AZ641" s="1">
        <v>2045</v>
      </c>
      <c r="BA641" s="1">
        <v>2046</v>
      </c>
      <c r="BB641" s="1">
        <v>2047</v>
      </c>
      <c r="BC641" s="1">
        <v>2048</v>
      </c>
      <c r="BD641" s="1">
        <v>2049</v>
      </c>
      <c r="BE641" s="1">
        <v>2050</v>
      </c>
    </row>
    <row r="642" spans="1:57">
      <c r="A642" s="1" t="str">
        <f>'Population Definitions'!$A$2</f>
        <v>PWID_males</v>
      </c>
      <c r="C642" t="s">
        <v>34</v>
      </c>
      <c r="D642" s="3"/>
      <c r="E642" s="3">
        <v>0</v>
      </c>
      <c r="F642" s="4" t="s">
        <v>39</v>
      </c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/>
      <c r="AD642" s="3"/>
      <c r="AE642" s="3"/>
      <c r="AF642" s="3"/>
      <c r="AG642" s="3"/>
      <c r="AH642" s="3"/>
      <c r="AI642" s="3"/>
      <c r="AJ642" s="3"/>
      <c r="AK642" s="3"/>
      <c r="AL642" s="3"/>
      <c r="AM642" s="3"/>
      <c r="AN642" s="3"/>
      <c r="AO642" s="3"/>
      <c r="AP642" s="3"/>
      <c r="AQ642" s="3"/>
      <c r="AR642" s="3"/>
      <c r="AS642" s="3"/>
      <c r="AT642" s="3"/>
      <c r="AU642" s="3"/>
      <c r="AV642" s="3"/>
      <c r="AW642" s="3"/>
      <c r="AX642" s="3"/>
      <c r="AY642" s="3"/>
      <c r="AZ642" s="3"/>
      <c r="BA642" s="3"/>
      <c r="BB642" s="3"/>
      <c r="BC642" s="3"/>
      <c r="BD642" s="3"/>
      <c r="BE642" s="3"/>
    </row>
    <row r="643" spans="1:57">
      <c r="A643" s="1" t="str">
        <f>'Population Definitions'!$A$3</f>
        <v>PWID_females</v>
      </c>
      <c r="C643" t="s">
        <v>34</v>
      </c>
      <c r="D643" s="3"/>
      <c r="E643" s="3">
        <v>0</v>
      </c>
      <c r="F643" s="4" t="s">
        <v>39</v>
      </c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/>
      <c r="AD643" s="3"/>
      <c r="AE643" s="3"/>
      <c r="AF643" s="3"/>
      <c r="AG643" s="3"/>
      <c r="AH643" s="3"/>
      <c r="AI643" s="3"/>
      <c r="AJ643" s="3"/>
      <c r="AK643" s="3"/>
      <c r="AL643" s="3"/>
      <c r="AM643" s="3"/>
      <c r="AN643" s="3"/>
      <c r="AO643" s="3"/>
      <c r="AP643" s="3"/>
      <c r="AQ643" s="3"/>
      <c r="AR643" s="3"/>
      <c r="AS643" s="3"/>
      <c r="AT643" s="3"/>
      <c r="AU643" s="3"/>
      <c r="AV643" s="3"/>
      <c r="AW643" s="3"/>
      <c r="AX643" s="3"/>
      <c r="AY643" s="3"/>
      <c r="AZ643" s="3"/>
      <c r="BA643" s="3"/>
      <c r="BB643" s="3"/>
      <c r="BC643" s="3"/>
      <c r="BD643" s="3"/>
      <c r="BE643" s="3"/>
    </row>
    <row r="644" spans="1:57">
      <c r="A644" s="1" t="str">
        <f>'Population Definitions'!$A$4</f>
        <v>0-9_males</v>
      </c>
      <c r="C644" t="s">
        <v>34</v>
      </c>
      <c r="D644" s="3"/>
      <c r="E644" s="3">
        <v>0</v>
      </c>
      <c r="F644" s="4" t="s">
        <v>39</v>
      </c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/>
      <c r="AD644" s="3"/>
      <c r="AE644" s="3"/>
      <c r="AF644" s="3"/>
      <c r="AG644" s="3"/>
      <c r="AH644" s="3"/>
      <c r="AI644" s="3"/>
      <c r="AJ644" s="3"/>
      <c r="AK644" s="3"/>
      <c r="AL644" s="3"/>
      <c r="AM644" s="3"/>
      <c r="AN644" s="3"/>
      <c r="AO644" s="3"/>
      <c r="AP644" s="3"/>
      <c r="AQ644" s="3"/>
      <c r="AR644" s="3"/>
      <c r="AS644" s="3"/>
      <c r="AT644" s="3"/>
      <c r="AU644" s="3"/>
      <c r="AV644" s="3"/>
      <c r="AW644" s="3"/>
      <c r="AX644" s="3"/>
      <c r="AY644" s="3"/>
      <c r="AZ644" s="3"/>
      <c r="BA644" s="3"/>
      <c r="BB644" s="3"/>
      <c r="BC644" s="3"/>
      <c r="BD644" s="3"/>
      <c r="BE644" s="3"/>
    </row>
    <row r="645" spans="1:57">
      <c r="A645" s="1" t="str">
        <f>'Population Definitions'!$A$5</f>
        <v>0-9_females</v>
      </c>
      <c r="C645" t="s">
        <v>34</v>
      </c>
      <c r="D645" s="3"/>
      <c r="E645" s="3">
        <v>0</v>
      </c>
      <c r="F645" s="4" t="s">
        <v>39</v>
      </c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/>
      <c r="AD645" s="3"/>
      <c r="AE645" s="3"/>
      <c r="AF645" s="3"/>
      <c r="AG645" s="3"/>
      <c r="AH645" s="3"/>
      <c r="AI645" s="3"/>
      <c r="AJ645" s="3"/>
      <c r="AK645" s="3"/>
      <c r="AL645" s="3"/>
      <c r="AM645" s="3"/>
      <c r="AN645" s="3"/>
      <c r="AO645" s="3"/>
      <c r="AP645" s="3"/>
      <c r="AQ645" s="3"/>
      <c r="AR645" s="3"/>
      <c r="AS645" s="3"/>
      <c r="AT645" s="3"/>
      <c r="AU645" s="3"/>
      <c r="AV645" s="3"/>
      <c r="AW645" s="3"/>
      <c r="AX645" s="3"/>
      <c r="AY645" s="3"/>
      <c r="AZ645" s="3"/>
      <c r="BA645" s="3"/>
      <c r="BB645" s="3"/>
      <c r="BC645" s="3"/>
      <c r="BD645" s="3"/>
      <c r="BE645" s="3"/>
    </row>
    <row r="646" spans="1:57">
      <c r="A646" s="1" t="str">
        <f>'Population Definitions'!$A$6</f>
        <v>10-17_males</v>
      </c>
      <c r="C646" t="s">
        <v>34</v>
      </c>
      <c r="D646" s="3"/>
      <c r="E646" s="3">
        <v>0</v>
      </c>
      <c r="F646" s="4" t="s">
        <v>39</v>
      </c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/>
      <c r="AD646" s="3"/>
      <c r="AE646" s="3"/>
      <c r="AF646" s="3"/>
      <c r="AG646" s="3"/>
      <c r="AH646" s="3"/>
      <c r="AI646" s="3"/>
      <c r="AJ646" s="3"/>
      <c r="AK646" s="3"/>
      <c r="AL646" s="3"/>
      <c r="AM646" s="3"/>
      <c r="AN646" s="3"/>
      <c r="AO646" s="3"/>
      <c r="AP646" s="3"/>
      <c r="AQ646" s="3"/>
      <c r="AR646" s="3"/>
      <c r="AS646" s="3"/>
      <c r="AT646" s="3"/>
      <c r="AU646" s="3"/>
      <c r="AV646" s="3"/>
      <c r="AW646" s="3"/>
      <c r="AX646" s="3"/>
      <c r="AY646" s="3"/>
      <c r="AZ646" s="3"/>
      <c r="BA646" s="3"/>
      <c r="BB646" s="3"/>
      <c r="BC646" s="3"/>
      <c r="BD646" s="3"/>
      <c r="BE646" s="3"/>
    </row>
    <row r="647" spans="1:57">
      <c r="A647" s="1" t="str">
        <f>'Population Definitions'!$A$7</f>
        <v>10-17_females</v>
      </c>
      <c r="C647" t="s">
        <v>34</v>
      </c>
      <c r="D647" s="3"/>
      <c r="E647" s="3">
        <v>0</v>
      </c>
      <c r="F647" s="4" t="s">
        <v>39</v>
      </c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/>
      <c r="AD647" s="3"/>
      <c r="AE647" s="3"/>
      <c r="AF647" s="3"/>
      <c r="AG647" s="3"/>
      <c r="AH647" s="3"/>
      <c r="AI647" s="3"/>
      <c r="AJ647" s="3"/>
      <c r="AK647" s="3"/>
      <c r="AL647" s="3"/>
      <c r="AM647" s="3"/>
      <c r="AN647" s="3"/>
      <c r="AO647" s="3"/>
      <c r="AP647" s="3"/>
      <c r="AQ647" s="3"/>
      <c r="AR647" s="3"/>
      <c r="AS647" s="3"/>
      <c r="AT647" s="3"/>
      <c r="AU647" s="3"/>
      <c r="AV647" s="3"/>
      <c r="AW647" s="3"/>
      <c r="AX647" s="3"/>
      <c r="AY647" s="3"/>
      <c r="AZ647" s="3"/>
      <c r="BA647" s="3"/>
      <c r="BB647" s="3"/>
      <c r="BC647" s="3"/>
      <c r="BD647" s="3"/>
      <c r="BE647" s="3"/>
    </row>
    <row r="648" spans="1:57">
      <c r="A648" s="1" t="str">
        <f>'Population Definitions'!$A$8</f>
        <v>18-64_males</v>
      </c>
      <c r="C648" t="s">
        <v>34</v>
      </c>
      <c r="D648" s="3"/>
      <c r="E648" s="3">
        <v>0</v>
      </c>
      <c r="F648" s="4" t="s">
        <v>39</v>
      </c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/>
      <c r="AD648" s="3"/>
      <c r="AE648" s="3"/>
      <c r="AF648" s="3"/>
      <c r="AG648" s="3"/>
      <c r="AH648" s="3"/>
      <c r="AI648" s="3"/>
      <c r="AJ648" s="3"/>
      <c r="AK648" s="3"/>
      <c r="AL648" s="3"/>
      <c r="AM648" s="3"/>
      <c r="AN648" s="3"/>
      <c r="AO648" s="3"/>
      <c r="AP648" s="3"/>
      <c r="AQ648" s="3"/>
      <c r="AR648" s="3"/>
      <c r="AS648" s="3"/>
      <c r="AT648" s="3"/>
      <c r="AU648" s="3"/>
      <c r="AV648" s="3"/>
      <c r="AW648" s="3"/>
      <c r="AX648" s="3"/>
      <c r="AY648" s="3"/>
      <c r="AZ648" s="3"/>
      <c r="BA648" s="3"/>
      <c r="BB648" s="3"/>
      <c r="BC648" s="3"/>
      <c r="BD648" s="3"/>
      <c r="BE648" s="3"/>
    </row>
    <row r="649" spans="1:57">
      <c r="A649" s="1" t="str">
        <f>'Population Definitions'!$A$9</f>
        <v>18-64_females</v>
      </c>
      <c r="C649" t="s">
        <v>34</v>
      </c>
      <c r="D649" s="3"/>
      <c r="E649" s="3">
        <v>0</v>
      </c>
      <c r="F649" s="4" t="s">
        <v>39</v>
      </c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/>
      <c r="AD649" s="3"/>
      <c r="AE649" s="3"/>
      <c r="AF649" s="3"/>
      <c r="AG649" s="3"/>
      <c r="AH649" s="3"/>
      <c r="AI649" s="3"/>
      <c r="AJ649" s="3"/>
      <c r="AK649" s="3"/>
      <c r="AL649" s="3"/>
      <c r="AM649" s="3"/>
      <c r="AN649" s="3"/>
      <c r="AO649" s="3"/>
      <c r="AP649" s="3"/>
      <c r="AQ649" s="3"/>
      <c r="AR649" s="3"/>
      <c r="AS649" s="3"/>
      <c r="AT649" s="3"/>
      <c r="AU649" s="3"/>
      <c r="AV649" s="3"/>
      <c r="AW649" s="3"/>
      <c r="AX649" s="3"/>
      <c r="AY649" s="3"/>
      <c r="AZ649" s="3"/>
      <c r="BA649" s="3"/>
      <c r="BB649" s="3"/>
      <c r="BC649" s="3"/>
      <c r="BD649" s="3"/>
      <c r="BE649" s="3"/>
    </row>
    <row r="650" spans="1:57">
      <c r="A650" s="1" t="str">
        <f>'Population Definitions'!$A$10</f>
        <v>65+_males</v>
      </c>
      <c r="C650" t="s">
        <v>34</v>
      </c>
      <c r="D650" s="3"/>
      <c r="E650" s="3">
        <v>0</v>
      </c>
      <c r="F650" s="4" t="s">
        <v>39</v>
      </c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  <c r="AB650" s="3"/>
      <c r="AC650" s="3"/>
      <c r="AD650" s="3"/>
      <c r="AE650" s="3"/>
      <c r="AF650" s="3"/>
      <c r="AG650" s="3"/>
      <c r="AH650" s="3"/>
      <c r="AI650" s="3"/>
      <c r="AJ650" s="3"/>
      <c r="AK650" s="3"/>
      <c r="AL650" s="3"/>
      <c r="AM650" s="3"/>
      <c r="AN650" s="3"/>
      <c r="AO650" s="3"/>
      <c r="AP650" s="3"/>
      <c r="AQ650" s="3"/>
      <c r="AR650" s="3"/>
      <c r="AS650" s="3"/>
      <c r="AT650" s="3"/>
      <c r="AU650" s="3"/>
      <c r="AV650" s="3"/>
      <c r="AW650" s="3"/>
      <c r="AX650" s="3"/>
      <c r="AY650" s="3"/>
      <c r="AZ650" s="3"/>
      <c r="BA650" s="3"/>
      <c r="BB650" s="3"/>
      <c r="BC650" s="3"/>
      <c r="BD650" s="3"/>
      <c r="BE650" s="3"/>
    </row>
    <row r="651" spans="1:57">
      <c r="A651" s="1" t="str">
        <f>'Population Definitions'!$A$11</f>
        <v>65+_females</v>
      </c>
      <c r="C651" t="s">
        <v>34</v>
      </c>
      <c r="D651" s="3"/>
      <c r="E651" s="3">
        <v>0</v>
      </c>
      <c r="F651" s="4" t="s">
        <v>39</v>
      </c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  <c r="AB651" s="3"/>
      <c r="AC651" s="3"/>
      <c r="AD651" s="3"/>
      <c r="AE651" s="3"/>
      <c r="AF651" s="3"/>
      <c r="AG651" s="3"/>
      <c r="AH651" s="3"/>
      <c r="AI651" s="3"/>
      <c r="AJ651" s="3"/>
      <c r="AK651" s="3"/>
      <c r="AL651" s="3"/>
      <c r="AM651" s="3"/>
      <c r="AN651" s="3"/>
      <c r="AO651" s="3"/>
      <c r="AP651" s="3"/>
      <c r="AQ651" s="3"/>
      <c r="AR651" s="3"/>
      <c r="AS651" s="3"/>
      <c r="AT651" s="3"/>
      <c r="AU651" s="3"/>
      <c r="AV651" s="3"/>
      <c r="AW651" s="3"/>
      <c r="AX651" s="3"/>
      <c r="AY651" s="3"/>
      <c r="AZ651" s="3"/>
      <c r="BA651" s="3"/>
      <c r="BB651" s="3"/>
      <c r="BC651" s="3"/>
      <c r="BD651" s="3"/>
      <c r="BE651" s="3"/>
    </row>
    <row r="652" spans="1:57">
      <c r="A652" s="1" t="str">
        <f>'Population Definitions'!$A$12</f>
        <v>Prisoners_males</v>
      </c>
      <c r="C652" t="s">
        <v>34</v>
      </c>
      <c r="D652" s="3"/>
      <c r="E652" s="3">
        <v>0</v>
      </c>
      <c r="F652" s="4" t="s">
        <v>39</v>
      </c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/>
      <c r="AD652" s="3"/>
      <c r="AE652" s="3"/>
      <c r="AF652" s="3"/>
      <c r="AG652" s="3"/>
      <c r="AH652" s="3"/>
      <c r="AI652" s="3"/>
      <c r="AJ652" s="3"/>
      <c r="AK652" s="3"/>
      <c r="AL652" s="3"/>
      <c r="AM652" s="3"/>
      <c r="AN652" s="3"/>
      <c r="AO652" s="3"/>
      <c r="AP652" s="3"/>
      <c r="AQ652" s="3"/>
      <c r="AR652" s="3"/>
      <c r="AS652" s="3"/>
      <c r="AT652" s="3"/>
      <c r="AU652" s="3"/>
      <c r="AV652" s="3"/>
      <c r="AW652" s="3"/>
      <c r="AX652" s="3"/>
      <c r="AY652" s="3"/>
      <c r="AZ652" s="3"/>
      <c r="BA652" s="3"/>
      <c r="BB652" s="3"/>
      <c r="BC652" s="3"/>
      <c r="BD652" s="3"/>
      <c r="BE652" s="3"/>
    </row>
    <row r="653" spans="1:57">
      <c r="A653" s="1" t="str">
        <f>'Population Definitions'!$A$13</f>
        <v>Prisoners_females</v>
      </c>
      <c r="C653" t="s">
        <v>34</v>
      </c>
      <c r="D653" s="3"/>
      <c r="E653" s="3">
        <v>0</v>
      </c>
      <c r="F653" s="4" t="s">
        <v>39</v>
      </c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/>
      <c r="AD653" s="3"/>
      <c r="AE653" s="3"/>
      <c r="AF653" s="3"/>
      <c r="AG653" s="3"/>
      <c r="AH653" s="3"/>
      <c r="AI653" s="3"/>
      <c r="AJ653" s="3"/>
      <c r="AK653" s="3"/>
      <c r="AL653" s="3"/>
      <c r="AM653" s="3"/>
      <c r="AN653" s="3"/>
      <c r="AO653" s="3"/>
      <c r="AP653" s="3"/>
      <c r="AQ653" s="3"/>
      <c r="AR653" s="3"/>
      <c r="AS653" s="3"/>
      <c r="AT653" s="3"/>
      <c r="AU653" s="3"/>
      <c r="AV653" s="3"/>
      <c r="AW653" s="3"/>
      <c r="AX653" s="3"/>
      <c r="AY653" s="3"/>
      <c r="AZ653" s="3"/>
      <c r="BA653" s="3"/>
      <c r="BB653" s="3"/>
      <c r="BC653" s="3"/>
      <c r="BD653" s="3"/>
      <c r="BE653" s="3"/>
    </row>
    <row r="654" spans="1:57">
      <c r="A654" s="1" t="str">
        <f>'Population Definitions'!$A$14</f>
        <v>Prisoners_PWID_males</v>
      </c>
      <c r="C654" t="s">
        <v>34</v>
      </c>
      <c r="D654" s="3"/>
      <c r="E654" s="3">
        <v>0</v>
      </c>
      <c r="F654" s="4" t="s">
        <v>39</v>
      </c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/>
      <c r="AD654" s="3"/>
      <c r="AE654" s="3"/>
      <c r="AF654" s="3"/>
      <c r="AG654" s="3"/>
      <c r="AH654" s="3"/>
      <c r="AI654" s="3"/>
      <c r="AJ654" s="3"/>
      <c r="AK654" s="3"/>
      <c r="AL654" s="3"/>
      <c r="AM654" s="3"/>
      <c r="AN654" s="3"/>
      <c r="AO654" s="3"/>
      <c r="AP654" s="3"/>
      <c r="AQ654" s="3"/>
      <c r="AR654" s="3"/>
      <c r="AS654" s="3"/>
      <c r="AT654" s="3"/>
      <c r="AU654" s="3"/>
      <c r="AV654" s="3"/>
      <c r="AW654" s="3"/>
      <c r="AX654" s="3"/>
      <c r="AY654" s="3"/>
      <c r="AZ654" s="3"/>
      <c r="BA654" s="3"/>
      <c r="BB654" s="3"/>
      <c r="BC654" s="3"/>
      <c r="BD654" s="3"/>
      <c r="BE654" s="3"/>
    </row>
    <row r="655" spans="1:57">
      <c r="A655" s="1" t="str">
        <f>'Population Definitions'!$A$15</f>
        <v>Prisoners_PWID_females</v>
      </c>
      <c r="C655" t="s">
        <v>34</v>
      </c>
      <c r="D655" s="3"/>
      <c r="E655" s="3">
        <v>0</v>
      </c>
      <c r="F655" s="4" t="s">
        <v>39</v>
      </c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/>
      <c r="AD655" s="3"/>
      <c r="AE655" s="3"/>
      <c r="AF655" s="3"/>
      <c r="AG655" s="3"/>
      <c r="AH655" s="3"/>
      <c r="AI655" s="3"/>
      <c r="AJ655" s="3"/>
      <c r="AK655" s="3"/>
      <c r="AL655" s="3"/>
      <c r="AM655" s="3"/>
      <c r="AN655" s="3"/>
      <c r="AO655" s="3"/>
      <c r="AP655" s="3"/>
      <c r="AQ655" s="3"/>
      <c r="AR655" s="3"/>
      <c r="AS655" s="3"/>
      <c r="AT655" s="3"/>
      <c r="AU655" s="3"/>
      <c r="AV655" s="3"/>
      <c r="AW655" s="3"/>
      <c r="AX655" s="3"/>
      <c r="AY655" s="3"/>
      <c r="AZ655" s="3"/>
      <c r="BA655" s="3"/>
      <c r="BB655" s="3"/>
      <c r="BC655" s="3"/>
      <c r="BD655" s="3"/>
      <c r="BE655" s="3"/>
    </row>
    <row r="657" spans="1:55">
      <c r="A657" s="1" t="s">
        <v>168</v>
      </c>
      <c r="B657" s="1" t="s">
        <v>31</v>
      </c>
      <c r="C657" s="1" t="s">
        <v>32</v>
      </c>
      <c r="D657" s="1" t="s">
        <v>33</v>
      </c>
      <c r="E657" s="1">
        <v>2000</v>
      </c>
      <c r="F657" s="1">
        <v>2001</v>
      </c>
      <c r="G657" s="1">
        <v>2002</v>
      </c>
      <c r="H657" s="1">
        <v>2003</v>
      </c>
      <c r="I657" s="1">
        <v>2004</v>
      </c>
      <c r="J657" s="1">
        <v>2005</v>
      </c>
      <c r="K657" s="1">
        <v>2006</v>
      </c>
      <c r="L657" s="1">
        <v>2007</v>
      </c>
      <c r="M657" s="1">
        <v>2008</v>
      </c>
      <c r="N657" s="1">
        <v>2009</v>
      </c>
      <c r="O657" s="1">
        <v>2010</v>
      </c>
      <c r="P657" s="1">
        <v>2011</v>
      </c>
      <c r="Q657" s="1">
        <v>2012</v>
      </c>
      <c r="R657" s="1">
        <v>2013</v>
      </c>
      <c r="S657" s="1">
        <v>2014</v>
      </c>
      <c r="T657" s="1">
        <v>2015</v>
      </c>
      <c r="U657" s="1">
        <v>2016</v>
      </c>
      <c r="V657" s="1">
        <v>2017</v>
      </c>
      <c r="W657" s="1">
        <v>2018</v>
      </c>
      <c r="X657" s="1">
        <v>2019</v>
      </c>
      <c r="Y657" s="1">
        <v>2020</v>
      </c>
      <c r="Z657" s="1">
        <v>2021</v>
      </c>
      <c r="AA657" s="1">
        <v>2022</v>
      </c>
      <c r="AB657" s="1">
        <v>2023</v>
      </c>
      <c r="AC657" s="1">
        <v>2024</v>
      </c>
      <c r="AD657" s="1">
        <v>2025</v>
      </c>
      <c r="AE657" s="1">
        <v>2026</v>
      </c>
      <c r="AF657" s="1">
        <v>2027</v>
      </c>
      <c r="AG657" s="1">
        <v>2028</v>
      </c>
      <c r="AH657" s="1">
        <v>2029</v>
      </c>
      <c r="AI657" s="1">
        <v>2030</v>
      </c>
      <c r="AJ657" s="1">
        <v>2031</v>
      </c>
      <c r="AK657" s="1">
        <v>2032</v>
      </c>
      <c r="AL657" s="1">
        <v>2033</v>
      </c>
      <c r="AM657" s="1">
        <v>2034</v>
      </c>
      <c r="AN657" s="1">
        <v>2035</v>
      </c>
      <c r="AO657" s="1">
        <v>2036</v>
      </c>
      <c r="AP657" s="1">
        <v>2037</v>
      </c>
      <c r="AQ657" s="1">
        <v>2038</v>
      </c>
      <c r="AR657" s="1">
        <v>2039</v>
      </c>
      <c r="AS657" s="1">
        <v>2040</v>
      </c>
      <c r="AT657" s="1">
        <v>2041</v>
      </c>
      <c r="AU657" s="1">
        <v>2042</v>
      </c>
      <c r="AV657" s="1">
        <v>2043</v>
      </c>
      <c r="AW657" s="1">
        <v>2044</v>
      </c>
      <c r="AX657" s="1">
        <v>2045</v>
      </c>
      <c r="AY657" s="1">
        <v>2046</v>
      </c>
      <c r="AZ657" s="1">
        <v>2047</v>
      </c>
      <c r="BA657" s="1">
        <v>2048</v>
      </c>
      <c r="BB657" s="1">
        <v>2049</v>
      </c>
      <c r="BC657" s="1">
        <v>2050</v>
      </c>
    </row>
    <row r="658" spans="1:55">
      <c r="A658" s="1" t="str">
        <f>'Population Definitions'!$A$2</f>
        <v>PWID_males</v>
      </c>
      <c r="C658" t="s">
        <v>34</v>
      </c>
      <c r="D658" s="3"/>
      <c r="E658" s="3">
        <v>0</v>
      </c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/>
      <c r="AD658" s="3"/>
      <c r="AE658" s="3"/>
      <c r="AF658" s="3"/>
      <c r="AG658" s="3"/>
      <c r="AH658" s="3"/>
      <c r="AI658" s="3"/>
      <c r="AJ658" s="3"/>
      <c r="AK658" s="3"/>
      <c r="AL658" s="3"/>
      <c r="AM658" s="3"/>
      <c r="AN658" s="3"/>
      <c r="AO658" s="3"/>
      <c r="AP658" s="3"/>
      <c r="AQ658" s="3"/>
      <c r="AR658" s="3"/>
      <c r="AS658" s="3"/>
      <c r="AT658" s="3"/>
      <c r="AU658" s="3"/>
      <c r="AV658" s="3"/>
      <c r="AW658" s="3"/>
      <c r="AX658" s="3"/>
      <c r="AY658" s="3"/>
      <c r="AZ658" s="3"/>
      <c r="BA658" s="3"/>
      <c r="BB658" s="3"/>
      <c r="BC658" s="3"/>
    </row>
    <row r="659" spans="1:55">
      <c r="A659" s="1" t="str">
        <f>'Population Definitions'!$A$3</f>
        <v>PWID_females</v>
      </c>
      <c r="C659" t="s">
        <v>34</v>
      </c>
      <c r="D659" s="3"/>
      <c r="E659" s="3">
        <v>0</v>
      </c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/>
      <c r="AD659" s="3"/>
      <c r="AE659" s="3"/>
      <c r="AF659" s="3"/>
      <c r="AG659" s="3"/>
      <c r="AH659" s="3"/>
      <c r="AI659" s="3"/>
      <c r="AJ659" s="3"/>
      <c r="AK659" s="3"/>
      <c r="AL659" s="3"/>
      <c r="AM659" s="3"/>
      <c r="AN659" s="3"/>
      <c r="AO659" s="3"/>
      <c r="AP659" s="3"/>
      <c r="AQ659" s="3"/>
      <c r="AR659" s="3"/>
      <c r="AS659" s="3"/>
      <c r="AT659" s="3"/>
      <c r="AU659" s="3"/>
      <c r="AV659" s="3"/>
      <c r="AW659" s="3"/>
      <c r="AX659" s="3"/>
      <c r="AY659" s="3"/>
      <c r="AZ659" s="3"/>
      <c r="BA659" s="3"/>
      <c r="BB659" s="3"/>
      <c r="BC659" s="3"/>
    </row>
    <row r="660" spans="1:55">
      <c r="A660" s="1" t="str">
        <f>'Population Definitions'!$A$4</f>
        <v>0-9_males</v>
      </c>
      <c r="C660" t="s">
        <v>34</v>
      </c>
      <c r="D660" s="3"/>
      <c r="E660" s="3">
        <v>0</v>
      </c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/>
      <c r="AD660" s="3"/>
      <c r="AE660" s="3"/>
      <c r="AF660" s="3"/>
      <c r="AG660" s="3"/>
      <c r="AH660" s="3"/>
      <c r="AI660" s="3"/>
      <c r="AJ660" s="3"/>
      <c r="AK660" s="3"/>
      <c r="AL660" s="3"/>
      <c r="AM660" s="3"/>
      <c r="AN660" s="3"/>
      <c r="AO660" s="3"/>
      <c r="AP660" s="3"/>
      <c r="AQ660" s="3"/>
      <c r="AR660" s="3"/>
      <c r="AS660" s="3"/>
      <c r="AT660" s="3"/>
      <c r="AU660" s="3"/>
      <c r="AV660" s="3"/>
      <c r="AW660" s="3"/>
      <c r="AX660" s="3"/>
      <c r="AY660" s="3"/>
      <c r="AZ660" s="3"/>
      <c r="BA660" s="3"/>
      <c r="BB660" s="3"/>
      <c r="BC660" s="3"/>
    </row>
    <row r="661" spans="1:55">
      <c r="A661" s="1" t="str">
        <f>'Population Definitions'!$A$5</f>
        <v>0-9_females</v>
      </c>
      <c r="C661" t="s">
        <v>34</v>
      </c>
      <c r="D661" s="3"/>
      <c r="E661" s="3">
        <v>0</v>
      </c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/>
      <c r="AD661" s="3"/>
      <c r="AE661" s="3"/>
      <c r="AF661" s="3"/>
      <c r="AG661" s="3"/>
      <c r="AH661" s="3"/>
      <c r="AI661" s="3"/>
      <c r="AJ661" s="3"/>
      <c r="AK661" s="3"/>
      <c r="AL661" s="3"/>
      <c r="AM661" s="3"/>
      <c r="AN661" s="3"/>
      <c r="AO661" s="3"/>
      <c r="AP661" s="3"/>
      <c r="AQ661" s="3"/>
      <c r="AR661" s="3"/>
      <c r="AS661" s="3"/>
      <c r="AT661" s="3"/>
      <c r="AU661" s="3"/>
      <c r="AV661" s="3"/>
      <c r="AW661" s="3"/>
      <c r="AX661" s="3"/>
      <c r="AY661" s="3"/>
      <c r="AZ661" s="3"/>
      <c r="BA661" s="3"/>
      <c r="BB661" s="3"/>
      <c r="BC661" s="3"/>
    </row>
    <row r="662" spans="1:55">
      <c r="A662" s="1" t="str">
        <f>'Population Definitions'!$A$6</f>
        <v>10-17_males</v>
      </c>
      <c r="C662" t="s">
        <v>34</v>
      </c>
      <c r="D662" s="3"/>
      <c r="E662" s="3">
        <v>0</v>
      </c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  <c r="AE662" s="3"/>
      <c r="AF662" s="3"/>
      <c r="AG662" s="3"/>
      <c r="AH662" s="3"/>
      <c r="AI662" s="3"/>
      <c r="AJ662" s="3"/>
      <c r="AK662" s="3"/>
      <c r="AL662" s="3"/>
      <c r="AM662" s="3"/>
      <c r="AN662" s="3"/>
      <c r="AO662" s="3"/>
      <c r="AP662" s="3"/>
      <c r="AQ662" s="3"/>
      <c r="AR662" s="3"/>
      <c r="AS662" s="3"/>
      <c r="AT662" s="3"/>
      <c r="AU662" s="3"/>
      <c r="AV662" s="3"/>
      <c r="AW662" s="3"/>
      <c r="AX662" s="3"/>
      <c r="AY662" s="3"/>
      <c r="AZ662" s="3"/>
      <c r="BA662" s="3"/>
      <c r="BB662" s="3"/>
      <c r="BC662" s="3"/>
    </row>
    <row r="663" spans="1:55">
      <c r="A663" s="1" t="str">
        <f>'Population Definitions'!$A$7</f>
        <v>10-17_females</v>
      </c>
      <c r="C663" t="s">
        <v>34</v>
      </c>
      <c r="D663" s="3"/>
      <c r="E663" s="3">
        <v>0</v>
      </c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/>
      <c r="AE663" s="3"/>
      <c r="AF663" s="3"/>
      <c r="AG663" s="3"/>
      <c r="AH663" s="3"/>
      <c r="AI663" s="3"/>
      <c r="AJ663" s="3"/>
      <c r="AK663" s="3"/>
      <c r="AL663" s="3"/>
      <c r="AM663" s="3"/>
      <c r="AN663" s="3"/>
      <c r="AO663" s="3"/>
      <c r="AP663" s="3"/>
      <c r="AQ663" s="3"/>
      <c r="AR663" s="3"/>
      <c r="AS663" s="3"/>
      <c r="AT663" s="3"/>
      <c r="AU663" s="3"/>
      <c r="AV663" s="3"/>
      <c r="AW663" s="3"/>
      <c r="AX663" s="3"/>
      <c r="AY663" s="3"/>
      <c r="AZ663" s="3"/>
      <c r="BA663" s="3"/>
      <c r="BB663" s="3"/>
      <c r="BC663" s="3"/>
    </row>
    <row r="664" spans="1:55">
      <c r="A664" s="1" t="str">
        <f>'Population Definitions'!$A$8</f>
        <v>18-64_males</v>
      </c>
      <c r="C664" t="s">
        <v>34</v>
      </c>
      <c r="D664" s="3"/>
      <c r="E664" s="3">
        <v>0</v>
      </c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/>
      <c r="AE664" s="3"/>
      <c r="AF664" s="3"/>
      <c r="AG664" s="3"/>
      <c r="AH664" s="3"/>
      <c r="AI664" s="3"/>
      <c r="AJ664" s="3"/>
      <c r="AK664" s="3"/>
      <c r="AL664" s="3"/>
      <c r="AM664" s="3"/>
      <c r="AN664" s="3"/>
      <c r="AO664" s="3"/>
      <c r="AP664" s="3"/>
      <c r="AQ664" s="3"/>
      <c r="AR664" s="3"/>
      <c r="AS664" s="3"/>
      <c r="AT664" s="3"/>
      <c r="AU664" s="3"/>
      <c r="AV664" s="3"/>
      <c r="AW664" s="3"/>
      <c r="AX664" s="3"/>
      <c r="AY664" s="3"/>
      <c r="AZ664" s="3"/>
      <c r="BA664" s="3"/>
      <c r="BB664" s="3"/>
      <c r="BC664" s="3"/>
    </row>
    <row r="665" spans="1:55">
      <c r="A665" s="1" t="str">
        <f>'Population Definitions'!$A$9</f>
        <v>18-64_females</v>
      </c>
      <c r="C665" t="s">
        <v>34</v>
      </c>
      <c r="D665" s="3"/>
      <c r="E665" s="3">
        <v>0</v>
      </c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  <c r="AE665" s="3"/>
      <c r="AF665" s="3"/>
      <c r="AG665" s="3"/>
      <c r="AH665" s="3"/>
      <c r="AI665" s="3"/>
      <c r="AJ665" s="3"/>
      <c r="AK665" s="3"/>
      <c r="AL665" s="3"/>
      <c r="AM665" s="3"/>
      <c r="AN665" s="3"/>
      <c r="AO665" s="3"/>
      <c r="AP665" s="3"/>
      <c r="AQ665" s="3"/>
      <c r="AR665" s="3"/>
      <c r="AS665" s="3"/>
      <c r="AT665" s="3"/>
      <c r="AU665" s="3"/>
      <c r="AV665" s="3"/>
      <c r="AW665" s="3"/>
      <c r="AX665" s="3"/>
      <c r="AY665" s="3"/>
      <c r="AZ665" s="3"/>
      <c r="BA665" s="3"/>
      <c r="BB665" s="3"/>
      <c r="BC665" s="3"/>
    </row>
    <row r="666" spans="1:55">
      <c r="A666" s="1" t="str">
        <f>'Population Definitions'!$A$10</f>
        <v>65+_males</v>
      </c>
      <c r="C666" t="s">
        <v>34</v>
      </c>
      <c r="D666" s="3"/>
      <c r="E666" s="3">
        <v>0</v>
      </c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/>
      <c r="AD666" s="3"/>
      <c r="AE666" s="3"/>
      <c r="AF666" s="3"/>
      <c r="AG666" s="3"/>
      <c r="AH666" s="3"/>
      <c r="AI666" s="3"/>
      <c r="AJ666" s="3"/>
      <c r="AK666" s="3"/>
      <c r="AL666" s="3"/>
      <c r="AM666" s="3"/>
      <c r="AN666" s="3"/>
      <c r="AO666" s="3"/>
      <c r="AP666" s="3"/>
      <c r="AQ666" s="3"/>
      <c r="AR666" s="3"/>
      <c r="AS666" s="3"/>
      <c r="AT666" s="3"/>
      <c r="AU666" s="3"/>
      <c r="AV666" s="3"/>
      <c r="AW666" s="3"/>
      <c r="AX666" s="3"/>
      <c r="AY666" s="3"/>
      <c r="AZ666" s="3"/>
      <c r="BA666" s="3"/>
      <c r="BB666" s="3"/>
      <c r="BC666" s="3"/>
    </row>
    <row r="667" spans="1:55">
      <c r="A667" s="1" t="str">
        <f>'Population Definitions'!$A$11</f>
        <v>65+_females</v>
      </c>
      <c r="C667" t="s">
        <v>34</v>
      </c>
      <c r="D667" s="3"/>
      <c r="E667" s="3">
        <v>0</v>
      </c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/>
      <c r="AD667" s="3"/>
      <c r="AE667" s="3"/>
      <c r="AF667" s="3"/>
      <c r="AG667" s="3"/>
      <c r="AH667" s="3"/>
      <c r="AI667" s="3"/>
      <c r="AJ667" s="3"/>
      <c r="AK667" s="3"/>
      <c r="AL667" s="3"/>
      <c r="AM667" s="3"/>
      <c r="AN667" s="3"/>
      <c r="AO667" s="3"/>
      <c r="AP667" s="3"/>
      <c r="AQ667" s="3"/>
      <c r="AR667" s="3"/>
      <c r="AS667" s="3"/>
      <c r="AT667" s="3"/>
      <c r="AU667" s="3"/>
      <c r="AV667" s="3"/>
      <c r="AW667" s="3"/>
      <c r="AX667" s="3"/>
      <c r="AY667" s="3"/>
      <c r="AZ667" s="3"/>
      <c r="BA667" s="3"/>
      <c r="BB667" s="3"/>
      <c r="BC667" s="3"/>
    </row>
    <row r="668" spans="1:55">
      <c r="A668" s="1" t="str">
        <f>'Population Definitions'!$A$12</f>
        <v>Prisoners_males</v>
      </c>
      <c r="C668" t="s">
        <v>34</v>
      </c>
      <c r="D668" s="3"/>
      <c r="E668" s="3">
        <v>0</v>
      </c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/>
      <c r="AD668" s="3"/>
      <c r="AE668" s="3"/>
      <c r="AF668" s="3"/>
      <c r="AG668" s="3"/>
      <c r="AH668" s="3"/>
      <c r="AI668" s="3"/>
      <c r="AJ668" s="3"/>
      <c r="AK668" s="3"/>
      <c r="AL668" s="3"/>
      <c r="AM668" s="3"/>
      <c r="AN668" s="3"/>
      <c r="AO668" s="3"/>
      <c r="AP668" s="3"/>
      <c r="AQ668" s="3"/>
      <c r="AR668" s="3"/>
      <c r="AS668" s="3"/>
      <c r="AT668" s="3"/>
      <c r="AU668" s="3"/>
      <c r="AV668" s="3"/>
      <c r="AW668" s="3"/>
      <c r="AX668" s="3"/>
      <c r="AY668" s="3"/>
      <c r="AZ668" s="3"/>
      <c r="BA668" s="3"/>
      <c r="BB668" s="3"/>
      <c r="BC668" s="3"/>
    </row>
    <row r="669" spans="1:55">
      <c r="A669" s="1" t="str">
        <f>'Population Definitions'!$A$13</f>
        <v>Prisoners_females</v>
      </c>
      <c r="C669" t="s">
        <v>34</v>
      </c>
      <c r="D669" s="3"/>
      <c r="E669" s="3">
        <v>0</v>
      </c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/>
      <c r="AD669" s="3"/>
      <c r="AE669" s="3"/>
      <c r="AF669" s="3"/>
      <c r="AG669" s="3"/>
      <c r="AH669" s="3"/>
      <c r="AI669" s="3"/>
      <c r="AJ669" s="3"/>
      <c r="AK669" s="3"/>
      <c r="AL669" s="3"/>
      <c r="AM669" s="3"/>
      <c r="AN669" s="3"/>
      <c r="AO669" s="3"/>
      <c r="AP669" s="3"/>
      <c r="AQ669" s="3"/>
      <c r="AR669" s="3"/>
      <c r="AS669" s="3"/>
      <c r="AT669" s="3"/>
      <c r="AU669" s="3"/>
      <c r="AV669" s="3"/>
      <c r="AW669" s="3"/>
      <c r="AX669" s="3"/>
      <c r="AY669" s="3"/>
      <c r="AZ669" s="3"/>
      <c r="BA669" s="3"/>
      <c r="BB669" s="3"/>
      <c r="BC669" s="3"/>
    </row>
    <row r="670" spans="1:55">
      <c r="A670" s="1" t="str">
        <f>'Population Definitions'!$A$14</f>
        <v>Prisoners_PWID_males</v>
      </c>
      <c r="C670" t="s">
        <v>34</v>
      </c>
      <c r="D670" s="3"/>
      <c r="E670" s="3">
        <v>0</v>
      </c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/>
      <c r="AD670" s="3"/>
      <c r="AE670" s="3"/>
      <c r="AF670" s="3"/>
      <c r="AG670" s="3"/>
      <c r="AH670" s="3"/>
      <c r="AI670" s="3"/>
      <c r="AJ670" s="3"/>
      <c r="AK670" s="3"/>
      <c r="AL670" s="3"/>
      <c r="AM670" s="3"/>
      <c r="AN670" s="3"/>
      <c r="AO670" s="3"/>
      <c r="AP670" s="3"/>
      <c r="AQ670" s="3"/>
      <c r="AR670" s="3"/>
      <c r="AS670" s="3"/>
      <c r="AT670" s="3"/>
      <c r="AU670" s="3"/>
      <c r="AV670" s="3"/>
      <c r="AW670" s="3"/>
      <c r="AX670" s="3"/>
      <c r="AY670" s="3"/>
      <c r="AZ670" s="3"/>
      <c r="BA670" s="3"/>
      <c r="BB670" s="3"/>
      <c r="BC670" s="3"/>
    </row>
    <row r="671" spans="1:55">
      <c r="A671" s="1" t="str">
        <f>'Population Definitions'!$A$15</f>
        <v>Prisoners_PWID_females</v>
      </c>
      <c r="C671" t="s">
        <v>34</v>
      </c>
      <c r="D671" s="3"/>
      <c r="E671" s="3">
        <v>0</v>
      </c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/>
      <c r="AD671" s="3"/>
      <c r="AE671" s="3"/>
      <c r="AF671" s="3"/>
      <c r="AG671" s="3"/>
      <c r="AH671" s="3"/>
      <c r="AI671" s="3"/>
      <c r="AJ671" s="3"/>
      <c r="AK671" s="3"/>
      <c r="AL671" s="3"/>
      <c r="AM671" s="3"/>
      <c r="AN671" s="3"/>
      <c r="AO671" s="3"/>
      <c r="AP671" s="3"/>
      <c r="AQ671" s="3"/>
      <c r="AR671" s="3"/>
      <c r="AS671" s="3"/>
      <c r="AT671" s="3"/>
      <c r="AU671" s="3"/>
      <c r="AV671" s="3"/>
      <c r="AW671" s="3"/>
      <c r="AX671" s="3"/>
      <c r="AY671" s="3"/>
      <c r="AZ671" s="3"/>
      <c r="BA671" s="3"/>
      <c r="BB671" s="3"/>
      <c r="BC671" s="3"/>
    </row>
    <row r="673" spans="1:55">
      <c r="A673" s="1" t="s">
        <v>169</v>
      </c>
      <c r="B673" s="1" t="s">
        <v>31</v>
      </c>
      <c r="C673" s="1" t="s">
        <v>32</v>
      </c>
      <c r="D673" s="1" t="s">
        <v>33</v>
      </c>
      <c r="E673" s="1">
        <v>2000</v>
      </c>
      <c r="F673" s="1">
        <v>2001</v>
      </c>
      <c r="G673" s="1">
        <v>2002</v>
      </c>
      <c r="H673" s="1">
        <v>2003</v>
      </c>
      <c r="I673" s="1">
        <v>2004</v>
      </c>
      <c r="J673" s="1">
        <v>2005</v>
      </c>
      <c r="K673" s="1">
        <v>2006</v>
      </c>
      <c r="L673" s="1">
        <v>2007</v>
      </c>
      <c r="M673" s="1">
        <v>2008</v>
      </c>
      <c r="N673" s="1">
        <v>2009</v>
      </c>
      <c r="O673" s="1">
        <v>2010</v>
      </c>
      <c r="P673" s="1">
        <v>2011</v>
      </c>
      <c r="Q673" s="1">
        <v>2012</v>
      </c>
      <c r="R673" s="1">
        <v>2013</v>
      </c>
      <c r="S673" s="1">
        <v>2014</v>
      </c>
      <c r="T673" s="1">
        <v>2015</v>
      </c>
      <c r="U673" s="1">
        <v>2016</v>
      </c>
      <c r="V673" s="1">
        <v>2017</v>
      </c>
      <c r="W673" s="1">
        <v>2018</v>
      </c>
      <c r="X673" s="1">
        <v>2019</v>
      </c>
      <c r="Y673" s="1">
        <v>2020</v>
      </c>
      <c r="Z673" s="1">
        <v>2021</v>
      </c>
      <c r="AA673" s="1">
        <v>2022</v>
      </c>
      <c r="AB673" s="1">
        <v>2023</v>
      </c>
      <c r="AC673" s="1">
        <v>2024</v>
      </c>
      <c r="AD673" s="1">
        <v>2025</v>
      </c>
      <c r="AE673" s="1">
        <v>2026</v>
      </c>
      <c r="AF673" s="1">
        <v>2027</v>
      </c>
      <c r="AG673" s="1">
        <v>2028</v>
      </c>
      <c r="AH673" s="1">
        <v>2029</v>
      </c>
      <c r="AI673" s="1">
        <v>2030</v>
      </c>
      <c r="AJ673" s="1">
        <v>2031</v>
      </c>
      <c r="AK673" s="1">
        <v>2032</v>
      </c>
      <c r="AL673" s="1">
        <v>2033</v>
      </c>
      <c r="AM673" s="1">
        <v>2034</v>
      </c>
      <c r="AN673" s="1">
        <v>2035</v>
      </c>
      <c r="AO673" s="1">
        <v>2036</v>
      </c>
      <c r="AP673" s="1">
        <v>2037</v>
      </c>
      <c r="AQ673" s="1">
        <v>2038</v>
      </c>
      <c r="AR673" s="1">
        <v>2039</v>
      </c>
      <c r="AS673" s="1">
        <v>2040</v>
      </c>
      <c r="AT673" s="1">
        <v>2041</v>
      </c>
      <c r="AU673" s="1">
        <v>2042</v>
      </c>
      <c r="AV673" s="1">
        <v>2043</v>
      </c>
      <c r="AW673" s="1">
        <v>2044</v>
      </c>
      <c r="AX673" s="1">
        <v>2045</v>
      </c>
      <c r="AY673" s="1">
        <v>2046</v>
      </c>
      <c r="AZ673" s="1">
        <v>2047</v>
      </c>
      <c r="BA673" s="1">
        <v>2048</v>
      </c>
      <c r="BB673" s="1">
        <v>2049</v>
      </c>
      <c r="BC673" s="1">
        <v>2050</v>
      </c>
    </row>
    <row r="674" spans="1:55">
      <c r="A674" s="1" t="str">
        <f>'Population Definitions'!$A$2</f>
        <v>PWID_males</v>
      </c>
      <c r="C674" t="s">
        <v>34</v>
      </c>
      <c r="D674" s="3"/>
      <c r="E674" s="3">
        <v>0</v>
      </c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/>
      <c r="AD674" s="3"/>
      <c r="AE674" s="3"/>
      <c r="AF674" s="3"/>
      <c r="AG674" s="3"/>
      <c r="AH674" s="3"/>
      <c r="AI674" s="3"/>
      <c r="AJ674" s="3"/>
      <c r="AK674" s="3"/>
      <c r="AL674" s="3"/>
      <c r="AM674" s="3"/>
      <c r="AN674" s="3"/>
      <c r="AO674" s="3"/>
      <c r="AP674" s="3"/>
      <c r="AQ674" s="3"/>
      <c r="AR674" s="3"/>
      <c r="AS674" s="3"/>
      <c r="AT674" s="3"/>
      <c r="AU674" s="3"/>
      <c r="AV674" s="3"/>
      <c r="AW674" s="3"/>
      <c r="AX674" s="3"/>
      <c r="AY674" s="3"/>
      <c r="AZ674" s="3"/>
      <c r="BA674" s="3"/>
      <c r="BB674" s="3"/>
      <c r="BC674" s="3"/>
    </row>
    <row r="675" spans="1:55">
      <c r="A675" s="1" t="str">
        <f>'Population Definitions'!$A$3</f>
        <v>PWID_females</v>
      </c>
      <c r="C675" t="s">
        <v>34</v>
      </c>
      <c r="D675" s="3"/>
      <c r="E675" s="3">
        <v>0</v>
      </c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/>
      <c r="AD675" s="3"/>
      <c r="AE675" s="3"/>
      <c r="AF675" s="3"/>
      <c r="AG675" s="3"/>
      <c r="AH675" s="3"/>
      <c r="AI675" s="3"/>
      <c r="AJ675" s="3"/>
      <c r="AK675" s="3"/>
      <c r="AL675" s="3"/>
      <c r="AM675" s="3"/>
      <c r="AN675" s="3"/>
      <c r="AO675" s="3"/>
      <c r="AP675" s="3"/>
      <c r="AQ675" s="3"/>
      <c r="AR675" s="3"/>
      <c r="AS675" s="3"/>
      <c r="AT675" s="3"/>
      <c r="AU675" s="3"/>
      <c r="AV675" s="3"/>
      <c r="AW675" s="3"/>
      <c r="AX675" s="3"/>
      <c r="AY675" s="3"/>
      <c r="AZ675" s="3"/>
      <c r="BA675" s="3"/>
      <c r="BB675" s="3"/>
      <c r="BC675" s="3"/>
    </row>
    <row r="676" spans="1:55">
      <c r="A676" s="1" t="str">
        <f>'Population Definitions'!$A$4</f>
        <v>0-9_males</v>
      </c>
      <c r="C676" t="s">
        <v>34</v>
      </c>
      <c r="D676" s="3"/>
      <c r="E676" s="3">
        <v>0</v>
      </c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  <c r="AB676" s="3"/>
      <c r="AC676" s="3"/>
      <c r="AD676" s="3"/>
      <c r="AE676" s="3"/>
      <c r="AF676" s="3"/>
      <c r="AG676" s="3"/>
      <c r="AH676" s="3"/>
      <c r="AI676" s="3"/>
      <c r="AJ676" s="3"/>
      <c r="AK676" s="3"/>
      <c r="AL676" s="3"/>
      <c r="AM676" s="3"/>
      <c r="AN676" s="3"/>
      <c r="AO676" s="3"/>
      <c r="AP676" s="3"/>
      <c r="AQ676" s="3"/>
      <c r="AR676" s="3"/>
      <c r="AS676" s="3"/>
      <c r="AT676" s="3"/>
      <c r="AU676" s="3"/>
      <c r="AV676" s="3"/>
      <c r="AW676" s="3"/>
      <c r="AX676" s="3"/>
      <c r="AY676" s="3"/>
      <c r="AZ676" s="3"/>
      <c r="BA676" s="3"/>
      <c r="BB676" s="3"/>
      <c r="BC676" s="3"/>
    </row>
    <row r="677" spans="1:55">
      <c r="A677" s="1" t="str">
        <f>'Population Definitions'!$A$5</f>
        <v>0-9_females</v>
      </c>
      <c r="C677" t="s">
        <v>34</v>
      </c>
      <c r="D677" s="3"/>
      <c r="E677" s="3">
        <v>0</v>
      </c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  <c r="AB677" s="3"/>
      <c r="AC677" s="3"/>
      <c r="AD677" s="3"/>
      <c r="AE677" s="3"/>
      <c r="AF677" s="3"/>
      <c r="AG677" s="3"/>
      <c r="AH677" s="3"/>
      <c r="AI677" s="3"/>
      <c r="AJ677" s="3"/>
      <c r="AK677" s="3"/>
      <c r="AL677" s="3"/>
      <c r="AM677" s="3"/>
      <c r="AN677" s="3"/>
      <c r="AO677" s="3"/>
      <c r="AP677" s="3"/>
      <c r="AQ677" s="3"/>
      <c r="AR677" s="3"/>
      <c r="AS677" s="3"/>
      <c r="AT677" s="3"/>
      <c r="AU677" s="3"/>
      <c r="AV677" s="3"/>
      <c r="AW677" s="3"/>
      <c r="AX677" s="3"/>
      <c r="AY677" s="3"/>
      <c r="AZ677" s="3"/>
      <c r="BA677" s="3"/>
      <c r="BB677" s="3"/>
      <c r="BC677" s="3"/>
    </row>
    <row r="678" spans="1:55">
      <c r="A678" s="1" t="str">
        <f>'Population Definitions'!$A$6</f>
        <v>10-17_males</v>
      </c>
      <c r="C678" t="s">
        <v>34</v>
      </c>
      <c r="D678" s="3"/>
      <c r="E678" s="3">
        <v>0</v>
      </c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  <c r="AC678" s="3"/>
      <c r="AD678" s="3"/>
      <c r="AE678" s="3"/>
      <c r="AF678" s="3"/>
      <c r="AG678" s="3"/>
      <c r="AH678" s="3"/>
      <c r="AI678" s="3"/>
      <c r="AJ678" s="3"/>
      <c r="AK678" s="3"/>
      <c r="AL678" s="3"/>
      <c r="AM678" s="3"/>
      <c r="AN678" s="3"/>
      <c r="AO678" s="3"/>
      <c r="AP678" s="3"/>
      <c r="AQ678" s="3"/>
      <c r="AR678" s="3"/>
      <c r="AS678" s="3"/>
      <c r="AT678" s="3"/>
      <c r="AU678" s="3"/>
      <c r="AV678" s="3"/>
      <c r="AW678" s="3"/>
      <c r="AX678" s="3"/>
      <c r="AY678" s="3"/>
      <c r="AZ678" s="3"/>
      <c r="BA678" s="3"/>
      <c r="BB678" s="3"/>
      <c r="BC678" s="3"/>
    </row>
    <row r="679" spans="1:55">
      <c r="A679" s="1" t="str">
        <f>'Population Definitions'!$A$7</f>
        <v>10-17_females</v>
      </c>
      <c r="C679" t="s">
        <v>34</v>
      </c>
      <c r="D679" s="3"/>
      <c r="E679" s="3">
        <v>0</v>
      </c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  <c r="AC679" s="3"/>
      <c r="AD679" s="3"/>
      <c r="AE679" s="3"/>
      <c r="AF679" s="3"/>
      <c r="AG679" s="3"/>
      <c r="AH679" s="3"/>
      <c r="AI679" s="3"/>
      <c r="AJ679" s="3"/>
      <c r="AK679" s="3"/>
      <c r="AL679" s="3"/>
      <c r="AM679" s="3"/>
      <c r="AN679" s="3"/>
      <c r="AO679" s="3"/>
      <c r="AP679" s="3"/>
      <c r="AQ679" s="3"/>
      <c r="AR679" s="3"/>
      <c r="AS679" s="3"/>
      <c r="AT679" s="3"/>
      <c r="AU679" s="3"/>
      <c r="AV679" s="3"/>
      <c r="AW679" s="3"/>
      <c r="AX679" s="3"/>
      <c r="AY679" s="3"/>
      <c r="AZ679" s="3"/>
      <c r="BA679" s="3"/>
      <c r="BB679" s="3"/>
      <c r="BC679" s="3"/>
    </row>
    <row r="680" spans="1:55">
      <c r="A680" s="1" t="str">
        <f>'Population Definitions'!$A$8</f>
        <v>18-64_males</v>
      </c>
      <c r="C680" t="s">
        <v>34</v>
      </c>
      <c r="D680" s="3"/>
      <c r="E680" s="3">
        <v>0</v>
      </c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  <c r="AC680" s="3"/>
      <c r="AD680" s="3"/>
      <c r="AE680" s="3"/>
      <c r="AF680" s="3"/>
      <c r="AG680" s="3"/>
      <c r="AH680" s="3"/>
      <c r="AI680" s="3"/>
      <c r="AJ680" s="3"/>
      <c r="AK680" s="3"/>
      <c r="AL680" s="3"/>
      <c r="AM680" s="3"/>
      <c r="AN680" s="3"/>
      <c r="AO680" s="3"/>
      <c r="AP680" s="3"/>
      <c r="AQ680" s="3"/>
      <c r="AR680" s="3"/>
      <c r="AS680" s="3"/>
      <c r="AT680" s="3"/>
      <c r="AU680" s="3"/>
      <c r="AV680" s="3"/>
      <c r="AW680" s="3"/>
      <c r="AX680" s="3"/>
      <c r="AY680" s="3"/>
      <c r="AZ680" s="3"/>
      <c r="BA680" s="3"/>
      <c r="BB680" s="3"/>
      <c r="BC680" s="3"/>
    </row>
    <row r="681" spans="1:55">
      <c r="A681" s="1" t="str">
        <f>'Population Definitions'!$A$9</f>
        <v>18-64_females</v>
      </c>
      <c r="C681" t="s">
        <v>34</v>
      </c>
      <c r="D681" s="3"/>
      <c r="E681" s="3">
        <v>0</v>
      </c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  <c r="AC681" s="3"/>
      <c r="AD681" s="3"/>
      <c r="AE681" s="3"/>
      <c r="AF681" s="3"/>
      <c r="AG681" s="3"/>
      <c r="AH681" s="3"/>
      <c r="AI681" s="3"/>
      <c r="AJ681" s="3"/>
      <c r="AK681" s="3"/>
      <c r="AL681" s="3"/>
      <c r="AM681" s="3"/>
      <c r="AN681" s="3"/>
      <c r="AO681" s="3"/>
      <c r="AP681" s="3"/>
      <c r="AQ681" s="3"/>
      <c r="AR681" s="3"/>
      <c r="AS681" s="3"/>
      <c r="AT681" s="3"/>
      <c r="AU681" s="3"/>
      <c r="AV681" s="3"/>
      <c r="AW681" s="3"/>
      <c r="AX681" s="3"/>
      <c r="AY681" s="3"/>
      <c r="AZ681" s="3"/>
      <c r="BA681" s="3"/>
      <c r="BB681" s="3"/>
      <c r="BC681" s="3"/>
    </row>
    <row r="682" spans="1:55">
      <c r="A682" s="1" t="str">
        <f>'Population Definitions'!$A$10</f>
        <v>65+_males</v>
      </c>
      <c r="C682" t="s">
        <v>34</v>
      </c>
      <c r="D682" s="3"/>
      <c r="E682" s="3">
        <v>0</v>
      </c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  <c r="AC682" s="3"/>
      <c r="AD682" s="3"/>
      <c r="AE682" s="3"/>
      <c r="AF682" s="3"/>
      <c r="AG682" s="3"/>
      <c r="AH682" s="3"/>
      <c r="AI682" s="3"/>
      <c r="AJ682" s="3"/>
      <c r="AK682" s="3"/>
      <c r="AL682" s="3"/>
      <c r="AM682" s="3"/>
      <c r="AN682" s="3"/>
      <c r="AO682" s="3"/>
      <c r="AP682" s="3"/>
      <c r="AQ682" s="3"/>
      <c r="AR682" s="3"/>
      <c r="AS682" s="3"/>
      <c r="AT682" s="3"/>
      <c r="AU682" s="3"/>
      <c r="AV682" s="3"/>
      <c r="AW682" s="3"/>
      <c r="AX682" s="3"/>
      <c r="AY682" s="3"/>
      <c r="AZ682" s="3"/>
      <c r="BA682" s="3"/>
      <c r="BB682" s="3"/>
      <c r="BC682" s="3"/>
    </row>
    <row r="683" spans="1:55">
      <c r="A683" s="1" t="str">
        <f>'Population Definitions'!$A$11</f>
        <v>65+_females</v>
      </c>
      <c r="C683" t="s">
        <v>34</v>
      </c>
      <c r="D683" s="3"/>
      <c r="E683" s="3">
        <v>0</v>
      </c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  <c r="AC683" s="3"/>
      <c r="AD683" s="3"/>
      <c r="AE683" s="3"/>
      <c r="AF683" s="3"/>
      <c r="AG683" s="3"/>
      <c r="AH683" s="3"/>
      <c r="AI683" s="3"/>
      <c r="AJ683" s="3"/>
      <c r="AK683" s="3"/>
      <c r="AL683" s="3"/>
      <c r="AM683" s="3"/>
      <c r="AN683" s="3"/>
      <c r="AO683" s="3"/>
      <c r="AP683" s="3"/>
      <c r="AQ683" s="3"/>
      <c r="AR683" s="3"/>
      <c r="AS683" s="3"/>
      <c r="AT683" s="3"/>
      <c r="AU683" s="3"/>
      <c r="AV683" s="3"/>
      <c r="AW683" s="3"/>
      <c r="AX683" s="3"/>
      <c r="AY683" s="3"/>
      <c r="AZ683" s="3"/>
      <c r="BA683" s="3"/>
      <c r="BB683" s="3"/>
      <c r="BC683" s="3"/>
    </row>
    <row r="684" spans="1:55">
      <c r="A684" s="1" t="str">
        <f>'Population Definitions'!$A$12</f>
        <v>Prisoners_males</v>
      </c>
      <c r="C684" t="s">
        <v>34</v>
      </c>
      <c r="D684" s="3"/>
      <c r="E684" s="3">
        <v>0</v>
      </c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  <c r="AC684" s="3"/>
      <c r="AD684" s="3"/>
      <c r="AE684" s="3"/>
      <c r="AF684" s="3"/>
      <c r="AG684" s="3"/>
      <c r="AH684" s="3"/>
      <c r="AI684" s="3"/>
      <c r="AJ684" s="3"/>
      <c r="AK684" s="3"/>
      <c r="AL684" s="3"/>
      <c r="AM684" s="3"/>
      <c r="AN684" s="3"/>
      <c r="AO684" s="3"/>
      <c r="AP684" s="3"/>
      <c r="AQ684" s="3"/>
      <c r="AR684" s="3"/>
      <c r="AS684" s="3"/>
      <c r="AT684" s="3"/>
      <c r="AU684" s="3"/>
      <c r="AV684" s="3"/>
      <c r="AW684" s="3"/>
      <c r="AX684" s="3"/>
      <c r="AY684" s="3"/>
      <c r="AZ684" s="3"/>
      <c r="BA684" s="3"/>
      <c r="BB684" s="3"/>
      <c r="BC684" s="3"/>
    </row>
    <row r="685" spans="1:55">
      <c r="A685" s="1" t="str">
        <f>'Population Definitions'!$A$13</f>
        <v>Prisoners_females</v>
      </c>
      <c r="C685" t="s">
        <v>34</v>
      </c>
      <c r="D685" s="3"/>
      <c r="E685" s="3">
        <v>0</v>
      </c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  <c r="AC685" s="3"/>
      <c r="AD685" s="3"/>
      <c r="AE685" s="3"/>
      <c r="AF685" s="3"/>
      <c r="AG685" s="3"/>
      <c r="AH685" s="3"/>
      <c r="AI685" s="3"/>
      <c r="AJ685" s="3"/>
      <c r="AK685" s="3"/>
      <c r="AL685" s="3"/>
      <c r="AM685" s="3"/>
      <c r="AN685" s="3"/>
      <c r="AO685" s="3"/>
      <c r="AP685" s="3"/>
      <c r="AQ685" s="3"/>
      <c r="AR685" s="3"/>
      <c r="AS685" s="3"/>
      <c r="AT685" s="3"/>
      <c r="AU685" s="3"/>
      <c r="AV685" s="3"/>
      <c r="AW685" s="3"/>
      <c r="AX685" s="3"/>
      <c r="AY685" s="3"/>
      <c r="AZ685" s="3"/>
      <c r="BA685" s="3"/>
      <c r="BB685" s="3"/>
      <c r="BC685" s="3"/>
    </row>
    <row r="686" spans="1:55">
      <c r="A686" s="1" t="str">
        <f>'Population Definitions'!$A$14</f>
        <v>Prisoners_PWID_males</v>
      </c>
      <c r="C686" t="s">
        <v>34</v>
      </c>
      <c r="D686" s="3"/>
      <c r="E686" s="3">
        <v>0</v>
      </c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/>
      <c r="AD686" s="3"/>
      <c r="AE686" s="3"/>
      <c r="AF686" s="3"/>
      <c r="AG686" s="3"/>
      <c r="AH686" s="3"/>
      <c r="AI686" s="3"/>
      <c r="AJ686" s="3"/>
      <c r="AK686" s="3"/>
      <c r="AL686" s="3"/>
      <c r="AM686" s="3"/>
      <c r="AN686" s="3"/>
      <c r="AO686" s="3"/>
      <c r="AP686" s="3"/>
      <c r="AQ686" s="3"/>
      <c r="AR686" s="3"/>
      <c r="AS686" s="3"/>
      <c r="AT686" s="3"/>
      <c r="AU686" s="3"/>
      <c r="AV686" s="3"/>
      <c r="AW686" s="3"/>
      <c r="AX686" s="3"/>
      <c r="AY686" s="3"/>
      <c r="AZ686" s="3"/>
      <c r="BA686" s="3"/>
      <c r="BB686" s="3"/>
      <c r="BC686" s="3"/>
    </row>
    <row r="687" spans="1:55">
      <c r="A687" s="1" t="str">
        <f>'Population Definitions'!$A$15</f>
        <v>Prisoners_PWID_females</v>
      </c>
      <c r="C687" t="s">
        <v>34</v>
      </c>
      <c r="D687" s="3"/>
      <c r="E687" s="3">
        <v>0</v>
      </c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/>
      <c r="AD687" s="3"/>
      <c r="AE687" s="3"/>
      <c r="AF687" s="3"/>
      <c r="AG687" s="3"/>
      <c r="AH687" s="3"/>
      <c r="AI687" s="3"/>
      <c r="AJ687" s="3"/>
      <c r="AK687" s="3"/>
      <c r="AL687" s="3"/>
      <c r="AM687" s="3"/>
      <c r="AN687" s="3"/>
      <c r="AO687" s="3"/>
      <c r="AP687" s="3"/>
      <c r="AQ687" s="3"/>
      <c r="AR687" s="3"/>
      <c r="AS687" s="3"/>
      <c r="AT687" s="3"/>
      <c r="AU687" s="3"/>
      <c r="AV687" s="3"/>
      <c r="AW687" s="3"/>
      <c r="AX687" s="3"/>
      <c r="AY687" s="3"/>
      <c r="AZ687" s="3"/>
      <c r="BA687" s="3"/>
      <c r="BB687" s="3"/>
      <c r="BC687" s="3"/>
    </row>
    <row r="689" spans="1:55">
      <c r="A689" s="1" t="s">
        <v>170</v>
      </c>
      <c r="B689" s="1" t="s">
        <v>31</v>
      </c>
      <c r="C689" s="1" t="s">
        <v>32</v>
      </c>
      <c r="D689" s="1" t="s">
        <v>33</v>
      </c>
      <c r="E689" s="1">
        <v>2000</v>
      </c>
      <c r="F689" s="1">
        <v>2001</v>
      </c>
      <c r="G689" s="1">
        <v>2002</v>
      </c>
      <c r="H689" s="1">
        <v>2003</v>
      </c>
      <c r="I689" s="1">
        <v>2004</v>
      </c>
      <c r="J689" s="1">
        <v>2005</v>
      </c>
      <c r="K689" s="1">
        <v>2006</v>
      </c>
      <c r="L689" s="1">
        <v>2007</v>
      </c>
      <c r="M689" s="1">
        <v>2008</v>
      </c>
      <c r="N689" s="1">
        <v>2009</v>
      </c>
      <c r="O689" s="1">
        <v>2010</v>
      </c>
      <c r="P689" s="1">
        <v>2011</v>
      </c>
      <c r="Q689" s="1">
        <v>2012</v>
      </c>
      <c r="R689" s="1">
        <v>2013</v>
      </c>
      <c r="S689" s="1">
        <v>2014</v>
      </c>
      <c r="T689" s="1">
        <v>2015</v>
      </c>
      <c r="U689" s="1">
        <v>2016</v>
      </c>
      <c r="V689" s="1">
        <v>2017</v>
      </c>
      <c r="W689" s="1">
        <v>2018</v>
      </c>
      <c r="X689" s="1">
        <v>2019</v>
      </c>
      <c r="Y689" s="1">
        <v>2020</v>
      </c>
      <c r="Z689" s="1">
        <v>2021</v>
      </c>
      <c r="AA689" s="1">
        <v>2022</v>
      </c>
      <c r="AB689" s="1">
        <v>2023</v>
      </c>
      <c r="AC689" s="1">
        <v>2024</v>
      </c>
      <c r="AD689" s="1">
        <v>2025</v>
      </c>
      <c r="AE689" s="1">
        <v>2026</v>
      </c>
      <c r="AF689" s="1">
        <v>2027</v>
      </c>
      <c r="AG689" s="1">
        <v>2028</v>
      </c>
      <c r="AH689" s="1">
        <v>2029</v>
      </c>
      <c r="AI689" s="1">
        <v>2030</v>
      </c>
      <c r="AJ689" s="1">
        <v>2031</v>
      </c>
      <c r="AK689" s="1">
        <v>2032</v>
      </c>
      <c r="AL689" s="1">
        <v>2033</v>
      </c>
      <c r="AM689" s="1">
        <v>2034</v>
      </c>
      <c r="AN689" s="1">
        <v>2035</v>
      </c>
      <c r="AO689" s="1">
        <v>2036</v>
      </c>
      <c r="AP689" s="1">
        <v>2037</v>
      </c>
      <c r="AQ689" s="1">
        <v>2038</v>
      </c>
      <c r="AR689" s="1">
        <v>2039</v>
      </c>
      <c r="AS689" s="1">
        <v>2040</v>
      </c>
      <c r="AT689" s="1">
        <v>2041</v>
      </c>
      <c r="AU689" s="1">
        <v>2042</v>
      </c>
      <c r="AV689" s="1">
        <v>2043</v>
      </c>
      <c r="AW689" s="1">
        <v>2044</v>
      </c>
      <c r="AX689" s="1">
        <v>2045</v>
      </c>
      <c r="AY689" s="1">
        <v>2046</v>
      </c>
      <c r="AZ689" s="1">
        <v>2047</v>
      </c>
      <c r="BA689" s="1">
        <v>2048</v>
      </c>
      <c r="BB689" s="1">
        <v>2049</v>
      </c>
      <c r="BC689" s="1">
        <v>2050</v>
      </c>
    </row>
    <row r="690" spans="1:55">
      <c r="A690" s="1" t="str">
        <f>'Population Definitions'!$A$2</f>
        <v>PWID_males</v>
      </c>
      <c r="C690" t="s">
        <v>34</v>
      </c>
      <c r="D690" s="3"/>
      <c r="E690" s="3">
        <v>0</v>
      </c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  <c r="AC690" s="3"/>
      <c r="AD690" s="3"/>
      <c r="AE690" s="3"/>
      <c r="AF690" s="3"/>
      <c r="AG690" s="3"/>
      <c r="AH690" s="3"/>
      <c r="AI690" s="3"/>
      <c r="AJ690" s="3"/>
      <c r="AK690" s="3"/>
      <c r="AL690" s="3"/>
      <c r="AM690" s="3"/>
      <c r="AN690" s="3"/>
      <c r="AO690" s="3"/>
      <c r="AP690" s="3"/>
      <c r="AQ690" s="3"/>
      <c r="AR690" s="3"/>
      <c r="AS690" s="3"/>
      <c r="AT690" s="3"/>
      <c r="AU690" s="3"/>
      <c r="AV690" s="3"/>
      <c r="AW690" s="3"/>
      <c r="AX690" s="3"/>
      <c r="AY690" s="3"/>
      <c r="AZ690" s="3"/>
      <c r="BA690" s="3"/>
      <c r="BB690" s="3"/>
      <c r="BC690" s="3"/>
    </row>
    <row r="691" spans="1:55">
      <c r="A691" s="1" t="str">
        <f>'Population Definitions'!$A$3</f>
        <v>PWID_females</v>
      </c>
      <c r="C691" t="s">
        <v>34</v>
      </c>
      <c r="D691" s="3"/>
      <c r="E691" s="3">
        <v>0</v>
      </c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  <c r="AC691" s="3"/>
      <c r="AD691" s="3"/>
      <c r="AE691" s="3"/>
      <c r="AF691" s="3"/>
      <c r="AG691" s="3"/>
      <c r="AH691" s="3"/>
      <c r="AI691" s="3"/>
      <c r="AJ691" s="3"/>
      <c r="AK691" s="3"/>
      <c r="AL691" s="3"/>
      <c r="AM691" s="3"/>
      <c r="AN691" s="3"/>
      <c r="AO691" s="3"/>
      <c r="AP691" s="3"/>
      <c r="AQ691" s="3"/>
      <c r="AR691" s="3"/>
      <c r="AS691" s="3"/>
      <c r="AT691" s="3"/>
      <c r="AU691" s="3"/>
      <c r="AV691" s="3"/>
      <c r="AW691" s="3"/>
      <c r="AX691" s="3"/>
      <c r="AY691" s="3"/>
      <c r="AZ691" s="3"/>
      <c r="BA691" s="3"/>
      <c r="BB691" s="3"/>
      <c r="BC691" s="3"/>
    </row>
    <row r="692" spans="1:55">
      <c r="A692" s="1" t="str">
        <f>'Population Definitions'!$A$4</f>
        <v>0-9_males</v>
      </c>
      <c r="C692" t="s">
        <v>34</v>
      </c>
      <c r="D692" s="3"/>
      <c r="E692" s="3">
        <v>0</v>
      </c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  <c r="AC692" s="3"/>
      <c r="AD692" s="3"/>
      <c r="AE692" s="3"/>
      <c r="AF692" s="3"/>
      <c r="AG692" s="3"/>
      <c r="AH692" s="3"/>
      <c r="AI692" s="3"/>
      <c r="AJ692" s="3"/>
      <c r="AK692" s="3"/>
      <c r="AL692" s="3"/>
      <c r="AM692" s="3"/>
      <c r="AN692" s="3"/>
      <c r="AO692" s="3"/>
      <c r="AP692" s="3"/>
      <c r="AQ692" s="3"/>
      <c r="AR692" s="3"/>
      <c r="AS692" s="3"/>
      <c r="AT692" s="3"/>
      <c r="AU692" s="3"/>
      <c r="AV692" s="3"/>
      <c r="AW692" s="3"/>
      <c r="AX692" s="3"/>
      <c r="AY692" s="3"/>
      <c r="AZ692" s="3"/>
      <c r="BA692" s="3"/>
      <c r="BB692" s="3"/>
      <c r="BC692" s="3"/>
    </row>
    <row r="693" spans="1:55">
      <c r="A693" s="1" t="str">
        <f>'Population Definitions'!$A$5</f>
        <v>0-9_females</v>
      </c>
      <c r="C693" t="s">
        <v>34</v>
      </c>
      <c r="D693" s="3"/>
      <c r="E693" s="3">
        <v>0</v>
      </c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  <c r="AC693" s="3"/>
      <c r="AD693" s="3"/>
      <c r="AE693" s="3"/>
      <c r="AF693" s="3"/>
      <c r="AG693" s="3"/>
      <c r="AH693" s="3"/>
      <c r="AI693" s="3"/>
      <c r="AJ693" s="3"/>
      <c r="AK693" s="3"/>
      <c r="AL693" s="3"/>
      <c r="AM693" s="3"/>
      <c r="AN693" s="3"/>
      <c r="AO693" s="3"/>
      <c r="AP693" s="3"/>
      <c r="AQ693" s="3"/>
      <c r="AR693" s="3"/>
      <c r="AS693" s="3"/>
      <c r="AT693" s="3"/>
      <c r="AU693" s="3"/>
      <c r="AV693" s="3"/>
      <c r="AW693" s="3"/>
      <c r="AX693" s="3"/>
      <c r="AY693" s="3"/>
      <c r="AZ693" s="3"/>
      <c r="BA693" s="3"/>
      <c r="BB693" s="3"/>
      <c r="BC693" s="3"/>
    </row>
    <row r="694" spans="1:55">
      <c r="A694" s="1" t="str">
        <f>'Population Definitions'!$A$6</f>
        <v>10-17_males</v>
      </c>
      <c r="C694" t="s">
        <v>34</v>
      </c>
      <c r="D694" s="3"/>
      <c r="E694" s="3">
        <v>0</v>
      </c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  <c r="AC694" s="3"/>
      <c r="AD694" s="3"/>
      <c r="AE694" s="3"/>
      <c r="AF694" s="3"/>
      <c r="AG694" s="3"/>
      <c r="AH694" s="3"/>
      <c r="AI694" s="3"/>
      <c r="AJ694" s="3"/>
      <c r="AK694" s="3"/>
      <c r="AL694" s="3"/>
      <c r="AM694" s="3"/>
      <c r="AN694" s="3"/>
      <c r="AO694" s="3"/>
      <c r="AP694" s="3"/>
      <c r="AQ694" s="3"/>
      <c r="AR694" s="3"/>
      <c r="AS694" s="3"/>
      <c r="AT694" s="3"/>
      <c r="AU694" s="3"/>
      <c r="AV694" s="3"/>
      <c r="AW694" s="3"/>
      <c r="AX694" s="3"/>
      <c r="AY694" s="3"/>
      <c r="AZ694" s="3"/>
      <c r="BA694" s="3"/>
      <c r="BB694" s="3"/>
      <c r="BC694" s="3"/>
    </row>
    <row r="695" spans="1:55">
      <c r="A695" s="1" t="str">
        <f>'Population Definitions'!$A$7</f>
        <v>10-17_females</v>
      </c>
      <c r="C695" t="s">
        <v>34</v>
      </c>
      <c r="D695" s="3"/>
      <c r="E695" s="3">
        <v>0</v>
      </c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  <c r="AC695" s="3"/>
      <c r="AD695" s="3"/>
      <c r="AE695" s="3"/>
      <c r="AF695" s="3"/>
      <c r="AG695" s="3"/>
      <c r="AH695" s="3"/>
      <c r="AI695" s="3"/>
      <c r="AJ695" s="3"/>
      <c r="AK695" s="3"/>
      <c r="AL695" s="3"/>
      <c r="AM695" s="3"/>
      <c r="AN695" s="3"/>
      <c r="AO695" s="3"/>
      <c r="AP695" s="3"/>
      <c r="AQ695" s="3"/>
      <c r="AR695" s="3"/>
      <c r="AS695" s="3"/>
      <c r="AT695" s="3"/>
      <c r="AU695" s="3"/>
      <c r="AV695" s="3"/>
      <c r="AW695" s="3"/>
      <c r="AX695" s="3"/>
      <c r="AY695" s="3"/>
      <c r="AZ695" s="3"/>
      <c r="BA695" s="3"/>
      <c r="BB695" s="3"/>
      <c r="BC695" s="3"/>
    </row>
    <row r="696" spans="1:55">
      <c r="A696" s="1" t="str">
        <f>'Population Definitions'!$A$8</f>
        <v>18-64_males</v>
      </c>
      <c r="C696" t="s">
        <v>34</v>
      </c>
      <c r="D696" s="3"/>
      <c r="E696" s="3">
        <v>0</v>
      </c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  <c r="AC696" s="3"/>
      <c r="AD696" s="3"/>
      <c r="AE696" s="3"/>
      <c r="AF696" s="3"/>
      <c r="AG696" s="3"/>
      <c r="AH696" s="3"/>
      <c r="AI696" s="3"/>
      <c r="AJ696" s="3"/>
      <c r="AK696" s="3"/>
      <c r="AL696" s="3"/>
      <c r="AM696" s="3"/>
      <c r="AN696" s="3"/>
      <c r="AO696" s="3"/>
      <c r="AP696" s="3"/>
      <c r="AQ696" s="3"/>
      <c r="AR696" s="3"/>
      <c r="AS696" s="3"/>
      <c r="AT696" s="3"/>
      <c r="AU696" s="3"/>
      <c r="AV696" s="3"/>
      <c r="AW696" s="3"/>
      <c r="AX696" s="3"/>
      <c r="AY696" s="3"/>
      <c r="AZ696" s="3"/>
      <c r="BA696" s="3"/>
      <c r="BB696" s="3"/>
      <c r="BC696" s="3"/>
    </row>
    <row r="697" spans="1:55">
      <c r="A697" s="1" t="str">
        <f>'Population Definitions'!$A$9</f>
        <v>18-64_females</v>
      </c>
      <c r="C697" t="s">
        <v>34</v>
      </c>
      <c r="D697" s="3"/>
      <c r="E697" s="3">
        <v>0</v>
      </c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  <c r="AC697" s="3"/>
      <c r="AD697" s="3"/>
      <c r="AE697" s="3"/>
      <c r="AF697" s="3"/>
      <c r="AG697" s="3"/>
      <c r="AH697" s="3"/>
      <c r="AI697" s="3"/>
      <c r="AJ697" s="3"/>
      <c r="AK697" s="3"/>
      <c r="AL697" s="3"/>
      <c r="AM697" s="3"/>
      <c r="AN697" s="3"/>
      <c r="AO697" s="3"/>
      <c r="AP697" s="3"/>
      <c r="AQ697" s="3"/>
      <c r="AR697" s="3"/>
      <c r="AS697" s="3"/>
      <c r="AT697" s="3"/>
      <c r="AU697" s="3"/>
      <c r="AV697" s="3"/>
      <c r="AW697" s="3"/>
      <c r="AX697" s="3"/>
      <c r="AY697" s="3"/>
      <c r="AZ697" s="3"/>
      <c r="BA697" s="3"/>
      <c r="BB697" s="3"/>
      <c r="BC697" s="3"/>
    </row>
    <row r="698" spans="1:55">
      <c r="A698" s="1" t="str">
        <f>'Population Definitions'!$A$10</f>
        <v>65+_males</v>
      </c>
      <c r="C698" t="s">
        <v>34</v>
      </c>
      <c r="D698" s="3"/>
      <c r="E698" s="3">
        <v>0</v>
      </c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  <c r="AC698" s="3"/>
      <c r="AD698" s="3"/>
      <c r="AE698" s="3"/>
      <c r="AF698" s="3"/>
      <c r="AG698" s="3"/>
      <c r="AH698" s="3"/>
      <c r="AI698" s="3"/>
      <c r="AJ698" s="3"/>
      <c r="AK698" s="3"/>
      <c r="AL698" s="3"/>
      <c r="AM698" s="3"/>
      <c r="AN698" s="3"/>
      <c r="AO698" s="3"/>
      <c r="AP698" s="3"/>
      <c r="AQ698" s="3"/>
      <c r="AR698" s="3"/>
      <c r="AS698" s="3"/>
      <c r="AT698" s="3"/>
      <c r="AU698" s="3"/>
      <c r="AV698" s="3"/>
      <c r="AW698" s="3"/>
      <c r="AX698" s="3"/>
      <c r="AY698" s="3"/>
      <c r="AZ698" s="3"/>
      <c r="BA698" s="3"/>
      <c r="BB698" s="3"/>
      <c r="BC698" s="3"/>
    </row>
    <row r="699" spans="1:55">
      <c r="A699" s="1" t="str">
        <f>'Population Definitions'!$A$11</f>
        <v>65+_females</v>
      </c>
      <c r="C699" t="s">
        <v>34</v>
      </c>
      <c r="D699" s="3"/>
      <c r="E699" s="3">
        <v>0</v>
      </c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  <c r="AC699" s="3"/>
      <c r="AD699" s="3"/>
      <c r="AE699" s="3"/>
      <c r="AF699" s="3"/>
      <c r="AG699" s="3"/>
      <c r="AH699" s="3"/>
      <c r="AI699" s="3"/>
      <c r="AJ699" s="3"/>
      <c r="AK699" s="3"/>
      <c r="AL699" s="3"/>
      <c r="AM699" s="3"/>
      <c r="AN699" s="3"/>
      <c r="AO699" s="3"/>
      <c r="AP699" s="3"/>
      <c r="AQ699" s="3"/>
      <c r="AR699" s="3"/>
      <c r="AS699" s="3"/>
      <c r="AT699" s="3"/>
      <c r="AU699" s="3"/>
      <c r="AV699" s="3"/>
      <c r="AW699" s="3"/>
      <c r="AX699" s="3"/>
      <c r="AY699" s="3"/>
      <c r="AZ699" s="3"/>
      <c r="BA699" s="3"/>
      <c r="BB699" s="3"/>
      <c r="BC699" s="3"/>
    </row>
    <row r="700" spans="1:55">
      <c r="A700" s="1" t="str">
        <f>'Population Definitions'!$A$12</f>
        <v>Prisoners_males</v>
      </c>
      <c r="C700" t="s">
        <v>34</v>
      </c>
      <c r="D700" s="3"/>
      <c r="E700" s="3">
        <v>0</v>
      </c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  <c r="AC700" s="3"/>
      <c r="AD700" s="3"/>
      <c r="AE700" s="3"/>
      <c r="AF700" s="3"/>
      <c r="AG700" s="3"/>
      <c r="AH700" s="3"/>
      <c r="AI700" s="3"/>
      <c r="AJ700" s="3"/>
      <c r="AK700" s="3"/>
      <c r="AL700" s="3"/>
      <c r="AM700" s="3"/>
      <c r="AN700" s="3"/>
      <c r="AO700" s="3"/>
      <c r="AP700" s="3"/>
      <c r="AQ700" s="3"/>
      <c r="AR700" s="3"/>
      <c r="AS700" s="3"/>
      <c r="AT700" s="3"/>
      <c r="AU700" s="3"/>
      <c r="AV700" s="3"/>
      <c r="AW700" s="3"/>
      <c r="AX700" s="3"/>
      <c r="AY700" s="3"/>
      <c r="AZ700" s="3"/>
      <c r="BA700" s="3"/>
      <c r="BB700" s="3"/>
      <c r="BC700" s="3"/>
    </row>
    <row r="701" spans="1:55">
      <c r="A701" s="1" t="str">
        <f>'Population Definitions'!$A$13</f>
        <v>Prisoners_females</v>
      </c>
      <c r="C701" t="s">
        <v>34</v>
      </c>
      <c r="D701" s="3"/>
      <c r="E701" s="3">
        <v>0</v>
      </c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  <c r="AC701" s="3"/>
      <c r="AD701" s="3"/>
      <c r="AE701" s="3"/>
      <c r="AF701" s="3"/>
      <c r="AG701" s="3"/>
      <c r="AH701" s="3"/>
      <c r="AI701" s="3"/>
      <c r="AJ701" s="3"/>
      <c r="AK701" s="3"/>
      <c r="AL701" s="3"/>
      <c r="AM701" s="3"/>
      <c r="AN701" s="3"/>
      <c r="AO701" s="3"/>
      <c r="AP701" s="3"/>
      <c r="AQ701" s="3"/>
      <c r="AR701" s="3"/>
      <c r="AS701" s="3"/>
      <c r="AT701" s="3"/>
      <c r="AU701" s="3"/>
      <c r="AV701" s="3"/>
      <c r="AW701" s="3"/>
      <c r="AX701" s="3"/>
      <c r="AY701" s="3"/>
      <c r="AZ701" s="3"/>
      <c r="BA701" s="3"/>
      <c r="BB701" s="3"/>
      <c r="BC701" s="3"/>
    </row>
    <row r="702" spans="1:55">
      <c r="A702" s="1" t="str">
        <f>'Population Definitions'!$A$14</f>
        <v>Prisoners_PWID_males</v>
      </c>
      <c r="C702" t="s">
        <v>34</v>
      </c>
      <c r="D702" s="3"/>
      <c r="E702" s="3">
        <v>0</v>
      </c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  <c r="AB702" s="3"/>
      <c r="AC702" s="3"/>
      <c r="AD702" s="3"/>
      <c r="AE702" s="3"/>
      <c r="AF702" s="3"/>
      <c r="AG702" s="3"/>
      <c r="AH702" s="3"/>
      <c r="AI702" s="3"/>
      <c r="AJ702" s="3"/>
      <c r="AK702" s="3"/>
      <c r="AL702" s="3"/>
      <c r="AM702" s="3"/>
      <c r="AN702" s="3"/>
      <c r="AO702" s="3"/>
      <c r="AP702" s="3"/>
      <c r="AQ702" s="3"/>
      <c r="AR702" s="3"/>
      <c r="AS702" s="3"/>
      <c r="AT702" s="3"/>
      <c r="AU702" s="3"/>
      <c r="AV702" s="3"/>
      <c r="AW702" s="3"/>
      <c r="AX702" s="3"/>
      <c r="AY702" s="3"/>
      <c r="AZ702" s="3"/>
      <c r="BA702" s="3"/>
      <c r="BB702" s="3"/>
      <c r="BC702" s="3"/>
    </row>
    <row r="703" spans="1:55">
      <c r="A703" s="1" t="str">
        <f>'Population Definitions'!$A$15</f>
        <v>Prisoners_PWID_females</v>
      </c>
      <c r="C703" t="s">
        <v>34</v>
      </c>
      <c r="D703" s="3"/>
      <c r="E703" s="3">
        <v>0</v>
      </c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  <c r="AB703" s="3"/>
      <c r="AC703" s="3"/>
      <c r="AD703" s="3"/>
      <c r="AE703" s="3"/>
      <c r="AF703" s="3"/>
      <c r="AG703" s="3"/>
      <c r="AH703" s="3"/>
      <c r="AI703" s="3"/>
      <c r="AJ703" s="3"/>
      <c r="AK703" s="3"/>
      <c r="AL703" s="3"/>
      <c r="AM703" s="3"/>
      <c r="AN703" s="3"/>
      <c r="AO703" s="3"/>
      <c r="AP703" s="3"/>
      <c r="AQ703" s="3"/>
      <c r="AR703" s="3"/>
      <c r="AS703" s="3"/>
      <c r="AT703" s="3"/>
      <c r="AU703" s="3"/>
      <c r="AV703" s="3"/>
      <c r="AW703" s="3"/>
      <c r="AX703" s="3"/>
      <c r="AY703" s="3"/>
      <c r="AZ703" s="3"/>
      <c r="BA703" s="3"/>
      <c r="BB703" s="3"/>
      <c r="BC703" s="3"/>
    </row>
    <row r="705" spans="1:55">
      <c r="A705" s="1" t="s">
        <v>171</v>
      </c>
      <c r="B705" s="1" t="s">
        <v>31</v>
      </c>
      <c r="C705" s="1" t="s">
        <v>32</v>
      </c>
      <c r="D705" s="1" t="s">
        <v>33</v>
      </c>
      <c r="E705" s="1">
        <v>2000</v>
      </c>
      <c r="F705" s="1">
        <v>2001</v>
      </c>
      <c r="G705" s="1">
        <v>2002</v>
      </c>
      <c r="H705" s="1">
        <v>2003</v>
      </c>
      <c r="I705" s="1">
        <v>2004</v>
      </c>
      <c r="J705" s="1">
        <v>2005</v>
      </c>
      <c r="K705" s="1">
        <v>2006</v>
      </c>
      <c r="L705" s="1">
        <v>2007</v>
      </c>
      <c r="M705" s="1">
        <v>2008</v>
      </c>
      <c r="N705" s="1">
        <v>2009</v>
      </c>
      <c r="O705" s="1">
        <v>2010</v>
      </c>
      <c r="P705" s="1">
        <v>2011</v>
      </c>
      <c r="Q705" s="1">
        <v>2012</v>
      </c>
      <c r="R705" s="1">
        <v>2013</v>
      </c>
      <c r="S705" s="1">
        <v>2014</v>
      </c>
      <c r="T705" s="1">
        <v>2015</v>
      </c>
      <c r="U705" s="1">
        <v>2016</v>
      </c>
      <c r="V705" s="1">
        <v>2017</v>
      </c>
      <c r="W705" s="1">
        <v>2018</v>
      </c>
      <c r="X705" s="1">
        <v>2019</v>
      </c>
      <c r="Y705" s="1">
        <v>2020</v>
      </c>
      <c r="Z705" s="1">
        <v>2021</v>
      </c>
      <c r="AA705" s="1">
        <v>2022</v>
      </c>
      <c r="AB705" s="1">
        <v>2023</v>
      </c>
      <c r="AC705" s="1">
        <v>2024</v>
      </c>
      <c r="AD705" s="1">
        <v>2025</v>
      </c>
      <c r="AE705" s="1">
        <v>2026</v>
      </c>
      <c r="AF705" s="1">
        <v>2027</v>
      </c>
      <c r="AG705" s="1">
        <v>2028</v>
      </c>
      <c r="AH705" s="1">
        <v>2029</v>
      </c>
      <c r="AI705" s="1">
        <v>2030</v>
      </c>
      <c r="AJ705" s="1">
        <v>2031</v>
      </c>
      <c r="AK705" s="1">
        <v>2032</v>
      </c>
      <c r="AL705" s="1">
        <v>2033</v>
      </c>
      <c r="AM705" s="1">
        <v>2034</v>
      </c>
      <c r="AN705" s="1">
        <v>2035</v>
      </c>
      <c r="AO705" s="1">
        <v>2036</v>
      </c>
      <c r="AP705" s="1">
        <v>2037</v>
      </c>
      <c r="AQ705" s="1">
        <v>2038</v>
      </c>
      <c r="AR705" s="1">
        <v>2039</v>
      </c>
      <c r="AS705" s="1">
        <v>2040</v>
      </c>
      <c r="AT705" s="1">
        <v>2041</v>
      </c>
      <c r="AU705" s="1">
        <v>2042</v>
      </c>
      <c r="AV705" s="1">
        <v>2043</v>
      </c>
      <c r="AW705" s="1">
        <v>2044</v>
      </c>
      <c r="AX705" s="1">
        <v>2045</v>
      </c>
      <c r="AY705" s="1">
        <v>2046</v>
      </c>
      <c r="AZ705" s="1">
        <v>2047</v>
      </c>
      <c r="BA705" s="1">
        <v>2048</v>
      </c>
      <c r="BB705" s="1">
        <v>2049</v>
      </c>
      <c r="BC705" s="1">
        <v>2050</v>
      </c>
    </row>
    <row r="706" spans="1:55">
      <c r="A706" s="1" t="str">
        <f>'Population Definitions'!$A$2</f>
        <v>PWID_males</v>
      </c>
      <c r="C706" t="s">
        <v>34</v>
      </c>
      <c r="D706" s="3"/>
      <c r="E706" s="3">
        <v>0</v>
      </c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  <c r="AC706" s="3"/>
      <c r="AD706" s="3"/>
      <c r="AE706" s="3"/>
      <c r="AF706" s="3"/>
      <c r="AG706" s="3"/>
      <c r="AH706" s="3"/>
      <c r="AI706" s="3"/>
      <c r="AJ706" s="3"/>
      <c r="AK706" s="3"/>
      <c r="AL706" s="3"/>
      <c r="AM706" s="3"/>
      <c r="AN706" s="3"/>
      <c r="AO706" s="3"/>
      <c r="AP706" s="3"/>
      <c r="AQ706" s="3"/>
      <c r="AR706" s="3"/>
      <c r="AS706" s="3"/>
      <c r="AT706" s="3"/>
      <c r="AU706" s="3"/>
      <c r="AV706" s="3"/>
      <c r="AW706" s="3"/>
      <c r="AX706" s="3"/>
      <c r="AY706" s="3"/>
      <c r="AZ706" s="3"/>
      <c r="BA706" s="3"/>
      <c r="BB706" s="3"/>
      <c r="BC706" s="3"/>
    </row>
    <row r="707" spans="1:55">
      <c r="A707" s="1" t="str">
        <f>'Population Definitions'!$A$3</f>
        <v>PWID_females</v>
      </c>
      <c r="C707" t="s">
        <v>34</v>
      </c>
      <c r="D707" s="3"/>
      <c r="E707" s="3">
        <v>0</v>
      </c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  <c r="AC707" s="3"/>
      <c r="AD707" s="3"/>
      <c r="AE707" s="3"/>
      <c r="AF707" s="3"/>
      <c r="AG707" s="3"/>
      <c r="AH707" s="3"/>
      <c r="AI707" s="3"/>
      <c r="AJ707" s="3"/>
      <c r="AK707" s="3"/>
      <c r="AL707" s="3"/>
      <c r="AM707" s="3"/>
      <c r="AN707" s="3"/>
      <c r="AO707" s="3"/>
      <c r="AP707" s="3"/>
      <c r="AQ707" s="3"/>
      <c r="AR707" s="3"/>
      <c r="AS707" s="3"/>
      <c r="AT707" s="3"/>
      <c r="AU707" s="3"/>
      <c r="AV707" s="3"/>
      <c r="AW707" s="3"/>
      <c r="AX707" s="3"/>
      <c r="AY707" s="3"/>
      <c r="AZ707" s="3"/>
      <c r="BA707" s="3"/>
      <c r="BB707" s="3"/>
      <c r="BC707" s="3"/>
    </row>
    <row r="708" spans="1:55">
      <c r="A708" s="1" t="str">
        <f>'Population Definitions'!$A$4</f>
        <v>0-9_males</v>
      </c>
      <c r="C708" t="s">
        <v>34</v>
      </c>
      <c r="D708" s="3"/>
      <c r="E708" s="3">
        <v>0</v>
      </c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  <c r="AC708" s="3"/>
      <c r="AD708" s="3"/>
      <c r="AE708" s="3"/>
      <c r="AF708" s="3"/>
      <c r="AG708" s="3"/>
      <c r="AH708" s="3"/>
      <c r="AI708" s="3"/>
      <c r="AJ708" s="3"/>
      <c r="AK708" s="3"/>
      <c r="AL708" s="3"/>
      <c r="AM708" s="3"/>
      <c r="AN708" s="3"/>
      <c r="AO708" s="3"/>
      <c r="AP708" s="3"/>
      <c r="AQ708" s="3"/>
      <c r="AR708" s="3"/>
      <c r="AS708" s="3"/>
      <c r="AT708" s="3"/>
      <c r="AU708" s="3"/>
      <c r="AV708" s="3"/>
      <c r="AW708" s="3"/>
      <c r="AX708" s="3"/>
      <c r="AY708" s="3"/>
      <c r="AZ708" s="3"/>
      <c r="BA708" s="3"/>
      <c r="BB708" s="3"/>
      <c r="BC708" s="3"/>
    </row>
    <row r="709" spans="1:55">
      <c r="A709" s="1" t="str">
        <f>'Population Definitions'!$A$5</f>
        <v>0-9_females</v>
      </c>
      <c r="C709" t="s">
        <v>34</v>
      </c>
      <c r="D709" s="3"/>
      <c r="E709" s="3">
        <v>0</v>
      </c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  <c r="AC709" s="3"/>
      <c r="AD709" s="3"/>
      <c r="AE709" s="3"/>
      <c r="AF709" s="3"/>
      <c r="AG709" s="3"/>
      <c r="AH709" s="3"/>
      <c r="AI709" s="3"/>
      <c r="AJ709" s="3"/>
      <c r="AK709" s="3"/>
      <c r="AL709" s="3"/>
      <c r="AM709" s="3"/>
      <c r="AN709" s="3"/>
      <c r="AO709" s="3"/>
      <c r="AP709" s="3"/>
      <c r="AQ709" s="3"/>
      <c r="AR709" s="3"/>
      <c r="AS709" s="3"/>
      <c r="AT709" s="3"/>
      <c r="AU709" s="3"/>
      <c r="AV709" s="3"/>
      <c r="AW709" s="3"/>
      <c r="AX709" s="3"/>
      <c r="AY709" s="3"/>
      <c r="AZ709" s="3"/>
      <c r="BA709" s="3"/>
      <c r="BB709" s="3"/>
      <c r="BC709" s="3"/>
    </row>
    <row r="710" spans="1:55">
      <c r="A710" s="1" t="str">
        <f>'Population Definitions'!$A$6</f>
        <v>10-17_males</v>
      </c>
      <c r="C710" t="s">
        <v>34</v>
      </c>
      <c r="D710" s="3"/>
      <c r="E710" s="3">
        <v>0</v>
      </c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/>
      <c r="AD710" s="3"/>
      <c r="AE710" s="3"/>
      <c r="AF710" s="3"/>
      <c r="AG710" s="3"/>
      <c r="AH710" s="3"/>
      <c r="AI710" s="3"/>
      <c r="AJ710" s="3"/>
      <c r="AK710" s="3"/>
      <c r="AL710" s="3"/>
      <c r="AM710" s="3"/>
      <c r="AN710" s="3"/>
      <c r="AO710" s="3"/>
      <c r="AP710" s="3"/>
      <c r="AQ710" s="3"/>
      <c r="AR710" s="3"/>
      <c r="AS710" s="3"/>
      <c r="AT710" s="3"/>
      <c r="AU710" s="3"/>
      <c r="AV710" s="3"/>
      <c r="AW710" s="3"/>
      <c r="AX710" s="3"/>
      <c r="AY710" s="3"/>
      <c r="AZ710" s="3"/>
      <c r="BA710" s="3"/>
      <c r="BB710" s="3"/>
      <c r="BC710" s="3"/>
    </row>
    <row r="711" spans="1:55">
      <c r="A711" s="1" t="str">
        <f>'Population Definitions'!$A$7</f>
        <v>10-17_females</v>
      </c>
      <c r="C711" t="s">
        <v>34</v>
      </c>
      <c r="D711" s="3"/>
      <c r="E711" s="3">
        <v>0</v>
      </c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/>
      <c r="AD711" s="3"/>
      <c r="AE711" s="3"/>
      <c r="AF711" s="3"/>
      <c r="AG711" s="3"/>
      <c r="AH711" s="3"/>
      <c r="AI711" s="3"/>
      <c r="AJ711" s="3"/>
      <c r="AK711" s="3"/>
      <c r="AL711" s="3"/>
      <c r="AM711" s="3"/>
      <c r="AN711" s="3"/>
      <c r="AO711" s="3"/>
      <c r="AP711" s="3"/>
      <c r="AQ711" s="3"/>
      <c r="AR711" s="3"/>
      <c r="AS711" s="3"/>
      <c r="AT711" s="3"/>
      <c r="AU711" s="3"/>
      <c r="AV711" s="3"/>
      <c r="AW711" s="3"/>
      <c r="AX711" s="3"/>
      <c r="AY711" s="3"/>
      <c r="AZ711" s="3"/>
      <c r="BA711" s="3"/>
      <c r="BB711" s="3"/>
      <c r="BC711" s="3"/>
    </row>
    <row r="712" spans="1:55">
      <c r="A712" s="1" t="str">
        <f>'Population Definitions'!$A$8</f>
        <v>18-64_males</v>
      </c>
      <c r="C712" t="s">
        <v>34</v>
      </c>
      <c r="D712" s="3"/>
      <c r="E712" s="3">
        <v>0</v>
      </c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/>
      <c r="AD712" s="3"/>
      <c r="AE712" s="3"/>
      <c r="AF712" s="3"/>
      <c r="AG712" s="3"/>
      <c r="AH712" s="3"/>
      <c r="AI712" s="3"/>
      <c r="AJ712" s="3"/>
      <c r="AK712" s="3"/>
      <c r="AL712" s="3"/>
      <c r="AM712" s="3"/>
      <c r="AN712" s="3"/>
      <c r="AO712" s="3"/>
      <c r="AP712" s="3"/>
      <c r="AQ712" s="3"/>
      <c r="AR712" s="3"/>
      <c r="AS712" s="3"/>
      <c r="AT712" s="3"/>
      <c r="AU712" s="3"/>
      <c r="AV712" s="3"/>
      <c r="AW712" s="3"/>
      <c r="AX712" s="3"/>
      <c r="AY712" s="3"/>
      <c r="AZ712" s="3"/>
      <c r="BA712" s="3"/>
      <c r="BB712" s="3"/>
      <c r="BC712" s="3"/>
    </row>
    <row r="713" spans="1:55">
      <c r="A713" s="1" t="str">
        <f>'Population Definitions'!$A$9</f>
        <v>18-64_females</v>
      </c>
      <c r="C713" t="s">
        <v>34</v>
      </c>
      <c r="D713" s="3"/>
      <c r="E713" s="3">
        <v>0</v>
      </c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/>
      <c r="AD713" s="3"/>
      <c r="AE713" s="3"/>
      <c r="AF713" s="3"/>
      <c r="AG713" s="3"/>
      <c r="AH713" s="3"/>
      <c r="AI713" s="3"/>
      <c r="AJ713" s="3"/>
      <c r="AK713" s="3"/>
      <c r="AL713" s="3"/>
      <c r="AM713" s="3"/>
      <c r="AN713" s="3"/>
      <c r="AO713" s="3"/>
      <c r="AP713" s="3"/>
      <c r="AQ713" s="3"/>
      <c r="AR713" s="3"/>
      <c r="AS713" s="3"/>
      <c r="AT713" s="3"/>
      <c r="AU713" s="3"/>
      <c r="AV713" s="3"/>
      <c r="AW713" s="3"/>
      <c r="AX713" s="3"/>
      <c r="AY713" s="3"/>
      <c r="AZ713" s="3"/>
      <c r="BA713" s="3"/>
      <c r="BB713" s="3"/>
      <c r="BC713" s="3"/>
    </row>
    <row r="714" spans="1:55">
      <c r="A714" s="1" t="str">
        <f>'Population Definitions'!$A$10</f>
        <v>65+_males</v>
      </c>
      <c r="C714" t="s">
        <v>34</v>
      </c>
      <c r="D714" s="3"/>
      <c r="E714" s="3">
        <v>0</v>
      </c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  <c r="AC714" s="3"/>
      <c r="AD714" s="3"/>
      <c r="AE714" s="3"/>
      <c r="AF714" s="3"/>
      <c r="AG714" s="3"/>
      <c r="AH714" s="3"/>
      <c r="AI714" s="3"/>
      <c r="AJ714" s="3"/>
      <c r="AK714" s="3"/>
      <c r="AL714" s="3"/>
      <c r="AM714" s="3"/>
      <c r="AN714" s="3"/>
      <c r="AO714" s="3"/>
      <c r="AP714" s="3"/>
      <c r="AQ714" s="3"/>
      <c r="AR714" s="3"/>
      <c r="AS714" s="3"/>
      <c r="AT714" s="3"/>
      <c r="AU714" s="3"/>
      <c r="AV714" s="3"/>
      <c r="AW714" s="3"/>
      <c r="AX714" s="3"/>
      <c r="AY714" s="3"/>
      <c r="AZ714" s="3"/>
      <c r="BA714" s="3"/>
      <c r="BB714" s="3"/>
      <c r="BC714" s="3"/>
    </row>
    <row r="715" spans="1:55">
      <c r="A715" s="1" t="str">
        <f>'Population Definitions'!$A$11</f>
        <v>65+_females</v>
      </c>
      <c r="C715" t="s">
        <v>34</v>
      </c>
      <c r="D715" s="3"/>
      <c r="E715" s="3">
        <v>0</v>
      </c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  <c r="AC715" s="3"/>
      <c r="AD715" s="3"/>
      <c r="AE715" s="3"/>
      <c r="AF715" s="3"/>
      <c r="AG715" s="3"/>
      <c r="AH715" s="3"/>
      <c r="AI715" s="3"/>
      <c r="AJ715" s="3"/>
      <c r="AK715" s="3"/>
      <c r="AL715" s="3"/>
      <c r="AM715" s="3"/>
      <c r="AN715" s="3"/>
      <c r="AO715" s="3"/>
      <c r="AP715" s="3"/>
      <c r="AQ715" s="3"/>
      <c r="AR715" s="3"/>
      <c r="AS715" s="3"/>
      <c r="AT715" s="3"/>
      <c r="AU715" s="3"/>
      <c r="AV715" s="3"/>
      <c r="AW715" s="3"/>
      <c r="AX715" s="3"/>
      <c r="AY715" s="3"/>
      <c r="AZ715" s="3"/>
      <c r="BA715" s="3"/>
      <c r="BB715" s="3"/>
      <c r="BC715" s="3"/>
    </row>
    <row r="716" spans="1:55">
      <c r="A716" s="1" t="str">
        <f>'Population Definitions'!$A$12</f>
        <v>Prisoners_males</v>
      </c>
      <c r="C716" t="s">
        <v>34</v>
      </c>
      <c r="D716" s="3"/>
      <c r="E716" s="3">
        <v>0</v>
      </c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  <c r="AC716" s="3"/>
      <c r="AD716" s="3"/>
      <c r="AE716" s="3"/>
      <c r="AF716" s="3"/>
      <c r="AG716" s="3"/>
      <c r="AH716" s="3"/>
      <c r="AI716" s="3"/>
      <c r="AJ716" s="3"/>
      <c r="AK716" s="3"/>
      <c r="AL716" s="3"/>
      <c r="AM716" s="3"/>
      <c r="AN716" s="3"/>
      <c r="AO716" s="3"/>
      <c r="AP716" s="3"/>
      <c r="AQ716" s="3"/>
      <c r="AR716" s="3"/>
      <c r="AS716" s="3"/>
      <c r="AT716" s="3"/>
      <c r="AU716" s="3"/>
      <c r="AV716" s="3"/>
      <c r="AW716" s="3"/>
      <c r="AX716" s="3"/>
      <c r="AY716" s="3"/>
      <c r="AZ716" s="3"/>
      <c r="BA716" s="3"/>
      <c r="BB716" s="3"/>
      <c r="BC716" s="3"/>
    </row>
    <row r="717" spans="1:55">
      <c r="A717" s="1" t="str">
        <f>'Population Definitions'!$A$13</f>
        <v>Prisoners_females</v>
      </c>
      <c r="C717" t="s">
        <v>34</v>
      </c>
      <c r="D717" s="3"/>
      <c r="E717" s="3">
        <v>0</v>
      </c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  <c r="AC717" s="3"/>
      <c r="AD717" s="3"/>
      <c r="AE717" s="3"/>
      <c r="AF717" s="3"/>
      <c r="AG717" s="3"/>
      <c r="AH717" s="3"/>
      <c r="AI717" s="3"/>
      <c r="AJ717" s="3"/>
      <c r="AK717" s="3"/>
      <c r="AL717" s="3"/>
      <c r="AM717" s="3"/>
      <c r="AN717" s="3"/>
      <c r="AO717" s="3"/>
      <c r="AP717" s="3"/>
      <c r="AQ717" s="3"/>
      <c r="AR717" s="3"/>
      <c r="AS717" s="3"/>
      <c r="AT717" s="3"/>
      <c r="AU717" s="3"/>
      <c r="AV717" s="3"/>
      <c r="AW717" s="3"/>
      <c r="AX717" s="3"/>
      <c r="AY717" s="3"/>
      <c r="AZ717" s="3"/>
      <c r="BA717" s="3"/>
      <c r="BB717" s="3"/>
      <c r="BC717" s="3"/>
    </row>
    <row r="718" spans="1:55">
      <c r="A718" s="1" t="str">
        <f>'Population Definitions'!$A$14</f>
        <v>Prisoners_PWID_males</v>
      </c>
      <c r="C718" t="s">
        <v>34</v>
      </c>
      <c r="D718" s="3"/>
      <c r="E718" s="3">
        <v>0</v>
      </c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  <c r="AC718" s="3"/>
      <c r="AD718" s="3"/>
      <c r="AE718" s="3"/>
      <c r="AF718" s="3"/>
      <c r="AG718" s="3"/>
      <c r="AH718" s="3"/>
      <c r="AI718" s="3"/>
      <c r="AJ718" s="3"/>
      <c r="AK718" s="3"/>
      <c r="AL718" s="3"/>
      <c r="AM718" s="3"/>
      <c r="AN718" s="3"/>
      <c r="AO718" s="3"/>
      <c r="AP718" s="3"/>
      <c r="AQ718" s="3"/>
      <c r="AR718" s="3"/>
      <c r="AS718" s="3"/>
      <c r="AT718" s="3"/>
      <c r="AU718" s="3"/>
      <c r="AV718" s="3"/>
      <c r="AW718" s="3"/>
      <c r="AX718" s="3"/>
      <c r="AY718" s="3"/>
      <c r="AZ718" s="3"/>
      <c r="BA718" s="3"/>
      <c r="BB718" s="3"/>
      <c r="BC718" s="3"/>
    </row>
    <row r="719" spans="1:55">
      <c r="A719" s="1" t="str">
        <f>'Population Definitions'!$A$15</f>
        <v>Prisoners_PWID_females</v>
      </c>
      <c r="C719" t="s">
        <v>34</v>
      </c>
      <c r="D719" s="3"/>
      <c r="E719" s="3">
        <v>0</v>
      </c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  <c r="AC719" s="3"/>
      <c r="AD719" s="3"/>
      <c r="AE719" s="3"/>
      <c r="AF719" s="3"/>
      <c r="AG719" s="3"/>
      <c r="AH719" s="3"/>
      <c r="AI719" s="3"/>
      <c r="AJ719" s="3"/>
      <c r="AK719" s="3"/>
      <c r="AL719" s="3"/>
      <c r="AM719" s="3"/>
      <c r="AN719" s="3"/>
      <c r="AO719" s="3"/>
      <c r="AP719" s="3"/>
      <c r="AQ719" s="3"/>
      <c r="AR719" s="3"/>
      <c r="AS719" s="3"/>
      <c r="AT719" s="3"/>
      <c r="AU719" s="3"/>
      <c r="AV719" s="3"/>
      <c r="AW719" s="3"/>
      <c r="AX719" s="3"/>
      <c r="AY719" s="3"/>
      <c r="AZ719" s="3"/>
      <c r="BA719" s="3"/>
      <c r="BB719" s="3"/>
      <c r="BC719" s="3"/>
    </row>
    <row r="721" spans="1:55">
      <c r="A721" s="1" t="s">
        <v>172</v>
      </c>
      <c r="B721" s="1" t="s">
        <v>31</v>
      </c>
      <c r="C721" s="1" t="s">
        <v>32</v>
      </c>
      <c r="D721" s="1" t="s">
        <v>33</v>
      </c>
      <c r="E721" s="1">
        <v>2000</v>
      </c>
      <c r="F721" s="1">
        <v>2001</v>
      </c>
      <c r="G721" s="1">
        <v>2002</v>
      </c>
      <c r="H721" s="1">
        <v>2003</v>
      </c>
      <c r="I721" s="1">
        <v>2004</v>
      </c>
      <c r="J721" s="1">
        <v>2005</v>
      </c>
      <c r="K721" s="1">
        <v>2006</v>
      </c>
      <c r="L721" s="1">
        <v>2007</v>
      </c>
      <c r="M721" s="1">
        <v>2008</v>
      </c>
      <c r="N721" s="1">
        <v>2009</v>
      </c>
      <c r="O721" s="1">
        <v>2010</v>
      </c>
      <c r="P721" s="1">
        <v>2011</v>
      </c>
      <c r="Q721" s="1">
        <v>2012</v>
      </c>
      <c r="R721" s="1">
        <v>2013</v>
      </c>
      <c r="S721" s="1">
        <v>2014</v>
      </c>
      <c r="T721" s="1">
        <v>2015</v>
      </c>
      <c r="U721" s="1">
        <v>2016</v>
      </c>
      <c r="V721" s="1">
        <v>2017</v>
      </c>
      <c r="W721" s="1">
        <v>2018</v>
      </c>
      <c r="X721" s="1">
        <v>2019</v>
      </c>
      <c r="Y721" s="1">
        <v>2020</v>
      </c>
      <c r="Z721" s="1">
        <v>2021</v>
      </c>
      <c r="AA721" s="1">
        <v>2022</v>
      </c>
      <c r="AB721" s="1">
        <v>2023</v>
      </c>
      <c r="AC721" s="1">
        <v>2024</v>
      </c>
      <c r="AD721" s="1">
        <v>2025</v>
      </c>
      <c r="AE721" s="1">
        <v>2026</v>
      </c>
      <c r="AF721" s="1">
        <v>2027</v>
      </c>
      <c r="AG721" s="1">
        <v>2028</v>
      </c>
      <c r="AH721" s="1">
        <v>2029</v>
      </c>
      <c r="AI721" s="1">
        <v>2030</v>
      </c>
      <c r="AJ721" s="1">
        <v>2031</v>
      </c>
      <c r="AK721" s="1">
        <v>2032</v>
      </c>
      <c r="AL721" s="1">
        <v>2033</v>
      </c>
      <c r="AM721" s="1">
        <v>2034</v>
      </c>
      <c r="AN721" s="1">
        <v>2035</v>
      </c>
      <c r="AO721" s="1">
        <v>2036</v>
      </c>
      <c r="AP721" s="1">
        <v>2037</v>
      </c>
      <c r="AQ721" s="1">
        <v>2038</v>
      </c>
      <c r="AR721" s="1">
        <v>2039</v>
      </c>
      <c r="AS721" s="1">
        <v>2040</v>
      </c>
      <c r="AT721" s="1">
        <v>2041</v>
      </c>
      <c r="AU721" s="1">
        <v>2042</v>
      </c>
      <c r="AV721" s="1">
        <v>2043</v>
      </c>
      <c r="AW721" s="1">
        <v>2044</v>
      </c>
      <c r="AX721" s="1">
        <v>2045</v>
      </c>
      <c r="AY721" s="1">
        <v>2046</v>
      </c>
      <c r="AZ721" s="1">
        <v>2047</v>
      </c>
      <c r="BA721" s="1">
        <v>2048</v>
      </c>
      <c r="BB721" s="1">
        <v>2049</v>
      </c>
      <c r="BC721" s="1">
        <v>2050</v>
      </c>
    </row>
    <row r="722" spans="1:55">
      <c r="A722" s="1" t="str">
        <f>'Population Definitions'!$A$2</f>
        <v>PWID_males</v>
      </c>
      <c r="C722" t="s">
        <v>34</v>
      </c>
      <c r="D722" s="3"/>
      <c r="E722" s="3">
        <v>0</v>
      </c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  <c r="AC722" s="3"/>
      <c r="AD722" s="3"/>
      <c r="AE722" s="3"/>
      <c r="AF722" s="3"/>
      <c r="AG722" s="3"/>
      <c r="AH722" s="3"/>
      <c r="AI722" s="3"/>
      <c r="AJ722" s="3"/>
      <c r="AK722" s="3"/>
      <c r="AL722" s="3"/>
      <c r="AM722" s="3"/>
      <c r="AN722" s="3"/>
      <c r="AO722" s="3"/>
      <c r="AP722" s="3"/>
      <c r="AQ722" s="3"/>
      <c r="AR722" s="3"/>
      <c r="AS722" s="3"/>
      <c r="AT722" s="3"/>
      <c r="AU722" s="3"/>
      <c r="AV722" s="3"/>
      <c r="AW722" s="3"/>
      <c r="AX722" s="3"/>
      <c r="AY722" s="3"/>
      <c r="AZ722" s="3"/>
      <c r="BA722" s="3"/>
      <c r="BB722" s="3"/>
      <c r="BC722" s="3"/>
    </row>
    <row r="723" spans="1:55">
      <c r="A723" s="1" t="str">
        <f>'Population Definitions'!$A$3</f>
        <v>PWID_females</v>
      </c>
      <c r="C723" t="s">
        <v>34</v>
      </c>
      <c r="D723" s="3"/>
      <c r="E723" s="3">
        <v>0</v>
      </c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  <c r="AC723" s="3"/>
      <c r="AD723" s="3"/>
      <c r="AE723" s="3"/>
      <c r="AF723" s="3"/>
      <c r="AG723" s="3"/>
      <c r="AH723" s="3"/>
      <c r="AI723" s="3"/>
      <c r="AJ723" s="3"/>
      <c r="AK723" s="3"/>
      <c r="AL723" s="3"/>
      <c r="AM723" s="3"/>
      <c r="AN723" s="3"/>
      <c r="AO723" s="3"/>
      <c r="AP723" s="3"/>
      <c r="AQ723" s="3"/>
      <c r="AR723" s="3"/>
      <c r="AS723" s="3"/>
      <c r="AT723" s="3"/>
      <c r="AU723" s="3"/>
      <c r="AV723" s="3"/>
      <c r="AW723" s="3"/>
      <c r="AX723" s="3"/>
      <c r="AY723" s="3"/>
      <c r="AZ723" s="3"/>
      <c r="BA723" s="3"/>
      <c r="BB723" s="3"/>
      <c r="BC723" s="3"/>
    </row>
    <row r="724" spans="1:55">
      <c r="A724" s="1" t="str">
        <f>'Population Definitions'!$A$4</f>
        <v>0-9_males</v>
      </c>
      <c r="C724" t="s">
        <v>34</v>
      </c>
      <c r="D724" s="3"/>
      <c r="E724" s="3">
        <v>0</v>
      </c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  <c r="AC724" s="3"/>
      <c r="AD724" s="3"/>
      <c r="AE724" s="3"/>
      <c r="AF724" s="3"/>
      <c r="AG724" s="3"/>
      <c r="AH724" s="3"/>
      <c r="AI724" s="3"/>
      <c r="AJ724" s="3"/>
      <c r="AK724" s="3"/>
      <c r="AL724" s="3"/>
      <c r="AM724" s="3"/>
      <c r="AN724" s="3"/>
      <c r="AO724" s="3"/>
      <c r="AP724" s="3"/>
      <c r="AQ724" s="3"/>
      <c r="AR724" s="3"/>
      <c r="AS724" s="3"/>
      <c r="AT724" s="3"/>
      <c r="AU724" s="3"/>
      <c r="AV724" s="3"/>
      <c r="AW724" s="3"/>
      <c r="AX724" s="3"/>
      <c r="AY724" s="3"/>
      <c r="AZ724" s="3"/>
      <c r="BA724" s="3"/>
      <c r="BB724" s="3"/>
      <c r="BC724" s="3"/>
    </row>
    <row r="725" spans="1:55">
      <c r="A725" s="1" t="str">
        <f>'Population Definitions'!$A$5</f>
        <v>0-9_females</v>
      </c>
      <c r="C725" t="s">
        <v>34</v>
      </c>
      <c r="D725" s="3"/>
      <c r="E725" s="3">
        <v>0</v>
      </c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  <c r="AC725" s="3"/>
      <c r="AD725" s="3"/>
      <c r="AE725" s="3"/>
      <c r="AF725" s="3"/>
      <c r="AG725" s="3"/>
      <c r="AH725" s="3"/>
      <c r="AI725" s="3"/>
      <c r="AJ725" s="3"/>
      <c r="AK725" s="3"/>
      <c r="AL725" s="3"/>
      <c r="AM725" s="3"/>
      <c r="AN725" s="3"/>
      <c r="AO725" s="3"/>
      <c r="AP725" s="3"/>
      <c r="AQ725" s="3"/>
      <c r="AR725" s="3"/>
      <c r="AS725" s="3"/>
      <c r="AT725" s="3"/>
      <c r="AU725" s="3"/>
      <c r="AV725" s="3"/>
      <c r="AW725" s="3"/>
      <c r="AX725" s="3"/>
      <c r="AY725" s="3"/>
      <c r="AZ725" s="3"/>
      <c r="BA725" s="3"/>
      <c r="BB725" s="3"/>
      <c r="BC725" s="3"/>
    </row>
    <row r="726" spans="1:55">
      <c r="A726" s="1" t="str">
        <f>'Population Definitions'!$A$6</f>
        <v>10-17_males</v>
      </c>
      <c r="C726" t="s">
        <v>34</v>
      </c>
      <c r="D726" s="3"/>
      <c r="E726" s="3">
        <v>0</v>
      </c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  <c r="AC726" s="3"/>
      <c r="AD726" s="3"/>
      <c r="AE726" s="3"/>
      <c r="AF726" s="3"/>
      <c r="AG726" s="3"/>
      <c r="AH726" s="3"/>
      <c r="AI726" s="3"/>
      <c r="AJ726" s="3"/>
      <c r="AK726" s="3"/>
      <c r="AL726" s="3"/>
      <c r="AM726" s="3"/>
      <c r="AN726" s="3"/>
      <c r="AO726" s="3"/>
      <c r="AP726" s="3"/>
      <c r="AQ726" s="3"/>
      <c r="AR726" s="3"/>
      <c r="AS726" s="3"/>
      <c r="AT726" s="3"/>
      <c r="AU726" s="3"/>
      <c r="AV726" s="3"/>
      <c r="AW726" s="3"/>
      <c r="AX726" s="3"/>
      <c r="AY726" s="3"/>
      <c r="AZ726" s="3"/>
      <c r="BA726" s="3"/>
      <c r="BB726" s="3"/>
      <c r="BC726" s="3"/>
    </row>
    <row r="727" spans="1:55">
      <c r="A727" s="1" t="str">
        <f>'Population Definitions'!$A$7</f>
        <v>10-17_females</v>
      </c>
      <c r="C727" t="s">
        <v>34</v>
      </c>
      <c r="D727" s="3"/>
      <c r="E727" s="3">
        <v>0</v>
      </c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  <c r="AC727" s="3"/>
      <c r="AD727" s="3"/>
      <c r="AE727" s="3"/>
      <c r="AF727" s="3"/>
      <c r="AG727" s="3"/>
      <c r="AH727" s="3"/>
      <c r="AI727" s="3"/>
      <c r="AJ727" s="3"/>
      <c r="AK727" s="3"/>
      <c r="AL727" s="3"/>
      <c r="AM727" s="3"/>
      <c r="AN727" s="3"/>
      <c r="AO727" s="3"/>
      <c r="AP727" s="3"/>
      <c r="AQ727" s="3"/>
      <c r="AR727" s="3"/>
      <c r="AS727" s="3"/>
      <c r="AT727" s="3"/>
      <c r="AU727" s="3"/>
      <c r="AV727" s="3"/>
      <c r="AW727" s="3"/>
      <c r="AX727" s="3"/>
      <c r="AY727" s="3"/>
      <c r="AZ727" s="3"/>
      <c r="BA727" s="3"/>
      <c r="BB727" s="3"/>
      <c r="BC727" s="3"/>
    </row>
    <row r="728" spans="1:55">
      <c r="A728" s="1" t="str">
        <f>'Population Definitions'!$A$8</f>
        <v>18-64_males</v>
      </c>
      <c r="C728" t="s">
        <v>34</v>
      </c>
      <c r="D728" s="3"/>
      <c r="E728" s="3">
        <v>0</v>
      </c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  <c r="AB728" s="3"/>
      <c r="AC728" s="3"/>
      <c r="AD728" s="3"/>
      <c r="AE728" s="3"/>
      <c r="AF728" s="3"/>
      <c r="AG728" s="3"/>
      <c r="AH728" s="3"/>
      <c r="AI728" s="3"/>
      <c r="AJ728" s="3"/>
      <c r="AK728" s="3"/>
      <c r="AL728" s="3"/>
      <c r="AM728" s="3"/>
      <c r="AN728" s="3"/>
      <c r="AO728" s="3"/>
      <c r="AP728" s="3"/>
      <c r="AQ728" s="3"/>
      <c r="AR728" s="3"/>
      <c r="AS728" s="3"/>
      <c r="AT728" s="3"/>
      <c r="AU728" s="3"/>
      <c r="AV728" s="3"/>
      <c r="AW728" s="3"/>
      <c r="AX728" s="3"/>
      <c r="AY728" s="3"/>
      <c r="AZ728" s="3"/>
      <c r="BA728" s="3"/>
      <c r="BB728" s="3"/>
      <c r="BC728" s="3"/>
    </row>
    <row r="729" spans="1:55">
      <c r="A729" s="1" t="str">
        <f>'Population Definitions'!$A$9</f>
        <v>18-64_females</v>
      </c>
      <c r="C729" t="s">
        <v>34</v>
      </c>
      <c r="D729" s="3"/>
      <c r="E729" s="3">
        <v>0</v>
      </c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  <c r="AB729" s="3"/>
      <c r="AC729" s="3"/>
      <c r="AD729" s="3"/>
      <c r="AE729" s="3"/>
      <c r="AF729" s="3"/>
      <c r="AG729" s="3"/>
      <c r="AH729" s="3"/>
      <c r="AI729" s="3"/>
      <c r="AJ729" s="3"/>
      <c r="AK729" s="3"/>
      <c r="AL729" s="3"/>
      <c r="AM729" s="3"/>
      <c r="AN729" s="3"/>
      <c r="AO729" s="3"/>
      <c r="AP729" s="3"/>
      <c r="AQ729" s="3"/>
      <c r="AR729" s="3"/>
      <c r="AS729" s="3"/>
      <c r="AT729" s="3"/>
      <c r="AU729" s="3"/>
      <c r="AV729" s="3"/>
      <c r="AW729" s="3"/>
      <c r="AX729" s="3"/>
      <c r="AY729" s="3"/>
      <c r="AZ729" s="3"/>
      <c r="BA729" s="3"/>
      <c r="BB729" s="3"/>
      <c r="BC729" s="3"/>
    </row>
    <row r="730" spans="1:55">
      <c r="A730" s="1" t="str">
        <f>'Population Definitions'!$A$10</f>
        <v>65+_males</v>
      </c>
      <c r="C730" t="s">
        <v>34</v>
      </c>
      <c r="D730" s="3"/>
      <c r="E730" s="3">
        <v>0</v>
      </c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  <c r="AC730" s="3"/>
      <c r="AD730" s="3"/>
      <c r="AE730" s="3"/>
      <c r="AF730" s="3"/>
      <c r="AG730" s="3"/>
      <c r="AH730" s="3"/>
      <c r="AI730" s="3"/>
      <c r="AJ730" s="3"/>
      <c r="AK730" s="3"/>
      <c r="AL730" s="3"/>
      <c r="AM730" s="3"/>
      <c r="AN730" s="3"/>
      <c r="AO730" s="3"/>
      <c r="AP730" s="3"/>
      <c r="AQ730" s="3"/>
      <c r="AR730" s="3"/>
      <c r="AS730" s="3"/>
      <c r="AT730" s="3"/>
      <c r="AU730" s="3"/>
      <c r="AV730" s="3"/>
      <c r="AW730" s="3"/>
      <c r="AX730" s="3"/>
      <c r="AY730" s="3"/>
      <c r="AZ730" s="3"/>
      <c r="BA730" s="3"/>
      <c r="BB730" s="3"/>
      <c r="BC730" s="3"/>
    </row>
    <row r="731" spans="1:55">
      <c r="A731" s="1" t="str">
        <f>'Population Definitions'!$A$11</f>
        <v>65+_females</v>
      </c>
      <c r="C731" t="s">
        <v>34</v>
      </c>
      <c r="D731" s="3"/>
      <c r="E731" s="3">
        <v>0</v>
      </c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  <c r="AC731" s="3"/>
      <c r="AD731" s="3"/>
      <c r="AE731" s="3"/>
      <c r="AF731" s="3"/>
      <c r="AG731" s="3"/>
      <c r="AH731" s="3"/>
      <c r="AI731" s="3"/>
      <c r="AJ731" s="3"/>
      <c r="AK731" s="3"/>
      <c r="AL731" s="3"/>
      <c r="AM731" s="3"/>
      <c r="AN731" s="3"/>
      <c r="AO731" s="3"/>
      <c r="AP731" s="3"/>
      <c r="AQ731" s="3"/>
      <c r="AR731" s="3"/>
      <c r="AS731" s="3"/>
      <c r="AT731" s="3"/>
      <c r="AU731" s="3"/>
      <c r="AV731" s="3"/>
      <c r="AW731" s="3"/>
      <c r="AX731" s="3"/>
      <c r="AY731" s="3"/>
      <c r="AZ731" s="3"/>
      <c r="BA731" s="3"/>
      <c r="BB731" s="3"/>
      <c r="BC731" s="3"/>
    </row>
    <row r="732" spans="1:55">
      <c r="A732" s="1" t="str">
        <f>'Population Definitions'!$A$12</f>
        <v>Prisoners_males</v>
      </c>
      <c r="C732" t="s">
        <v>34</v>
      </c>
      <c r="D732" s="3"/>
      <c r="E732" s="3">
        <v>0</v>
      </c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  <c r="AC732" s="3"/>
      <c r="AD732" s="3"/>
      <c r="AE732" s="3"/>
      <c r="AF732" s="3"/>
      <c r="AG732" s="3"/>
      <c r="AH732" s="3"/>
      <c r="AI732" s="3"/>
      <c r="AJ732" s="3"/>
      <c r="AK732" s="3"/>
      <c r="AL732" s="3"/>
      <c r="AM732" s="3"/>
      <c r="AN732" s="3"/>
      <c r="AO732" s="3"/>
      <c r="AP732" s="3"/>
      <c r="AQ732" s="3"/>
      <c r="AR732" s="3"/>
      <c r="AS732" s="3"/>
      <c r="AT732" s="3"/>
      <c r="AU732" s="3"/>
      <c r="AV732" s="3"/>
      <c r="AW732" s="3"/>
      <c r="AX732" s="3"/>
      <c r="AY732" s="3"/>
      <c r="AZ732" s="3"/>
      <c r="BA732" s="3"/>
      <c r="BB732" s="3"/>
      <c r="BC732" s="3"/>
    </row>
    <row r="733" spans="1:55">
      <c r="A733" s="1" t="str">
        <f>'Population Definitions'!$A$13</f>
        <v>Prisoners_females</v>
      </c>
      <c r="C733" t="s">
        <v>34</v>
      </c>
      <c r="D733" s="3"/>
      <c r="E733" s="3">
        <v>0</v>
      </c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  <c r="AC733" s="3"/>
      <c r="AD733" s="3"/>
      <c r="AE733" s="3"/>
      <c r="AF733" s="3"/>
      <c r="AG733" s="3"/>
      <c r="AH733" s="3"/>
      <c r="AI733" s="3"/>
      <c r="AJ733" s="3"/>
      <c r="AK733" s="3"/>
      <c r="AL733" s="3"/>
      <c r="AM733" s="3"/>
      <c r="AN733" s="3"/>
      <c r="AO733" s="3"/>
      <c r="AP733" s="3"/>
      <c r="AQ733" s="3"/>
      <c r="AR733" s="3"/>
      <c r="AS733" s="3"/>
      <c r="AT733" s="3"/>
      <c r="AU733" s="3"/>
      <c r="AV733" s="3"/>
      <c r="AW733" s="3"/>
      <c r="AX733" s="3"/>
      <c r="AY733" s="3"/>
      <c r="AZ733" s="3"/>
      <c r="BA733" s="3"/>
      <c r="BB733" s="3"/>
      <c r="BC733" s="3"/>
    </row>
    <row r="734" spans="1:55">
      <c r="A734" s="1" t="str">
        <f>'Population Definitions'!$A$14</f>
        <v>Prisoners_PWID_males</v>
      </c>
      <c r="C734" t="s">
        <v>34</v>
      </c>
      <c r="D734" s="3"/>
      <c r="E734" s="3">
        <v>0</v>
      </c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  <c r="AC734" s="3"/>
      <c r="AD734" s="3"/>
      <c r="AE734" s="3"/>
      <c r="AF734" s="3"/>
      <c r="AG734" s="3"/>
      <c r="AH734" s="3"/>
      <c r="AI734" s="3"/>
      <c r="AJ734" s="3"/>
      <c r="AK734" s="3"/>
      <c r="AL734" s="3"/>
      <c r="AM734" s="3"/>
      <c r="AN734" s="3"/>
      <c r="AO734" s="3"/>
      <c r="AP734" s="3"/>
      <c r="AQ734" s="3"/>
      <c r="AR734" s="3"/>
      <c r="AS734" s="3"/>
      <c r="AT734" s="3"/>
      <c r="AU734" s="3"/>
      <c r="AV734" s="3"/>
      <c r="AW734" s="3"/>
      <c r="AX734" s="3"/>
      <c r="AY734" s="3"/>
      <c r="AZ734" s="3"/>
      <c r="BA734" s="3"/>
      <c r="BB734" s="3"/>
      <c r="BC734" s="3"/>
    </row>
    <row r="735" spans="1:55">
      <c r="A735" s="1" t="str">
        <f>'Population Definitions'!$A$15</f>
        <v>Prisoners_PWID_females</v>
      </c>
      <c r="C735" t="s">
        <v>34</v>
      </c>
      <c r="D735" s="3"/>
      <c r="E735" s="3">
        <v>0</v>
      </c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  <c r="AC735" s="3"/>
      <c r="AD735" s="3"/>
      <c r="AE735" s="3"/>
      <c r="AF735" s="3"/>
      <c r="AG735" s="3"/>
      <c r="AH735" s="3"/>
      <c r="AI735" s="3"/>
      <c r="AJ735" s="3"/>
      <c r="AK735" s="3"/>
      <c r="AL735" s="3"/>
      <c r="AM735" s="3"/>
      <c r="AN735" s="3"/>
      <c r="AO735" s="3"/>
      <c r="AP735" s="3"/>
      <c r="AQ735" s="3"/>
      <c r="AR735" s="3"/>
      <c r="AS735" s="3"/>
      <c r="AT735" s="3"/>
      <c r="AU735" s="3"/>
      <c r="AV735" s="3"/>
      <c r="AW735" s="3"/>
      <c r="AX735" s="3"/>
      <c r="AY735" s="3"/>
      <c r="AZ735" s="3"/>
      <c r="BA735" s="3"/>
      <c r="BB735" s="3"/>
      <c r="BC735" s="3"/>
    </row>
    <row r="737" spans="1:55">
      <c r="A737" s="1" t="s">
        <v>173</v>
      </c>
      <c r="B737" s="1" t="s">
        <v>31</v>
      </c>
      <c r="C737" s="1" t="s">
        <v>32</v>
      </c>
      <c r="D737" s="1" t="s">
        <v>33</v>
      </c>
      <c r="E737" s="1">
        <v>2000</v>
      </c>
      <c r="F737" s="1">
        <v>2001</v>
      </c>
      <c r="G737" s="1">
        <v>2002</v>
      </c>
      <c r="H737" s="1">
        <v>2003</v>
      </c>
      <c r="I737" s="1">
        <v>2004</v>
      </c>
      <c r="J737" s="1">
        <v>2005</v>
      </c>
      <c r="K737" s="1">
        <v>2006</v>
      </c>
      <c r="L737" s="1">
        <v>2007</v>
      </c>
      <c r="M737" s="1">
        <v>2008</v>
      </c>
      <c r="N737" s="1">
        <v>2009</v>
      </c>
      <c r="O737" s="1">
        <v>2010</v>
      </c>
      <c r="P737" s="1">
        <v>2011</v>
      </c>
      <c r="Q737" s="1">
        <v>2012</v>
      </c>
      <c r="R737" s="1">
        <v>2013</v>
      </c>
      <c r="S737" s="1">
        <v>2014</v>
      </c>
      <c r="T737" s="1">
        <v>2015</v>
      </c>
      <c r="U737" s="1">
        <v>2016</v>
      </c>
      <c r="V737" s="1">
        <v>2017</v>
      </c>
      <c r="W737" s="1">
        <v>2018</v>
      </c>
      <c r="X737" s="1">
        <v>2019</v>
      </c>
      <c r="Y737" s="1">
        <v>2020</v>
      </c>
      <c r="Z737" s="1">
        <v>2021</v>
      </c>
      <c r="AA737" s="1">
        <v>2022</v>
      </c>
      <c r="AB737" s="1">
        <v>2023</v>
      </c>
      <c r="AC737" s="1">
        <v>2024</v>
      </c>
      <c r="AD737" s="1">
        <v>2025</v>
      </c>
      <c r="AE737" s="1">
        <v>2026</v>
      </c>
      <c r="AF737" s="1">
        <v>2027</v>
      </c>
      <c r="AG737" s="1">
        <v>2028</v>
      </c>
      <c r="AH737" s="1">
        <v>2029</v>
      </c>
      <c r="AI737" s="1">
        <v>2030</v>
      </c>
      <c r="AJ737" s="1">
        <v>2031</v>
      </c>
      <c r="AK737" s="1">
        <v>2032</v>
      </c>
      <c r="AL737" s="1">
        <v>2033</v>
      </c>
      <c r="AM737" s="1">
        <v>2034</v>
      </c>
      <c r="AN737" s="1">
        <v>2035</v>
      </c>
      <c r="AO737" s="1">
        <v>2036</v>
      </c>
      <c r="AP737" s="1">
        <v>2037</v>
      </c>
      <c r="AQ737" s="1">
        <v>2038</v>
      </c>
      <c r="AR737" s="1">
        <v>2039</v>
      </c>
      <c r="AS737" s="1">
        <v>2040</v>
      </c>
      <c r="AT737" s="1">
        <v>2041</v>
      </c>
      <c r="AU737" s="1">
        <v>2042</v>
      </c>
      <c r="AV737" s="1">
        <v>2043</v>
      </c>
      <c r="AW737" s="1">
        <v>2044</v>
      </c>
      <c r="AX737" s="1">
        <v>2045</v>
      </c>
      <c r="AY737" s="1">
        <v>2046</v>
      </c>
      <c r="AZ737" s="1">
        <v>2047</v>
      </c>
      <c r="BA737" s="1">
        <v>2048</v>
      </c>
      <c r="BB737" s="1">
        <v>2049</v>
      </c>
      <c r="BC737" s="1">
        <v>2050</v>
      </c>
    </row>
    <row r="738" spans="1:55">
      <c r="A738" s="1" t="str">
        <f>'Population Definitions'!$A$2</f>
        <v>PWID_males</v>
      </c>
      <c r="C738" t="s">
        <v>34</v>
      </c>
      <c r="D738" s="3"/>
      <c r="E738" s="3">
        <v>0</v>
      </c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  <c r="AC738" s="3"/>
      <c r="AD738" s="3"/>
      <c r="AE738" s="3"/>
      <c r="AF738" s="3"/>
      <c r="AG738" s="3"/>
      <c r="AH738" s="3"/>
      <c r="AI738" s="3"/>
      <c r="AJ738" s="3"/>
      <c r="AK738" s="3"/>
      <c r="AL738" s="3"/>
      <c r="AM738" s="3"/>
      <c r="AN738" s="3"/>
      <c r="AO738" s="3"/>
      <c r="AP738" s="3"/>
      <c r="AQ738" s="3"/>
      <c r="AR738" s="3"/>
      <c r="AS738" s="3"/>
      <c r="AT738" s="3"/>
      <c r="AU738" s="3"/>
      <c r="AV738" s="3"/>
      <c r="AW738" s="3"/>
      <c r="AX738" s="3"/>
      <c r="AY738" s="3"/>
      <c r="AZ738" s="3"/>
      <c r="BA738" s="3"/>
      <c r="BB738" s="3"/>
      <c r="BC738" s="3"/>
    </row>
    <row r="739" spans="1:55">
      <c r="A739" s="1" t="str">
        <f>'Population Definitions'!$A$3</f>
        <v>PWID_females</v>
      </c>
      <c r="C739" t="s">
        <v>34</v>
      </c>
      <c r="D739" s="3"/>
      <c r="E739" s="3">
        <v>0</v>
      </c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  <c r="AC739" s="3"/>
      <c r="AD739" s="3"/>
      <c r="AE739" s="3"/>
      <c r="AF739" s="3"/>
      <c r="AG739" s="3"/>
      <c r="AH739" s="3"/>
      <c r="AI739" s="3"/>
      <c r="AJ739" s="3"/>
      <c r="AK739" s="3"/>
      <c r="AL739" s="3"/>
      <c r="AM739" s="3"/>
      <c r="AN739" s="3"/>
      <c r="AO739" s="3"/>
      <c r="AP739" s="3"/>
      <c r="AQ739" s="3"/>
      <c r="AR739" s="3"/>
      <c r="AS739" s="3"/>
      <c r="AT739" s="3"/>
      <c r="AU739" s="3"/>
      <c r="AV739" s="3"/>
      <c r="AW739" s="3"/>
      <c r="AX739" s="3"/>
      <c r="AY739" s="3"/>
      <c r="AZ739" s="3"/>
      <c r="BA739" s="3"/>
      <c r="BB739" s="3"/>
      <c r="BC739" s="3"/>
    </row>
    <row r="740" spans="1:55">
      <c r="A740" s="1" t="str">
        <f>'Population Definitions'!$A$4</f>
        <v>0-9_males</v>
      </c>
      <c r="C740" t="s">
        <v>34</v>
      </c>
      <c r="D740" s="3"/>
      <c r="E740" s="3">
        <v>0</v>
      </c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  <c r="AC740" s="3"/>
      <c r="AD740" s="3"/>
      <c r="AE740" s="3"/>
      <c r="AF740" s="3"/>
      <c r="AG740" s="3"/>
      <c r="AH740" s="3"/>
      <c r="AI740" s="3"/>
      <c r="AJ740" s="3"/>
      <c r="AK740" s="3"/>
      <c r="AL740" s="3"/>
      <c r="AM740" s="3"/>
      <c r="AN740" s="3"/>
      <c r="AO740" s="3"/>
      <c r="AP740" s="3"/>
      <c r="AQ740" s="3"/>
      <c r="AR740" s="3"/>
      <c r="AS740" s="3"/>
      <c r="AT740" s="3"/>
      <c r="AU740" s="3"/>
      <c r="AV740" s="3"/>
      <c r="AW740" s="3"/>
      <c r="AX740" s="3"/>
      <c r="AY740" s="3"/>
      <c r="AZ740" s="3"/>
      <c r="BA740" s="3"/>
      <c r="BB740" s="3"/>
      <c r="BC740" s="3"/>
    </row>
    <row r="741" spans="1:55">
      <c r="A741" s="1" t="str">
        <f>'Population Definitions'!$A$5</f>
        <v>0-9_females</v>
      </c>
      <c r="C741" t="s">
        <v>34</v>
      </c>
      <c r="D741" s="3"/>
      <c r="E741" s="3">
        <v>0</v>
      </c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  <c r="AC741" s="3"/>
      <c r="AD741" s="3"/>
      <c r="AE741" s="3"/>
      <c r="AF741" s="3"/>
      <c r="AG741" s="3"/>
      <c r="AH741" s="3"/>
      <c r="AI741" s="3"/>
      <c r="AJ741" s="3"/>
      <c r="AK741" s="3"/>
      <c r="AL741" s="3"/>
      <c r="AM741" s="3"/>
      <c r="AN741" s="3"/>
      <c r="AO741" s="3"/>
      <c r="AP741" s="3"/>
      <c r="AQ741" s="3"/>
      <c r="AR741" s="3"/>
      <c r="AS741" s="3"/>
      <c r="AT741" s="3"/>
      <c r="AU741" s="3"/>
      <c r="AV741" s="3"/>
      <c r="AW741" s="3"/>
      <c r="AX741" s="3"/>
      <c r="AY741" s="3"/>
      <c r="AZ741" s="3"/>
      <c r="BA741" s="3"/>
      <c r="BB741" s="3"/>
      <c r="BC741" s="3"/>
    </row>
    <row r="742" spans="1:55">
      <c r="A742" s="1" t="str">
        <f>'Population Definitions'!$A$6</f>
        <v>10-17_males</v>
      </c>
      <c r="C742" t="s">
        <v>34</v>
      </c>
      <c r="D742" s="3"/>
      <c r="E742" s="3">
        <v>0</v>
      </c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  <c r="AC742" s="3"/>
      <c r="AD742" s="3"/>
      <c r="AE742" s="3"/>
      <c r="AF742" s="3"/>
      <c r="AG742" s="3"/>
      <c r="AH742" s="3"/>
      <c r="AI742" s="3"/>
      <c r="AJ742" s="3"/>
      <c r="AK742" s="3"/>
      <c r="AL742" s="3"/>
      <c r="AM742" s="3"/>
      <c r="AN742" s="3"/>
      <c r="AO742" s="3"/>
      <c r="AP742" s="3"/>
      <c r="AQ742" s="3"/>
      <c r="AR742" s="3"/>
      <c r="AS742" s="3"/>
      <c r="AT742" s="3"/>
      <c r="AU742" s="3"/>
      <c r="AV742" s="3"/>
      <c r="AW742" s="3"/>
      <c r="AX742" s="3"/>
      <c r="AY742" s="3"/>
      <c r="AZ742" s="3"/>
      <c r="BA742" s="3"/>
      <c r="BB742" s="3"/>
      <c r="BC742" s="3"/>
    </row>
    <row r="743" spans="1:55">
      <c r="A743" s="1" t="str">
        <f>'Population Definitions'!$A$7</f>
        <v>10-17_females</v>
      </c>
      <c r="C743" t="s">
        <v>34</v>
      </c>
      <c r="D743" s="3"/>
      <c r="E743" s="3">
        <v>0</v>
      </c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  <c r="AC743" s="3"/>
      <c r="AD743" s="3"/>
      <c r="AE743" s="3"/>
      <c r="AF743" s="3"/>
      <c r="AG743" s="3"/>
      <c r="AH743" s="3"/>
      <c r="AI743" s="3"/>
      <c r="AJ743" s="3"/>
      <c r="AK743" s="3"/>
      <c r="AL743" s="3"/>
      <c r="AM743" s="3"/>
      <c r="AN743" s="3"/>
      <c r="AO743" s="3"/>
      <c r="AP743" s="3"/>
      <c r="AQ743" s="3"/>
      <c r="AR743" s="3"/>
      <c r="AS743" s="3"/>
      <c r="AT743" s="3"/>
      <c r="AU743" s="3"/>
      <c r="AV743" s="3"/>
      <c r="AW743" s="3"/>
      <c r="AX743" s="3"/>
      <c r="AY743" s="3"/>
      <c r="AZ743" s="3"/>
      <c r="BA743" s="3"/>
      <c r="BB743" s="3"/>
      <c r="BC743" s="3"/>
    </row>
    <row r="744" spans="1:55">
      <c r="A744" s="1" t="str">
        <f>'Population Definitions'!$A$8</f>
        <v>18-64_males</v>
      </c>
      <c r="C744" t="s">
        <v>34</v>
      </c>
      <c r="D744" s="3"/>
      <c r="E744" s="3">
        <v>0</v>
      </c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  <c r="AC744" s="3"/>
      <c r="AD744" s="3"/>
      <c r="AE744" s="3"/>
      <c r="AF744" s="3"/>
      <c r="AG744" s="3"/>
      <c r="AH744" s="3"/>
      <c r="AI744" s="3"/>
      <c r="AJ744" s="3"/>
      <c r="AK744" s="3"/>
      <c r="AL744" s="3"/>
      <c r="AM744" s="3"/>
      <c r="AN744" s="3"/>
      <c r="AO744" s="3"/>
      <c r="AP744" s="3"/>
      <c r="AQ744" s="3"/>
      <c r="AR744" s="3"/>
      <c r="AS744" s="3"/>
      <c r="AT744" s="3"/>
      <c r="AU744" s="3"/>
      <c r="AV744" s="3"/>
      <c r="AW744" s="3"/>
      <c r="AX744" s="3"/>
      <c r="AY744" s="3"/>
      <c r="AZ744" s="3"/>
      <c r="BA744" s="3"/>
      <c r="BB744" s="3"/>
      <c r="BC744" s="3"/>
    </row>
    <row r="745" spans="1:55">
      <c r="A745" s="1" t="str">
        <f>'Population Definitions'!$A$9</f>
        <v>18-64_females</v>
      </c>
      <c r="C745" t="s">
        <v>34</v>
      </c>
      <c r="D745" s="3"/>
      <c r="E745" s="3">
        <v>0</v>
      </c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  <c r="AC745" s="3"/>
      <c r="AD745" s="3"/>
      <c r="AE745" s="3"/>
      <c r="AF745" s="3"/>
      <c r="AG745" s="3"/>
      <c r="AH745" s="3"/>
      <c r="AI745" s="3"/>
      <c r="AJ745" s="3"/>
      <c r="AK745" s="3"/>
      <c r="AL745" s="3"/>
      <c r="AM745" s="3"/>
      <c r="AN745" s="3"/>
      <c r="AO745" s="3"/>
      <c r="AP745" s="3"/>
      <c r="AQ745" s="3"/>
      <c r="AR745" s="3"/>
      <c r="AS745" s="3"/>
      <c r="AT745" s="3"/>
      <c r="AU745" s="3"/>
      <c r="AV745" s="3"/>
      <c r="AW745" s="3"/>
      <c r="AX745" s="3"/>
      <c r="AY745" s="3"/>
      <c r="AZ745" s="3"/>
      <c r="BA745" s="3"/>
      <c r="BB745" s="3"/>
      <c r="BC745" s="3"/>
    </row>
    <row r="746" spans="1:55">
      <c r="A746" s="1" t="str">
        <f>'Population Definitions'!$A$10</f>
        <v>65+_males</v>
      </c>
      <c r="C746" t="s">
        <v>34</v>
      </c>
      <c r="D746" s="3"/>
      <c r="E746" s="3">
        <v>0</v>
      </c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/>
      <c r="AC746" s="3"/>
      <c r="AD746" s="3"/>
      <c r="AE746" s="3"/>
      <c r="AF746" s="3"/>
      <c r="AG746" s="3"/>
      <c r="AH746" s="3"/>
      <c r="AI746" s="3"/>
      <c r="AJ746" s="3"/>
      <c r="AK746" s="3"/>
      <c r="AL746" s="3"/>
      <c r="AM746" s="3"/>
      <c r="AN746" s="3"/>
      <c r="AO746" s="3"/>
      <c r="AP746" s="3"/>
      <c r="AQ746" s="3"/>
      <c r="AR746" s="3"/>
      <c r="AS746" s="3"/>
      <c r="AT746" s="3"/>
      <c r="AU746" s="3"/>
      <c r="AV746" s="3"/>
      <c r="AW746" s="3"/>
      <c r="AX746" s="3"/>
      <c r="AY746" s="3"/>
      <c r="AZ746" s="3"/>
      <c r="BA746" s="3"/>
      <c r="BB746" s="3"/>
      <c r="BC746" s="3"/>
    </row>
    <row r="747" spans="1:55">
      <c r="A747" s="1" t="str">
        <f>'Population Definitions'!$A$11</f>
        <v>65+_females</v>
      </c>
      <c r="C747" t="s">
        <v>34</v>
      </c>
      <c r="D747" s="3"/>
      <c r="E747" s="3">
        <v>0</v>
      </c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/>
      <c r="AC747" s="3"/>
      <c r="AD747" s="3"/>
      <c r="AE747" s="3"/>
      <c r="AF747" s="3"/>
      <c r="AG747" s="3"/>
      <c r="AH747" s="3"/>
      <c r="AI747" s="3"/>
      <c r="AJ747" s="3"/>
      <c r="AK747" s="3"/>
      <c r="AL747" s="3"/>
      <c r="AM747" s="3"/>
      <c r="AN747" s="3"/>
      <c r="AO747" s="3"/>
      <c r="AP747" s="3"/>
      <c r="AQ747" s="3"/>
      <c r="AR747" s="3"/>
      <c r="AS747" s="3"/>
      <c r="AT747" s="3"/>
      <c r="AU747" s="3"/>
      <c r="AV747" s="3"/>
      <c r="AW747" s="3"/>
      <c r="AX747" s="3"/>
      <c r="AY747" s="3"/>
      <c r="AZ747" s="3"/>
      <c r="BA747" s="3"/>
      <c r="BB747" s="3"/>
      <c r="BC747" s="3"/>
    </row>
    <row r="748" spans="1:55">
      <c r="A748" s="1" t="str">
        <f>'Population Definitions'!$A$12</f>
        <v>Prisoners_males</v>
      </c>
      <c r="C748" t="s">
        <v>34</v>
      </c>
      <c r="D748" s="3"/>
      <c r="E748" s="3">
        <v>0</v>
      </c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/>
      <c r="AC748" s="3"/>
      <c r="AD748" s="3"/>
      <c r="AE748" s="3"/>
      <c r="AF748" s="3"/>
      <c r="AG748" s="3"/>
      <c r="AH748" s="3"/>
      <c r="AI748" s="3"/>
      <c r="AJ748" s="3"/>
      <c r="AK748" s="3"/>
      <c r="AL748" s="3"/>
      <c r="AM748" s="3"/>
      <c r="AN748" s="3"/>
      <c r="AO748" s="3"/>
      <c r="AP748" s="3"/>
      <c r="AQ748" s="3"/>
      <c r="AR748" s="3"/>
      <c r="AS748" s="3"/>
      <c r="AT748" s="3"/>
      <c r="AU748" s="3"/>
      <c r="AV748" s="3"/>
      <c r="AW748" s="3"/>
      <c r="AX748" s="3"/>
      <c r="AY748" s="3"/>
      <c r="AZ748" s="3"/>
      <c r="BA748" s="3"/>
      <c r="BB748" s="3"/>
      <c r="BC748" s="3"/>
    </row>
    <row r="749" spans="1:55">
      <c r="A749" s="1" t="str">
        <f>'Population Definitions'!$A$13</f>
        <v>Prisoners_females</v>
      </c>
      <c r="C749" t="s">
        <v>34</v>
      </c>
      <c r="D749" s="3"/>
      <c r="E749" s="3">
        <v>0</v>
      </c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/>
      <c r="AC749" s="3"/>
      <c r="AD749" s="3"/>
      <c r="AE749" s="3"/>
      <c r="AF749" s="3"/>
      <c r="AG749" s="3"/>
      <c r="AH749" s="3"/>
      <c r="AI749" s="3"/>
      <c r="AJ749" s="3"/>
      <c r="AK749" s="3"/>
      <c r="AL749" s="3"/>
      <c r="AM749" s="3"/>
      <c r="AN749" s="3"/>
      <c r="AO749" s="3"/>
      <c r="AP749" s="3"/>
      <c r="AQ749" s="3"/>
      <c r="AR749" s="3"/>
      <c r="AS749" s="3"/>
      <c r="AT749" s="3"/>
      <c r="AU749" s="3"/>
      <c r="AV749" s="3"/>
      <c r="AW749" s="3"/>
      <c r="AX749" s="3"/>
      <c r="AY749" s="3"/>
      <c r="AZ749" s="3"/>
      <c r="BA749" s="3"/>
      <c r="BB749" s="3"/>
      <c r="BC749" s="3"/>
    </row>
    <row r="750" spans="1:55">
      <c r="A750" s="1" t="str">
        <f>'Population Definitions'!$A$14</f>
        <v>Prisoners_PWID_males</v>
      </c>
      <c r="C750" t="s">
        <v>34</v>
      </c>
      <c r="D750" s="3"/>
      <c r="E750" s="3">
        <v>0</v>
      </c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  <c r="AC750" s="3"/>
      <c r="AD750" s="3"/>
      <c r="AE750" s="3"/>
      <c r="AF750" s="3"/>
      <c r="AG750" s="3"/>
      <c r="AH750" s="3"/>
      <c r="AI750" s="3"/>
      <c r="AJ750" s="3"/>
      <c r="AK750" s="3"/>
      <c r="AL750" s="3"/>
      <c r="AM750" s="3"/>
      <c r="AN750" s="3"/>
      <c r="AO750" s="3"/>
      <c r="AP750" s="3"/>
      <c r="AQ750" s="3"/>
      <c r="AR750" s="3"/>
      <c r="AS750" s="3"/>
      <c r="AT750" s="3"/>
      <c r="AU750" s="3"/>
      <c r="AV750" s="3"/>
      <c r="AW750" s="3"/>
      <c r="AX750" s="3"/>
      <c r="AY750" s="3"/>
      <c r="AZ750" s="3"/>
      <c r="BA750" s="3"/>
      <c r="BB750" s="3"/>
      <c r="BC750" s="3"/>
    </row>
    <row r="751" spans="1:55">
      <c r="A751" s="1" t="str">
        <f>'Population Definitions'!$A$15</f>
        <v>Prisoners_PWID_females</v>
      </c>
      <c r="C751" t="s">
        <v>34</v>
      </c>
      <c r="D751" s="3"/>
      <c r="E751" s="3">
        <v>0</v>
      </c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/>
      <c r="AC751" s="3"/>
      <c r="AD751" s="3"/>
      <c r="AE751" s="3"/>
      <c r="AF751" s="3"/>
      <c r="AG751" s="3"/>
      <c r="AH751" s="3"/>
      <c r="AI751" s="3"/>
      <c r="AJ751" s="3"/>
      <c r="AK751" s="3"/>
      <c r="AL751" s="3"/>
      <c r="AM751" s="3"/>
      <c r="AN751" s="3"/>
      <c r="AO751" s="3"/>
      <c r="AP751" s="3"/>
      <c r="AQ751" s="3"/>
      <c r="AR751" s="3"/>
      <c r="AS751" s="3"/>
      <c r="AT751" s="3"/>
      <c r="AU751" s="3"/>
      <c r="AV751" s="3"/>
      <c r="AW751" s="3"/>
      <c r="AX751" s="3"/>
      <c r="AY751" s="3"/>
      <c r="AZ751" s="3"/>
      <c r="BA751" s="3"/>
      <c r="BB751" s="3"/>
      <c r="BC751" s="3"/>
    </row>
    <row r="753" spans="1:55">
      <c r="A753" s="1" t="s">
        <v>174</v>
      </c>
      <c r="B753" s="1" t="s">
        <v>31</v>
      </c>
      <c r="C753" s="1" t="s">
        <v>32</v>
      </c>
      <c r="D753" s="1" t="s">
        <v>33</v>
      </c>
      <c r="E753" s="1">
        <v>2000</v>
      </c>
      <c r="F753" s="1">
        <v>2001</v>
      </c>
      <c r="G753" s="1">
        <v>2002</v>
      </c>
      <c r="H753" s="1">
        <v>2003</v>
      </c>
      <c r="I753" s="1">
        <v>2004</v>
      </c>
      <c r="J753" s="1">
        <v>2005</v>
      </c>
      <c r="K753" s="1">
        <v>2006</v>
      </c>
      <c r="L753" s="1">
        <v>2007</v>
      </c>
      <c r="M753" s="1">
        <v>2008</v>
      </c>
      <c r="N753" s="1">
        <v>2009</v>
      </c>
      <c r="O753" s="1">
        <v>2010</v>
      </c>
      <c r="P753" s="1">
        <v>2011</v>
      </c>
      <c r="Q753" s="1">
        <v>2012</v>
      </c>
      <c r="R753" s="1">
        <v>2013</v>
      </c>
      <c r="S753" s="1">
        <v>2014</v>
      </c>
      <c r="T753" s="1">
        <v>2015</v>
      </c>
      <c r="U753" s="1">
        <v>2016</v>
      </c>
      <c r="V753" s="1">
        <v>2017</v>
      </c>
      <c r="W753" s="1">
        <v>2018</v>
      </c>
      <c r="X753" s="1">
        <v>2019</v>
      </c>
      <c r="Y753" s="1">
        <v>2020</v>
      </c>
      <c r="Z753" s="1">
        <v>2021</v>
      </c>
      <c r="AA753" s="1">
        <v>2022</v>
      </c>
      <c r="AB753" s="1">
        <v>2023</v>
      </c>
      <c r="AC753" s="1">
        <v>2024</v>
      </c>
      <c r="AD753" s="1">
        <v>2025</v>
      </c>
      <c r="AE753" s="1">
        <v>2026</v>
      </c>
      <c r="AF753" s="1">
        <v>2027</v>
      </c>
      <c r="AG753" s="1">
        <v>2028</v>
      </c>
      <c r="AH753" s="1">
        <v>2029</v>
      </c>
      <c r="AI753" s="1">
        <v>2030</v>
      </c>
      <c r="AJ753" s="1">
        <v>2031</v>
      </c>
      <c r="AK753" s="1">
        <v>2032</v>
      </c>
      <c r="AL753" s="1">
        <v>2033</v>
      </c>
      <c r="AM753" s="1">
        <v>2034</v>
      </c>
      <c r="AN753" s="1">
        <v>2035</v>
      </c>
      <c r="AO753" s="1">
        <v>2036</v>
      </c>
      <c r="AP753" s="1">
        <v>2037</v>
      </c>
      <c r="AQ753" s="1">
        <v>2038</v>
      </c>
      <c r="AR753" s="1">
        <v>2039</v>
      </c>
      <c r="AS753" s="1">
        <v>2040</v>
      </c>
      <c r="AT753" s="1">
        <v>2041</v>
      </c>
      <c r="AU753" s="1">
        <v>2042</v>
      </c>
      <c r="AV753" s="1">
        <v>2043</v>
      </c>
      <c r="AW753" s="1">
        <v>2044</v>
      </c>
      <c r="AX753" s="1">
        <v>2045</v>
      </c>
      <c r="AY753" s="1">
        <v>2046</v>
      </c>
      <c r="AZ753" s="1">
        <v>2047</v>
      </c>
      <c r="BA753" s="1">
        <v>2048</v>
      </c>
      <c r="BB753" s="1">
        <v>2049</v>
      </c>
      <c r="BC753" s="1">
        <v>2050</v>
      </c>
    </row>
    <row r="754" spans="1:55">
      <c r="A754" s="1" t="str">
        <f>'Population Definitions'!$A$2</f>
        <v>PWID_males</v>
      </c>
      <c r="C754" t="s">
        <v>34</v>
      </c>
      <c r="D754" s="3"/>
      <c r="E754" s="3">
        <v>0</v>
      </c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  <c r="AB754" s="3"/>
      <c r="AC754" s="3"/>
      <c r="AD754" s="3"/>
      <c r="AE754" s="3"/>
      <c r="AF754" s="3"/>
      <c r="AG754" s="3"/>
      <c r="AH754" s="3"/>
      <c r="AI754" s="3"/>
      <c r="AJ754" s="3"/>
      <c r="AK754" s="3"/>
      <c r="AL754" s="3"/>
      <c r="AM754" s="3"/>
      <c r="AN754" s="3"/>
      <c r="AO754" s="3"/>
      <c r="AP754" s="3"/>
      <c r="AQ754" s="3"/>
      <c r="AR754" s="3"/>
      <c r="AS754" s="3"/>
      <c r="AT754" s="3"/>
      <c r="AU754" s="3"/>
      <c r="AV754" s="3"/>
      <c r="AW754" s="3"/>
      <c r="AX754" s="3"/>
      <c r="AY754" s="3"/>
      <c r="AZ754" s="3"/>
      <c r="BA754" s="3"/>
      <c r="BB754" s="3"/>
      <c r="BC754" s="3"/>
    </row>
    <row r="755" spans="1:55">
      <c r="A755" s="1" t="str">
        <f>'Population Definitions'!$A$3</f>
        <v>PWID_females</v>
      </c>
      <c r="C755" t="s">
        <v>34</v>
      </c>
      <c r="D755" s="3"/>
      <c r="E755" s="3">
        <v>0</v>
      </c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  <c r="AB755" s="3"/>
      <c r="AC755" s="3"/>
      <c r="AD755" s="3"/>
      <c r="AE755" s="3"/>
      <c r="AF755" s="3"/>
      <c r="AG755" s="3"/>
      <c r="AH755" s="3"/>
      <c r="AI755" s="3"/>
      <c r="AJ755" s="3"/>
      <c r="AK755" s="3"/>
      <c r="AL755" s="3"/>
      <c r="AM755" s="3"/>
      <c r="AN755" s="3"/>
      <c r="AO755" s="3"/>
      <c r="AP755" s="3"/>
      <c r="AQ755" s="3"/>
      <c r="AR755" s="3"/>
      <c r="AS755" s="3"/>
      <c r="AT755" s="3"/>
      <c r="AU755" s="3"/>
      <c r="AV755" s="3"/>
      <c r="AW755" s="3"/>
      <c r="AX755" s="3"/>
      <c r="AY755" s="3"/>
      <c r="AZ755" s="3"/>
      <c r="BA755" s="3"/>
      <c r="BB755" s="3"/>
      <c r="BC755" s="3"/>
    </row>
    <row r="756" spans="1:55">
      <c r="A756" s="1" t="str">
        <f>'Population Definitions'!$A$4</f>
        <v>0-9_males</v>
      </c>
      <c r="C756" t="s">
        <v>34</v>
      </c>
      <c r="D756" s="3"/>
      <c r="E756" s="3">
        <v>0</v>
      </c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/>
      <c r="AC756" s="3"/>
      <c r="AD756" s="3"/>
      <c r="AE756" s="3"/>
      <c r="AF756" s="3"/>
      <c r="AG756" s="3"/>
      <c r="AH756" s="3"/>
      <c r="AI756" s="3"/>
      <c r="AJ756" s="3"/>
      <c r="AK756" s="3"/>
      <c r="AL756" s="3"/>
      <c r="AM756" s="3"/>
      <c r="AN756" s="3"/>
      <c r="AO756" s="3"/>
      <c r="AP756" s="3"/>
      <c r="AQ756" s="3"/>
      <c r="AR756" s="3"/>
      <c r="AS756" s="3"/>
      <c r="AT756" s="3"/>
      <c r="AU756" s="3"/>
      <c r="AV756" s="3"/>
      <c r="AW756" s="3"/>
      <c r="AX756" s="3"/>
      <c r="AY756" s="3"/>
      <c r="AZ756" s="3"/>
      <c r="BA756" s="3"/>
      <c r="BB756" s="3"/>
      <c r="BC756" s="3"/>
    </row>
    <row r="757" spans="1:55">
      <c r="A757" s="1" t="str">
        <f>'Population Definitions'!$A$5</f>
        <v>0-9_females</v>
      </c>
      <c r="C757" t="s">
        <v>34</v>
      </c>
      <c r="D757" s="3"/>
      <c r="E757" s="3">
        <v>0</v>
      </c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/>
      <c r="AC757" s="3"/>
      <c r="AD757" s="3"/>
      <c r="AE757" s="3"/>
      <c r="AF757" s="3"/>
      <c r="AG757" s="3"/>
      <c r="AH757" s="3"/>
      <c r="AI757" s="3"/>
      <c r="AJ757" s="3"/>
      <c r="AK757" s="3"/>
      <c r="AL757" s="3"/>
      <c r="AM757" s="3"/>
      <c r="AN757" s="3"/>
      <c r="AO757" s="3"/>
      <c r="AP757" s="3"/>
      <c r="AQ757" s="3"/>
      <c r="AR757" s="3"/>
      <c r="AS757" s="3"/>
      <c r="AT757" s="3"/>
      <c r="AU757" s="3"/>
      <c r="AV757" s="3"/>
      <c r="AW757" s="3"/>
      <c r="AX757" s="3"/>
      <c r="AY757" s="3"/>
      <c r="AZ757" s="3"/>
      <c r="BA757" s="3"/>
      <c r="BB757" s="3"/>
      <c r="BC757" s="3"/>
    </row>
    <row r="758" spans="1:55">
      <c r="A758" s="1" t="str">
        <f>'Population Definitions'!$A$6</f>
        <v>10-17_males</v>
      </c>
      <c r="C758" t="s">
        <v>34</v>
      </c>
      <c r="D758" s="3"/>
      <c r="E758" s="3">
        <v>0</v>
      </c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  <c r="AC758" s="3"/>
      <c r="AD758" s="3"/>
      <c r="AE758" s="3"/>
      <c r="AF758" s="3"/>
      <c r="AG758" s="3"/>
      <c r="AH758" s="3"/>
      <c r="AI758" s="3"/>
      <c r="AJ758" s="3"/>
      <c r="AK758" s="3"/>
      <c r="AL758" s="3"/>
      <c r="AM758" s="3"/>
      <c r="AN758" s="3"/>
      <c r="AO758" s="3"/>
      <c r="AP758" s="3"/>
      <c r="AQ758" s="3"/>
      <c r="AR758" s="3"/>
      <c r="AS758" s="3"/>
      <c r="AT758" s="3"/>
      <c r="AU758" s="3"/>
      <c r="AV758" s="3"/>
      <c r="AW758" s="3"/>
      <c r="AX758" s="3"/>
      <c r="AY758" s="3"/>
      <c r="AZ758" s="3"/>
      <c r="BA758" s="3"/>
      <c r="BB758" s="3"/>
      <c r="BC758" s="3"/>
    </row>
    <row r="759" spans="1:55">
      <c r="A759" s="1" t="str">
        <f>'Population Definitions'!$A$7</f>
        <v>10-17_females</v>
      </c>
      <c r="C759" t="s">
        <v>34</v>
      </c>
      <c r="D759" s="3"/>
      <c r="E759" s="3">
        <v>0</v>
      </c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  <c r="AC759" s="3"/>
      <c r="AD759" s="3"/>
      <c r="AE759" s="3"/>
      <c r="AF759" s="3"/>
      <c r="AG759" s="3"/>
      <c r="AH759" s="3"/>
      <c r="AI759" s="3"/>
      <c r="AJ759" s="3"/>
      <c r="AK759" s="3"/>
      <c r="AL759" s="3"/>
      <c r="AM759" s="3"/>
      <c r="AN759" s="3"/>
      <c r="AO759" s="3"/>
      <c r="AP759" s="3"/>
      <c r="AQ759" s="3"/>
      <c r="AR759" s="3"/>
      <c r="AS759" s="3"/>
      <c r="AT759" s="3"/>
      <c r="AU759" s="3"/>
      <c r="AV759" s="3"/>
      <c r="AW759" s="3"/>
      <c r="AX759" s="3"/>
      <c r="AY759" s="3"/>
      <c r="AZ759" s="3"/>
      <c r="BA759" s="3"/>
      <c r="BB759" s="3"/>
      <c r="BC759" s="3"/>
    </row>
    <row r="760" spans="1:55">
      <c r="A760" s="1" t="str">
        <f>'Population Definitions'!$A$8</f>
        <v>18-64_males</v>
      </c>
      <c r="C760" t="s">
        <v>34</v>
      </c>
      <c r="D760" s="3"/>
      <c r="E760" s="3">
        <v>0</v>
      </c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  <c r="AC760" s="3"/>
      <c r="AD760" s="3"/>
      <c r="AE760" s="3"/>
      <c r="AF760" s="3"/>
      <c r="AG760" s="3"/>
      <c r="AH760" s="3"/>
      <c r="AI760" s="3"/>
      <c r="AJ760" s="3"/>
      <c r="AK760" s="3"/>
      <c r="AL760" s="3"/>
      <c r="AM760" s="3"/>
      <c r="AN760" s="3"/>
      <c r="AO760" s="3"/>
      <c r="AP760" s="3"/>
      <c r="AQ760" s="3"/>
      <c r="AR760" s="3"/>
      <c r="AS760" s="3"/>
      <c r="AT760" s="3"/>
      <c r="AU760" s="3"/>
      <c r="AV760" s="3"/>
      <c r="AW760" s="3"/>
      <c r="AX760" s="3"/>
      <c r="AY760" s="3"/>
      <c r="AZ760" s="3"/>
      <c r="BA760" s="3"/>
      <c r="BB760" s="3"/>
      <c r="BC760" s="3"/>
    </row>
    <row r="761" spans="1:55">
      <c r="A761" s="1" t="str">
        <f>'Population Definitions'!$A$9</f>
        <v>18-64_females</v>
      </c>
      <c r="C761" t="s">
        <v>34</v>
      </c>
      <c r="D761" s="3"/>
      <c r="E761" s="3">
        <v>0</v>
      </c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  <c r="AC761" s="3"/>
      <c r="AD761" s="3"/>
      <c r="AE761" s="3"/>
      <c r="AF761" s="3"/>
      <c r="AG761" s="3"/>
      <c r="AH761" s="3"/>
      <c r="AI761" s="3"/>
      <c r="AJ761" s="3"/>
      <c r="AK761" s="3"/>
      <c r="AL761" s="3"/>
      <c r="AM761" s="3"/>
      <c r="AN761" s="3"/>
      <c r="AO761" s="3"/>
      <c r="AP761" s="3"/>
      <c r="AQ761" s="3"/>
      <c r="AR761" s="3"/>
      <c r="AS761" s="3"/>
      <c r="AT761" s="3"/>
      <c r="AU761" s="3"/>
      <c r="AV761" s="3"/>
      <c r="AW761" s="3"/>
      <c r="AX761" s="3"/>
      <c r="AY761" s="3"/>
      <c r="AZ761" s="3"/>
      <c r="BA761" s="3"/>
      <c r="BB761" s="3"/>
      <c r="BC761" s="3"/>
    </row>
    <row r="762" spans="1:55">
      <c r="A762" s="1" t="str">
        <f>'Population Definitions'!$A$10</f>
        <v>65+_males</v>
      </c>
      <c r="C762" t="s">
        <v>34</v>
      </c>
      <c r="D762" s="3"/>
      <c r="E762" s="3">
        <v>0</v>
      </c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/>
      <c r="AC762" s="3"/>
      <c r="AD762" s="3"/>
      <c r="AE762" s="3"/>
      <c r="AF762" s="3"/>
      <c r="AG762" s="3"/>
      <c r="AH762" s="3"/>
      <c r="AI762" s="3"/>
      <c r="AJ762" s="3"/>
      <c r="AK762" s="3"/>
      <c r="AL762" s="3"/>
      <c r="AM762" s="3"/>
      <c r="AN762" s="3"/>
      <c r="AO762" s="3"/>
      <c r="AP762" s="3"/>
      <c r="AQ762" s="3"/>
      <c r="AR762" s="3"/>
      <c r="AS762" s="3"/>
      <c r="AT762" s="3"/>
      <c r="AU762" s="3"/>
      <c r="AV762" s="3"/>
      <c r="AW762" s="3"/>
      <c r="AX762" s="3"/>
      <c r="AY762" s="3"/>
      <c r="AZ762" s="3"/>
      <c r="BA762" s="3"/>
      <c r="BB762" s="3"/>
      <c r="BC762" s="3"/>
    </row>
    <row r="763" spans="1:55">
      <c r="A763" s="1" t="str">
        <f>'Population Definitions'!$A$11</f>
        <v>65+_females</v>
      </c>
      <c r="C763" t="s">
        <v>34</v>
      </c>
      <c r="D763" s="3"/>
      <c r="E763" s="3">
        <v>0</v>
      </c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/>
      <c r="AC763" s="3"/>
      <c r="AD763" s="3"/>
      <c r="AE763" s="3"/>
      <c r="AF763" s="3"/>
      <c r="AG763" s="3"/>
      <c r="AH763" s="3"/>
      <c r="AI763" s="3"/>
      <c r="AJ763" s="3"/>
      <c r="AK763" s="3"/>
      <c r="AL763" s="3"/>
      <c r="AM763" s="3"/>
      <c r="AN763" s="3"/>
      <c r="AO763" s="3"/>
      <c r="AP763" s="3"/>
      <c r="AQ763" s="3"/>
      <c r="AR763" s="3"/>
      <c r="AS763" s="3"/>
      <c r="AT763" s="3"/>
      <c r="AU763" s="3"/>
      <c r="AV763" s="3"/>
      <c r="AW763" s="3"/>
      <c r="AX763" s="3"/>
      <c r="AY763" s="3"/>
      <c r="AZ763" s="3"/>
      <c r="BA763" s="3"/>
      <c r="BB763" s="3"/>
      <c r="BC763" s="3"/>
    </row>
    <row r="764" spans="1:55">
      <c r="A764" s="1" t="str">
        <f>'Population Definitions'!$A$12</f>
        <v>Prisoners_males</v>
      </c>
      <c r="C764" t="s">
        <v>34</v>
      </c>
      <c r="D764" s="3"/>
      <c r="E764" s="3">
        <v>0</v>
      </c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/>
      <c r="AC764" s="3"/>
      <c r="AD764" s="3"/>
      <c r="AE764" s="3"/>
      <c r="AF764" s="3"/>
      <c r="AG764" s="3"/>
      <c r="AH764" s="3"/>
      <c r="AI764" s="3"/>
      <c r="AJ764" s="3"/>
      <c r="AK764" s="3"/>
      <c r="AL764" s="3"/>
      <c r="AM764" s="3"/>
      <c r="AN764" s="3"/>
      <c r="AO764" s="3"/>
      <c r="AP764" s="3"/>
      <c r="AQ764" s="3"/>
      <c r="AR764" s="3"/>
      <c r="AS764" s="3"/>
      <c r="AT764" s="3"/>
      <c r="AU764" s="3"/>
      <c r="AV764" s="3"/>
      <c r="AW764" s="3"/>
      <c r="AX764" s="3"/>
      <c r="AY764" s="3"/>
      <c r="AZ764" s="3"/>
      <c r="BA764" s="3"/>
      <c r="BB764" s="3"/>
      <c r="BC764" s="3"/>
    </row>
    <row r="765" spans="1:55">
      <c r="A765" s="1" t="str">
        <f>'Population Definitions'!$A$13</f>
        <v>Prisoners_females</v>
      </c>
      <c r="C765" t="s">
        <v>34</v>
      </c>
      <c r="D765" s="3"/>
      <c r="E765" s="3">
        <v>0</v>
      </c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/>
      <c r="AC765" s="3"/>
      <c r="AD765" s="3"/>
      <c r="AE765" s="3"/>
      <c r="AF765" s="3"/>
      <c r="AG765" s="3"/>
      <c r="AH765" s="3"/>
      <c r="AI765" s="3"/>
      <c r="AJ765" s="3"/>
      <c r="AK765" s="3"/>
      <c r="AL765" s="3"/>
      <c r="AM765" s="3"/>
      <c r="AN765" s="3"/>
      <c r="AO765" s="3"/>
      <c r="AP765" s="3"/>
      <c r="AQ765" s="3"/>
      <c r="AR765" s="3"/>
      <c r="AS765" s="3"/>
      <c r="AT765" s="3"/>
      <c r="AU765" s="3"/>
      <c r="AV765" s="3"/>
      <c r="AW765" s="3"/>
      <c r="AX765" s="3"/>
      <c r="AY765" s="3"/>
      <c r="AZ765" s="3"/>
      <c r="BA765" s="3"/>
      <c r="BB765" s="3"/>
      <c r="BC765" s="3"/>
    </row>
    <row r="766" spans="1:55">
      <c r="A766" s="1" t="str">
        <f>'Population Definitions'!$A$14</f>
        <v>Prisoners_PWID_males</v>
      </c>
      <c r="C766" t="s">
        <v>34</v>
      </c>
      <c r="D766" s="3"/>
      <c r="E766" s="3">
        <v>0</v>
      </c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/>
      <c r="AC766" s="3"/>
      <c r="AD766" s="3"/>
      <c r="AE766" s="3"/>
      <c r="AF766" s="3"/>
      <c r="AG766" s="3"/>
      <c r="AH766" s="3"/>
      <c r="AI766" s="3"/>
      <c r="AJ766" s="3"/>
      <c r="AK766" s="3"/>
      <c r="AL766" s="3"/>
      <c r="AM766" s="3"/>
      <c r="AN766" s="3"/>
      <c r="AO766" s="3"/>
      <c r="AP766" s="3"/>
      <c r="AQ766" s="3"/>
      <c r="AR766" s="3"/>
      <c r="AS766" s="3"/>
      <c r="AT766" s="3"/>
      <c r="AU766" s="3"/>
      <c r="AV766" s="3"/>
      <c r="AW766" s="3"/>
      <c r="AX766" s="3"/>
      <c r="AY766" s="3"/>
      <c r="AZ766" s="3"/>
      <c r="BA766" s="3"/>
      <c r="BB766" s="3"/>
      <c r="BC766" s="3"/>
    </row>
    <row r="767" spans="1:55">
      <c r="A767" s="1" t="str">
        <f>'Population Definitions'!$A$15</f>
        <v>Prisoners_PWID_females</v>
      </c>
      <c r="C767" t="s">
        <v>34</v>
      </c>
      <c r="D767" s="3"/>
      <c r="E767" s="3">
        <v>0</v>
      </c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/>
      <c r="AC767" s="3"/>
      <c r="AD767" s="3"/>
      <c r="AE767" s="3"/>
      <c r="AF767" s="3"/>
      <c r="AG767" s="3"/>
      <c r="AH767" s="3"/>
      <c r="AI767" s="3"/>
      <c r="AJ767" s="3"/>
      <c r="AK767" s="3"/>
      <c r="AL767" s="3"/>
      <c r="AM767" s="3"/>
      <c r="AN767" s="3"/>
      <c r="AO767" s="3"/>
      <c r="AP767" s="3"/>
      <c r="AQ767" s="3"/>
      <c r="AR767" s="3"/>
      <c r="AS767" s="3"/>
      <c r="AT767" s="3"/>
      <c r="AU767" s="3"/>
      <c r="AV767" s="3"/>
      <c r="AW767" s="3"/>
      <c r="AX767" s="3"/>
      <c r="AY767" s="3"/>
      <c r="AZ767" s="3"/>
      <c r="BA767" s="3"/>
      <c r="BB767" s="3"/>
      <c r="BC767" s="3"/>
    </row>
    <row r="769" spans="1:55">
      <c r="A769" s="1" t="s">
        <v>175</v>
      </c>
      <c r="B769" s="1" t="s">
        <v>31</v>
      </c>
      <c r="C769" s="1" t="s">
        <v>32</v>
      </c>
      <c r="D769" s="1" t="s">
        <v>33</v>
      </c>
      <c r="E769" s="1">
        <v>2000</v>
      </c>
      <c r="F769" s="1">
        <v>2001</v>
      </c>
      <c r="G769" s="1">
        <v>2002</v>
      </c>
      <c r="H769" s="1">
        <v>2003</v>
      </c>
      <c r="I769" s="1">
        <v>2004</v>
      </c>
      <c r="J769" s="1">
        <v>2005</v>
      </c>
      <c r="K769" s="1">
        <v>2006</v>
      </c>
      <c r="L769" s="1">
        <v>2007</v>
      </c>
      <c r="M769" s="1">
        <v>2008</v>
      </c>
      <c r="N769" s="1">
        <v>2009</v>
      </c>
      <c r="O769" s="1">
        <v>2010</v>
      </c>
      <c r="P769" s="1">
        <v>2011</v>
      </c>
      <c r="Q769" s="1">
        <v>2012</v>
      </c>
      <c r="R769" s="1">
        <v>2013</v>
      </c>
      <c r="S769" s="1">
        <v>2014</v>
      </c>
      <c r="T769" s="1">
        <v>2015</v>
      </c>
      <c r="U769" s="1">
        <v>2016</v>
      </c>
      <c r="V769" s="1">
        <v>2017</v>
      </c>
      <c r="W769" s="1">
        <v>2018</v>
      </c>
      <c r="X769" s="1">
        <v>2019</v>
      </c>
      <c r="Y769" s="1">
        <v>2020</v>
      </c>
      <c r="Z769" s="1">
        <v>2021</v>
      </c>
      <c r="AA769" s="1">
        <v>2022</v>
      </c>
      <c r="AB769" s="1">
        <v>2023</v>
      </c>
      <c r="AC769" s="1">
        <v>2024</v>
      </c>
      <c r="AD769" s="1">
        <v>2025</v>
      </c>
      <c r="AE769" s="1">
        <v>2026</v>
      </c>
      <c r="AF769" s="1">
        <v>2027</v>
      </c>
      <c r="AG769" s="1">
        <v>2028</v>
      </c>
      <c r="AH769" s="1">
        <v>2029</v>
      </c>
      <c r="AI769" s="1">
        <v>2030</v>
      </c>
      <c r="AJ769" s="1">
        <v>2031</v>
      </c>
      <c r="AK769" s="1">
        <v>2032</v>
      </c>
      <c r="AL769" s="1">
        <v>2033</v>
      </c>
      <c r="AM769" s="1">
        <v>2034</v>
      </c>
      <c r="AN769" s="1">
        <v>2035</v>
      </c>
      <c r="AO769" s="1">
        <v>2036</v>
      </c>
      <c r="AP769" s="1">
        <v>2037</v>
      </c>
      <c r="AQ769" s="1">
        <v>2038</v>
      </c>
      <c r="AR769" s="1">
        <v>2039</v>
      </c>
      <c r="AS769" s="1">
        <v>2040</v>
      </c>
      <c r="AT769" s="1">
        <v>2041</v>
      </c>
      <c r="AU769" s="1">
        <v>2042</v>
      </c>
      <c r="AV769" s="1">
        <v>2043</v>
      </c>
      <c r="AW769" s="1">
        <v>2044</v>
      </c>
      <c r="AX769" s="1">
        <v>2045</v>
      </c>
      <c r="AY769" s="1">
        <v>2046</v>
      </c>
      <c r="AZ769" s="1">
        <v>2047</v>
      </c>
      <c r="BA769" s="1">
        <v>2048</v>
      </c>
      <c r="BB769" s="1">
        <v>2049</v>
      </c>
      <c r="BC769" s="1">
        <v>2050</v>
      </c>
    </row>
    <row r="770" spans="1:55">
      <c r="A770" s="1" t="str">
        <f>'Population Definitions'!$A$2</f>
        <v>PWID_males</v>
      </c>
      <c r="C770" t="s">
        <v>34</v>
      </c>
      <c r="D770" s="3"/>
      <c r="E770" s="3">
        <v>0</v>
      </c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/>
      <c r="AC770" s="3"/>
      <c r="AD770" s="3"/>
      <c r="AE770" s="3"/>
      <c r="AF770" s="3"/>
      <c r="AG770" s="3"/>
      <c r="AH770" s="3"/>
      <c r="AI770" s="3"/>
      <c r="AJ770" s="3"/>
      <c r="AK770" s="3"/>
      <c r="AL770" s="3"/>
      <c r="AM770" s="3"/>
      <c r="AN770" s="3"/>
      <c r="AO770" s="3"/>
      <c r="AP770" s="3"/>
      <c r="AQ770" s="3"/>
      <c r="AR770" s="3"/>
      <c r="AS770" s="3"/>
      <c r="AT770" s="3"/>
      <c r="AU770" s="3"/>
      <c r="AV770" s="3"/>
      <c r="AW770" s="3"/>
      <c r="AX770" s="3"/>
      <c r="AY770" s="3"/>
      <c r="AZ770" s="3"/>
      <c r="BA770" s="3"/>
      <c r="BB770" s="3"/>
      <c r="BC770" s="3"/>
    </row>
    <row r="771" spans="1:55">
      <c r="A771" s="1" t="str">
        <f>'Population Definitions'!$A$3</f>
        <v>PWID_females</v>
      </c>
      <c r="C771" t="s">
        <v>34</v>
      </c>
      <c r="D771" s="3"/>
      <c r="E771" s="3">
        <v>0</v>
      </c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/>
      <c r="AC771" s="3"/>
      <c r="AD771" s="3"/>
      <c r="AE771" s="3"/>
      <c r="AF771" s="3"/>
      <c r="AG771" s="3"/>
      <c r="AH771" s="3"/>
      <c r="AI771" s="3"/>
      <c r="AJ771" s="3"/>
      <c r="AK771" s="3"/>
      <c r="AL771" s="3"/>
      <c r="AM771" s="3"/>
      <c r="AN771" s="3"/>
      <c r="AO771" s="3"/>
      <c r="AP771" s="3"/>
      <c r="AQ771" s="3"/>
      <c r="AR771" s="3"/>
      <c r="AS771" s="3"/>
      <c r="AT771" s="3"/>
      <c r="AU771" s="3"/>
      <c r="AV771" s="3"/>
      <c r="AW771" s="3"/>
      <c r="AX771" s="3"/>
      <c r="AY771" s="3"/>
      <c r="AZ771" s="3"/>
      <c r="BA771" s="3"/>
      <c r="BB771" s="3"/>
      <c r="BC771" s="3"/>
    </row>
    <row r="772" spans="1:55">
      <c r="A772" s="1" t="str">
        <f>'Population Definitions'!$A$4</f>
        <v>0-9_males</v>
      </c>
      <c r="C772" t="s">
        <v>34</v>
      </c>
      <c r="D772" s="3"/>
      <c r="E772" s="3">
        <v>0</v>
      </c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"/>
      <c r="AC772" s="3"/>
      <c r="AD772" s="3"/>
      <c r="AE772" s="3"/>
      <c r="AF772" s="3"/>
      <c r="AG772" s="3"/>
      <c r="AH772" s="3"/>
      <c r="AI772" s="3"/>
      <c r="AJ772" s="3"/>
      <c r="AK772" s="3"/>
      <c r="AL772" s="3"/>
      <c r="AM772" s="3"/>
      <c r="AN772" s="3"/>
      <c r="AO772" s="3"/>
      <c r="AP772" s="3"/>
      <c r="AQ772" s="3"/>
      <c r="AR772" s="3"/>
      <c r="AS772" s="3"/>
      <c r="AT772" s="3"/>
      <c r="AU772" s="3"/>
      <c r="AV772" s="3"/>
      <c r="AW772" s="3"/>
      <c r="AX772" s="3"/>
      <c r="AY772" s="3"/>
      <c r="AZ772" s="3"/>
      <c r="BA772" s="3"/>
      <c r="BB772" s="3"/>
      <c r="BC772" s="3"/>
    </row>
    <row r="773" spans="1:55">
      <c r="A773" s="1" t="str">
        <f>'Population Definitions'!$A$5</f>
        <v>0-9_females</v>
      </c>
      <c r="C773" t="s">
        <v>34</v>
      </c>
      <c r="D773" s="3"/>
      <c r="E773" s="3">
        <v>0</v>
      </c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/>
      <c r="AC773" s="3"/>
      <c r="AD773" s="3"/>
      <c r="AE773" s="3"/>
      <c r="AF773" s="3"/>
      <c r="AG773" s="3"/>
      <c r="AH773" s="3"/>
      <c r="AI773" s="3"/>
      <c r="AJ773" s="3"/>
      <c r="AK773" s="3"/>
      <c r="AL773" s="3"/>
      <c r="AM773" s="3"/>
      <c r="AN773" s="3"/>
      <c r="AO773" s="3"/>
      <c r="AP773" s="3"/>
      <c r="AQ773" s="3"/>
      <c r="AR773" s="3"/>
      <c r="AS773" s="3"/>
      <c r="AT773" s="3"/>
      <c r="AU773" s="3"/>
      <c r="AV773" s="3"/>
      <c r="AW773" s="3"/>
      <c r="AX773" s="3"/>
      <c r="AY773" s="3"/>
      <c r="AZ773" s="3"/>
      <c r="BA773" s="3"/>
      <c r="BB773" s="3"/>
      <c r="BC773" s="3"/>
    </row>
    <row r="774" spans="1:55">
      <c r="A774" s="1" t="str">
        <f>'Population Definitions'!$A$6</f>
        <v>10-17_males</v>
      </c>
      <c r="C774" t="s">
        <v>34</v>
      </c>
      <c r="D774" s="3"/>
      <c r="E774" s="3">
        <v>0</v>
      </c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/>
      <c r="AC774" s="3"/>
      <c r="AD774" s="3"/>
      <c r="AE774" s="3"/>
      <c r="AF774" s="3"/>
      <c r="AG774" s="3"/>
      <c r="AH774" s="3"/>
      <c r="AI774" s="3"/>
      <c r="AJ774" s="3"/>
      <c r="AK774" s="3"/>
      <c r="AL774" s="3"/>
      <c r="AM774" s="3"/>
      <c r="AN774" s="3"/>
      <c r="AO774" s="3"/>
      <c r="AP774" s="3"/>
      <c r="AQ774" s="3"/>
      <c r="AR774" s="3"/>
      <c r="AS774" s="3"/>
      <c r="AT774" s="3"/>
      <c r="AU774" s="3"/>
      <c r="AV774" s="3"/>
      <c r="AW774" s="3"/>
      <c r="AX774" s="3"/>
      <c r="AY774" s="3"/>
      <c r="AZ774" s="3"/>
      <c r="BA774" s="3"/>
      <c r="BB774" s="3"/>
      <c r="BC774" s="3"/>
    </row>
    <row r="775" spans="1:55">
      <c r="A775" s="1" t="str">
        <f>'Population Definitions'!$A$7</f>
        <v>10-17_females</v>
      </c>
      <c r="C775" t="s">
        <v>34</v>
      </c>
      <c r="D775" s="3"/>
      <c r="E775" s="3">
        <v>0</v>
      </c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/>
      <c r="AC775" s="3"/>
      <c r="AD775" s="3"/>
      <c r="AE775" s="3"/>
      <c r="AF775" s="3"/>
      <c r="AG775" s="3"/>
      <c r="AH775" s="3"/>
      <c r="AI775" s="3"/>
      <c r="AJ775" s="3"/>
      <c r="AK775" s="3"/>
      <c r="AL775" s="3"/>
      <c r="AM775" s="3"/>
      <c r="AN775" s="3"/>
      <c r="AO775" s="3"/>
      <c r="AP775" s="3"/>
      <c r="AQ775" s="3"/>
      <c r="AR775" s="3"/>
      <c r="AS775" s="3"/>
      <c r="AT775" s="3"/>
      <c r="AU775" s="3"/>
      <c r="AV775" s="3"/>
      <c r="AW775" s="3"/>
      <c r="AX775" s="3"/>
      <c r="AY775" s="3"/>
      <c r="AZ775" s="3"/>
      <c r="BA775" s="3"/>
      <c r="BB775" s="3"/>
      <c r="BC775" s="3"/>
    </row>
    <row r="776" spans="1:55">
      <c r="A776" s="1" t="str">
        <f>'Population Definitions'!$A$8</f>
        <v>18-64_males</v>
      </c>
      <c r="C776" t="s">
        <v>34</v>
      </c>
      <c r="D776" s="3"/>
      <c r="E776" s="3">
        <v>0</v>
      </c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/>
      <c r="AC776" s="3"/>
      <c r="AD776" s="3"/>
      <c r="AE776" s="3"/>
      <c r="AF776" s="3"/>
      <c r="AG776" s="3"/>
      <c r="AH776" s="3"/>
      <c r="AI776" s="3"/>
      <c r="AJ776" s="3"/>
      <c r="AK776" s="3"/>
      <c r="AL776" s="3"/>
      <c r="AM776" s="3"/>
      <c r="AN776" s="3"/>
      <c r="AO776" s="3"/>
      <c r="AP776" s="3"/>
      <c r="AQ776" s="3"/>
      <c r="AR776" s="3"/>
      <c r="AS776" s="3"/>
      <c r="AT776" s="3"/>
      <c r="AU776" s="3"/>
      <c r="AV776" s="3"/>
      <c r="AW776" s="3"/>
      <c r="AX776" s="3"/>
      <c r="AY776" s="3"/>
      <c r="AZ776" s="3"/>
      <c r="BA776" s="3"/>
      <c r="BB776" s="3"/>
      <c r="BC776" s="3"/>
    </row>
    <row r="777" spans="1:55">
      <c r="A777" s="1" t="str">
        <f>'Population Definitions'!$A$9</f>
        <v>18-64_females</v>
      </c>
      <c r="C777" t="s">
        <v>34</v>
      </c>
      <c r="D777" s="3"/>
      <c r="E777" s="3">
        <v>0</v>
      </c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/>
      <c r="AC777" s="3"/>
      <c r="AD777" s="3"/>
      <c r="AE777" s="3"/>
      <c r="AF777" s="3"/>
      <c r="AG777" s="3"/>
      <c r="AH777" s="3"/>
      <c r="AI777" s="3"/>
      <c r="AJ777" s="3"/>
      <c r="AK777" s="3"/>
      <c r="AL777" s="3"/>
      <c r="AM777" s="3"/>
      <c r="AN777" s="3"/>
      <c r="AO777" s="3"/>
      <c r="AP777" s="3"/>
      <c r="AQ777" s="3"/>
      <c r="AR777" s="3"/>
      <c r="AS777" s="3"/>
      <c r="AT777" s="3"/>
      <c r="AU777" s="3"/>
      <c r="AV777" s="3"/>
      <c r="AW777" s="3"/>
      <c r="AX777" s="3"/>
      <c r="AY777" s="3"/>
      <c r="AZ777" s="3"/>
      <c r="BA777" s="3"/>
      <c r="BB777" s="3"/>
      <c r="BC777" s="3"/>
    </row>
    <row r="778" spans="1:55">
      <c r="A778" s="1" t="str">
        <f>'Population Definitions'!$A$10</f>
        <v>65+_males</v>
      </c>
      <c r="C778" t="s">
        <v>34</v>
      </c>
      <c r="D778" s="3"/>
      <c r="E778" s="3">
        <v>0</v>
      </c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/>
      <c r="AC778" s="3"/>
      <c r="AD778" s="3"/>
      <c r="AE778" s="3"/>
      <c r="AF778" s="3"/>
      <c r="AG778" s="3"/>
      <c r="AH778" s="3"/>
      <c r="AI778" s="3"/>
      <c r="AJ778" s="3"/>
      <c r="AK778" s="3"/>
      <c r="AL778" s="3"/>
      <c r="AM778" s="3"/>
      <c r="AN778" s="3"/>
      <c r="AO778" s="3"/>
      <c r="AP778" s="3"/>
      <c r="AQ778" s="3"/>
      <c r="AR778" s="3"/>
      <c r="AS778" s="3"/>
      <c r="AT778" s="3"/>
      <c r="AU778" s="3"/>
      <c r="AV778" s="3"/>
      <c r="AW778" s="3"/>
      <c r="AX778" s="3"/>
      <c r="AY778" s="3"/>
      <c r="AZ778" s="3"/>
      <c r="BA778" s="3"/>
      <c r="BB778" s="3"/>
      <c r="BC778" s="3"/>
    </row>
    <row r="779" spans="1:55">
      <c r="A779" s="1" t="str">
        <f>'Population Definitions'!$A$11</f>
        <v>65+_females</v>
      </c>
      <c r="C779" t="s">
        <v>34</v>
      </c>
      <c r="D779" s="3"/>
      <c r="E779" s="3">
        <v>0</v>
      </c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/>
      <c r="AC779" s="3"/>
      <c r="AD779" s="3"/>
      <c r="AE779" s="3"/>
      <c r="AF779" s="3"/>
      <c r="AG779" s="3"/>
      <c r="AH779" s="3"/>
      <c r="AI779" s="3"/>
      <c r="AJ779" s="3"/>
      <c r="AK779" s="3"/>
      <c r="AL779" s="3"/>
      <c r="AM779" s="3"/>
      <c r="AN779" s="3"/>
      <c r="AO779" s="3"/>
      <c r="AP779" s="3"/>
      <c r="AQ779" s="3"/>
      <c r="AR779" s="3"/>
      <c r="AS779" s="3"/>
      <c r="AT779" s="3"/>
      <c r="AU779" s="3"/>
      <c r="AV779" s="3"/>
      <c r="AW779" s="3"/>
      <c r="AX779" s="3"/>
      <c r="AY779" s="3"/>
      <c r="AZ779" s="3"/>
      <c r="BA779" s="3"/>
      <c r="BB779" s="3"/>
      <c r="BC779" s="3"/>
    </row>
    <row r="780" spans="1:55">
      <c r="A780" s="1" t="str">
        <f>'Population Definitions'!$A$12</f>
        <v>Prisoners_males</v>
      </c>
      <c r="C780" t="s">
        <v>34</v>
      </c>
      <c r="D780" s="3"/>
      <c r="E780" s="3">
        <v>0</v>
      </c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  <c r="AB780" s="3"/>
      <c r="AC780" s="3"/>
      <c r="AD780" s="3"/>
      <c r="AE780" s="3"/>
      <c r="AF780" s="3"/>
      <c r="AG780" s="3"/>
      <c r="AH780" s="3"/>
      <c r="AI780" s="3"/>
      <c r="AJ780" s="3"/>
      <c r="AK780" s="3"/>
      <c r="AL780" s="3"/>
      <c r="AM780" s="3"/>
      <c r="AN780" s="3"/>
      <c r="AO780" s="3"/>
      <c r="AP780" s="3"/>
      <c r="AQ780" s="3"/>
      <c r="AR780" s="3"/>
      <c r="AS780" s="3"/>
      <c r="AT780" s="3"/>
      <c r="AU780" s="3"/>
      <c r="AV780" s="3"/>
      <c r="AW780" s="3"/>
      <c r="AX780" s="3"/>
      <c r="AY780" s="3"/>
      <c r="AZ780" s="3"/>
      <c r="BA780" s="3"/>
      <c r="BB780" s="3"/>
      <c r="BC780" s="3"/>
    </row>
    <row r="781" spans="1:55">
      <c r="A781" s="1" t="str">
        <f>'Population Definitions'!$A$13</f>
        <v>Prisoners_females</v>
      </c>
      <c r="C781" t="s">
        <v>34</v>
      </c>
      <c r="D781" s="3"/>
      <c r="E781" s="3">
        <v>0</v>
      </c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  <c r="AB781" s="3"/>
      <c r="AC781" s="3"/>
      <c r="AD781" s="3"/>
      <c r="AE781" s="3"/>
      <c r="AF781" s="3"/>
      <c r="AG781" s="3"/>
      <c r="AH781" s="3"/>
      <c r="AI781" s="3"/>
      <c r="AJ781" s="3"/>
      <c r="AK781" s="3"/>
      <c r="AL781" s="3"/>
      <c r="AM781" s="3"/>
      <c r="AN781" s="3"/>
      <c r="AO781" s="3"/>
      <c r="AP781" s="3"/>
      <c r="AQ781" s="3"/>
      <c r="AR781" s="3"/>
      <c r="AS781" s="3"/>
      <c r="AT781" s="3"/>
      <c r="AU781" s="3"/>
      <c r="AV781" s="3"/>
      <c r="AW781" s="3"/>
      <c r="AX781" s="3"/>
      <c r="AY781" s="3"/>
      <c r="AZ781" s="3"/>
      <c r="BA781" s="3"/>
      <c r="BB781" s="3"/>
      <c r="BC781" s="3"/>
    </row>
    <row r="782" spans="1:55">
      <c r="A782" s="1" t="str">
        <f>'Population Definitions'!$A$14</f>
        <v>Prisoners_PWID_males</v>
      </c>
      <c r="C782" t="s">
        <v>34</v>
      </c>
      <c r="D782" s="3"/>
      <c r="E782" s="3">
        <v>0</v>
      </c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  <c r="AC782" s="3"/>
      <c r="AD782" s="3"/>
      <c r="AE782" s="3"/>
      <c r="AF782" s="3"/>
      <c r="AG782" s="3"/>
      <c r="AH782" s="3"/>
      <c r="AI782" s="3"/>
      <c r="AJ782" s="3"/>
      <c r="AK782" s="3"/>
      <c r="AL782" s="3"/>
      <c r="AM782" s="3"/>
      <c r="AN782" s="3"/>
      <c r="AO782" s="3"/>
      <c r="AP782" s="3"/>
      <c r="AQ782" s="3"/>
      <c r="AR782" s="3"/>
      <c r="AS782" s="3"/>
      <c r="AT782" s="3"/>
      <c r="AU782" s="3"/>
      <c r="AV782" s="3"/>
      <c r="AW782" s="3"/>
      <c r="AX782" s="3"/>
      <c r="AY782" s="3"/>
      <c r="AZ782" s="3"/>
      <c r="BA782" s="3"/>
      <c r="BB782" s="3"/>
      <c r="BC782" s="3"/>
    </row>
    <row r="783" spans="1:55">
      <c r="A783" s="1" t="str">
        <f>'Population Definitions'!$A$15</f>
        <v>Prisoners_PWID_females</v>
      </c>
      <c r="C783" t="s">
        <v>34</v>
      </c>
      <c r="D783" s="3"/>
      <c r="E783" s="3">
        <v>0</v>
      </c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  <c r="AC783" s="3"/>
      <c r="AD783" s="3"/>
      <c r="AE783" s="3"/>
      <c r="AF783" s="3"/>
      <c r="AG783" s="3"/>
      <c r="AH783" s="3"/>
      <c r="AI783" s="3"/>
      <c r="AJ783" s="3"/>
      <c r="AK783" s="3"/>
      <c r="AL783" s="3"/>
      <c r="AM783" s="3"/>
      <c r="AN783" s="3"/>
      <c r="AO783" s="3"/>
      <c r="AP783" s="3"/>
      <c r="AQ783" s="3"/>
      <c r="AR783" s="3"/>
      <c r="AS783" s="3"/>
      <c r="AT783" s="3"/>
      <c r="AU783" s="3"/>
      <c r="AV783" s="3"/>
      <c r="AW783" s="3"/>
      <c r="AX783" s="3"/>
      <c r="AY783" s="3"/>
      <c r="AZ783" s="3"/>
      <c r="BA783" s="3"/>
      <c r="BB783" s="3"/>
      <c r="BC783" s="3"/>
    </row>
    <row r="785" spans="1:55">
      <c r="A785" s="1" t="s">
        <v>176</v>
      </c>
      <c r="B785" s="1" t="s">
        <v>31</v>
      </c>
      <c r="C785" s="1" t="s">
        <v>32</v>
      </c>
      <c r="D785" s="1" t="s">
        <v>33</v>
      </c>
      <c r="E785" s="1">
        <v>2000</v>
      </c>
      <c r="F785" s="1">
        <v>2001</v>
      </c>
      <c r="G785" s="1">
        <v>2002</v>
      </c>
      <c r="H785" s="1">
        <v>2003</v>
      </c>
      <c r="I785" s="1">
        <v>2004</v>
      </c>
      <c r="J785" s="1">
        <v>2005</v>
      </c>
      <c r="K785" s="1">
        <v>2006</v>
      </c>
      <c r="L785" s="1">
        <v>2007</v>
      </c>
      <c r="M785" s="1">
        <v>2008</v>
      </c>
      <c r="N785" s="1">
        <v>2009</v>
      </c>
      <c r="O785" s="1">
        <v>2010</v>
      </c>
      <c r="P785" s="1">
        <v>2011</v>
      </c>
      <c r="Q785" s="1">
        <v>2012</v>
      </c>
      <c r="R785" s="1">
        <v>2013</v>
      </c>
      <c r="S785" s="1">
        <v>2014</v>
      </c>
      <c r="T785" s="1">
        <v>2015</v>
      </c>
      <c r="U785" s="1">
        <v>2016</v>
      </c>
      <c r="V785" s="1">
        <v>2017</v>
      </c>
      <c r="W785" s="1">
        <v>2018</v>
      </c>
      <c r="X785" s="1">
        <v>2019</v>
      </c>
      <c r="Y785" s="1">
        <v>2020</v>
      </c>
      <c r="Z785" s="1">
        <v>2021</v>
      </c>
      <c r="AA785" s="1">
        <v>2022</v>
      </c>
      <c r="AB785" s="1">
        <v>2023</v>
      </c>
      <c r="AC785" s="1">
        <v>2024</v>
      </c>
      <c r="AD785" s="1">
        <v>2025</v>
      </c>
      <c r="AE785" s="1">
        <v>2026</v>
      </c>
      <c r="AF785" s="1">
        <v>2027</v>
      </c>
      <c r="AG785" s="1">
        <v>2028</v>
      </c>
      <c r="AH785" s="1">
        <v>2029</v>
      </c>
      <c r="AI785" s="1">
        <v>2030</v>
      </c>
      <c r="AJ785" s="1">
        <v>2031</v>
      </c>
      <c r="AK785" s="1">
        <v>2032</v>
      </c>
      <c r="AL785" s="1">
        <v>2033</v>
      </c>
      <c r="AM785" s="1">
        <v>2034</v>
      </c>
      <c r="AN785" s="1">
        <v>2035</v>
      </c>
      <c r="AO785" s="1">
        <v>2036</v>
      </c>
      <c r="AP785" s="1">
        <v>2037</v>
      </c>
      <c r="AQ785" s="1">
        <v>2038</v>
      </c>
      <c r="AR785" s="1">
        <v>2039</v>
      </c>
      <c r="AS785" s="1">
        <v>2040</v>
      </c>
      <c r="AT785" s="1">
        <v>2041</v>
      </c>
      <c r="AU785" s="1">
        <v>2042</v>
      </c>
      <c r="AV785" s="1">
        <v>2043</v>
      </c>
      <c r="AW785" s="1">
        <v>2044</v>
      </c>
      <c r="AX785" s="1">
        <v>2045</v>
      </c>
      <c r="AY785" s="1">
        <v>2046</v>
      </c>
      <c r="AZ785" s="1">
        <v>2047</v>
      </c>
      <c r="BA785" s="1">
        <v>2048</v>
      </c>
      <c r="BB785" s="1">
        <v>2049</v>
      </c>
      <c r="BC785" s="1">
        <v>2050</v>
      </c>
    </row>
    <row r="786" spans="1:55">
      <c r="A786" s="1" t="str">
        <f>'Population Definitions'!$A$2</f>
        <v>PWID_males</v>
      </c>
      <c r="C786" t="s">
        <v>34</v>
      </c>
      <c r="D786" s="3"/>
      <c r="E786" s="3">
        <v>0</v>
      </c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/>
      <c r="AC786" s="3"/>
      <c r="AD786" s="3"/>
      <c r="AE786" s="3"/>
      <c r="AF786" s="3"/>
      <c r="AG786" s="3"/>
      <c r="AH786" s="3"/>
      <c r="AI786" s="3"/>
      <c r="AJ786" s="3"/>
      <c r="AK786" s="3"/>
      <c r="AL786" s="3"/>
      <c r="AM786" s="3"/>
      <c r="AN786" s="3"/>
      <c r="AO786" s="3"/>
      <c r="AP786" s="3"/>
      <c r="AQ786" s="3"/>
      <c r="AR786" s="3"/>
      <c r="AS786" s="3"/>
      <c r="AT786" s="3"/>
      <c r="AU786" s="3"/>
      <c r="AV786" s="3"/>
      <c r="AW786" s="3"/>
      <c r="AX786" s="3"/>
      <c r="AY786" s="3"/>
      <c r="AZ786" s="3"/>
      <c r="BA786" s="3"/>
      <c r="BB786" s="3"/>
      <c r="BC786" s="3"/>
    </row>
    <row r="787" spans="1:55">
      <c r="A787" s="1" t="str">
        <f>'Population Definitions'!$A$3</f>
        <v>PWID_females</v>
      </c>
      <c r="C787" t="s">
        <v>34</v>
      </c>
      <c r="D787" s="3"/>
      <c r="E787" s="3">
        <v>0</v>
      </c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"/>
      <c r="AC787" s="3"/>
      <c r="AD787" s="3"/>
      <c r="AE787" s="3"/>
      <c r="AF787" s="3"/>
      <c r="AG787" s="3"/>
      <c r="AH787" s="3"/>
      <c r="AI787" s="3"/>
      <c r="AJ787" s="3"/>
      <c r="AK787" s="3"/>
      <c r="AL787" s="3"/>
      <c r="AM787" s="3"/>
      <c r="AN787" s="3"/>
      <c r="AO787" s="3"/>
      <c r="AP787" s="3"/>
      <c r="AQ787" s="3"/>
      <c r="AR787" s="3"/>
      <c r="AS787" s="3"/>
      <c r="AT787" s="3"/>
      <c r="AU787" s="3"/>
      <c r="AV787" s="3"/>
      <c r="AW787" s="3"/>
      <c r="AX787" s="3"/>
      <c r="AY787" s="3"/>
      <c r="AZ787" s="3"/>
      <c r="BA787" s="3"/>
      <c r="BB787" s="3"/>
      <c r="BC787" s="3"/>
    </row>
    <row r="788" spans="1:55">
      <c r="A788" s="1" t="str">
        <f>'Population Definitions'!$A$4</f>
        <v>0-9_males</v>
      </c>
      <c r="C788" t="s">
        <v>34</v>
      </c>
      <c r="D788" s="3"/>
      <c r="E788" s="3">
        <v>0</v>
      </c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/>
      <c r="AC788" s="3"/>
      <c r="AD788" s="3"/>
      <c r="AE788" s="3"/>
      <c r="AF788" s="3"/>
      <c r="AG788" s="3"/>
      <c r="AH788" s="3"/>
      <c r="AI788" s="3"/>
      <c r="AJ788" s="3"/>
      <c r="AK788" s="3"/>
      <c r="AL788" s="3"/>
      <c r="AM788" s="3"/>
      <c r="AN788" s="3"/>
      <c r="AO788" s="3"/>
      <c r="AP788" s="3"/>
      <c r="AQ788" s="3"/>
      <c r="AR788" s="3"/>
      <c r="AS788" s="3"/>
      <c r="AT788" s="3"/>
      <c r="AU788" s="3"/>
      <c r="AV788" s="3"/>
      <c r="AW788" s="3"/>
      <c r="AX788" s="3"/>
      <c r="AY788" s="3"/>
      <c r="AZ788" s="3"/>
      <c r="BA788" s="3"/>
      <c r="BB788" s="3"/>
      <c r="BC788" s="3"/>
    </row>
    <row r="789" spans="1:55">
      <c r="A789" s="1" t="str">
        <f>'Population Definitions'!$A$5</f>
        <v>0-9_females</v>
      </c>
      <c r="C789" t="s">
        <v>34</v>
      </c>
      <c r="D789" s="3"/>
      <c r="E789" s="3">
        <v>0</v>
      </c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/>
      <c r="AC789" s="3"/>
      <c r="AD789" s="3"/>
      <c r="AE789" s="3"/>
      <c r="AF789" s="3"/>
      <c r="AG789" s="3"/>
      <c r="AH789" s="3"/>
      <c r="AI789" s="3"/>
      <c r="AJ789" s="3"/>
      <c r="AK789" s="3"/>
      <c r="AL789" s="3"/>
      <c r="AM789" s="3"/>
      <c r="AN789" s="3"/>
      <c r="AO789" s="3"/>
      <c r="AP789" s="3"/>
      <c r="AQ789" s="3"/>
      <c r="AR789" s="3"/>
      <c r="AS789" s="3"/>
      <c r="AT789" s="3"/>
      <c r="AU789" s="3"/>
      <c r="AV789" s="3"/>
      <c r="AW789" s="3"/>
      <c r="AX789" s="3"/>
      <c r="AY789" s="3"/>
      <c r="AZ789" s="3"/>
      <c r="BA789" s="3"/>
      <c r="BB789" s="3"/>
      <c r="BC789" s="3"/>
    </row>
    <row r="790" spans="1:55">
      <c r="A790" s="1" t="str">
        <f>'Population Definitions'!$A$6</f>
        <v>10-17_males</v>
      </c>
      <c r="C790" t="s">
        <v>34</v>
      </c>
      <c r="D790" s="3"/>
      <c r="E790" s="3">
        <v>0</v>
      </c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/>
      <c r="AC790" s="3"/>
      <c r="AD790" s="3"/>
      <c r="AE790" s="3"/>
      <c r="AF790" s="3"/>
      <c r="AG790" s="3"/>
      <c r="AH790" s="3"/>
      <c r="AI790" s="3"/>
      <c r="AJ790" s="3"/>
      <c r="AK790" s="3"/>
      <c r="AL790" s="3"/>
      <c r="AM790" s="3"/>
      <c r="AN790" s="3"/>
      <c r="AO790" s="3"/>
      <c r="AP790" s="3"/>
      <c r="AQ790" s="3"/>
      <c r="AR790" s="3"/>
      <c r="AS790" s="3"/>
      <c r="AT790" s="3"/>
      <c r="AU790" s="3"/>
      <c r="AV790" s="3"/>
      <c r="AW790" s="3"/>
      <c r="AX790" s="3"/>
      <c r="AY790" s="3"/>
      <c r="AZ790" s="3"/>
      <c r="BA790" s="3"/>
      <c r="BB790" s="3"/>
      <c r="BC790" s="3"/>
    </row>
    <row r="791" spans="1:55">
      <c r="A791" s="1" t="str">
        <f>'Population Definitions'!$A$7</f>
        <v>10-17_females</v>
      </c>
      <c r="C791" t="s">
        <v>34</v>
      </c>
      <c r="D791" s="3"/>
      <c r="E791" s="3">
        <v>0</v>
      </c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/>
      <c r="AC791" s="3"/>
      <c r="AD791" s="3"/>
      <c r="AE791" s="3"/>
      <c r="AF791" s="3"/>
      <c r="AG791" s="3"/>
      <c r="AH791" s="3"/>
      <c r="AI791" s="3"/>
      <c r="AJ791" s="3"/>
      <c r="AK791" s="3"/>
      <c r="AL791" s="3"/>
      <c r="AM791" s="3"/>
      <c r="AN791" s="3"/>
      <c r="AO791" s="3"/>
      <c r="AP791" s="3"/>
      <c r="AQ791" s="3"/>
      <c r="AR791" s="3"/>
      <c r="AS791" s="3"/>
      <c r="AT791" s="3"/>
      <c r="AU791" s="3"/>
      <c r="AV791" s="3"/>
      <c r="AW791" s="3"/>
      <c r="AX791" s="3"/>
      <c r="AY791" s="3"/>
      <c r="AZ791" s="3"/>
      <c r="BA791" s="3"/>
      <c r="BB791" s="3"/>
      <c r="BC791" s="3"/>
    </row>
    <row r="792" spans="1:55">
      <c r="A792" s="1" t="str">
        <f>'Population Definitions'!$A$8</f>
        <v>18-64_males</v>
      </c>
      <c r="C792" t="s">
        <v>34</v>
      </c>
      <c r="D792" s="3"/>
      <c r="E792" s="3">
        <v>0</v>
      </c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/>
      <c r="AC792" s="3"/>
      <c r="AD792" s="3"/>
      <c r="AE792" s="3"/>
      <c r="AF792" s="3"/>
      <c r="AG792" s="3"/>
      <c r="AH792" s="3"/>
      <c r="AI792" s="3"/>
      <c r="AJ792" s="3"/>
      <c r="AK792" s="3"/>
      <c r="AL792" s="3"/>
      <c r="AM792" s="3"/>
      <c r="AN792" s="3"/>
      <c r="AO792" s="3"/>
      <c r="AP792" s="3"/>
      <c r="AQ792" s="3"/>
      <c r="AR792" s="3"/>
      <c r="AS792" s="3"/>
      <c r="AT792" s="3"/>
      <c r="AU792" s="3"/>
      <c r="AV792" s="3"/>
      <c r="AW792" s="3"/>
      <c r="AX792" s="3"/>
      <c r="AY792" s="3"/>
      <c r="AZ792" s="3"/>
      <c r="BA792" s="3"/>
      <c r="BB792" s="3"/>
      <c r="BC792" s="3"/>
    </row>
    <row r="793" spans="1:55">
      <c r="A793" s="1" t="str">
        <f>'Population Definitions'!$A$9</f>
        <v>18-64_females</v>
      </c>
      <c r="C793" t="s">
        <v>34</v>
      </c>
      <c r="D793" s="3"/>
      <c r="E793" s="3">
        <v>0</v>
      </c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/>
      <c r="AC793" s="3"/>
      <c r="AD793" s="3"/>
      <c r="AE793" s="3"/>
      <c r="AF793" s="3"/>
      <c r="AG793" s="3"/>
      <c r="AH793" s="3"/>
      <c r="AI793" s="3"/>
      <c r="AJ793" s="3"/>
      <c r="AK793" s="3"/>
      <c r="AL793" s="3"/>
      <c r="AM793" s="3"/>
      <c r="AN793" s="3"/>
      <c r="AO793" s="3"/>
      <c r="AP793" s="3"/>
      <c r="AQ793" s="3"/>
      <c r="AR793" s="3"/>
      <c r="AS793" s="3"/>
      <c r="AT793" s="3"/>
      <c r="AU793" s="3"/>
      <c r="AV793" s="3"/>
      <c r="AW793" s="3"/>
      <c r="AX793" s="3"/>
      <c r="AY793" s="3"/>
      <c r="AZ793" s="3"/>
      <c r="BA793" s="3"/>
      <c r="BB793" s="3"/>
      <c r="BC793" s="3"/>
    </row>
    <row r="794" spans="1:55">
      <c r="A794" s="1" t="str">
        <f>'Population Definitions'!$A$10</f>
        <v>65+_males</v>
      </c>
      <c r="C794" t="s">
        <v>34</v>
      </c>
      <c r="D794" s="3"/>
      <c r="E794" s="3">
        <v>0</v>
      </c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/>
      <c r="AC794" s="3"/>
      <c r="AD794" s="3"/>
      <c r="AE794" s="3"/>
      <c r="AF794" s="3"/>
      <c r="AG794" s="3"/>
      <c r="AH794" s="3"/>
      <c r="AI794" s="3"/>
      <c r="AJ794" s="3"/>
      <c r="AK794" s="3"/>
      <c r="AL794" s="3"/>
      <c r="AM794" s="3"/>
      <c r="AN794" s="3"/>
      <c r="AO794" s="3"/>
      <c r="AP794" s="3"/>
      <c r="AQ794" s="3"/>
      <c r="AR794" s="3"/>
      <c r="AS794" s="3"/>
      <c r="AT794" s="3"/>
      <c r="AU794" s="3"/>
      <c r="AV794" s="3"/>
      <c r="AW794" s="3"/>
      <c r="AX794" s="3"/>
      <c r="AY794" s="3"/>
      <c r="AZ794" s="3"/>
      <c r="BA794" s="3"/>
      <c r="BB794" s="3"/>
      <c r="BC794" s="3"/>
    </row>
    <row r="795" spans="1:55">
      <c r="A795" s="1" t="str">
        <f>'Population Definitions'!$A$11</f>
        <v>65+_females</v>
      </c>
      <c r="C795" t="s">
        <v>34</v>
      </c>
      <c r="D795" s="3"/>
      <c r="E795" s="3">
        <v>0</v>
      </c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3"/>
      <c r="AC795" s="3"/>
      <c r="AD795" s="3"/>
      <c r="AE795" s="3"/>
      <c r="AF795" s="3"/>
      <c r="AG795" s="3"/>
      <c r="AH795" s="3"/>
      <c r="AI795" s="3"/>
      <c r="AJ795" s="3"/>
      <c r="AK795" s="3"/>
      <c r="AL795" s="3"/>
      <c r="AM795" s="3"/>
      <c r="AN795" s="3"/>
      <c r="AO795" s="3"/>
      <c r="AP795" s="3"/>
      <c r="AQ795" s="3"/>
      <c r="AR795" s="3"/>
      <c r="AS795" s="3"/>
      <c r="AT795" s="3"/>
      <c r="AU795" s="3"/>
      <c r="AV795" s="3"/>
      <c r="AW795" s="3"/>
      <c r="AX795" s="3"/>
      <c r="AY795" s="3"/>
      <c r="AZ795" s="3"/>
      <c r="BA795" s="3"/>
      <c r="BB795" s="3"/>
      <c r="BC795" s="3"/>
    </row>
    <row r="796" spans="1:55">
      <c r="A796" s="1" t="str">
        <f>'Population Definitions'!$A$12</f>
        <v>Prisoners_males</v>
      </c>
      <c r="C796" t="s">
        <v>34</v>
      </c>
      <c r="D796" s="3"/>
      <c r="E796" s="3">
        <v>0</v>
      </c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3"/>
      <c r="AC796" s="3"/>
      <c r="AD796" s="3"/>
      <c r="AE796" s="3"/>
      <c r="AF796" s="3"/>
      <c r="AG796" s="3"/>
      <c r="AH796" s="3"/>
      <c r="AI796" s="3"/>
      <c r="AJ796" s="3"/>
      <c r="AK796" s="3"/>
      <c r="AL796" s="3"/>
      <c r="AM796" s="3"/>
      <c r="AN796" s="3"/>
      <c r="AO796" s="3"/>
      <c r="AP796" s="3"/>
      <c r="AQ796" s="3"/>
      <c r="AR796" s="3"/>
      <c r="AS796" s="3"/>
      <c r="AT796" s="3"/>
      <c r="AU796" s="3"/>
      <c r="AV796" s="3"/>
      <c r="AW796" s="3"/>
      <c r="AX796" s="3"/>
      <c r="AY796" s="3"/>
      <c r="AZ796" s="3"/>
      <c r="BA796" s="3"/>
      <c r="BB796" s="3"/>
      <c r="BC796" s="3"/>
    </row>
    <row r="797" spans="1:55">
      <c r="A797" s="1" t="str">
        <f>'Population Definitions'!$A$13</f>
        <v>Prisoners_females</v>
      </c>
      <c r="C797" t="s">
        <v>34</v>
      </c>
      <c r="D797" s="3"/>
      <c r="E797" s="3">
        <v>0</v>
      </c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"/>
      <c r="AC797" s="3"/>
      <c r="AD797" s="3"/>
      <c r="AE797" s="3"/>
      <c r="AF797" s="3"/>
      <c r="AG797" s="3"/>
      <c r="AH797" s="3"/>
      <c r="AI797" s="3"/>
      <c r="AJ797" s="3"/>
      <c r="AK797" s="3"/>
      <c r="AL797" s="3"/>
      <c r="AM797" s="3"/>
      <c r="AN797" s="3"/>
      <c r="AO797" s="3"/>
      <c r="AP797" s="3"/>
      <c r="AQ797" s="3"/>
      <c r="AR797" s="3"/>
      <c r="AS797" s="3"/>
      <c r="AT797" s="3"/>
      <c r="AU797" s="3"/>
      <c r="AV797" s="3"/>
      <c r="AW797" s="3"/>
      <c r="AX797" s="3"/>
      <c r="AY797" s="3"/>
      <c r="AZ797" s="3"/>
      <c r="BA797" s="3"/>
      <c r="BB797" s="3"/>
      <c r="BC797" s="3"/>
    </row>
    <row r="798" spans="1:55">
      <c r="A798" s="1" t="str">
        <f>'Population Definitions'!$A$14</f>
        <v>Prisoners_PWID_males</v>
      </c>
      <c r="C798" t="s">
        <v>34</v>
      </c>
      <c r="D798" s="3"/>
      <c r="E798" s="3">
        <v>0</v>
      </c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3"/>
      <c r="AC798" s="3"/>
      <c r="AD798" s="3"/>
      <c r="AE798" s="3"/>
      <c r="AF798" s="3"/>
      <c r="AG798" s="3"/>
      <c r="AH798" s="3"/>
      <c r="AI798" s="3"/>
      <c r="AJ798" s="3"/>
      <c r="AK798" s="3"/>
      <c r="AL798" s="3"/>
      <c r="AM798" s="3"/>
      <c r="AN798" s="3"/>
      <c r="AO798" s="3"/>
      <c r="AP798" s="3"/>
      <c r="AQ798" s="3"/>
      <c r="AR798" s="3"/>
      <c r="AS798" s="3"/>
      <c r="AT798" s="3"/>
      <c r="AU798" s="3"/>
      <c r="AV798" s="3"/>
      <c r="AW798" s="3"/>
      <c r="AX798" s="3"/>
      <c r="AY798" s="3"/>
      <c r="AZ798" s="3"/>
      <c r="BA798" s="3"/>
      <c r="BB798" s="3"/>
      <c r="BC798" s="3"/>
    </row>
    <row r="799" spans="1:55">
      <c r="A799" s="1" t="str">
        <f>'Population Definitions'!$A$15</f>
        <v>Prisoners_PWID_females</v>
      </c>
      <c r="C799" t="s">
        <v>34</v>
      </c>
      <c r="D799" s="3"/>
      <c r="E799" s="3">
        <v>0</v>
      </c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3"/>
      <c r="AC799" s="3"/>
      <c r="AD799" s="3"/>
      <c r="AE799" s="3"/>
      <c r="AF799" s="3"/>
      <c r="AG799" s="3"/>
      <c r="AH799" s="3"/>
      <c r="AI799" s="3"/>
      <c r="AJ799" s="3"/>
      <c r="AK799" s="3"/>
      <c r="AL799" s="3"/>
      <c r="AM799" s="3"/>
      <c r="AN799" s="3"/>
      <c r="AO799" s="3"/>
      <c r="AP799" s="3"/>
      <c r="AQ799" s="3"/>
      <c r="AR799" s="3"/>
      <c r="AS799" s="3"/>
      <c r="AT799" s="3"/>
      <c r="AU799" s="3"/>
      <c r="AV799" s="3"/>
      <c r="AW799" s="3"/>
      <c r="AX799" s="3"/>
      <c r="AY799" s="3"/>
      <c r="AZ799" s="3"/>
      <c r="BA799" s="3"/>
      <c r="BB799" s="3"/>
      <c r="BC799" s="3"/>
    </row>
    <row r="801" spans="1:55">
      <c r="A801" s="1" t="s">
        <v>177</v>
      </c>
      <c r="B801" s="1" t="s">
        <v>31</v>
      </c>
      <c r="C801" s="1" t="s">
        <v>32</v>
      </c>
      <c r="D801" s="1" t="s">
        <v>33</v>
      </c>
      <c r="E801" s="1">
        <v>2000</v>
      </c>
      <c r="F801" s="1">
        <v>2001</v>
      </c>
      <c r="G801" s="1">
        <v>2002</v>
      </c>
      <c r="H801" s="1">
        <v>2003</v>
      </c>
      <c r="I801" s="1">
        <v>2004</v>
      </c>
      <c r="J801" s="1">
        <v>2005</v>
      </c>
      <c r="K801" s="1">
        <v>2006</v>
      </c>
      <c r="L801" s="1">
        <v>2007</v>
      </c>
      <c r="M801" s="1">
        <v>2008</v>
      </c>
      <c r="N801" s="1">
        <v>2009</v>
      </c>
      <c r="O801" s="1">
        <v>2010</v>
      </c>
      <c r="P801" s="1">
        <v>2011</v>
      </c>
      <c r="Q801" s="1">
        <v>2012</v>
      </c>
      <c r="R801" s="1">
        <v>2013</v>
      </c>
      <c r="S801" s="1">
        <v>2014</v>
      </c>
      <c r="T801" s="1">
        <v>2015</v>
      </c>
      <c r="U801" s="1">
        <v>2016</v>
      </c>
      <c r="V801" s="1">
        <v>2017</v>
      </c>
      <c r="W801" s="1">
        <v>2018</v>
      </c>
      <c r="X801" s="1">
        <v>2019</v>
      </c>
      <c r="Y801" s="1">
        <v>2020</v>
      </c>
      <c r="Z801" s="1">
        <v>2021</v>
      </c>
      <c r="AA801" s="1">
        <v>2022</v>
      </c>
      <c r="AB801" s="1">
        <v>2023</v>
      </c>
      <c r="AC801" s="1">
        <v>2024</v>
      </c>
      <c r="AD801" s="1">
        <v>2025</v>
      </c>
      <c r="AE801" s="1">
        <v>2026</v>
      </c>
      <c r="AF801" s="1">
        <v>2027</v>
      </c>
      <c r="AG801" s="1">
        <v>2028</v>
      </c>
      <c r="AH801" s="1">
        <v>2029</v>
      </c>
      <c r="AI801" s="1">
        <v>2030</v>
      </c>
      <c r="AJ801" s="1">
        <v>2031</v>
      </c>
      <c r="AK801" s="1">
        <v>2032</v>
      </c>
      <c r="AL801" s="1">
        <v>2033</v>
      </c>
      <c r="AM801" s="1">
        <v>2034</v>
      </c>
      <c r="AN801" s="1">
        <v>2035</v>
      </c>
      <c r="AO801" s="1">
        <v>2036</v>
      </c>
      <c r="AP801" s="1">
        <v>2037</v>
      </c>
      <c r="AQ801" s="1">
        <v>2038</v>
      </c>
      <c r="AR801" s="1">
        <v>2039</v>
      </c>
      <c r="AS801" s="1">
        <v>2040</v>
      </c>
      <c r="AT801" s="1">
        <v>2041</v>
      </c>
      <c r="AU801" s="1">
        <v>2042</v>
      </c>
      <c r="AV801" s="1">
        <v>2043</v>
      </c>
      <c r="AW801" s="1">
        <v>2044</v>
      </c>
      <c r="AX801" s="1">
        <v>2045</v>
      </c>
      <c r="AY801" s="1">
        <v>2046</v>
      </c>
      <c r="AZ801" s="1">
        <v>2047</v>
      </c>
      <c r="BA801" s="1">
        <v>2048</v>
      </c>
      <c r="BB801" s="1">
        <v>2049</v>
      </c>
      <c r="BC801" s="1">
        <v>2050</v>
      </c>
    </row>
    <row r="802" spans="1:55">
      <c r="A802" s="1" t="str">
        <f>'Population Definitions'!$A$2</f>
        <v>PWID_males</v>
      </c>
      <c r="C802" t="s">
        <v>34</v>
      </c>
      <c r="D802" s="3"/>
      <c r="E802" s="3">
        <v>0</v>
      </c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/>
      <c r="AC802" s="3"/>
      <c r="AD802" s="3"/>
      <c r="AE802" s="3"/>
      <c r="AF802" s="3"/>
      <c r="AG802" s="3"/>
      <c r="AH802" s="3"/>
      <c r="AI802" s="3"/>
      <c r="AJ802" s="3"/>
      <c r="AK802" s="3"/>
      <c r="AL802" s="3"/>
      <c r="AM802" s="3"/>
      <c r="AN802" s="3"/>
      <c r="AO802" s="3"/>
      <c r="AP802" s="3"/>
      <c r="AQ802" s="3"/>
      <c r="AR802" s="3"/>
      <c r="AS802" s="3"/>
      <c r="AT802" s="3"/>
      <c r="AU802" s="3"/>
      <c r="AV802" s="3"/>
      <c r="AW802" s="3"/>
      <c r="AX802" s="3"/>
      <c r="AY802" s="3"/>
      <c r="AZ802" s="3"/>
      <c r="BA802" s="3"/>
      <c r="BB802" s="3"/>
      <c r="BC802" s="3"/>
    </row>
    <row r="803" spans="1:55">
      <c r="A803" s="1" t="str">
        <f>'Population Definitions'!$A$3</f>
        <v>PWID_females</v>
      </c>
      <c r="C803" t="s">
        <v>34</v>
      </c>
      <c r="D803" s="3"/>
      <c r="E803" s="3">
        <v>0</v>
      </c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"/>
      <c r="AC803" s="3"/>
      <c r="AD803" s="3"/>
      <c r="AE803" s="3"/>
      <c r="AF803" s="3"/>
      <c r="AG803" s="3"/>
      <c r="AH803" s="3"/>
      <c r="AI803" s="3"/>
      <c r="AJ803" s="3"/>
      <c r="AK803" s="3"/>
      <c r="AL803" s="3"/>
      <c r="AM803" s="3"/>
      <c r="AN803" s="3"/>
      <c r="AO803" s="3"/>
      <c r="AP803" s="3"/>
      <c r="AQ803" s="3"/>
      <c r="AR803" s="3"/>
      <c r="AS803" s="3"/>
      <c r="AT803" s="3"/>
      <c r="AU803" s="3"/>
      <c r="AV803" s="3"/>
      <c r="AW803" s="3"/>
      <c r="AX803" s="3"/>
      <c r="AY803" s="3"/>
      <c r="AZ803" s="3"/>
      <c r="BA803" s="3"/>
      <c r="BB803" s="3"/>
      <c r="BC803" s="3"/>
    </row>
    <row r="804" spans="1:55">
      <c r="A804" s="1" t="str">
        <f>'Population Definitions'!$A$4</f>
        <v>0-9_males</v>
      </c>
      <c r="C804" t="s">
        <v>34</v>
      </c>
      <c r="D804" s="3"/>
      <c r="E804" s="3">
        <v>0</v>
      </c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"/>
      <c r="AC804" s="3"/>
      <c r="AD804" s="3"/>
      <c r="AE804" s="3"/>
      <c r="AF804" s="3"/>
      <c r="AG804" s="3"/>
      <c r="AH804" s="3"/>
      <c r="AI804" s="3"/>
      <c r="AJ804" s="3"/>
      <c r="AK804" s="3"/>
      <c r="AL804" s="3"/>
      <c r="AM804" s="3"/>
      <c r="AN804" s="3"/>
      <c r="AO804" s="3"/>
      <c r="AP804" s="3"/>
      <c r="AQ804" s="3"/>
      <c r="AR804" s="3"/>
      <c r="AS804" s="3"/>
      <c r="AT804" s="3"/>
      <c r="AU804" s="3"/>
      <c r="AV804" s="3"/>
      <c r="AW804" s="3"/>
      <c r="AX804" s="3"/>
      <c r="AY804" s="3"/>
      <c r="AZ804" s="3"/>
      <c r="BA804" s="3"/>
      <c r="BB804" s="3"/>
      <c r="BC804" s="3"/>
    </row>
    <row r="805" spans="1:55">
      <c r="A805" s="1" t="str">
        <f>'Population Definitions'!$A$5</f>
        <v>0-9_females</v>
      </c>
      <c r="C805" t="s">
        <v>34</v>
      </c>
      <c r="D805" s="3"/>
      <c r="E805" s="3">
        <v>0</v>
      </c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3"/>
      <c r="AC805" s="3"/>
      <c r="AD805" s="3"/>
      <c r="AE805" s="3"/>
      <c r="AF805" s="3"/>
      <c r="AG805" s="3"/>
      <c r="AH805" s="3"/>
      <c r="AI805" s="3"/>
      <c r="AJ805" s="3"/>
      <c r="AK805" s="3"/>
      <c r="AL805" s="3"/>
      <c r="AM805" s="3"/>
      <c r="AN805" s="3"/>
      <c r="AO805" s="3"/>
      <c r="AP805" s="3"/>
      <c r="AQ805" s="3"/>
      <c r="AR805" s="3"/>
      <c r="AS805" s="3"/>
      <c r="AT805" s="3"/>
      <c r="AU805" s="3"/>
      <c r="AV805" s="3"/>
      <c r="AW805" s="3"/>
      <c r="AX805" s="3"/>
      <c r="AY805" s="3"/>
      <c r="AZ805" s="3"/>
      <c r="BA805" s="3"/>
      <c r="BB805" s="3"/>
      <c r="BC805" s="3"/>
    </row>
    <row r="806" spans="1:55">
      <c r="A806" s="1" t="str">
        <f>'Population Definitions'!$A$6</f>
        <v>10-17_males</v>
      </c>
      <c r="C806" t="s">
        <v>34</v>
      </c>
      <c r="D806" s="3"/>
      <c r="E806" s="3">
        <v>0</v>
      </c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  <c r="AB806" s="3"/>
      <c r="AC806" s="3"/>
      <c r="AD806" s="3"/>
      <c r="AE806" s="3"/>
      <c r="AF806" s="3"/>
      <c r="AG806" s="3"/>
      <c r="AH806" s="3"/>
      <c r="AI806" s="3"/>
      <c r="AJ806" s="3"/>
      <c r="AK806" s="3"/>
      <c r="AL806" s="3"/>
      <c r="AM806" s="3"/>
      <c r="AN806" s="3"/>
      <c r="AO806" s="3"/>
      <c r="AP806" s="3"/>
      <c r="AQ806" s="3"/>
      <c r="AR806" s="3"/>
      <c r="AS806" s="3"/>
      <c r="AT806" s="3"/>
      <c r="AU806" s="3"/>
      <c r="AV806" s="3"/>
      <c r="AW806" s="3"/>
      <c r="AX806" s="3"/>
      <c r="AY806" s="3"/>
      <c r="AZ806" s="3"/>
      <c r="BA806" s="3"/>
      <c r="BB806" s="3"/>
      <c r="BC806" s="3"/>
    </row>
    <row r="807" spans="1:55">
      <c r="A807" s="1" t="str">
        <f>'Population Definitions'!$A$7</f>
        <v>10-17_females</v>
      </c>
      <c r="C807" t="s">
        <v>34</v>
      </c>
      <c r="D807" s="3"/>
      <c r="E807" s="3">
        <v>0</v>
      </c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  <c r="AB807" s="3"/>
      <c r="AC807" s="3"/>
      <c r="AD807" s="3"/>
      <c r="AE807" s="3"/>
      <c r="AF807" s="3"/>
      <c r="AG807" s="3"/>
      <c r="AH807" s="3"/>
      <c r="AI807" s="3"/>
      <c r="AJ807" s="3"/>
      <c r="AK807" s="3"/>
      <c r="AL807" s="3"/>
      <c r="AM807" s="3"/>
      <c r="AN807" s="3"/>
      <c r="AO807" s="3"/>
      <c r="AP807" s="3"/>
      <c r="AQ807" s="3"/>
      <c r="AR807" s="3"/>
      <c r="AS807" s="3"/>
      <c r="AT807" s="3"/>
      <c r="AU807" s="3"/>
      <c r="AV807" s="3"/>
      <c r="AW807" s="3"/>
      <c r="AX807" s="3"/>
      <c r="AY807" s="3"/>
      <c r="AZ807" s="3"/>
      <c r="BA807" s="3"/>
      <c r="BB807" s="3"/>
      <c r="BC807" s="3"/>
    </row>
    <row r="808" spans="1:55">
      <c r="A808" s="1" t="str">
        <f>'Population Definitions'!$A$8</f>
        <v>18-64_males</v>
      </c>
      <c r="C808" t="s">
        <v>34</v>
      </c>
      <c r="D808" s="3"/>
      <c r="E808" s="3">
        <v>0</v>
      </c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  <c r="AC808" s="3"/>
      <c r="AD808" s="3"/>
      <c r="AE808" s="3"/>
      <c r="AF808" s="3"/>
      <c r="AG808" s="3"/>
      <c r="AH808" s="3"/>
      <c r="AI808" s="3"/>
      <c r="AJ808" s="3"/>
      <c r="AK808" s="3"/>
      <c r="AL808" s="3"/>
      <c r="AM808" s="3"/>
      <c r="AN808" s="3"/>
      <c r="AO808" s="3"/>
      <c r="AP808" s="3"/>
      <c r="AQ808" s="3"/>
      <c r="AR808" s="3"/>
      <c r="AS808" s="3"/>
      <c r="AT808" s="3"/>
      <c r="AU808" s="3"/>
      <c r="AV808" s="3"/>
      <c r="AW808" s="3"/>
      <c r="AX808" s="3"/>
      <c r="AY808" s="3"/>
      <c r="AZ808" s="3"/>
      <c r="BA808" s="3"/>
      <c r="BB808" s="3"/>
      <c r="BC808" s="3"/>
    </row>
    <row r="809" spans="1:55">
      <c r="A809" s="1" t="str">
        <f>'Population Definitions'!$A$9</f>
        <v>18-64_females</v>
      </c>
      <c r="C809" t="s">
        <v>34</v>
      </c>
      <c r="D809" s="3"/>
      <c r="E809" s="3">
        <v>0</v>
      </c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  <c r="AC809" s="3"/>
      <c r="AD809" s="3"/>
      <c r="AE809" s="3"/>
      <c r="AF809" s="3"/>
      <c r="AG809" s="3"/>
      <c r="AH809" s="3"/>
      <c r="AI809" s="3"/>
      <c r="AJ809" s="3"/>
      <c r="AK809" s="3"/>
      <c r="AL809" s="3"/>
      <c r="AM809" s="3"/>
      <c r="AN809" s="3"/>
      <c r="AO809" s="3"/>
      <c r="AP809" s="3"/>
      <c r="AQ809" s="3"/>
      <c r="AR809" s="3"/>
      <c r="AS809" s="3"/>
      <c r="AT809" s="3"/>
      <c r="AU809" s="3"/>
      <c r="AV809" s="3"/>
      <c r="AW809" s="3"/>
      <c r="AX809" s="3"/>
      <c r="AY809" s="3"/>
      <c r="AZ809" s="3"/>
      <c r="BA809" s="3"/>
      <c r="BB809" s="3"/>
      <c r="BC809" s="3"/>
    </row>
    <row r="810" spans="1:55">
      <c r="A810" s="1" t="str">
        <f>'Population Definitions'!$A$10</f>
        <v>65+_males</v>
      </c>
      <c r="C810" t="s">
        <v>34</v>
      </c>
      <c r="D810" s="3"/>
      <c r="E810" s="3">
        <v>0</v>
      </c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"/>
      <c r="AC810" s="3"/>
      <c r="AD810" s="3"/>
      <c r="AE810" s="3"/>
      <c r="AF810" s="3"/>
      <c r="AG810" s="3"/>
      <c r="AH810" s="3"/>
      <c r="AI810" s="3"/>
      <c r="AJ810" s="3"/>
      <c r="AK810" s="3"/>
      <c r="AL810" s="3"/>
      <c r="AM810" s="3"/>
      <c r="AN810" s="3"/>
      <c r="AO810" s="3"/>
      <c r="AP810" s="3"/>
      <c r="AQ810" s="3"/>
      <c r="AR810" s="3"/>
      <c r="AS810" s="3"/>
      <c r="AT810" s="3"/>
      <c r="AU810" s="3"/>
      <c r="AV810" s="3"/>
      <c r="AW810" s="3"/>
      <c r="AX810" s="3"/>
      <c r="AY810" s="3"/>
      <c r="AZ810" s="3"/>
      <c r="BA810" s="3"/>
      <c r="BB810" s="3"/>
      <c r="BC810" s="3"/>
    </row>
    <row r="811" spans="1:55">
      <c r="A811" s="1" t="str">
        <f>'Population Definitions'!$A$11</f>
        <v>65+_females</v>
      </c>
      <c r="C811" t="s">
        <v>34</v>
      </c>
      <c r="D811" s="3"/>
      <c r="E811" s="3">
        <v>0</v>
      </c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3"/>
      <c r="AC811" s="3"/>
      <c r="AD811" s="3"/>
      <c r="AE811" s="3"/>
      <c r="AF811" s="3"/>
      <c r="AG811" s="3"/>
      <c r="AH811" s="3"/>
      <c r="AI811" s="3"/>
      <c r="AJ811" s="3"/>
      <c r="AK811" s="3"/>
      <c r="AL811" s="3"/>
      <c r="AM811" s="3"/>
      <c r="AN811" s="3"/>
      <c r="AO811" s="3"/>
      <c r="AP811" s="3"/>
      <c r="AQ811" s="3"/>
      <c r="AR811" s="3"/>
      <c r="AS811" s="3"/>
      <c r="AT811" s="3"/>
      <c r="AU811" s="3"/>
      <c r="AV811" s="3"/>
      <c r="AW811" s="3"/>
      <c r="AX811" s="3"/>
      <c r="AY811" s="3"/>
      <c r="AZ811" s="3"/>
      <c r="BA811" s="3"/>
      <c r="BB811" s="3"/>
      <c r="BC811" s="3"/>
    </row>
    <row r="812" spans="1:55">
      <c r="A812" s="1" t="str">
        <f>'Population Definitions'!$A$12</f>
        <v>Prisoners_males</v>
      </c>
      <c r="C812" t="s">
        <v>34</v>
      </c>
      <c r="D812" s="3"/>
      <c r="E812" s="3">
        <v>0</v>
      </c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"/>
      <c r="AC812" s="3"/>
      <c r="AD812" s="3"/>
      <c r="AE812" s="3"/>
      <c r="AF812" s="3"/>
      <c r="AG812" s="3"/>
      <c r="AH812" s="3"/>
      <c r="AI812" s="3"/>
      <c r="AJ812" s="3"/>
      <c r="AK812" s="3"/>
      <c r="AL812" s="3"/>
      <c r="AM812" s="3"/>
      <c r="AN812" s="3"/>
      <c r="AO812" s="3"/>
      <c r="AP812" s="3"/>
      <c r="AQ812" s="3"/>
      <c r="AR812" s="3"/>
      <c r="AS812" s="3"/>
      <c r="AT812" s="3"/>
      <c r="AU812" s="3"/>
      <c r="AV812" s="3"/>
      <c r="AW812" s="3"/>
      <c r="AX812" s="3"/>
      <c r="AY812" s="3"/>
      <c r="AZ812" s="3"/>
      <c r="BA812" s="3"/>
      <c r="BB812" s="3"/>
      <c r="BC812" s="3"/>
    </row>
    <row r="813" spans="1:55">
      <c r="A813" s="1" t="str">
        <f>'Population Definitions'!$A$13</f>
        <v>Prisoners_females</v>
      </c>
      <c r="C813" t="s">
        <v>34</v>
      </c>
      <c r="D813" s="3"/>
      <c r="E813" s="3">
        <v>0</v>
      </c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"/>
      <c r="AC813" s="3"/>
      <c r="AD813" s="3"/>
      <c r="AE813" s="3"/>
      <c r="AF813" s="3"/>
      <c r="AG813" s="3"/>
      <c r="AH813" s="3"/>
      <c r="AI813" s="3"/>
      <c r="AJ813" s="3"/>
      <c r="AK813" s="3"/>
      <c r="AL813" s="3"/>
      <c r="AM813" s="3"/>
      <c r="AN813" s="3"/>
      <c r="AO813" s="3"/>
      <c r="AP813" s="3"/>
      <c r="AQ813" s="3"/>
      <c r="AR813" s="3"/>
      <c r="AS813" s="3"/>
      <c r="AT813" s="3"/>
      <c r="AU813" s="3"/>
      <c r="AV813" s="3"/>
      <c r="AW813" s="3"/>
      <c r="AX813" s="3"/>
      <c r="AY813" s="3"/>
      <c r="AZ813" s="3"/>
      <c r="BA813" s="3"/>
      <c r="BB813" s="3"/>
      <c r="BC813" s="3"/>
    </row>
    <row r="814" spans="1:55">
      <c r="A814" s="1" t="str">
        <f>'Population Definitions'!$A$14</f>
        <v>Prisoners_PWID_males</v>
      </c>
      <c r="C814" t="s">
        <v>34</v>
      </c>
      <c r="D814" s="3"/>
      <c r="E814" s="3">
        <v>0</v>
      </c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"/>
      <c r="AC814" s="3"/>
      <c r="AD814" s="3"/>
      <c r="AE814" s="3"/>
      <c r="AF814" s="3"/>
      <c r="AG814" s="3"/>
      <c r="AH814" s="3"/>
      <c r="AI814" s="3"/>
      <c r="AJ814" s="3"/>
      <c r="AK814" s="3"/>
      <c r="AL814" s="3"/>
      <c r="AM814" s="3"/>
      <c r="AN814" s="3"/>
      <c r="AO814" s="3"/>
      <c r="AP814" s="3"/>
      <c r="AQ814" s="3"/>
      <c r="AR814" s="3"/>
      <c r="AS814" s="3"/>
      <c r="AT814" s="3"/>
      <c r="AU814" s="3"/>
      <c r="AV814" s="3"/>
      <c r="AW814" s="3"/>
      <c r="AX814" s="3"/>
      <c r="AY814" s="3"/>
      <c r="AZ814" s="3"/>
      <c r="BA814" s="3"/>
      <c r="BB814" s="3"/>
      <c r="BC814" s="3"/>
    </row>
    <row r="815" spans="1:55">
      <c r="A815" s="1" t="str">
        <f>'Population Definitions'!$A$15</f>
        <v>Prisoners_PWID_females</v>
      </c>
      <c r="C815" t="s">
        <v>34</v>
      </c>
      <c r="D815" s="3"/>
      <c r="E815" s="3">
        <v>0</v>
      </c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/>
      <c r="AC815" s="3"/>
      <c r="AD815" s="3"/>
      <c r="AE815" s="3"/>
      <c r="AF815" s="3"/>
      <c r="AG815" s="3"/>
      <c r="AH815" s="3"/>
      <c r="AI815" s="3"/>
      <c r="AJ815" s="3"/>
      <c r="AK815" s="3"/>
      <c r="AL815" s="3"/>
      <c r="AM815" s="3"/>
      <c r="AN815" s="3"/>
      <c r="AO815" s="3"/>
      <c r="AP815" s="3"/>
      <c r="AQ815" s="3"/>
      <c r="AR815" s="3"/>
      <c r="AS815" s="3"/>
      <c r="AT815" s="3"/>
      <c r="AU815" s="3"/>
      <c r="AV815" s="3"/>
      <c r="AW815" s="3"/>
      <c r="AX815" s="3"/>
      <c r="AY815" s="3"/>
      <c r="AZ815" s="3"/>
      <c r="BA815" s="3"/>
      <c r="BB815" s="3"/>
      <c r="BC815" s="3"/>
    </row>
    <row r="817" spans="1:55">
      <c r="A817" s="1" t="s">
        <v>178</v>
      </c>
      <c r="B817" s="1" t="s">
        <v>31</v>
      </c>
      <c r="C817" s="1" t="s">
        <v>32</v>
      </c>
      <c r="D817" s="1" t="s">
        <v>33</v>
      </c>
      <c r="E817" s="1">
        <v>2000</v>
      </c>
      <c r="F817" s="1">
        <v>2001</v>
      </c>
      <c r="G817" s="1">
        <v>2002</v>
      </c>
      <c r="H817" s="1">
        <v>2003</v>
      </c>
      <c r="I817" s="1">
        <v>2004</v>
      </c>
      <c r="J817" s="1">
        <v>2005</v>
      </c>
      <c r="K817" s="1">
        <v>2006</v>
      </c>
      <c r="L817" s="1">
        <v>2007</v>
      </c>
      <c r="M817" s="1">
        <v>2008</v>
      </c>
      <c r="N817" s="1">
        <v>2009</v>
      </c>
      <c r="O817" s="1">
        <v>2010</v>
      </c>
      <c r="P817" s="1">
        <v>2011</v>
      </c>
      <c r="Q817" s="1">
        <v>2012</v>
      </c>
      <c r="R817" s="1">
        <v>2013</v>
      </c>
      <c r="S817" s="1">
        <v>2014</v>
      </c>
      <c r="T817" s="1">
        <v>2015</v>
      </c>
      <c r="U817" s="1">
        <v>2016</v>
      </c>
      <c r="V817" s="1">
        <v>2017</v>
      </c>
      <c r="W817" s="1">
        <v>2018</v>
      </c>
      <c r="X817" s="1">
        <v>2019</v>
      </c>
      <c r="Y817" s="1">
        <v>2020</v>
      </c>
      <c r="Z817" s="1">
        <v>2021</v>
      </c>
      <c r="AA817" s="1">
        <v>2022</v>
      </c>
      <c r="AB817" s="1">
        <v>2023</v>
      </c>
      <c r="AC817" s="1">
        <v>2024</v>
      </c>
      <c r="AD817" s="1">
        <v>2025</v>
      </c>
      <c r="AE817" s="1">
        <v>2026</v>
      </c>
      <c r="AF817" s="1">
        <v>2027</v>
      </c>
      <c r="AG817" s="1">
        <v>2028</v>
      </c>
      <c r="AH817" s="1">
        <v>2029</v>
      </c>
      <c r="AI817" s="1">
        <v>2030</v>
      </c>
      <c r="AJ817" s="1">
        <v>2031</v>
      </c>
      <c r="AK817" s="1">
        <v>2032</v>
      </c>
      <c r="AL817" s="1">
        <v>2033</v>
      </c>
      <c r="AM817" s="1">
        <v>2034</v>
      </c>
      <c r="AN817" s="1">
        <v>2035</v>
      </c>
      <c r="AO817" s="1">
        <v>2036</v>
      </c>
      <c r="AP817" s="1">
        <v>2037</v>
      </c>
      <c r="AQ817" s="1">
        <v>2038</v>
      </c>
      <c r="AR817" s="1">
        <v>2039</v>
      </c>
      <c r="AS817" s="1">
        <v>2040</v>
      </c>
      <c r="AT817" s="1">
        <v>2041</v>
      </c>
      <c r="AU817" s="1">
        <v>2042</v>
      </c>
      <c r="AV817" s="1">
        <v>2043</v>
      </c>
      <c r="AW817" s="1">
        <v>2044</v>
      </c>
      <c r="AX817" s="1">
        <v>2045</v>
      </c>
      <c r="AY817" s="1">
        <v>2046</v>
      </c>
      <c r="AZ817" s="1">
        <v>2047</v>
      </c>
      <c r="BA817" s="1">
        <v>2048</v>
      </c>
      <c r="BB817" s="1">
        <v>2049</v>
      </c>
      <c r="BC817" s="1">
        <v>2050</v>
      </c>
    </row>
    <row r="818" spans="1:55">
      <c r="A818" s="1" t="str">
        <f>'Population Definitions'!$A$2</f>
        <v>PWID_males</v>
      </c>
      <c r="C818" t="s">
        <v>34</v>
      </c>
      <c r="D818" s="3"/>
      <c r="E818" s="3">
        <v>0</v>
      </c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3"/>
      <c r="AC818" s="3"/>
      <c r="AD818" s="3"/>
      <c r="AE818" s="3"/>
      <c r="AF818" s="3"/>
      <c r="AG818" s="3"/>
      <c r="AH818" s="3"/>
      <c r="AI818" s="3"/>
      <c r="AJ818" s="3"/>
      <c r="AK818" s="3"/>
      <c r="AL818" s="3"/>
      <c r="AM818" s="3"/>
      <c r="AN818" s="3"/>
      <c r="AO818" s="3"/>
      <c r="AP818" s="3"/>
      <c r="AQ818" s="3"/>
      <c r="AR818" s="3"/>
      <c r="AS818" s="3"/>
      <c r="AT818" s="3"/>
      <c r="AU818" s="3"/>
      <c r="AV818" s="3"/>
      <c r="AW818" s="3"/>
      <c r="AX818" s="3"/>
      <c r="AY818" s="3"/>
      <c r="AZ818" s="3"/>
      <c r="BA818" s="3"/>
      <c r="BB818" s="3"/>
      <c r="BC818" s="3"/>
    </row>
    <row r="819" spans="1:55">
      <c r="A819" s="1" t="str">
        <f>'Population Definitions'!$A$3</f>
        <v>PWID_females</v>
      </c>
      <c r="C819" t="s">
        <v>34</v>
      </c>
      <c r="D819" s="3"/>
      <c r="E819" s="3">
        <v>0</v>
      </c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3"/>
      <c r="AC819" s="3"/>
      <c r="AD819" s="3"/>
      <c r="AE819" s="3"/>
      <c r="AF819" s="3"/>
      <c r="AG819" s="3"/>
      <c r="AH819" s="3"/>
      <c r="AI819" s="3"/>
      <c r="AJ819" s="3"/>
      <c r="AK819" s="3"/>
      <c r="AL819" s="3"/>
      <c r="AM819" s="3"/>
      <c r="AN819" s="3"/>
      <c r="AO819" s="3"/>
      <c r="AP819" s="3"/>
      <c r="AQ819" s="3"/>
      <c r="AR819" s="3"/>
      <c r="AS819" s="3"/>
      <c r="AT819" s="3"/>
      <c r="AU819" s="3"/>
      <c r="AV819" s="3"/>
      <c r="AW819" s="3"/>
      <c r="AX819" s="3"/>
      <c r="AY819" s="3"/>
      <c r="AZ819" s="3"/>
      <c r="BA819" s="3"/>
      <c r="BB819" s="3"/>
      <c r="BC819" s="3"/>
    </row>
    <row r="820" spans="1:55">
      <c r="A820" s="1" t="str">
        <f>'Population Definitions'!$A$4</f>
        <v>0-9_males</v>
      </c>
      <c r="C820" t="s">
        <v>34</v>
      </c>
      <c r="D820" s="3"/>
      <c r="E820" s="3">
        <v>0</v>
      </c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3"/>
      <c r="AC820" s="3"/>
      <c r="AD820" s="3"/>
      <c r="AE820" s="3"/>
      <c r="AF820" s="3"/>
      <c r="AG820" s="3"/>
      <c r="AH820" s="3"/>
      <c r="AI820" s="3"/>
      <c r="AJ820" s="3"/>
      <c r="AK820" s="3"/>
      <c r="AL820" s="3"/>
      <c r="AM820" s="3"/>
      <c r="AN820" s="3"/>
      <c r="AO820" s="3"/>
      <c r="AP820" s="3"/>
      <c r="AQ820" s="3"/>
      <c r="AR820" s="3"/>
      <c r="AS820" s="3"/>
      <c r="AT820" s="3"/>
      <c r="AU820" s="3"/>
      <c r="AV820" s="3"/>
      <c r="AW820" s="3"/>
      <c r="AX820" s="3"/>
      <c r="AY820" s="3"/>
      <c r="AZ820" s="3"/>
      <c r="BA820" s="3"/>
      <c r="BB820" s="3"/>
      <c r="BC820" s="3"/>
    </row>
    <row r="821" spans="1:55">
      <c r="A821" s="1" t="str">
        <f>'Population Definitions'!$A$5</f>
        <v>0-9_females</v>
      </c>
      <c r="C821" t="s">
        <v>34</v>
      </c>
      <c r="D821" s="3"/>
      <c r="E821" s="3">
        <v>0</v>
      </c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"/>
      <c r="AC821" s="3"/>
      <c r="AD821" s="3"/>
      <c r="AE821" s="3"/>
      <c r="AF821" s="3"/>
      <c r="AG821" s="3"/>
      <c r="AH821" s="3"/>
      <c r="AI821" s="3"/>
      <c r="AJ821" s="3"/>
      <c r="AK821" s="3"/>
      <c r="AL821" s="3"/>
      <c r="AM821" s="3"/>
      <c r="AN821" s="3"/>
      <c r="AO821" s="3"/>
      <c r="AP821" s="3"/>
      <c r="AQ821" s="3"/>
      <c r="AR821" s="3"/>
      <c r="AS821" s="3"/>
      <c r="AT821" s="3"/>
      <c r="AU821" s="3"/>
      <c r="AV821" s="3"/>
      <c r="AW821" s="3"/>
      <c r="AX821" s="3"/>
      <c r="AY821" s="3"/>
      <c r="AZ821" s="3"/>
      <c r="BA821" s="3"/>
      <c r="BB821" s="3"/>
      <c r="BC821" s="3"/>
    </row>
    <row r="822" spans="1:55">
      <c r="A822" s="1" t="str">
        <f>'Population Definitions'!$A$6</f>
        <v>10-17_males</v>
      </c>
      <c r="C822" t="s">
        <v>34</v>
      </c>
      <c r="D822" s="3"/>
      <c r="E822" s="3">
        <v>0</v>
      </c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3"/>
      <c r="AC822" s="3"/>
      <c r="AD822" s="3"/>
      <c r="AE822" s="3"/>
      <c r="AF822" s="3"/>
      <c r="AG822" s="3"/>
      <c r="AH822" s="3"/>
      <c r="AI822" s="3"/>
      <c r="AJ822" s="3"/>
      <c r="AK822" s="3"/>
      <c r="AL822" s="3"/>
      <c r="AM822" s="3"/>
      <c r="AN822" s="3"/>
      <c r="AO822" s="3"/>
      <c r="AP822" s="3"/>
      <c r="AQ822" s="3"/>
      <c r="AR822" s="3"/>
      <c r="AS822" s="3"/>
      <c r="AT822" s="3"/>
      <c r="AU822" s="3"/>
      <c r="AV822" s="3"/>
      <c r="AW822" s="3"/>
      <c r="AX822" s="3"/>
      <c r="AY822" s="3"/>
      <c r="AZ822" s="3"/>
      <c r="BA822" s="3"/>
      <c r="BB822" s="3"/>
      <c r="BC822" s="3"/>
    </row>
    <row r="823" spans="1:55">
      <c r="A823" s="1" t="str">
        <f>'Population Definitions'!$A$7</f>
        <v>10-17_females</v>
      </c>
      <c r="C823" t="s">
        <v>34</v>
      </c>
      <c r="D823" s="3"/>
      <c r="E823" s="3">
        <v>0</v>
      </c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3"/>
      <c r="AC823" s="3"/>
      <c r="AD823" s="3"/>
      <c r="AE823" s="3"/>
      <c r="AF823" s="3"/>
      <c r="AG823" s="3"/>
      <c r="AH823" s="3"/>
      <c r="AI823" s="3"/>
      <c r="AJ823" s="3"/>
      <c r="AK823" s="3"/>
      <c r="AL823" s="3"/>
      <c r="AM823" s="3"/>
      <c r="AN823" s="3"/>
      <c r="AO823" s="3"/>
      <c r="AP823" s="3"/>
      <c r="AQ823" s="3"/>
      <c r="AR823" s="3"/>
      <c r="AS823" s="3"/>
      <c r="AT823" s="3"/>
      <c r="AU823" s="3"/>
      <c r="AV823" s="3"/>
      <c r="AW823" s="3"/>
      <c r="AX823" s="3"/>
      <c r="AY823" s="3"/>
      <c r="AZ823" s="3"/>
      <c r="BA823" s="3"/>
      <c r="BB823" s="3"/>
      <c r="BC823" s="3"/>
    </row>
    <row r="824" spans="1:55">
      <c r="A824" s="1" t="str">
        <f>'Population Definitions'!$A$8</f>
        <v>18-64_males</v>
      </c>
      <c r="C824" t="s">
        <v>34</v>
      </c>
      <c r="D824" s="3"/>
      <c r="E824" s="3">
        <v>0</v>
      </c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3"/>
      <c r="AC824" s="3"/>
      <c r="AD824" s="3"/>
      <c r="AE824" s="3"/>
      <c r="AF824" s="3"/>
      <c r="AG824" s="3"/>
      <c r="AH824" s="3"/>
      <c r="AI824" s="3"/>
      <c r="AJ824" s="3"/>
      <c r="AK824" s="3"/>
      <c r="AL824" s="3"/>
      <c r="AM824" s="3"/>
      <c r="AN824" s="3"/>
      <c r="AO824" s="3"/>
      <c r="AP824" s="3"/>
      <c r="AQ824" s="3"/>
      <c r="AR824" s="3"/>
      <c r="AS824" s="3"/>
      <c r="AT824" s="3"/>
      <c r="AU824" s="3"/>
      <c r="AV824" s="3"/>
      <c r="AW824" s="3"/>
      <c r="AX824" s="3"/>
      <c r="AY824" s="3"/>
      <c r="AZ824" s="3"/>
      <c r="BA824" s="3"/>
      <c r="BB824" s="3"/>
      <c r="BC824" s="3"/>
    </row>
    <row r="825" spans="1:55">
      <c r="A825" s="1" t="str">
        <f>'Population Definitions'!$A$9</f>
        <v>18-64_females</v>
      </c>
      <c r="C825" t="s">
        <v>34</v>
      </c>
      <c r="D825" s="3"/>
      <c r="E825" s="3">
        <v>0</v>
      </c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3"/>
      <c r="AC825" s="3"/>
      <c r="AD825" s="3"/>
      <c r="AE825" s="3"/>
      <c r="AF825" s="3"/>
      <c r="AG825" s="3"/>
      <c r="AH825" s="3"/>
      <c r="AI825" s="3"/>
      <c r="AJ825" s="3"/>
      <c r="AK825" s="3"/>
      <c r="AL825" s="3"/>
      <c r="AM825" s="3"/>
      <c r="AN825" s="3"/>
      <c r="AO825" s="3"/>
      <c r="AP825" s="3"/>
      <c r="AQ825" s="3"/>
      <c r="AR825" s="3"/>
      <c r="AS825" s="3"/>
      <c r="AT825" s="3"/>
      <c r="AU825" s="3"/>
      <c r="AV825" s="3"/>
      <c r="AW825" s="3"/>
      <c r="AX825" s="3"/>
      <c r="AY825" s="3"/>
      <c r="AZ825" s="3"/>
      <c r="BA825" s="3"/>
      <c r="BB825" s="3"/>
      <c r="BC825" s="3"/>
    </row>
    <row r="826" spans="1:55">
      <c r="A826" s="1" t="str">
        <f>'Population Definitions'!$A$10</f>
        <v>65+_males</v>
      </c>
      <c r="C826" t="s">
        <v>34</v>
      </c>
      <c r="D826" s="3"/>
      <c r="E826" s="3">
        <v>0</v>
      </c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3"/>
      <c r="AC826" s="3"/>
      <c r="AD826" s="3"/>
      <c r="AE826" s="3"/>
      <c r="AF826" s="3"/>
      <c r="AG826" s="3"/>
      <c r="AH826" s="3"/>
      <c r="AI826" s="3"/>
      <c r="AJ826" s="3"/>
      <c r="AK826" s="3"/>
      <c r="AL826" s="3"/>
      <c r="AM826" s="3"/>
      <c r="AN826" s="3"/>
      <c r="AO826" s="3"/>
      <c r="AP826" s="3"/>
      <c r="AQ826" s="3"/>
      <c r="AR826" s="3"/>
      <c r="AS826" s="3"/>
      <c r="AT826" s="3"/>
      <c r="AU826" s="3"/>
      <c r="AV826" s="3"/>
      <c r="AW826" s="3"/>
      <c r="AX826" s="3"/>
      <c r="AY826" s="3"/>
      <c r="AZ826" s="3"/>
      <c r="BA826" s="3"/>
      <c r="BB826" s="3"/>
      <c r="BC826" s="3"/>
    </row>
    <row r="827" spans="1:55">
      <c r="A827" s="1" t="str">
        <f>'Population Definitions'!$A$11</f>
        <v>65+_females</v>
      </c>
      <c r="C827" t="s">
        <v>34</v>
      </c>
      <c r="D827" s="3"/>
      <c r="E827" s="3">
        <v>0</v>
      </c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3"/>
      <c r="AC827" s="3"/>
      <c r="AD827" s="3"/>
      <c r="AE827" s="3"/>
      <c r="AF827" s="3"/>
      <c r="AG827" s="3"/>
      <c r="AH827" s="3"/>
      <c r="AI827" s="3"/>
      <c r="AJ827" s="3"/>
      <c r="AK827" s="3"/>
      <c r="AL827" s="3"/>
      <c r="AM827" s="3"/>
      <c r="AN827" s="3"/>
      <c r="AO827" s="3"/>
      <c r="AP827" s="3"/>
      <c r="AQ827" s="3"/>
      <c r="AR827" s="3"/>
      <c r="AS827" s="3"/>
      <c r="AT827" s="3"/>
      <c r="AU827" s="3"/>
      <c r="AV827" s="3"/>
      <c r="AW827" s="3"/>
      <c r="AX827" s="3"/>
      <c r="AY827" s="3"/>
      <c r="AZ827" s="3"/>
      <c r="BA827" s="3"/>
      <c r="BB827" s="3"/>
      <c r="BC827" s="3"/>
    </row>
    <row r="828" spans="1:55">
      <c r="A828" s="1" t="str">
        <f>'Population Definitions'!$A$12</f>
        <v>Prisoners_males</v>
      </c>
      <c r="C828" t="s">
        <v>34</v>
      </c>
      <c r="D828" s="3"/>
      <c r="E828" s="3">
        <v>0</v>
      </c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3"/>
      <c r="AC828" s="3"/>
      <c r="AD828" s="3"/>
      <c r="AE828" s="3"/>
      <c r="AF828" s="3"/>
      <c r="AG828" s="3"/>
      <c r="AH828" s="3"/>
      <c r="AI828" s="3"/>
      <c r="AJ828" s="3"/>
      <c r="AK828" s="3"/>
      <c r="AL828" s="3"/>
      <c r="AM828" s="3"/>
      <c r="AN828" s="3"/>
      <c r="AO828" s="3"/>
      <c r="AP828" s="3"/>
      <c r="AQ828" s="3"/>
      <c r="AR828" s="3"/>
      <c r="AS828" s="3"/>
      <c r="AT828" s="3"/>
      <c r="AU828" s="3"/>
      <c r="AV828" s="3"/>
      <c r="AW828" s="3"/>
      <c r="AX828" s="3"/>
      <c r="AY828" s="3"/>
      <c r="AZ828" s="3"/>
      <c r="BA828" s="3"/>
      <c r="BB828" s="3"/>
      <c r="BC828" s="3"/>
    </row>
    <row r="829" spans="1:55">
      <c r="A829" s="1" t="str">
        <f>'Population Definitions'!$A$13</f>
        <v>Prisoners_females</v>
      </c>
      <c r="C829" t="s">
        <v>34</v>
      </c>
      <c r="D829" s="3"/>
      <c r="E829" s="3">
        <v>0</v>
      </c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3"/>
      <c r="AC829" s="3"/>
      <c r="AD829" s="3"/>
      <c r="AE829" s="3"/>
      <c r="AF829" s="3"/>
      <c r="AG829" s="3"/>
      <c r="AH829" s="3"/>
      <c r="AI829" s="3"/>
      <c r="AJ829" s="3"/>
      <c r="AK829" s="3"/>
      <c r="AL829" s="3"/>
      <c r="AM829" s="3"/>
      <c r="AN829" s="3"/>
      <c r="AO829" s="3"/>
      <c r="AP829" s="3"/>
      <c r="AQ829" s="3"/>
      <c r="AR829" s="3"/>
      <c r="AS829" s="3"/>
      <c r="AT829" s="3"/>
      <c r="AU829" s="3"/>
      <c r="AV829" s="3"/>
      <c r="AW829" s="3"/>
      <c r="AX829" s="3"/>
      <c r="AY829" s="3"/>
      <c r="AZ829" s="3"/>
      <c r="BA829" s="3"/>
      <c r="BB829" s="3"/>
      <c r="BC829" s="3"/>
    </row>
    <row r="830" spans="1:55">
      <c r="A830" s="1" t="str">
        <f>'Population Definitions'!$A$14</f>
        <v>Prisoners_PWID_males</v>
      </c>
      <c r="C830" t="s">
        <v>34</v>
      </c>
      <c r="D830" s="3"/>
      <c r="E830" s="3">
        <v>0</v>
      </c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  <c r="AC830" s="3"/>
      <c r="AD830" s="3"/>
      <c r="AE830" s="3"/>
      <c r="AF830" s="3"/>
      <c r="AG830" s="3"/>
      <c r="AH830" s="3"/>
      <c r="AI830" s="3"/>
      <c r="AJ830" s="3"/>
      <c r="AK830" s="3"/>
      <c r="AL830" s="3"/>
      <c r="AM830" s="3"/>
      <c r="AN830" s="3"/>
      <c r="AO830" s="3"/>
      <c r="AP830" s="3"/>
      <c r="AQ830" s="3"/>
      <c r="AR830" s="3"/>
      <c r="AS830" s="3"/>
      <c r="AT830" s="3"/>
      <c r="AU830" s="3"/>
      <c r="AV830" s="3"/>
      <c r="AW830" s="3"/>
      <c r="AX830" s="3"/>
      <c r="AY830" s="3"/>
      <c r="AZ830" s="3"/>
      <c r="BA830" s="3"/>
      <c r="BB830" s="3"/>
      <c r="BC830" s="3"/>
    </row>
    <row r="831" spans="1:55">
      <c r="A831" s="1" t="str">
        <f>'Population Definitions'!$A$15</f>
        <v>Prisoners_PWID_females</v>
      </c>
      <c r="C831" t="s">
        <v>34</v>
      </c>
      <c r="D831" s="3"/>
      <c r="E831" s="3">
        <v>0</v>
      </c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  <c r="AC831" s="3"/>
      <c r="AD831" s="3"/>
      <c r="AE831" s="3"/>
      <c r="AF831" s="3"/>
      <c r="AG831" s="3"/>
      <c r="AH831" s="3"/>
      <c r="AI831" s="3"/>
      <c r="AJ831" s="3"/>
      <c r="AK831" s="3"/>
      <c r="AL831" s="3"/>
      <c r="AM831" s="3"/>
      <c r="AN831" s="3"/>
      <c r="AO831" s="3"/>
      <c r="AP831" s="3"/>
      <c r="AQ831" s="3"/>
      <c r="AR831" s="3"/>
      <c r="AS831" s="3"/>
      <c r="AT831" s="3"/>
      <c r="AU831" s="3"/>
      <c r="AV831" s="3"/>
      <c r="AW831" s="3"/>
      <c r="AX831" s="3"/>
      <c r="AY831" s="3"/>
      <c r="AZ831" s="3"/>
      <c r="BA831" s="3"/>
      <c r="BB831" s="3"/>
      <c r="BC831" s="3"/>
    </row>
    <row r="833" spans="1:55">
      <c r="A833" s="1" t="s">
        <v>179</v>
      </c>
      <c r="B833" s="1" t="s">
        <v>31</v>
      </c>
      <c r="C833" s="1" t="s">
        <v>32</v>
      </c>
      <c r="D833" s="1" t="s">
        <v>33</v>
      </c>
      <c r="E833" s="1">
        <v>2000</v>
      </c>
      <c r="F833" s="1">
        <v>2001</v>
      </c>
      <c r="G833" s="1">
        <v>2002</v>
      </c>
      <c r="H833" s="1">
        <v>2003</v>
      </c>
      <c r="I833" s="1">
        <v>2004</v>
      </c>
      <c r="J833" s="1">
        <v>2005</v>
      </c>
      <c r="K833" s="1">
        <v>2006</v>
      </c>
      <c r="L833" s="1">
        <v>2007</v>
      </c>
      <c r="M833" s="1">
        <v>2008</v>
      </c>
      <c r="N833" s="1">
        <v>2009</v>
      </c>
      <c r="O833" s="1">
        <v>2010</v>
      </c>
      <c r="P833" s="1">
        <v>2011</v>
      </c>
      <c r="Q833" s="1">
        <v>2012</v>
      </c>
      <c r="R833" s="1">
        <v>2013</v>
      </c>
      <c r="S833" s="1">
        <v>2014</v>
      </c>
      <c r="T833" s="1">
        <v>2015</v>
      </c>
      <c r="U833" s="1">
        <v>2016</v>
      </c>
      <c r="V833" s="1">
        <v>2017</v>
      </c>
      <c r="W833" s="1">
        <v>2018</v>
      </c>
      <c r="X833" s="1">
        <v>2019</v>
      </c>
      <c r="Y833" s="1">
        <v>2020</v>
      </c>
      <c r="Z833" s="1">
        <v>2021</v>
      </c>
      <c r="AA833" s="1">
        <v>2022</v>
      </c>
      <c r="AB833" s="1">
        <v>2023</v>
      </c>
      <c r="AC833" s="1">
        <v>2024</v>
      </c>
      <c r="AD833" s="1">
        <v>2025</v>
      </c>
      <c r="AE833" s="1">
        <v>2026</v>
      </c>
      <c r="AF833" s="1">
        <v>2027</v>
      </c>
      <c r="AG833" s="1">
        <v>2028</v>
      </c>
      <c r="AH833" s="1">
        <v>2029</v>
      </c>
      <c r="AI833" s="1">
        <v>2030</v>
      </c>
      <c r="AJ833" s="1">
        <v>2031</v>
      </c>
      <c r="AK833" s="1">
        <v>2032</v>
      </c>
      <c r="AL833" s="1">
        <v>2033</v>
      </c>
      <c r="AM833" s="1">
        <v>2034</v>
      </c>
      <c r="AN833" s="1">
        <v>2035</v>
      </c>
      <c r="AO833" s="1">
        <v>2036</v>
      </c>
      <c r="AP833" s="1">
        <v>2037</v>
      </c>
      <c r="AQ833" s="1">
        <v>2038</v>
      </c>
      <c r="AR833" s="1">
        <v>2039</v>
      </c>
      <c r="AS833" s="1">
        <v>2040</v>
      </c>
      <c r="AT833" s="1">
        <v>2041</v>
      </c>
      <c r="AU833" s="1">
        <v>2042</v>
      </c>
      <c r="AV833" s="1">
        <v>2043</v>
      </c>
      <c r="AW833" s="1">
        <v>2044</v>
      </c>
      <c r="AX833" s="1">
        <v>2045</v>
      </c>
      <c r="AY833" s="1">
        <v>2046</v>
      </c>
      <c r="AZ833" s="1">
        <v>2047</v>
      </c>
      <c r="BA833" s="1">
        <v>2048</v>
      </c>
      <c r="BB833" s="1">
        <v>2049</v>
      </c>
      <c r="BC833" s="1">
        <v>2050</v>
      </c>
    </row>
    <row r="834" spans="1:55">
      <c r="A834" s="1" t="str">
        <f>'Population Definitions'!$A$2</f>
        <v>PWID_males</v>
      </c>
      <c r="C834" t="s">
        <v>34</v>
      </c>
      <c r="D834" s="3"/>
      <c r="E834" s="3">
        <v>0</v>
      </c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3"/>
      <c r="AC834" s="3"/>
      <c r="AD834" s="3"/>
      <c r="AE834" s="3"/>
      <c r="AF834" s="3"/>
      <c r="AG834" s="3"/>
      <c r="AH834" s="3"/>
      <c r="AI834" s="3"/>
      <c r="AJ834" s="3"/>
      <c r="AK834" s="3"/>
      <c r="AL834" s="3"/>
      <c r="AM834" s="3"/>
      <c r="AN834" s="3"/>
      <c r="AO834" s="3"/>
      <c r="AP834" s="3"/>
      <c r="AQ834" s="3"/>
      <c r="AR834" s="3"/>
      <c r="AS834" s="3"/>
      <c r="AT834" s="3"/>
      <c r="AU834" s="3"/>
      <c r="AV834" s="3"/>
      <c r="AW834" s="3"/>
      <c r="AX834" s="3"/>
      <c r="AY834" s="3"/>
      <c r="AZ834" s="3"/>
      <c r="BA834" s="3"/>
      <c r="BB834" s="3"/>
      <c r="BC834" s="3"/>
    </row>
    <row r="835" spans="1:55">
      <c r="A835" s="1" t="str">
        <f>'Population Definitions'!$A$3</f>
        <v>PWID_females</v>
      </c>
      <c r="C835" t="s">
        <v>34</v>
      </c>
      <c r="D835" s="3"/>
      <c r="E835" s="3">
        <v>0</v>
      </c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3"/>
      <c r="AC835" s="3"/>
      <c r="AD835" s="3"/>
      <c r="AE835" s="3"/>
      <c r="AF835" s="3"/>
      <c r="AG835" s="3"/>
      <c r="AH835" s="3"/>
      <c r="AI835" s="3"/>
      <c r="AJ835" s="3"/>
      <c r="AK835" s="3"/>
      <c r="AL835" s="3"/>
      <c r="AM835" s="3"/>
      <c r="AN835" s="3"/>
      <c r="AO835" s="3"/>
      <c r="AP835" s="3"/>
      <c r="AQ835" s="3"/>
      <c r="AR835" s="3"/>
      <c r="AS835" s="3"/>
      <c r="AT835" s="3"/>
      <c r="AU835" s="3"/>
      <c r="AV835" s="3"/>
      <c r="AW835" s="3"/>
      <c r="AX835" s="3"/>
      <c r="AY835" s="3"/>
      <c r="AZ835" s="3"/>
      <c r="BA835" s="3"/>
      <c r="BB835" s="3"/>
      <c r="BC835" s="3"/>
    </row>
    <row r="836" spans="1:55">
      <c r="A836" s="1" t="str">
        <f>'Population Definitions'!$A$4</f>
        <v>0-9_males</v>
      </c>
      <c r="C836" t="s">
        <v>34</v>
      </c>
      <c r="D836" s="3"/>
      <c r="E836" s="3">
        <v>0</v>
      </c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"/>
      <c r="AC836" s="3"/>
      <c r="AD836" s="3"/>
      <c r="AE836" s="3"/>
      <c r="AF836" s="3"/>
      <c r="AG836" s="3"/>
      <c r="AH836" s="3"/>
      <c r="AI836" s="3"/>
      <c r="AJ836" s="3"/>
      <c r="AK836" s="3"/>
      <c r="AL836" s="3"/>
      <c r="AM836" s="3"/>
      <c r="AN836" s="3"/>
      <c r="AO836" s="3"/>
      <c r="AP836" s="3"/>
      <c r="AQ836" s="3"/>
      <c r="AR836" s="3"/>
      <c r="AS836" s="3"/>
      <c r="AT836" s="3"/>
      <c r="AU836" s="3"/>
      <c r="AV836" s="3"/>
      <c r="AW836" s="3"/>
      <c r="AX836" s="3"/>
      <c r="AY836" s="3"/>
      <c r="AZ836" s="3"/>
      <c r="BA836" s="3"/>
      <c r="BB836" s="3"/>
      <c r="BC836" s="3"/>
    </row>
    <row r="837" spans="1:55">
      <c r="A837" s="1" t="str">
        <f>'Population Definitions'!$A$5</f>
        <v>0-9_females</v>
      </c>
      <c r="C837" t="s">
        <v>34</v>
      </c>
      <c r="D837" s="3"/>
      <c r="E837" s="3">
        <v>0</v>
      </c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/>
      <c r="AC837" s="3"/>
      <c r="AD837" s="3"/>
      <c r="AE837" s="3"/>
      <c r="AF837" s="3"/>
      <c r="AG837" s="3"/>
      <c r="AH837" s="3"/>
      <c r="AI837" s="3"/>
      <c r="AJ837" s="3"/>
      <c r="AK837" s="3"/>
      <c r="AL837" s="3"/>
      <c r="AM837" s="3"/>
      <c r="AN837" s="3"/>
      <c r="AO837" s="3"/>
      <c r="AP837" s="3"/>
      <c r="AQ837" s="3"/>
      <c r="AR837" s="3"/>
      <c r="AS837" s="3"/>
      <c r="AT837" s="3"/>
      <c r="AU837" s="3"/>
      <c r="AV837" s="3"/>
      <c r="AW837" s="3"/>
      <c r="AX837" s="3"/>
      <c r="AY837" s="3"/>
      <c r="AZ837" s="3"/>
      <c r="BA837" s="3"/>
      <c r="BB837" s="3"/>
      <c r="BC837" s="3"/>
    </row>
    <row r="838" spans="1:55">
      <c r="A838" s="1" t="str">
        <f>'Population Definitions'!$A$6</f>
        <v>10-17_males</v>
      </c>
      <c r="C838" t="s">
        <v>34</v>
      </c>
      <c r="D838" s="3"/>
      <c r="E838" s="3">
        <v>0</v>
      </c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"/>
      <c r="AC838" s="3"/>
      <c r="AD838" s="3"/>
      <c r="AE838" s="3"/>
      <c r="AF838" s="3"/>
      <c r="AG838" s="3"/>
      <c r="AH838" s="3"/>
      <c r="AI838" s="3"/>
      <c r="AJ838" s="3"/>
      <c r="AK838" s="3"/>
      <c r="AL838" s="3"/>
      <c r="AM838" s="3"/>
      <c r="AN838" s="3"/>
      <c r="AO838" s="3"/>
      <c r="AP838" s="3"/>
      <c r="AQ838" s="3"/>
      <c r="AR838" s="3"/>
      <c r="AS838" s="3"/>
      <c r="AT838" s="3"/>
      <c r="AU838" s="3"/>
      <c r="AV838" s="3"/>
      <c r="AW838" s="3"/>
      <c r="AX838" s="3"/>
      <c r="AY838" s="3"/>
      <c r="AZ838" s="3"/>
      <c r="BA838" s="3"/>
      <c r="BB838" s="3"/>
      <c r="BC838" s="3"/>
    </row>
    <row r="839" spans="1:55">
      <c r="A839" s="1" t="str">
        <f>'Population Definitions'!$A$7</f>
        <v>10-17_females</v>
      </c>
      <c r="C839" t="s">
        <v>34</v>
      </c>
      <c r="D839" s="3"/>
      <c r="E839" s="3">
        <v>0</v>
      </c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3"/>
      <c r="AC839" s="3"/>
      <c r="AD839" s="3"/>
      <c r="AE839" s="3"/>
      <c r="AF839" s="3"/>
      <c r="AG839" s="3"/>
      <c r="AH839" s="3"/>
      <c r="AI839" s="3"/>
      <c r="AJ839" s="3"/>
      <c r="AK839" s="3"/>
      <c r="AL839" s="3"/>
      <c r="AM839" s="3"/>
      <c r="AN839" s="3"/>
      <c r="AO839" s="3"/>
      <c r="AP839" s="3"/>
      <c r="AQ839" s="3"/>
      <c r="AR839" s="3"/>
      <c r="AS839" s="3"/>
      <c r="AT839" s="3"/>
      <c r="AU839" s="3"/>
      <c r="AV839" s="3"/>
      <c r="AW839" s="3"/>
      <c r="AX839" s="3"/>
      <c r="AY839" s="3"/>
      <c r="AZ839" s="3"/>
      <c r="BA839" s="3"/>
      <c r="BB839" s="3"/>
      <c r="BC839" s="3"/>
    </row>
    <row r="840" spans="1:55">
      <c r="A840" s="1" t="str">
        <f>'Population Definitions'!$A$8</f>
        <v>18-64_males</v>
      </c>
      <c r="C840" t="s">
        <v>34</v>
      </c>
      <c r="D840" s="3"/>
      <c r="E840" s="3">
        <v>0</v>
      </c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3"/>
      <c r="AC840" s="3"/>
      <c r="AD840" s="3"/>
      <c r="AE840" s="3"/>
      <c r="AF840" s="3"/>
      <c r="AG840" s="3"/>
      <c r="AH840" s="3"/>
      <c r="AI840" s="3"/>
      <c r="AJ840" s="3"/>
      <c r="AK840" s="3"/>
      <c r="AL840" s="3"/>
      <c r="AM840" s="3"/>
      <c r="AN840" s="3"/>
      <c r="AO840" s="3"/>
      <c r="AP840" s="3"/>
      <c r="AQ840" s="3"/>
      <c r="AR840" s="3"/>
      <c r="AS840" s="3"/>
      <c r="AT840" s="3"/>
      <c r="AU840" s="3"/>
      <c r="AV840" s="3"/>
      <c r="AW840" s="3"/>
      <c r="AX840" s="3"/>
      <c r="AY840" s="3"/>
      <c r="AZ840" s="3"/>
      <c r="BA840" s="3"/>
      <c r="BB840" s="3"/>
      <c r="BC840" s="3"/>
    </row>
    <row r="841" spans="1:55">
      <c r="A841" s="1" t="str">
        <f>'Population Definitions'!$A$9</f>
        <v>18-64_females</v>
      </c>
      <c r="C841" t="s">
        <v>34</v>
      </c>
      <c r="D841" s="3"/>
      <c r="E841" s="3">
        <v>0</v>
      </c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3"/>
      <c r="AC841" s="3"/>
      <c r="AD841" s="3"/>
      <c r="AE841" s="3"/>
      <c r="AF841" s="3"/>
      <c r="AG841" s="3"/>
      <c r="AH841" s="3"/>
      <c r="AI841" s="3"/>
      <c r="AJ841" s="3"/>
      <c r="AK841" s="3"/>
      <c r="AL841" s="3"/>
      <c r="AM841" s="3"/>
      <c r="AN841" s="3"/>
      <c r="AO841" s="3"/>
      <c r="AP841" s="3"/>
      <c r="AQ841" s="3"/>
      <c r="AR841" s="3"/>
      <c r="AS841" s="3"/>
      <c r="AT841" s="3"/>
      <c r="AU841" s="3"/>
      <c r="AV841" s="3"/>
      <c r="AW841" s="3"/>
      <c r="AX841" s="3"/>
      <c r="AY841" s="3"/>
      <c r="AZ841" s="3"/>
      <c r="BA841" s="3"/>
      <c r="BB841" s="3"/>
      <c r="BC841" s="3"/>
    </row>
    <row r="842" spans="1:55">
      <c r="A842" s="1" t="str">
        <f>'Population Definitions'!$A$10</f>
        <v>65+_males</v>
      </c>
      <c r="C842" t="s">
        <v>34</v>
      </c>
      <c r="D842" s="3"/>
      <c r="E842" s="3">
        <v>0</v>
      </c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3"/>
      <c r="AC842" s="3"/>
      <c r="AD842" s="3"/>
      <c r="AE842" s="3"/>
      <c r="AF842" s="3"/>
      <c r="AG842" s="3"/>
      <c r="AH842" s="3"/>
      <c r="AI842" s="3"/>
      <c r="AJ842" s="3"/>
      <c r="AK842" s="3"/>
      <c r="AL842" s="3"/>
      <c r="AM842" s="3"/>
      <c r="AN842" s="3"/>
      <c r="AO842" s="3"/>
      <c r="AP842" s="3"/>
      <c r="AQ842" s="3"/>
      <c r="AR842" s="3"/>
      <c r="AS842" s="3"/>
      <c r="AT842" s="3"/>
      <c r="AU842" s="3"/>
      <c r="AV842" s="3"/>
      <c r="AW842" s="3"/>
      <c r="AX842" s="3"/>
      <c r="AY842" s="3"/>
      <c r="AZ842" s="3"/>
      <c r="BA842" s="3"/>
      <c r="BB842" s="3"/>
      <c r="BC842" s="3"/>
    </row>
    <row r="843" spans="1:55">
      <c r="A843" s="1" t="str">
        <f>'Population Definitions'!$A$11</f>
        <v>65+_females</v>
      </c>
      <c r="C843" t="s">
        <v>34</v>
      </c>
      <c r="D843" s="3"/>
      <c r="E843" s="3">
        <v>0</v>
      </c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3"/>
      <c r="AC843" s="3"/>
      <c r="AD843" s="3"/>
      <c r="AE843" s="3"/>
      <c r="AF843" s="3"/>
      <c r="AG843" s="3"/>
      <c r="AH843" s="3"/>
      <c r="AI843" s="3"/>
      <c r="AJ843" s="3"/>
      <c r="AK843" s="3"/>
      <c r="AL843" s="3"/>
      <c r="AM843" s="3"/>
      <c r="AN843" s="3"/>
      <c r="AO843" s="3"/>
      <c r="AP843" s="3"/>
      <c r="AQ843" s="3"/>
      <c r="AR843" s="3"/>
      <c r="AS843" s="3"/>
      <c r="AT843" s="3"/>
      <c r="AU843" s="3"/>
      <c r="AV843" s="3"/>
      <c r="AW843" s="3"/>
      <c r="AX843" s="3"/>
      <c r="AY843" s="3"/>
      <c r="AZ843" s="3"/>
      <c r="BA843" s="3"/>
      <c r="BB843" s="3"/>
      <c r="BC843" s="3"/>
    </row>
    <row r="844" spans="1:55">
      <c r="A844" s="1" t="str">
        <f>'Population Definitions'!$A$12</f>
        <v>Prisoners_males</v>
      </c>
      <c r="C844" t="s">
        <v>34</v>
      </c>
      <c r="D844" s="3"/>
      <c r="E844" s="3">
        <v>0</v>
      </c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"/>
      <c r="AC844" s="3"/>
      <c r="AD844" s="3"/>
      <c r="AE844" s="3"/>
      <c r="AF844" s="3"/>
      <c r="AG844" s="3"/>
      <c r="AH844" s="3"/>
      <c r="AI844" s="3"/>
      <c r="AJ844" s="3"/>
      <c r="AK844" s="3"/>
      <c r="AL844" s="3"/>
      <c r="AM844" s="3"/>
      <c r="AN844" s="3"/>
      <c r="AO844" s="3"/>
      <c r="AP844" s="3"/>
      <c r="AQ844" s="3"/>
      <c r="AR844" s="3"/>
      <c r="AS844" s="3"/>
      <c r="AT844" s="3"/>
      <c r="AU844" s="3"/>
      <c r="AV844" s="3"/>
      <c r="AW844" s="3"/>
      <c r="AX844" s="3"/>
      <c r="AY844" s="3"/>
      <c r="AZ844" s="3"/>
      <c r="BA844" s="3"/>
      <c r="BB844" s="3"/>
      <c r="BC844" s="3"/>
    </row>
    <row r="845" spans="1:55">
      <c r="A845" s="1" t="str">
        <f>'Population Definitions'!$A$13</f>
        <v>Prisoners_females</v>
      </c>
      <c r="C845" t="s">
        <v>34</v>
      </c>
      <c r="D845" s="3"/>
      <c r="E845" s="3">
        <v>0</v>
      </c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3"/>
      <c r="AC845" s="3"/>
      <c r="AD845" s="3"/>
      <c r="AE845" s="3"/>
      <c r="AF845" s="3"/>
      <c r="AG845" s="3"/>
      <c r="AH845" s="3"/>
      <c r="AI845" s="3"/>
      <c r="AJ845" s="3"/>
      <c r="AK845" s="3"/>
      <c r="AL845" s="3"/>
      <c r="AM845" s="3"/>
      <c r="AN845" s="3"/>
      <c r="AO845" s="3"/>
      <c r="AP845" s="3"/>
      <c r="AQ845" s="3"/>
      <c r="AR845" s="3"/>
      <c r="AS845" s="3"/>
      <c r="AT845" s="3"/>
      <c r="AU845" s="3"/>
      <c r="AV845" s="3"/>
      <c r="AW845" s="3"/>
      <c r="AX845" s="3"/>
      <c r="AY845" s="3"/>
      <c r="AZ845" s="3"/>
      <c r="BA845" s="3"/>
      <c r="BB845" s="3"/>
      <c r="BC845" s="3"/>
    </row>
    <row r="846" spans="1:55">
      <c r="A846" s="1" t="str">
        <f>'Population Definitions'!$A$14</f>
        <v>Prisoners_PWID_males</v>
      </c>
      <c r="C846" t="s">
        <v>34</v>
      </c>
      <c r="D846" s="3"/>
      <c r="E846" s="3">
        <v>0</v>
      </c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3"/>
      <c r="AC846" s="3"/>
      <c r="AD846" s="3"/>
      <c r="AE846" s="3"/>
      <c r="AF846" s="3"/>
      <c r="AG846" s="3"/>
      <c r="AH846" s="3"/>
      <c r="AI846" s="3"/>
      <c r="AJ846" s="3"/>
      <c r="AK846" s="3"/>
      <c r="AL846" s="3"/>
      <c r="AM846" s="3"/>
      <c r="AN846" s="3"/>
      <c r="AO846" s="3"/>
      <c r="AP846" s="3"/>
      <c r="AQ846" s="3"/>
      <c r="AR846" s="3"/>
      <c r="AS846" s="3"/>
      <c r="AT846" s="3"/>
      <c r="AU846" s="3"/>
      <c r="AV846" s="3"/>
      <c r="AW846" s="3"/>
      <c r="AX846" s="3"/>
      <c r="AY846" s="3"/>
      <c r="AZ846" s="3"/>
      <c r="BA846" s="3"/>
      <c r="BB846" s="3"/>
      <c r="BC846" s="3"/>
    </row>
    <row r="847" spans="1:55">
      <c r="A847" s="1" t="str">
        <f>'Population Definitions'!$A$15</f>
        <v>Prisoners_PWID_females</v>
      </c>
      <c r="C847" t="s">
        <v>34</v>
      </c>
      <c r="D847" s="3"/>
      <c r="E847" s="3">
        <v>0</v>
      </c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  <c r="AB847" s="3"/>
      <c r="AC847" s="3"/>
      <c r="AD847" s="3"/>
      <c r="AE847" s="3"/>
      <c r="AF847" s="3"/>
      <c r="AG847" s="3"/>
      <c r="AH847" s="3"/>
      <c r="AI847" s="3"/>
      <c r="AJ847" s="3"/>
      <c r="AK847" s="3"/>
      <c r="AL847" s="3"/>
      <c r="AM847" s="3"/>
      <c r="AN847" s="3"/>
      <c r="AO847" s="3"/>
      <c r="AP847" s="3"/>
      <c r="AQ847" s="3"/>
      <c r="AR847" s="3"/>
      <c r="AS847" s="3"/>
      <c r="AT847" s="3"/>
      <c r="AU847" s="3"/>
      <c r="AV847" s="3"/>
      <c r="AW847" s="3"/>
      <c r="AX847" s="3"/>
      <c r="AY847" s="3"/>
      <c r="AZ847" s="3"/>
      <c r="BA847" s="3"/>
      <c r="BB847" s="3"/>
      <c r="BC847" s="3"/>
    </row>
    <row r="849" spans="1:55">
      <c r="A849" s="1" t="s">
        <v>180</v>
      </c>
      <c r="B849" s="1" t="s">
        <v>31</v>
      </c>
      <c r="C849" s="1" t="s">
        <v>32</v>
      </c>
      <c r="D849" s="1" t="s">
        <v>33</v>
      </c>
      <c r="E849" s="1">
        <v>2000</v>
      </c>
      <c r="F849" s="1">
        <v>2001</v>
      </c>
      <c r="G849" s="1">
        <v>2002</v>
      </c>
      <c r="H849" s="1">
        <v>2003</v>
      </c>
      <c r="I849" s="1">
        <v>2004</v>
      </c>
      <c r="J849" s="1">
        <v>2005</v>
      </c>
      <c r="K849" s="1">
        <v>2006</v>
      </c>
      <c r="L849" s="1">
        <v>2007</v>
      </c>
      <c r="M849" s="1">
        <v>2008</v>
      </c>
      <c r="N849" s="1">
        <v>2009</v>
      </c>
      <c r="O849" s="1">
        <v>2010</v>
      </c>
      <c r="P849" s="1">
        <v>2011</v>
      </c>
      <c r="Q849" s="1">
        <v>2012</v>
      </c>
      <c r="R849" s="1">
        <v>2013</v>
      </c>
      <c r="S849" s="1">
        <v>2014</v>
      </c>
      <c r="T849" s="1">
        <v>2015</v>
      </c>
      <c r="U849" s="1">
        <v>2016</v>
      </c>
      <c r="V849" s="1">
        <v>2017</v>
      </c>
      <c r="W849" s="1">
        <v>2018</v>
      </c>
      <c r="X849" s="1">
        <v>2019</v>
      </c>
      <c r="Y849" s="1">
        <v>2020</v>
      </c>
      <c r="Z849" s="1">
        <v>2021</v>
      </c>
      <c r="AA849" s="1">
        <v>2022</v>
      </c>
      <c r="AB849" s="1">
        <v>2023</v>
      </c>
      <c r="AC849" s="1">
        <v>2024</v>
      </c>
      <c r="AD849" s="1">
        <v>2025</v>
      </c>
      <c r="AE849" s="1">
        <v>2026</v>
      </c>
      <c r="AF849" s="1">
        <v>2027</v>
      </c>
      <c r="AG849" s="1">
        <v>2028</v>
      </c>
      <c r="AH849" s="1">
        <v>2029</v>
      </c>
      <c r="AI849" s="1">
        <v>2030</v>
      </c>
      <c r="AJ849" s="1">
        <v>2031</v>
      </c>
      <c r="AK849" s="1">
        <v>2032</v>
      </c>
      <c r="AL849" s="1">
        <v>2033</v>
      </c>
      <c r="AM849" s="1">
        <v>2034</v>
      </c>
      <c r="AN849" s="1">
        <v>2035</v>
      </c>
      <c r="AO849" s="1">
        <v>2036</v>
      </c>
      <c r="AP849" s="1">
        <v>2037</v>
      </c>
      <c r="AQ849" s="1">
        <v>2038</v>
      </c>
      <c r="AR849" s="1">
        <v>2039</v>
      </c>
      <c r="AS849" s="1">
        <v>2040</v>
      </c>
      <c r="AT849" s="1">
        <v>2041</v>
      </c>
      <c r="AU849" s="1">
        <v>2042</v>
      </c>
      <c r="AV849" s="1">
        <v>2043</v>
      </c>
      <c r="AW849" s="1">
        <v>2044</v>
      </c>
      <c r="AX849" s="1">
        <v>2045</v>
      </c>
      <c r="AY849" s="1">
        <v>2046</v>
      </c>
      <c r="AZ849" s="1">
        <v>2047</v>
      </c>
      <c r="BA849" s="1">
        <v>2048</v>
      </c>
      <c r="BB849" s="1">
        <v>2049</v>
      </c>
      <c r="BC849" s="1">
        <v>2050</v>
      </c>
    </row>
    <row r="850" spans="1:55">
      <c r="A850" s="1" t="str">
        <f>'Population Definitions'!$A$2</f>
        <v>PWID_males</v>
      </c>
      <c r="C850" t="s">
        <v>34</v>
      </c>
      <c r="D850" s="3"/>
      <c r="E850" s="3">
        <v>0</v>
      </c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  <c r="AB850" s="3"/>
      <c r="AC850" s="3"/>
      <c r="AD850" s="3"/>
      <c r="AE850" s="3"/>
      <c r="AF850" s="3"/>
      <c r="AG850" s="3"/>
      <c r="AH850" s="3"/>
      <c r="AI850" s="3"/>
      <c r="AJ850" s="3"/>
      <c r="AK850" s="3"/>
      <c r="AL850" s="3"/>
      <c r="AM850" s="3"/>
      <c r="AN850" s="3"/>
      <c r="AO850" s="3"/>
      <c r="AP850" s="3"/>
      <c r="AQ850" s="3"/>
      <c r="AR850" s="3"/>
      <c r="AS850" s="3"/>
      <c r="AT850" s="3"/>
      <c r="AU850" s="3"/>
      <c r="AV850" s="3"/>
      <c r="AW850" s="3"/>
      <c r="AX850" s="3"/>
      <c r="AY850" s="3"/>
      <c r="AZ850" s="3"/>
      <c r="BA850" s="3"/>
      <c r="BB850" s="3"/>
      <c r="BC850" s="3"/>
    </row>
    <row r="851" spans="1:55">
      <c r="A851" s="1" t="str">
        <f>'Population Definitions'!$A$3</f>
        <v>PWID_females</v>
      </c>
      <c r="C851" t="s">
        <v>34</v>
      </c>
      <c r="D851" s="3"/>
      <c r="E851" s="3">
        <v>0</v>
      </c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  <c r="AB851" s="3"/>
      <c r="AC851" s="3"/>
      <c r="AD851" s="3"/>
      <c r="AE851" s="3"/>
      <c r="AF851" s="3"/>
      <c r="AG851" s="3"/>
      <c r="AH851" s="3"/>
      <c r="AI851" s="3"/>
      <c r="AJ851" s="3"/>
      <c r="AK851" s="3"/>
      <c r="AL851" s="3"/>
      <c r="AM851" s="3"/>
      <c r="AN851" s="3"/>
      <c r="AO851" s="3"/>
      <c r="AP851" s="3"/>
      <c r="AQ851" s="3"/>
      <c r="AR851" s="3"/>
      <c r="AS851" s="3"/>
      <c r="AT851" s="3"/>
      <c r="AU851" s="3"/>
      <c r="AV851" s="3"/>
      <c r="AW851" s="3"/>
      <c r="AX851" s="3"/>
      <c r="AY851" s="3"/>
      <c r="AZ851" s="3"/>
      <c r="BA851" s="3"/>
      <c r="BB851" s="3"/>
      <c r="BC851" s="3"/>
    </row>
    <row r="852" spans="1:55">
      <c r="A852" s="1" t="str">
        <f>'Population Definitions'!$A$4</f>
        <v>0-9_males</v>
      </c>
      <c r="C852" t="s">
        <v>34</v>
      </c>
      <c r="D852" s="3"/>
      <c r="E852" s="3">
        <v>0</v>
      </c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  <c r="AB852" s="3"/>
      <c r="AC852" s="3"/>
      <c r="AD852" s="3"/>
      <c r="AE852" s="3"/>
      <c r="AF852" s="3"/>
      <c r="AG852" s="3"/>
      <c r="AH852" s="3"/>
      <c r="AI852" s="3"/>
      <c r="AJ852" s="3"/>
      <c r="AK852" s="3"/>
      <c r="AL852" s="3"/>
      <c r="AM852" s="3"/>
      <c r="AN852" s="3"/>
      <c r="AO852" s="3"/>
      <c r="AP852" s="3"/>
      <c r="AQ852" s="3"/>
      <c r="AR852" s="3"/>
      <c r="AS852" s="3"/>
      <c r="AT852" s="3"/>
      <c r="AU852" s="3"/>
      <c r="AV852" s="3"/>
      <c r="AW852" s="3"/>
      <c r="AX852" s="3"/>
      <c r="AY852" s="3"/>
      <c r="AZ852" s="3"/>
      <c r="BA852" s="3"/>
      <c r="BB852" s="3"/>
      <c r="BC852" s="3"/>
    </row>
    <row r="853" spans="1:55">
      <c r="A853" s="1" t="str">
        <f>'Population Definitions'!$A$5</f>
        <v>0-9_females</v>
      </c>
      <c r="C853" t="s">
        <v>34</v>
      </c>
      <c r="D853" s="3"/>
      <c r="E853" s="3">
        <v>0</v>
      </c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 s="3"/>
      <c r="AC853" s="3"/>
      <c r="AD853" s="3"/>
      <c r="AE853" s="3"/>
      <c r="AF853" s="3"/>
      <c r="AG853" s="3"/>
      <c r="AH853" s="3"/>
      <c r="AI853" s="3"/>
      <c r="AJ853" s="3"/>
      <c r="AK853" s="3"/>
      <c r="AL853" s="3"/>
      <c r="AM853" s="3"/>
      <c r="AN853" s="3"/>
      <c r="AO853" s="3"/>
      <c r="AP853" s="3"/>
      <c r="AQ853" s="3"/>
      <c r="AR853" s="3"/>
      <c r="AS853" s="3"/>
      <c r="AT853" s="3"/>
      <c r="AU853" s="3"/>
      <c r="AV853" s="3"/>
      <c r="AW853" s="3"/>
      <c r="AX853" s="3"/>
      <c r="AY853" s="3"/>
      <c r="AZ853" s="3"/>
      <c r="BA853" s="3"/>
      <c r="BB853" s="3"/>
      <c r="BC853" s="3"/>
    </row>
    <row r="854" spans="1:55">
      <c r="A854" s="1" t="str">
        <f>'Population Definitions'!$A$6</f>
        <v>10-17_males</v>
      </c>
      <c r="C854" t="s">
        <v>34</v>
      </c>
      <c r="D854" s="3"/>
      <c r="E854" s="3">
        <v>0</v>
      </c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/>
      <c r="AC854" s="3"/>
      <c r="AD854" s="3"/>
      <c r="AE854" s="3"/>
      <c r="AF854" s="3"/>
      <c r="AG854" s="3"/>
      <c r="AH854" s="3"/>
      <c r="AI854" s="3"/>
      <c r="AJ854" s="3"/>
      <c r="AK854" s="3"/>
      <c r="AL854" s="3"/>
      <c r="AM854" s="3"/>
      <c r="AN854" s="3"/>
      <c r="AO854" s="3"/>
      <c r="AP854" s="3"/>
      <c r="AQ854" s="3"/>
      <c r="AR854" s="3"/>
      <c r="AS854" s="3"/>
      <c r="AT854" s="3"/>
      <c r="AU854" s="3"/>
      <c r="AV854" s="3"/>
      <c r="AW854" s="3"/>
      <c r="AX854" s="3"/>
      <c r="AY854" s="3"/>
      <c r="AZ854" s="3"/>
      <c r="BA854" s="3"/>
      <c r="BB854" s="3"/>
      <c r="BC854" s="3"/>
    </row>
    <row r="855" spans="1:55">
      <c r="A855" s="1" t="str">
        <f>'Population Definitions'!$A$7</f>
        <v>10-17_females</v>
      </c>
      <c r="C855" t="s">
        <v>34</v>
      </c>
      <c r="D855" s="3"/>
      <c r="E855" s="3">
        <v>0</v>
      </c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/>
      <c r="AC855" s="3"/>
      <c r="AD855" s="3"/>
      <c r="AE855" s="3"/>
      <c r="AF855" s="3"/>
      <c r="AG855" s="3"/>
      <c r="AH855" s="3"/>
      <c r="AI855" s="3"/>
      <c r="AJ855" s="3"/>
      <c r="AK855" s="3"/>
      <c r="AL855" s="3"/>
      <c r="AM855" s="3"/>
      <c r="AN855" s="3"/>
      <c r="AO855" s="3"/>
      <c r="AP855" s="3"/>
      <c r="AQ855" s="3"/>
      <c r="AR855" s="3"/>
      <c r="AS855" s="3"/>
      <c r="AT855" s="3"/>
      <c r="AU855" s="3"/>
      <c r="AV855" s="3"/>
      <c r="AW855" s="3"/>
      <c r="AX855" s="3"/>
      <c r="AY855" s="3"/>
      <c r="AZ855" s="3"/>
      <c r="BA855" s="3"/>
      <c r="BB855" s="3"/>
      <c r="BC855" s="3"/>
    </row>
    <row r="856" spans="1:55">
      <c r="A856" s="1" t="str">
        <f>'Population Definitions'!$A$8</f>
        <v>18-64_males</v>
      </c>
      <c r="C856" t="s">
        <v>34</v>
      </c>
      <c r="D856" s="3"/>
      <c r="E856" s="3">
        <v>0</v>
      </c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  <c r="AC856" s="3"/>
      <c r="AD856" s="3"/>
      <c r="AE856" s="3"/>
      <c r="AF856" s="3"/>
      <c r="AG856" s="3"/>
      <c r="AH856" s="3"/>
      <c r="AI856" s="3"/>
      <c r="AJ856" s="3"/>
      <c r="AK856" s="3"/>
      <c r="AL856" s="3"/>
      <c r="AM856" s="3"/>
      <c r="AN856" s="3"/>
      <c r="AO856" s="3"/>
      <c r="AP856" s="3"/>
      <c r="AQ856" s="3"/>
      <c r="AR856" s="3"/>
      <c r="AS856" s="3"/>
      <c r="AT856" s="3"/>
      <c r="AU856" s="3"/>
      <c r="AV856" s="3"/>
      <c r="AW856" s="3"/>
      <c r="AX856" s="3"/>
      <c r="AY856" s="3"/>
      <c r="AZ856" s="3"/>
      <c r="BA856" s="3"/>
      <c r="BB856" s="3"/>
      <c r="BC856" s="3"/>
    </row>
    <row r="857" spans="1:55">
      <c r="A857" s="1" t="str">
        <f>'Population Definitions'!$A$9</f>
        <v>18-64_females</v>
      </c>
      <c r="C857" t="s">
        <v>34</v>
      </c>
      <c r="D857" s="3"/>
      <c r="E857" s="3">
        <v>0</v>
      </c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  <c r="AC857" s="3"/>
      <c r="AD857" s="3"/>
      <c r="AE857" s="3"/>
      <c r="AF857" s="3"/>
      <c r="AG857" s="3"/>
      <c r="AH857" s="3"/>
      <c r="AI857" s="3"/>
      <c r="AJ857" s="3"/>
      <c r="AK857" s="3"/>
      <c r="AL857" s="3"/>
      <c r="AM857" s="3"/>
      <c r="AN857" s="3"/>
      <c r="AO857" s="3"/>
      <c r="AP857" s="3"/>
      <c r="AQ857" s="3"/>
      <c r="AR857" s="3"/>
      <c r="AS857" s="3"/>
      <c r="AT857" s="3"/>
      <c r="AU857" s="3"/>
      <c r="AV857" s="3"/>
      <c r="AW857" s="3"/>
      <c r="AX857" s="3"/>
      <c r="AY857" s="3"/>
      <c r="AZ857" s="3"/>
      <c r="BA857" s="3"/>
      <c r="BB857" s="3"/>
      <c r="BC857" s="3"/>
    </row>
    <row r="858" spans="1:55">
      <c r="A858" s="1" t="str">
        <f>'Population Definitions'!$A$10</f>
        <v>65+_males</v>
      </c>
      <c r="C858" t="s">
        <v>34</v>
      </c>
      <c r="D858" s="3"/>
      <c r="E858" s="3">
        <v>0</v>
      </c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  <c r="AB858" s="3"/>
      <c r="AC858" s="3"/>
      <c r="AD858" s="3"/>
      <c r="AE858" s="3"/>
      <c r="AF858" s="3"/>
      <c r="AG858" s="3"/>
      <c r="AH858" s="3"/>
      <c r="AI858" s="3"/>
      <c r="AJ858" s="3"/>
      <c r="AK858" s="3"/>
      <c r="AL858" s="3"/>
      <c r="AM858" s="3"/>
      <c r="AN858" s="3"/>
      <c r="AO858" s="3"/>
      <c r="AP858" s="3"/>
      <c r="AQ858" s="3"/>
      <c r="AR858" s="3"/>
      <c r="AS858" s="3"/>
      <c r="AT858" s="3"/>
      <c r="AU858" s="3"/>
      <c r="AV858" s="3"/>
      <c r="AW858" s="3"/>
      <c r="AX858" s="3"/>
      <c r="AY858" s="3"/>
      <c r="AZ858" s="3"/>
      <c r="BA858" s="3"/>
      <c r="BB858" s="3"/>
      <c r="BC858" s="3"/>
    </row>
    <row r="859" spans="1:55">
      <c r="A859" s="1" t="str">
        <f>'Population Definitions'!$A$11</f>
        <v>65+_females</v>
      </c>
      <c r="C859" t="s">
        <v>34</v>
      </c>
      <c r="D859" s="3"/>
      <c r="E859" s="3">
        <v>0</v>
      </c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  <c r="AB859" s="3"/>
      <c r="AC859" s="3"/>
      <c r="AD859" s="3"/>
      <c r="AE859" s="3"/>
      <c r="AF859" s="3"/>
      <c r="AG859" s="3"/>
      <c r="AH859" s="3"/>
      <c r="AI859" s="3"/>
      <c r="AJ859" s="3"/>
      <c r="AK859" s="3"/>
      <c r="AL859" s="3"/>
      <c r="AM859" s="3"/>
      <c r="AN859" s="3"/>
      <c r="AO859" s="3"/>
      <c r="AP859" s="3"/>
      <c r="AQ859" s="3"/>
      <c r="AR859" s="3"/>
      <c r="AS859" s="3"/>
      <c r="AT859" s="3"/>
      <c r="AU859" s="3"/>
      <c r="AV859" s="3"/>
      <c r="AW859" s="3"/>
      <c r="AX859" s="3"/>
      <c r="AY859" s="3"/>
      <c r="AZ859" s="3"/>
      <c r="BA859" s="3"/>
      <c r="BB859" s="3"/>
      <c r="BC859" s="3"/>
    </row>
    <row r="860" spans="1:55">
      <c r="A860" s="1" t="str">
        <f>'Population Definitions'!$A$12</f>
        <v>Prisoners_males</v>
      </c>
      <c r="C860" t="s">
        <v>34</v>
      </c>
      <c r="D860" s="3"/>
      <c r="E860" s="3">
        <v>0</v>
      </c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3"/>
      <c r="AC860" s="3"/>
      <c r="AD860" s="3"/>
      <c r="AE860" s="3"/>
      <c r="AF860" s="3"/>
      <c r="AG860" s="3"/>
      <c r="AH860" s="3"/>
      <c r="AI860" s="3"/>
      <c r="AJ860" s="3"/>
      <c r="AK860" s="3"/>
      <c r="AL860" s="3"/>
      <c r="AM860" s="3"/>
      <c r="AN860" s="3"/>
      <c r="AO860" s="3"/>
      <c r="AP860" s="3"/>
      <c r="AQ860" s="3"/>
      <c r="AR860" s="3"/>
      <c r="AS860" s="3"/>
      <c r="AT860" s="3"/>
      <c r="AU860" s="3"/>
      <c r="AV860" s="3"/>
      <c r="AW860" s="3"/>
      <c r="AX860" s="3"/>
      <c r="AY860" s="3"/>
      <c r="AZ860" s="3"/>
      <c r="BA860" s="3"/>
      <c r="BB860" s="3"/>
      <c r="BC860" s="3"/>
    </row>
    <row r="861" spans="1:55">
      <c r="A861" s="1" t="str">
        <f>'Population Definitions'!$A$13</f>
        <v>Prisoners_females</v>
      </c>
      <c r="C861" t="s">
        <v>34</v>
      </c>
      <c r="D861" s="3"/>
      <c r="E861" s="3">
        <v>0</v>
      </c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  <c r="AB861" s="3"/>
      <c r="AC861" s="3"/>
      <c r="AD861" s="3"/>
      <c r="AE861" s="3"/>
      <c r="AF861" s="3"/>
      <c r="AG861" s="3"/>
      <c r="AH861" s="3"/>
      <c r="AI861" s="3"/>
      <c r="AJ861" s="3"/>
      <c r="AK861" s="3"/>
      <c r="AL861" s="3"/>
      <c r="AM861" s="3"/>
      <c r="AN861" s="3"/>
      <c r="AO861" s="3"/>
      <c r="AP861" s="3"/>
      <c r="AQ861" s="3"/>
      <c r="AR861" s="3"/>
      <c r="AS861" s="3"/>
      <c r="AT861" s="3"/>
      <c r="AU861" s="3"/>
      <c r="AV861" s="3"/>
      <c r="AW861" s="3"/>
      <c r="AX861" s="3"/>
      <c r="AY861" s="3"/>
      <c r="AZ861" s="3"/>
      <c r="BA861" s="3"/>
      <c r="BB861" s="3"/>
      <c r="BC861" s="3"/>
    </row>
    <row r="862" spans="1:55">
      <c r="A862" s="1" t="str">
        <f>'Population Definitions'!$A$14</f>
        <v>Prisoners_PWID_males</v>
      </c>
      <c r="C862" t="s">
        <v>34</v>
      </c>
      <c r="D862" s="3"/>
      <c r="E862" s="3">
        <v>0</v>
      </c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3"/>
      <c r="AC862" s="3"/>
      <c r="AD862" s="3"/>
      <c r="AE862" s="3"/>
      <c r="AF862" s="3"/>
      <c r="AG862" s="3"/>
      <c r="AH862" s="3"/>
      <c r="AI862" s="3"/>
      <c r="AJ862" s="3"/>
      <c r="AK862" s="3"/>
      <c r="AL862" s="3"/>
      <c r="AM862" s="3"/>
      <c r="AN862" s="3"/>
      <c r="AO862" s="3"/>
      <c r="AP862" s="3"/>
      <c r="AQ862" s="3"/>
      <c r="AR862" s="3"/>
      <c r="AS862" s="3"/>
      <c r="AT862" s="3"/>
      <c r="AU862" s="3"/>
      <c r="AV862" s="3"/>
      <c r="AW862" s="3"/>
      <c r="AX862" s="3"/>
      <c r="AY862" s="3"/>
      <c r="AZ862" s="3"/>
      <c r="BA862" s="3"/>
      <c r="BB862" s="3"/>
      <c r="BC862" s="3"/>
    </row>
    <row r="863" spans="1:55">
      <c r="A863" s="1" t="str">
        <f>'Population Definitions'!$A$15</f>
        <v>Prisoners_PWID_females</v>
      </c>
      <c r="C863" t="s">
        <v>34</v>
      </c>
      <c r="D863" s="3"/>
      <c r="E863" s="3">
        <v>0</v>
      </c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  <c r="AB863" s="3"/>
      <c r="AC863" s="3"/>
      <c r="AD863" s="3"/>
      <c r="AE863" s="3"/>
      <c r="AF863" s="3"/>
      <c r="AG863" s="3"/>
      <c r="AH863" s="3"/>
      <c r="AI863" s="3"/>
      <c r="AJ863" s="3"/>
      <c r="AK863" s="3"/>
      <c r="AL863" s="3"/>
      <c r="AM863" s="3"/>
      <c r="AN863" s="3"/>
      <c r="AO863" s="3"/>
      <c r="AP863" s="3"/>
      <c r="AQ863" s="3"/>
      <c r="AR863" s="3"/>
      <c r="AS863" s="3"/>
      <c r="AT863" s="3"/>
      <c r="AU863" s="3"/>
      <c r="AV863" s="3"/>
      <c r="AW863" s="3"/>
      <c r="AX863" s="3"/>
      <c r="AY863" s="3"/>
      <c r="AZ863" s="3"/>
      <c r="BA863" s="3"/>
      <c r="BB863" s="3"/>
      <c r="BC863" s="3"/>
    </row>
    <row r="865" spans="1:55">
      <c r="A865" s="1" t="s">
        <v>181</v>
      </c>
      <c r="B865" s="1" t="s">
        <v>31</v>
      </c>
      <c r="C865" s="1" t="s">
        <v>32</v>
      </c>
      <c r="D865" s="1" t="s">
        <v>33</v>
      </c>
      <c r="E865" s="1">
        <v>2000</v>
      </c>
      <c r="F865" s="1">
        <v>2001</v>
      </c>
      <c r="G865" s="1">
        <v>2002</v>
      </c>
      <c r="H865" s="1">
        <v>2003</v>
      </c>
      <c r="I865" s="1">
        <v>2004</v>
      </c>
      <c r="J865" s="1">
        <v>2005</v>
      </c>
      <c r="K865" s="1">
        <v>2006</v>
      </c>
      <c r="L865" s="1">
        <v>2007</v>
      </c>
      <c r="M865" s="1">
        <v>2008</v>
      </c>
      <c r="N865" s="1">
        <v>2009</v>
      </c>
      <c r="O865" s="1">
        <v>2010</v>
      </c>
      <c r="P865" s="1">
        <v>2011</v>
      </c>
      <c r="Q865" s="1">
        <v>2012</v>
      </c>
      <c r="R865" s="1">
        <v>2013</v>
      </c>
      <c r="S865" s="1">
        <v>2014</v>
      </c>
      <c r="T865" s="1">
        <v>2015</v>
      </c>
      <c r="U865" s="1">
        <v>2016</v>
      </c>
      <c r="V865" s="1">
        <v>2017</v>
      </c>
      <c r="W865" s="1">
        <v>2018</v>
      </c>
      <c r="X865" s="1">
        <v>2019</v>
      </c>
      <c r="Y865" s="1">
        <v>2020</v>
      </c>
      <c r="Z865" s="1">
        <v>2021</v>
      </c>
      <c r="AA865" s="1">
        <v>2022</v>
      </c>
      <c r="AB865" s="1">
        <v>2023</v>
      </c>
      <c r="AC865" s="1">
        <v>2024</v>
      </c>
      <c r="AD865" s="1">
        <v>2025</v>
      </c>
      <c r="AE865" s="1">
        <v>2026</v>
      </c>
      <c r="AF865" s="1">
        <v>2027</v>
      </c>
      <c r="AG865" s="1">
        <v>2028</v>
      </c>
      <c r="AH865" s="1">
        <v>2029</v>
      </c>
      <c r="AI865" s="1">
        <v>2030</v>
      </c>
      <c r="AJ865" s="1">
        <v>2031</v>
      </c>
      <c r="AK865" s="1">
        <v>2032</v>
      </c>
      <c r="AL865" s="1">
        <v>2033</v>
      </c>
      <c r="AM865" s="1">
        <v>2034</v>
      </c>
      <c r="AN865" s="1">
        <v>2035</v>
      </c>
      <c r="AO865" s="1">
        <v>2036</v>
      </c>
      <c r="AP865" s="1">
        <v>2037</v>
      </c>
      <c r="AQ865" s="1">
        <v>2038</v>
      </c>
      <c r="AR865" s="1">
        <v>2039</v>
      </c>
      <c r="AS865" s="1">
        <v>2040</v>
      </c>
      <c r="AT865" s="1">
        <v>2041</v>
      </c>
      <c r="AU865" s="1">
        <v>2042</v>
      </c>
      <c r="AV865" s="1">
        <v>2043</v>
      </c>
      <c r="AW865" s="1">
        <v>2044</v>
      </c>
      <c r="AX865" s="1">
        <v>2045</v>
      </c>
      <c r="AY865" s="1">
        <v>2046</v>
      </c>
      <c r="AZ865" s="1">
        <v>2047</v>
      </c>
      <c r="BA865" s="1">
        <v>2048</v>
      </c>
      <c r="BB865" s="1">
        <v>2049</v>
      </c>
      <c r="BC865" s="1">
        <v>2050</v>
      </c>
    </row>
    <row r="866" spans="1:55">
      <c r="A866" s="1" t="str">
        <f>'Population Definitions'!$A$2</f>
        <v>PWID_males</v>
      </c>
      <c r="C866" t="s">
        <v>34</v>
      </c>
      <c r="D866" s="3"/>
      <c r="E866" s="3">
        <v>0</v>
      </c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  <c r="AB866" s="3"/>
      <c r="AC866" s="3"/>
      <c r="AD866" s="3"/>
      <c r="AE866" s="3"/>
      <c r="AF866" s="3"/>
      <c r="AG866" s="3"/>
      <c r="AH866" s="3"/>
      <c r="AI866" s="3"/>
      <c r="AJ866" s="3"/>
      <c r="AK866" s="3"/>
      <c r="AL866" s="3"/>
      <c r="AM866" s="3"/>
      <c r="AN866" s="3"/>
      <c r="AO866" s="3"/>
      <c r="AP866" s="3"/>
      <c r="AQ866" s="3"/>
      <c r="AR866" s="3"/>
      <c r="AS866" s="3"/>
      <c r="AT866" s="3"/>
      <c r="AU866" s="3"/>
      <c r="AV866" s="3"/>
      <c r="AW866" s="3"/>
      <c r="AX866" s="3"/>
      <c r="AY866" s="3"/>
      <c r="AZ866" s="3"/>
      <c r="BA866" s="3"/>
      <c r="BB866" s="3"/>
      <c r="BC866" s="3"/>
    </row>
    <row r="867" spans="1:55">
      <c r="A867" s="1" t="str">
        <f>'Population Definitions'!$A$3</f>
        <v>PWID_females</v>
      </c>
      <c r="C867" t="s">
        <v>34</v>
      </c>
      <c r="D867" s="3"/>
      <c r="E867" s="3">
        <v>0</v>
      </c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  <c r="AB867" s="3"/>
      <c r="AC867" s="3"/>
      <c r="AD867" s="3"/>
      <c r="AE867" s="3"/>
      <c r="AF867" s="3"/>
      <c r="AG867" s="3"/>
      <c r="AH867" s="3"/>
      <c r="AI867" s="3"/>
      <c r="AJ867" s="3"/>
      <c r="AK867" s="3"/>
      <c r="AL867" s="3"/>
      <c r="AM867" s="3"/>
      <c r="AN867" s="3"/>
      <c r="AO867" s="3"/>
      <c r="AP867" s="3"/>
      <c r="AQ867" s="3"/>
      <c r="AR867" s="3"/>
      <c r="AS867" s="3"/>
      <c r="AT867" s="3"/>
      <c r="AU867" s="3"/>
      <c r="AV867" s="3"/>
      <c r="AW867" s="3"/>
      <c r="AX867" s="3"/>
      <c r="AY867" s="3"/>
      <c r="AZ867" s="3"/>
      <c r="BA867" s="3"/>
      <c r="BB867" s="3"/>
      <c r="BC867" s="3"/>
    </row>
    <row r="868" spans="1:55">
      <c r="A868" s="1" t="str">
        <f>'Population Definitions'!$A$4</f>
        <v>0-9_males</v>
      </c>
      <c r="C868" t="s">
        <v>34</v>
      </c>
      <c r="D868" s="3"/>
      <c r="E868" s="3">
        <v>0</v>
      </c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3"/>
      <c r="AC868" s="3"/>
      <c r="AD868" s="3"/>
      <c r="AE868" s="3"/>
      <c r="AF868" s="3"/>
      <c r="AG868" s="3"/>
      <c r="AH868" s="3"/>
      <c r="AI868" s="3"/>
      <c r="AJ868" s="3"/>
      <c r="AK868" s="3"/>
      <c r="AL868" s="3"/>
      <c r="AM868" s="3"/>
      <c r="AN868" s="3"/>
      <c r="AO868" s="3"/>
      <c r="AP868" s="3"/>
      <c r="AQ868" s="3"/>
      <c r="AR868" s="3"/>
      <c r="AS868" s="3"/>
      <c r="AT868" s="3"/>
      <c r="AU868" s="3"/>
      <c r="AV868" s="3"/>
      <c r="AW868" s="3"/>
      <c r="AX868" s="3"/>
      <c r="AY868" s="3"/>
      <c r="AZ868" s="3"/>
      <c r="BA868" s="3"/>
      <c r="BB868" s="3"/>
      <c r="BC868" s="3"/>
    </row>
    <row r="869" spans="1:55">
      <c r="A869" s="1" t="str">
        <f>'Population Definitions'!$A$5</f>
        <v>0-9_females</v>
      </c>
      <c r="C869" t="s">
        <v>34</v>
      </c>
      <c r="D869" s="3"/>
      <c r="E869" s="3">
        <v>0</v>
      </c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  <c r="AB869" s="3"/>
      <c r="AC869" s="3"/>
      <c r="AD869" s="3"/>
      <c r="AE869" s="3"/>
      <c r="AF869" s="3"/>
      <c r="AG869" s="3"/>
      <c r="AH869" s="3"/>
      <c r="AI869" s="3"/>
      <c r="AJ869" s="3"/>
      <c r="AK869" s="3"/>
      <c r="AL869" s="3"/>
      <c r="AM869" s="3"/>
      <c r="AN869" s="3"/>
      <c r="AO869" s="3"/>
      <c r="AP869" s="3"/>
      <c r="AQ869" s="3"/>
      <c r="AR869" s="3"/>
      <c r="AS869" s="3"/>
      <c r="AT869" s="3"/>
      <c r="AU869" s="3"/>
      <c r="AV869" s="3"/>
      <c r="AW869" s="3"/>
      <c r="AX869" s="3"/>
      <c r="AY869" s="3"/>
      <c r="AZ869" s="3"/>
      <c r="BA869" s="3"/>
      <c r="BB869" s="3"/>
      <c r="BC869" s="3"/>
    </row>
    <row r="870" spans="1:55">
      <c r="A870" s="1" t="str">
        <f>'Population Definitions'!$A$6</f>
        <v>10-17_males</v>
      </c>
      <c r="C870" t="s">
        <v>34</v>
      </c>
      <c r="D870" s="3"/>
      <c r="E870" s="3">
        <v>0</v>
      </c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3"/>
      <c r="AC870" s="3"/>
      <c r="AD870" s="3"/>
      <c r="AE870" s="3"/>
      <c r="AF870" s="3"/>
      <c r="AG870" s="3"/>
      <c r="AH870" s="3"/>
      <c r="AI870" s="3"/>
      <c r="AJ870" s="3"/>
      <c r="AK870" s="3"/>
      <c r="AL870" s="3"/>
      <c r="AM870" s="3"/>
      <c r="AN870" s="3"/>
      <c r="AO870" s="3"/>
      <c r="AP870" s="3"/>
      <c r="AQ870" s="3"/>
      <c r="AR870" s="3"/>
      <c r="AS870" s="3"/>
      <c r="AT870" s="3"/>
      <c r="AU870" s="3"/>
      <c r="AV870" s="3"/>
      <c r="AW870" s="3"/>
      <c r="AX870" s="3"/>
      <c r="AY870" s="3"/>
      <c r="AZ870" s="3"/>
      <c r="BA870" s="3"/>
      <c r="BB870" s="3"/>
      <c r="BC870" s="3"/>
    </row>
    <row r="871" spans="1:55">
      <c r="A871" s="1" t="str">
        <f>'Population Definitions'!$A$7</f>
        <v>10-17_females</v>
      </c>
      <c r="C871" t="s">
        <v>34</v>
      </c>
      <c r="D871" s="3"/>
      <c r="E871" s="3">
        <v>0</v>
      </c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  <c r="AB871" s="3"/>
      <c r="AC871" s="3"/>
      <c r="AD871" s="3"/>
      <c r="AE871" s="3"/>
      <c r="AF871" s="3"/>
      <c r="AG871" s="3"/>
      <c r="AH871" s="3"/>
      <c r="AI871" s="3"/>
      <c r="AJ871" s="3"/>
      <c r="AK871" s="3"/>
      <c r="AL871" s="3"/>
      <c r="AM871" s="3"/>
      <c r="AN871" s="3"/>
      <c r="AO871" s="3"/>
      <c r="AP871" s="3"/>
      <c r="AQ871" s="3"/>
      <c r="AR871" s="3"/>
      <c r="AS871" s="3"/>
      <c r="AT871" s="3"/>
      <c r="AU871" s="3"/>
      <c r="AV871" s="3"/>
      <c r="AW871" s="3"/>
      <c r="AX871" s="3"/>
      <c r="AY871" s="3"/>
      <c r="AZ871" s="3"/>
      <c r="BA871" s="3"/>
      <c r="BB871" s="3"/>
      <c r="BC871" s="3"/>
    </row>
    <row r="872" spans="1:55">
      <c r="A872" s="1" t="str">
        <f>'Population Definitions'!$A$8</f>
        <v>18-64_males</v>
      </c>
      <c r="C872" t="s">
        <v>34</v>
      </c>
      <c r="D872" s="3"/>
      <c r="E872" s="3">
        <v>0</v>
      </c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3"/>
      <c r="AC872" s="3"/>
      <c r="AD872" s="3"/>
      <c r="AE872" s="3"/>
      <c r="AF872" s="3"/>
      <c r="AG872" s="3"/>
      <c r="AH872" s="3"/>
      <c r="AI872" s="3"/>
      <c r="AJ872" s="3"/>
      <c r="AK872" s="3"/>
      <c r="AL872" s="3"/>
      <c r="AM872" s="3"/>
      <c r="AN872" s="3"/>
      <c r="AO872" s="3"/>
      <c r="AP872" s="3"/>
      <c r="AQ872" s="3"/>
      <c r="AR872" s="3"/>
      <c r="AS872" s="3"/>
      <c r="AT872" s="3"/>
      <c r="AU872" s="3"/>
      <c r="AV872" s="3"/>
      <c r="AW872" s="3"/>
      <c r="AX872" s="3"/>
      <c r="AY872" s="3"/>
      <c r="AZ872" s="3"/>
      <c r="BA872" s="3"/>
      <c r="BB872" s="3"/>
      <c r="BC872" s="3"/>
    </row>
    <row r="873" spans="1:55">
      <c r="A873" s="1" t="str">
        <f>'Population Definitions'!$A$9</f>
        <v>18-64_females</v>
      </c>
      <c r="C873" t="s">
        <v>34</v>
      </c>
      <c r="D873" s="3"/>
      <c r="E873" s="3">
        <v>0</v>
      </c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  <c r="AB873" s="3"/>
      <c r="AC873" s="3"/>
      <c r="AD873" s="3"/>
      <c r="AE873" s="3"/>
      <c r="AF873" s="3"/>
      <c r="AG873" s="3"/>
      <c r="AH873" s="3"/>
      <c r="AI873" s="3"/>
      <c r="AJ873" s="3"/>
      <c r="AK873" s="3"/>
      <c r="AL873" s="3"/>
      <c r="AM873" s="3"/>
      <c r="AN873" s="3"/>
      <c r="AO873" s="3"/>
      <c r="AP873" s="3"/>
      <c r="AQ873" s="3"/>
      <c r="AR873" s="3"/>
      <c r="AS873" s="3"/>
      <c r="AT873" s="3"/>
      <c r="AU873" s="3"/>
      <c r="AV873" s="3"/>
      <c r="AW873" s="3"/>
      <c r="AX873" s="3"/>
      <c r="AY873" s="3"/>
      <c r="AZ873" s="3"/>
      <c r="BA873" s="3"/>
      <c r="BB873" s="3"/>
      <c r="BC873" s="3"/>
    </row>
    <row r="874" spans="1:55">
      <c r="A874" s="1" t="str">
        <f>'Population Definitions'!$A$10</f>
        <v>65+_males</v>
      </c>
      <c r="C874" t="s">
        <v>34</v>
      </c>
      <c r="D874" s="3"/>
      <c r="E874" s="3">
        <v>0</v>
      </c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  <c r="AB874" s="3"/>
      <c r="AC874" s="3"/>
      <c r="AD874" s="3"/>
      <c r="AE874" s="3"/>
      <c r="AF874" s="3"/>
      <c r="AG874" s="3"/>
      <c r="AH874" s="3"/>
      <c r="AI874" s="3"/>
      <c r="AJ874" s="3"/>
      <c r="AK874" s="3"/>
      <c r="AL874" s="3"/>
      <c r="AM874" s="3"/>
      <c r="AN874" s="3"/>
      <c r="AO874" s="3"/>
      <c r="AP874" s="3"/>
      <c r="AQ874" s="3"/>
      <c r="AR874" s="3"/>
      <c r="AS874" s="3"/>
      <c r="AT874" s="3"/>
      <c r="AU874" s="3"/>
      <c r="AV874" s="3"/>
      <c r="AW874" s="3"/>
      <c r="AX874" s="3"/>
      <c r="AY874" s="3"/>
      <c r="AZ874" s="3"/>
      <c r="BA874" s="3"/>
      <c r="BB874" s="3"/>
      <c r="BC874" s="3"/>
    </row>
    <row r="875" spans="1:55">
      <c r="A875" s="1" t="str">
        <f>'Population Definitions'!$A$11</f>
        <v>65+_females</v>
      </c>
      <c r="C875" t="s">
        <v>34</v>
      </c>
      <c r="D875" s="3"/>
      <c r="E875" s="3">
        <v>0</v>
      </c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  <c r="AB875" s="3"/>
      <c r="AC875" s="3"/>
      <c r="AD875" s="3"/>
      <c r="AE875" s="3"/>
      <c r="AF875" s="3"/>
      <c r="AG875" s="3"/>
      <c r="AH875" s="3"/>
      <c r="AI875" s="3"/>
      <c r="AJ875" s="3"/>
      <c r="AK875" s="3"/>
      <c r="AL875" s="3"/>
      <c r="AM875" s="3"/>
      <c r="AN875" s="3"/>
      <c r="AO875" s="3"/>
      <c r="AP875" s="3"/>
      <c r="AQ875" s="3"/>
      <c r="AR875" s="3"/>
      <c r="AS875" s="3"/>
      <c r="AT875" s="3"/>
      <c r="AU875" s="3"/>
      <c r="AV875" s="3"/>
      <c r="AW875" s="3"/>
      <c r="AX875" s="3"/>
      <c r="AY875" s="3"/>
      <c r="AZ875" s="3"/>
      <c r="BA875" s="3"/>
      <c r="BB875" s="3"/>
      <c r="BC875" s="3"/>
    </row>
    <row r="876" spans="1:55">
      <c r="A876" s="1" t="str">
        <f>'Population Definitions'!$A$12</f>
        <v>Prisoners_males</v>
      </c>
      <c r="C876" t="s">
        <v>34</v>
      </c>
      <c r="D876" s="3"/>
      <c r="E876" s="3">
        <v>0</v>
      </c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  <c r="AB876" s="3"/>
      <c r="AC876" s="3"/>
      <c r="AD876" s="3"/>
      <c r="AE876" s="3"/>
      <c r="AF876" s="3"/>
      <c r="AG876" s="3"/>
      <c r="AH876" s="3"/>
      <c r="AI876" s="3"/>
      <c r="AJ876" s="3"/>
      <c r="AK876" s="3"/>
      <c r="AL876" s="3"/>
      <c r="AM876" s="3"/>
      <c r="AN876" s="3"/>
      <c r="AO876" s="3"/>
      <c r="AP876" s="3"/>
      <c r="AQ876" s="3"/>
      <c r="AR876" s="3"/>
      <c r="AS876" s="3"/>
      <c r="AT876" s="3"/>
      <c r="AU876" s="3"/>
      <c r="AV876" s="3"/>
      <c r="AW876" s="3"/>
      <c r="AX876" s="3"/>
      <c r="AY876" s="3"/>
      <c r="AZ876" s="3"/>
      <c r="BA876" s="3"/>
      <c r="BB876" s="3"/>
      <c r="BC876" s="3"/>
    </row>
    <row r="877" spans="1:55">
      <c r="A877" s="1" t="str">
        <f>'Population Definitions'!$A$13</f>
        <v>Prisoners_females</v>
      </c>
      <c r="C877" t="s">
        <v>34</v>
      </c>
      <c r="D877" s="3"/>
      <c r="E877" s="3">
        <v>0</v>
      </c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  <c r="AB877" s="3"/>
      <c r="AC877" s="3"/>
      <c r="AD877" s="3"/>
      <c r="AE877" s="3"/>
      <c r="AF877" s="3"/>
      <c r="AG877" s="3"/>
      <c r="AH877" s="3"/>
      <c r="AI877" s="3"/>
      <c r="AJ877" s="3"/>
      <c r="AK877" s="3"/>
      <c r="AL877" s="3"/>
      <c r="AM877" s="3"/>
      <c r="AN877" s="3"/>
      <c r="AO877" s="3"/>
      <c r="AP877" s="3"/>
      <c r="AQ877" s="3"/>
      <c r="AR877" s="3"/>
      <c r="AS877" s="3"/>
      <c r="AT877" s="3"/>
      <c r="AU877" s="3"/>
      <c r="AV877" s="3"/>
      <c r="AW877" s="3"/>
      <c r="AX877" s="3"/>
      <c r="AY877" s="3"/>
      <c r="AZ877" s="3"/>
      <c r="BA877" s="3"/>
      <c r="BB877" s="3"/>
      <c r="BC877" s="3"/>
    </row>
    <row r="878" spans="1:55">
      <c r="A878" s="1" t="str">
        <f>'Population Definitions'!$A$14</f>
        <v>Prisoners_PWID_males</v>
      </c>
      <c r="C878" t="s">
        <v>34</v>
      </c>
      <c r="D878" s="3"/>
      <c r="E878" s="3">
        <v>0</v>
      </c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  <c r="AC878" s="3"/>
      <c r="AD878" s="3"/>
      <c r="AE878" s="3"/>
      <c r="AF878" s="3"/>
      <c r="AG878" s="3"/>
      <c r="AH878" s="3"/>
      <c r="AI878" s="3"/>
      <c r="AJ878" s="3"/>
      <c r="AK878" s="3"/>
      <c r="AL878" s="3"/>
      <c r="AM878" s="3"/>
      <c r="AN878" s="3"/>
      <c r="AO878" s="3"/>
      <c r="AP878" s="3"/>
      <c r="AQ878" s="3"/>
      <c r="AR878" s="3"/>
      <c r="AS878" s="3"/>
      <c r="AT878" s="3"/>
      <c r="AU878" s="3"/>
      <c r="AV878" s="3"/>
      <c r="AW878" s="3"/>
      <c r="AX878" s="3"/>
      <c r="AY878" s="3"/>
      <c r="AZ878" s="3"/>
      <c r="BA878" s="3"/>
      <c r="BB878" s="3"/>
      <c r="BC878" s="3"/>
    </row>
    <row r="879" spans="1:55">
      <c r="A879" s="1" t="str">
        <f>'Population Definitions'!$A$15</f>
        <v>Prisoners_PWID_females</v>
      </c>
      <c r="C879" t="s">
        <v>34</v>
      </c>
      <c r="D879" s="3"/>
      <c r="E879" s="3">
        <v>0</v>
      </c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/>
      <c r="AC879" s="3"/>
      <c r="AD879" s="3"/>
      <c r="AE879" s="3"/>
      <c r="AF879" s="3"/>
      <c r="AG879" s="3"/>
      <c r="AH879" s="3"/>
      <c r="AI879" s="3"/>
      <c r="AJ879" s="3"/>
      <c r="AK879" s="3"/>
      <c r="AL879" s="3"/>
      <c r="AM879" s="3"/>
      <c r="AN879" s="3"/>
      <c r="AO879" s="3"/>
      <c r="AP879" s="3"/>
      <c r="AQ879" s="3"/>
      <c r="AR879" s="3"/>
      <c r="AS879" s="3"/>
      <c r="AT879" s="3"/>
      <c r="AU879" s="3"/>
      <c r="AV879" s="3"/>
      <c r="AW879" s="3"/>
      <c r="AX879" s="3"/>
      <c r="AY879" s="3"/>
      <c r="AZ879" s="3"/>
      <c r="BA879" s="3"/>
      <c r="BB879" s="3"/>
      <c r="BC879" s="3"/>
    </row>
    <row r="881" spans="1:55">
      <c r="A881" s="1" t="s">
        <v>182</v>
      </c>
      <c r="B881" s="1" t="s">
        <v>31</v>
      </c>
      <c r="C881" s="1" t="s">
        <v>32</v>
      </c>
      <c r="D881" s="1" t="s">
        <v>33</v>
      </c>
      <c r="E881" s="1">
        <v>2000</v>
      </c>
      <c r="F881" s="1">
        <v>2001</v>
      </c>
      <c r="G881" s="1">
        <v>2002</v>
      </c>
      <c r="H881" s="1">
        <v>2003</v>
      </c>
      <c r="I881" s="1">
        <v>2004</v>
      </c>
      <c r="J881" s="1">
        <v>2005</v>
      </c>
      <c r="K881" s="1">
        <v>2006</v>
      </c>
      <c r="L881" s="1">
        <v>2007</v>
      </c>
      <c r="M881" s="1">
        <v>2008</v>
      </c>
      <c r="N881" s="1">
        <v>2009</v>
      </c>
      <c r="O881" s="1">
        <v>2010</v>
      </c>
      <c r="P881" s="1">
        <v>2011</v>
      </c>
      <c r="Q881" s="1">
        <v>2012</v>
      </c>
      <c r="R881" s="1">
        <v>2013</v>
      </c>
      <c r="S881" s="1">
        <v>2014</v>
      </c>
      <c r="T881" s="1">
        <v>2015</v>
      </c>
      <c r="U881" s="1">
        <v>2016</v>
      </c>
      <c r="V881" s="1">
        <v>2017</v>
      </c>
      <c r="W881" s="1">
        <v>2018</v>
      </c>
      <c r="X881" s="1">
        <v>2019</v>
      </c>
      <c r="Y881" s="1">
        <v>2020</v>
      </c>
      <c r="Z881" s="1">
        <v>2021</v>
      </c>
      <c r="AA881" s="1">
        <v>2022</v>
      </c>
      <c r="AB881" s="1">
        <v>2023</v>
      </c>
      <c r="AC881" s="1">
        <v>2024</v>
      </c>
      <c r="AD881" s="1">
        <v>2025</v>
      </c>
      <c r="AE881" s="1">
        <v>2026</v>
      </c>
      <c r="AF881" s="1">
        <v>2027</v>
      </c>
      <c r="AG881" s="1">
        <v>2028</v>
      </c>
      <c r="AH881" s="1">
        <v>2029</v>
      </c>
      <c r="AI881" s="1">
        <v>2030</v>
      </c>
      <c r="AJ881" s="1">
        <v>2031</v>
      </c>
      <c r="AK881" s="1">
        <v>2032</v>
      </c>
      <c r="AL881" s="1">
        <v>2033</v>
      </c>
      <c r="AM881" s="1">
        <v>2034</v>
      </c>
      <c r="AN881" s="1">
        <v>2035</v>
      </c>
      <c r="AO881" s="1">
        <v>2036</v>
      </c>
      <c r="AP881" s="1">
        <v>2037</v>
      </c>
      <c r="AQ881" s="1">
        <v>2038</v>
      </c>
      <c r="AR881" s="1">
        <v>2039</v>
      </c>
      <c r="AS881" s="1">
        <v>2040</v>
      </c>
      <c r="AT881" s="1">
        <v>2041</v>
      </c>
      <c r="AU881" s="1">
        <v>2042</v>
      </c>
      <c r="AV881" s="1">
        <v>2043</v>
      </c>
      <c r="AW881" s="1">
        <v>2044</v>
      </c>
      <c r="AX881" s="1">
        <v>2045</v>
      </c>
      <c r="AY881" s="1">
        <v>2046</v>
      </c>
      <c r="AZ881" s="1">
        <v>2047</v>
      </c>
      <c r="BA881" s="1">
        <v>2048</v>
      </c>
      <c r="BB881" s="1">
        <v>2049</v>
      </c>
      <c r="BC881" s="1">
        <v>2050</v>
      </c>
    </row>
    <row r="882" spans="1:55">
      <c r="A882" s="1" t="str">
        <f>'Population Definitions'!$A$2</f>
        <v>PWID_males</v>
      </c>
      <c r="C882" t="s">
        <v>34</v>
      </c>
      <c r="D882" s="3"/>
      <c r="E882" s="3">
        <v>0</v>
      </c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  <c r="AB882" s="3"/>
      <c r="AC882" s="3"/>
      <c r="AD882" s="3"/>
      <c r="AE882" s="3"/>
      <c r="AF882" s="3"/>
      <c r="AG882" s="3"/>
      <c r="AH882" s="3"/>
      <c r="AI882" s="3"/>
      <c r="AJ882" s="3"/>
      <c r="AK882" s="3"/>
      <c r="AL882" s="3"/>
      <c r="AM882" s="3"/>
      <c r="AN882" s="3"/>
      <c r="AO882" s="3"/>
      <c r="AP882" s="3"/>
      <c r="AQ882" s="3"/>
      <c r="AR882" s="3"/>
      <c r="AS882" s="3"/>
      <c r="AT882" s="3"/>
      <c r="AU882" s="3"/>
      <c r="AV882" s="3"/>
      <c r="AW882" s="3"/>
      <c r="AX882" s="3"/>
      <c r="AY882" s="3"/>
      <c r="AZ882" s="3"/>
      <c r="BA882" s="3"/>
      <c r="BB882" s="3"/>
      <c r="BC882" s="3"/>
    </row>
    <row r="883" spans="1:55">
      <c r="A883" s="1" t="str">
        <f>'Population Definitions'!$A$3</f>
        <v>PWID_females</v>
      </c>
      <c r="C883" t="s">
        <v>34</v>
      </c>
      <c r="D883" s="3"/>
      <c r="E883" s="3">
        <v>0</v>
      </c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  <c r="AB883" s="3"/>
      <c r="AC883" s="3"/>
      <c r="AD883" s="3"/>
      <c r="AE883" s="3"/>
      <c r="AF883" s="3"/>
      <c r="AG883" s="3"/>
      <c r="AH883" s="3"/>
      <c r="AI883" s="3"/>
      <c r="AJ883" s="3"/>
      <c r="AK883" s="3"/>
      <c r="AL883" s="3"/>
      <c r="AM883" s="3"/>
      <c r="AN883" s="3"/>
      <c r="AO883" s="3"/>
      <c r="AP883" s="3"/>
      <c r="AQ883" s="3"/>
      <c r="AR883" s="3"/>
      <c r="AS883" s="3"/>
      <c r="AT883" s="3"/>
      <c r="AU883" s="3"/>
      <c r="AV883" s="3"/>
      <c r="AW883" s="3"/>
      <c r="AX883" s="3"/>
      <c r="AY883" s="3"/>
      <c r="AZ883" s="3"/>
      <c r="BA883" s="3"/>
      <c r="BB883" s="3"/>
      <c r="BC883" s="3"/>
    </row>
    <row r="884" spans="1:55">
      <c r="A884" s="1" t="str">
        <f>'Population Definitions'!$A$4</f>
        <v>0-9_males</v>
      </c>
      <c r="C884" t="s">
        <v>34</v>
      </c>
      <c r="D884" s="3"/>
      <c r="E884" s="3">
        <v>0</v>
      </c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  <c r="AB884" s="3"/>
      <c r="AC884" s="3"/>
      <c r="AD884" s="3"/>
      <c r="AE884" s="3"/>
      <c r="AF884" s="3"/>
      <c r="AG884" s="3"/>
      <c r="AH884" s="3"/>
      <c r="AI884" s="3"/>
      <c r="AJ884" s="3"/>
      <c r="AK884" s="3"/>
      <c r="AL884" s="3"/>
      <c r="AM884" s="3"/>
      <c r="AN884" s="3"/>
      <c r="AO884" s="3"/>
      <c r="AP884" s="3"/>
      <c r="AQ884" s="3"/>
      <c r="AR884" s="3"/>
      <c r="AS884" s="3"/>
      <c r="AT884" s="3"/>
      <c r="AU884" s="3"/>
      <c r="AV884" s="3"/>
      <c r="AW884" s="3"/>
      <c r="AX884" s="3"/>
      <c r="AY884" s="3"/>
      <c r="AZ884" s="3"/>
      <c r="BA884" s="3"/>
      <c r="BB884" s="3"/>
      <c r="BC884" s="3"/>
    </row>
    <row r="885" spans="1:55">
      <c r="A885" s="1" t="str">
        <f>'Population Definitions'!$A$5</f>
        <v>0-9_females</v>
      </c>
      <c r="C885" t="s">
        <v>34</v>
      </c>
      <c r="D885" s="3"/>
      <c r="E885" s="3">
        <v>0</v>
      </c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  <c r="AB885" s="3"/>
      <c r="AC885" s="3"/>
      <c r="AD885" s="3"/>
      <c r="AE885" s="3"/>
      <c r="AF885" s="3"/>
      <c r="AG885" s="3"/>
      <c r="AH885" s="3"/>
      <c r="AI885" s="3"/>
      <c r="AJ885" s="3"/>
      <c r="AK885" s="3"/>
      <c r="AL885" s="3"/>
      <c r="AM885" s="3"/>
      <c r="AN885" s="3"/>
      <c r="AO885" s="3"/>
      <c r="AP885" s="3"/>
      <c r="AQ885" s="3"/>
      <c r="AR885" s="3"/>
      <c r="AS885" s="3"/>
      <c r="AT885" s="3"/>
      <c r="AU885" s="3"/>
      <c r="AV885" s="3"/>
      <c r="AW885" s="3"/>
      <c r="AX885" s="3"/>
      <c r="AY885" s="3"/>
      <c r="AZ885" s="3"/>
      <c r="BA885" s="3"/>
      <c r="BB885" s="3"/>
      <c r="BC885" s="3"/>
    </row>
    <row r="886" spans="1:55">
      <c r="A886" s="1" t="str">
        <f>'Population Definitions'!$A$6</f>
        <v>10-17_males</v>
      </c>
      <c r="C886" t="s">
        <v>34</v>
      </c>
      <c r="D886" s="3"/>
      <c r="E886" s="3">
        <v>0</v>
      </c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  <c r="AB886" s="3"/>
      <c r="AC886" s="3"/>
      <c r="AD886" s="3"/>
      <c r="AE886" s="3"/>
      <c r="AF886" s="3"/>
      <c r="AG886" s="3"/>
      <c r="AH886" s="3"/>
      <c r="AI886" s="3"/>
      <c r="AJ886" s="3"/>
      <c r="AK886" s="3"/>
      <c r="AL886" s="3"/>
      <c r="AM886" s="3"/>
      <c r="AN886" s="3"/>
      <c r="AO886" s="3"/>
      <c r="AP886" s="3"/>
      <c r="AQ886" s="3"/>
      <c r="AR886" s="3"/>
      <c r="AS886" s="3"/>
      <c r="AT886" s="3"/>
      <c r="AU886" s="3"/>
      <c r="AV886" s="3"/>
      <c r="AW886" s="3"/>
      <c r="AX886" s="3"/>
      <c r="AY886" s="3"/>
      <c r="AZ886" s="3"/>
      <c r="BA886" s="3"/>
      <c r="BB886" s="3"/>
      <c r="BC886" s="3"/>
    </row>
    <row r="887" spans="1:55">
      <c r="A887" s="1" t="str">
        <f>'Population Definitions'!$A$7</f>
        <v>10-17_females</v>
      </c>
      <c r="C887" t="s">
        <v>34</v>
      </c>
      <c r="D887" s="3"/>
      <c r="E887" s="3">
        <v>0</v>
      </c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3"/>
      <c r="AC887" s="3"/>
      <c r="AD887" s="3"/>
      <c r="AE887" s="3"/>
      <c r="AF887" s="3"/>
      <c r="AG887" s="3"/>
      <c r="AH887" s="3"/>
      <c r="AI887" s="3"/>
      <c r="AJ887" s="3"/>
      <c r="AK887" s="3"/>
      <c r="AL887" s="3"/>
      <c r="AM887" s="3"/>
      <c r="AN887" s="3"/>
      <c r="AO887" s="3"/>
      <c r="AP887" s="3"/>
      <c r="AQ887" s="3"/>
      <c r="AR887" s="3"/>
      <c r="AS887" s="3"/>
      <c r="AT887" s="3"/>
      <c r="AU887" s="3"/>
      <c r="AV887" s="3"/>
      <c r="AW887" s="3"/>
      <c r="AX887" s="3"/>
      <c r="AY887" s="3"/>
      <c r="AZ887" s="3"/>
      <c r="BA887" s="3"/>
      <c r="BB887" s="3"/>
      <c r="BC887" s="3"/>
    </row>
    <row r="888" spans="1:55">
      <c r="A888" s="1" t="str">
        <f>'Population Definitions'!$A$8</f>
        <v>18-64_males</v>
      </c>
      <c r="C888" t="s">
        <v>34</v>
      </c>
      <c r="D888" s="3"/>
      <c r="E888" s="3">
        <v>0</v>
      </c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3"/>
      <c r="AC888" s="3"/>
      <c r="AD888" s="3"/>
      <c r="AE888" s="3"/>
      <c r="AF888" s="3"/>
      <c r="AG888" s="3"/>
      <c r="AH888" s="3"/>
      <c r="AI888" s="3"/>
      <c r="AJ888" s="3"/>
      <c r="AK888" s="3"/>
      <c r="AL888" s="3"/>
      <c r="AM888" s="3"/>
      <c r="AN888" s="3"/>
      <c r="AO888" s="3"/>
      <c r="AP888" s="3"/>
      <c r="AQ888" s="3"/>
      <c r="AR888" s="3"/>
      <c r="AS888" s="3"/>
      <c r="AT888" s="3"/>
      <c r="AU888" s="3"/>
      <c r="AV888" s="3"/>
      <c r="AW888" s="3"/>
      <c r="AX888" s="3"/>
      <c r="AY888" s="3"/>
      <c r="AZ888" s="3"/>
      <c r="BA888" s="3"/>
      <c r="BB888" s="3"/>
      <c r="BC888" s="3"/>
    </row>
    <row r="889" spans="1:55">
      <c r="A889" s="1" t="str">
        <f>'Population Definitions'!$A$9</f>
        <v>18-64_females</v>
      </c>
      <c r="C889" t="s">
        <v>34</v>
      </c>
      <c r="D889" s="3"/>
      <c r="E889" s="3">
        <v>0</v>
      </c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3"/>
      <c r="AC889" s="3"/>
      <c r="AD889" s="3"/>
      <c r="AE889" s="3"/>
      <c r="AF889" s="3"/>
      <c r="AG889" s="3"/>
      <c r="AH889" s="3"/>
      <c r="AI889" s="3"/>
      <c r="AJ889" s="3"/>
      <c r="AK889" s="3"/>
      <c r="AL889" s="3"/>
      <c r="AM889" s="3"/>
      <c r="AN889" s="3"/>
      <c r="AO889" s="3"/>
      <c r="AP889" s="3"/>
      <c r="AQ889" s="3"/>
      <c r="AR889" s="3"/>
      <c r="AS889" s="3"/>
      <c r="AT889" s="3"/>
      <c r="AU889" s="3"/>
      <c r="AV889" s="3"/>
      <c r="AW889" s="3"/>
      <c r="AX889" s="3"/>
      <c r="AY889" s="3"/>
      <c r="AZ889" s="3"/>
      <c r="BA889" s="3"/>
      <c r="BB889" s="3"/>
      <c r="BC889" s="3"/>
    </row>
    <row r="890" spans="1:55">
      <c r="A890" s="1" t="str">
        <f>'Population Definitions'!$A$10</f>
        <v>65+_males</v>
      </c>
      <c r="C890" t="s">
        <v>34</v>
      </c>
      <c r="D890" s="3"/>
      <c r="E890" s="3">
        <v>0</v>
      </c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  <c r="AB890" s="3"/>
      <c r="AC890" s="3"/>
      <c r="AD890" s="3"/>
      <c r="AE890" s="3"/>
      <c r="AF890" s="3"/>
      <c r="AG890" s="3"/>
      <c r="AH890" s="3"/>
      <c r="AI890" s="3"/>
      <c r="AJ890" s="3"/>
      <c r="AK890" s="3"/>
      <c r="AL890" s="3"/>
      <c r="AM890" s="3"/>
      <c r="AN890" s="3"/>
      <c r="AO890" s="3"/>
      <c r="AP890" s="3"/>
      <c r="AQ890" s="3"/>
      <c r="AR890" s="3"/>
      <c r="AS890" s="3"/>
      <c r="AT890" s="3"/>
      <c r="AU890" s="3"/>
      <c r="AV890" s="3"/>
      <c r="AW890" s="3"/>
      <c r="AX890" s="3"/>
      <c r="AY890" s="3"/>
      <c r="AZ890" s="3"/>
      <c r="BA890" s="3"/>
      <c r="BB890" s="3"/>
      <c r="BC890" s="3"/>
    </row>
    <row r="891" spans="1:55">
      <c r="A891" s="1" t="str">
        <f>'Population Definitions'!$A$11</f>
        <v>65+_females</v>
      </c>
      <c r="C891" t="s">
        <v>34</v>
      </c>
      <c r="D891" s="3"/>
      <c r="E891" s="3">
        <v>0</v>
      </c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  <c r="AB891" s="3"/>
      <c r="AC891" s="3"/>
      <c r="AD891" s="3"/>
      <c r="AE891" s="3"/>
      <c r="AF891" s="3"/>
      <c r="AG891" s="3"/>
      <c r="AH891" s="3"/>
      <c r="AI891" s="3"/>
      <c r="AJ891" s="3"/>
      <c r="AK891" s="3"/>
      <c r="AL891" s="3"/>
      <c r="AM891" s="3"/>
      <c r="AN891" s="3"/>
      <c r="AO891" s="3"/>
      <c r="AP891" s="3"/>
      <c r="AQ891" s="3"/>
      <c r="AR891" s="3"/>
      <c r="AS891" s="3"/>
      <c r="AT891" s="3"/>
      <c r="AU891" s="3"/>
      <c r="AV891" s="3"/>
      <c r="AW891" s="3"/>
      <c r="AX891" s="3"/>
      <c r="AY891" s="3"/>
      <c r="AZ891" s="3"/>
      <c r="BA891" s="3"/>
      <c r="BB891" s="3"/>
      <c r="BC891" s="3"/>
    </row>
    <row r="892" spans="1:55">
      <c r="A892" s="1" t="str">
        <f>'Population Definitions'!$A$12</f>
        <v>Prisoners_males</v>
      </c>
      <c r="C892" t="s">
        <v>34</v>
      </c>
      <c r="D892" s="3"/>
      <c r="E892" s="3">
        <v>0</v>
      </c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  <c r="AB892" s="3"/>
      <c r="AC892" s="3"/>
      <c r="AD892" s="3"/>
      <c r="AE892" s="3"/>
      <c r="AF892" s="3"/>
      <c r="AG892" s="3"/>
      <c r="AH892" s="3"/>
      <c r="AI892" s="3"/>
      <c r="AJ892" s="3"/>
      <c r="AK892" s="3"/>
      <c r="AL892" s="3"/>
      <c r="AM892" s="3"/>
      <c r="AN892" s="3"/>
      <c r="AO892" s="3"/>
      <c r="AP892" s="3"/>
      <c r="AQ892" s="3"/>
      <c r="AR892" s="3"/>
      <c r="AS892" s="3"/>
      <c r="AT892" s="3"/>
      <c r="AU892" s="3"/>
      <c r="AV892" s="3"/>
      <c r="AW892" s="3"/>
      <c r="AX892" s="3"/>
      <c r="AY892" s="3"/>
      <c r="AZ892" s="3"/>
      <c r="BA892" s="3"/>
      <c r="BB892" s="3"/>
      <c r="BC892" s="3"/>
    </row>
    <row r="893" spans="1:55">
      <c r="A893" s="1" t="str">
        <f>'Population Definitions'!$A$13</f>
        <v>Prisoners_females</v>
      </c>
      <c r="C893" t="s">
        <v>34</v>
      </c>
      <c r="D893" s="3"/>
      <c r="E893" s="3">
        <v>0</v>
      </c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  <c r="AB893" s="3"/>
      <c r="AC893" s="3"/>
      <c r="AD893" s="3"/>
      <c r="AE893" s="3"/>
      <c r="AF893" s="3"/>
      <c r="AG893" s="3"/>
      <c r="AH893" s="3"/>
      <c r="AI893" s="3"/>
      <c r="AJ893" s="3"/>
      <c r="AK893" s="3"/>
      <c r="AL893" s="3"/>
      <c r="AM893" s="3"/>
      <c r="AN893" s="3"/>
      <c r="AO893" s="3"/>
      <c r="AP893" s="3"/>
      <c r="AQ893" s="3"/>
      <c r="AR893" s="3"/>
      <c r="AS893" s="3"/>
      <c r="AT893" s="3"/>
      <c r="AU893" s="3"/>
      <c r="AV893" s="3"/>
      <c r="AW893" s="3"/>
      <c r="AX893" s="3"/>
      <c r="AY893" s="3"/>
      <c r="AZ893" s="3"/>
      <c r="BA893" s="3"/>
      <c r="BB893" s="3"/>
      <c r="BC893" s="3"/>
    </row>
    <row r="894" spans="1:55">
      <c r="A894" s="1" t="str">
        <f>'Population Definitions'!$A$14</f>
        <v>Prisoners_PWID_males</v>
      </c>
      <c r="C894" t="s">
        <v>34</v>
      </c>
      <c r="D894" s="3"/>
      <c r="E894" s="3">
        <v>0</v>
      </c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  <c r="AB894" s="3"/>
      <c r="AC894" s="3"/>
      <c r="AD894" s="3"/>
      <c r="AE894" s="3"/>
      <c r="AF894" s="3"/>
      <c r="AG894" s="3"/>
      <c r="AH894" s="3"/>
      <c r="AI894" s="3"/>
      <c r="AJ894" s="3"/>
      <c r="AK894" s="3"/>
      <c r="AL894" s="3"/>
      <c r="AM894" s="3"/>
      <c r="AN894" s="3"/>
      <c r="AO894" s="3"/>
      <c r="AP894" s="3"/>
      <c r="AQ894" s="3"/>
      <c r="AR894" s="3"/>
      <c r="AS894" s="3"/>
      <c r="AT894" s="3"/>
      <c r="AU894" s="3"/>
      <c r="AV894" s="3"/>
      <c r="AW894" s="3"/>
      <c r="AX894" s="3"/>
      <c r="AY894" s="3"/>
      <c r="AZ894" s="3"/>
      <c r="BA894" s="3"/>
      <c r="BB894" s="3"/>
      <c r="BC894" s="3"/>
    </row>
    <row r="895" spans="1:55">
      <c r="A895" s="1" t="str">
        <f>'Population Definitions'!$A$15</f>
        <v>Prisoners_PWID_females</v>
      </c>
      <c r="C895" t="s">
        <v>34</v>
      </c>
      <c r="D895" s="3"/>
      <c r="E895" s="3">
        <v>0</v>
      </c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  <c r="AB895" s="3"/>
      <c r="AC895" s="3"/>
      <c r="AD895" s="3"/>
      <c r="AE895" s="3"/>
      <c r="AF895" s="3"/>
      <c r="AG895" s="3"/>
      <c r="AH895" s="3"/>
      <c r="AI895" s="3"/>
      <c r="AJ895" s="3"/>
      <c r="AK895" s="3"/>
      <c r="AL895" s="3"/>
      <c r="AM895" s="3"/>
      <c r="AN895" s="3"/>
      <c r="AO895" s="3"/>
      <c r="AP895" s="3"/>
      <c r="AQ895" s="3"/>
      <c r="AR895" s="3"/>
      <c r="AS895" s="3"/>
      <c r="AT895" s="3"/>
      <c r="AU895" s="3"/>
      <c r="AV895" s="3"/>
      <c r="AW895" s="3"/>
      <c r="AX895" s="3"/>
      <c r="AY895" s="3"/>
      <c r="AZ895" s="3"/>
      <c r="BA895" s="3"/>
      <c r="BB895" s="3"/>
      <c r="BC895" s="3"/>
    </row>
    <row r="897" spans="1:55">
      <c r="A897" s="1" t="s">
        <v>183</v>
      </c>
      <c r="B897" s="1" t="s">
        <v>31</v>
      </c>
      <c r="C897" s="1" t="s">
        <v>32</v>
      </c>
      <c r="D897" s="1" t="s">
        <v>33</v>
      </c>
      <c r="E897" s="1">
        <v>2000</v>
      </c>
      <c r="F897" s="1">
        <v>2001</v>
      </c>
      <c r="G897" s="1">
        <v>2002</v>
      </c>
      <c r="H897" s="1">
        <v>2003</v>
      </c>
      <c r="I897" s="1">
        <v>2004</v>
      </c>
      <c r="J897" s="1">
        <v>2005</v>
      </c>
      <c r="K897" s="1">
        <v>2006</v>
      </c>
      <c r="L897" s="1">
        <v>2007</v>
      </c>
      <c r="M897" s="1">
        <v>2008</v>
      </c>
      <c r="N897" s="1">
        <v>2009</v>
      </c>
      <c r="O897" s="1">
        <v>2010</v>
      </c>
      <c r="P897" s="1">
        <v>2011</v>
      </c>
      <c r="Q897" s="1">
        <v>2012</v>
      </c>
      <c r="R897" s="1">
        <v>2013</v>
      </c>
      <c r="S897" s="1">
        <v>2014</v>
      </c>
      <c r="T897" s="1">
        <v>2015</v>
      </c>
      <c r="U897" s="1">
        <v>2016</v>
      </c>
      <c r="V897" s="1">
        <v>2017</v>
      </c>
      <c r="W897" s="1">
        <v>2018</v>
      </c>
      <c r="X897" s="1">
        <v>2019</v>
      </c>
      <c r="Y897" s="1">
        <v>2020</v>
      </c>
      <c r="Z897" s="1">
        <v>2021</v>
      </c>
      <c r="AA897" s="1">
        <v>2022</v>
      </c>
      <c r="AB897" s="1">
        <v>2023</v>
      </c>
      <c r="AC897" s="1">
        <v>2024</v>
      </c>
      <c r="AD897" s="1">
        <v>2025</v>
      </c>
      <c r="AE897" s="1">
        <v>2026</v>
      </c>
      <c r="AF897" s="1">
        <v>2027</v>
      </c>
      <c r="AG897" s="1">
        <v>2028</v>
      </c>
      <c r="AH897" s="1">
        <v>2029</v>
      </c>
      <c r="AI897" s="1">
        <v>2030</v>
      </c>
      <c r="AJ897" s="1">
        <v>2031</v>
      </c>
      <c r="AK897" s="1">
        <v>2032</v>
      </c>
      <c r="AL897" s="1">
        <v>2033</v>
      </c>
      <c r="AM897" s="1">
        <v>2034</v>
      </c>
      <c r="AN897" s="1">
        <v>2035</v>
      </c>
      <c r="AO897" s="1">
        <v>2036</v>
      </c>
      <c r="AP897" s="1">
        <v>2037</v>
      </c>
      <c r="AQ897" s="1">
        <v>2038</v>
      </c>
      <c r="AR897" s="1">
        <v>2039</v>
      </c>
      <c r="AS897" s="1">
        <v>2040</v>
      </c>
      <c r="AT897" s="1">
        <v>2041</v>
      </c>
      <c r="AU897" s="1">
        <v>2042</v>
      </c>
      <c r="AV897" s="1">
        <v>2043</v>
      </c>
      <c r="AW897" s="1">
        <v>2044</v>
      </c>
      <c r="AX897" s="1">
        <v>2045</v>
      </c>
      <c r="AY897" s="1">
        <v>2046</v>
      </c>
      <c r="AZ897" s="1">
        <v>2047</v>
      </c>
      <c r="BA897" s="1">
        <v>2048</v>
      </c>
      <c r="BB897" s="1">
        <v>2049</v>
      </c>
      <c r="BC897" s="1">
        <v>2050</v>
      </c>
    </row>
    <row r="898" spans="1:55">
      <c r="A898" s="1" t="str">
        <f>'Population Definitions'!$A$2</f>
        <v>PWID_males</v>
      </c>
      <c r="C898" t="s">
        <v>34</v>
      </c>
      <c r="D898" s="3"/>
      <c r="E898" s="3">
        <v>0</v>
      </c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  <c r="AB898" s="3"/>
      <c r="AC898" s="3"/>
      <c r="AD898" s="3"/>
      <c r="AE898" s="3"/>
      <c r="AF898" s="3"/>
      <c r="AG898" s="3"/>
      <c r="AH898" s="3"/>
      <c r="AI898" s="3"/>
      <c r="AJ898" s="3"/>
      <c r="AK898" s="3"/>
      <c r="AL898" s="3"/>
      <c r="AM898" s="3"/>
      <c r="AN898" s="3"/>
      <c r="AO898" s="3"/>
      <c r="AP898" s="3"/>
      <c r="AQ898" s="3"/>
      <c r="AR898" s="3"/>
      <c r="AS898" s="3"/>
      <c r="AT898" s="3"/>
      <c r="AU898" s="3"/>
      <c r="AV898" s="3"/>
      <c r="AW898" s="3"/>
      <c r="AX898" s="3"/>
      <c r="AY898" s="3"/>
      <c r="AZ898" s="3"/>
      <c r="BA898" s="3"/>
      <c r="BB898" s="3"/>
      <c r="BC898" s="3"/>
    </row>
    <row r="899" spans="1:55">
      <c r="A899" s="1" t="str">
        <f>'Population Definitions'!$A$3</f>
        <v>PWID_females</v>
      </c>
      <c r="C899" t="s">
        <v>34</v>
      </c>
      <c r="D899" s="3"/>
      <c r="E899" s="3">
        <v>0</v>
      </c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  <c r="AB899" s="3"/>
      <c r="AC899" s="3"/>
      <c r="AD899" s="3"/>
      <c r="AE899" s="3"/>
      <c r="AF899" s="3"/>
      <c r="AG899" s="3"/>
      <c r="AH899" s="3"/>
      <c r="AI899" s="3"/>
      <c r="AJ899" s="3"/>
      <c r="AK899" s="3"/>
      <c r="AL899" s="3"/>
      <c r="AM899" s="3"/>
      <c r="AN899" s="3"/>
      <c r="AO899" s="3"/>
      <c r="AP899" s="3"/>
      <c r="AQ899" s="3"/>
      <c r="AR899" s="3"/>
      <c r="AS899" s="3"/>
      <c r="AT899" s="3"/>
      <c r="AU899" s="3"/>
      <c r="AV899" s="3"/>
      <c r="AW899" s="3"/>
      <c r="AX899" s="3"/>
      <c r="AY899" s="3"/>
      <c r="AZ899" s="3"/>
      <c r="BA899" s="3"/>
      <c r="BB899" s="3"/>
      <c r="BC899" s="3"/>
    </row>
    <row r="900" spans="1:55">
      <c r="A900" s="1" t="str">
        <f>'Population Definitions'!$A$4</f>
        <v>0-9_males</v>
      </c>
      <c r="C900" t="s">
        <v>34</v>
      </c>
      <c r="D900" s="3"/>
      <c r="E900" s="3">
        <v>0</v>
      </c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  <c r="AB900" s="3"/>
      <c r="AC900" s="3"/>
      <c r="AD900" s="3"/>
      <c r="AE900" s="3"/>
      <c r="AF900" s="3"/>
      <c r="AG900" s="3"/>
      <c r="AH900" s="3"/>
      <c r="AI900" s="3"/>
      <c r="AJ900" s="3"/>
      <c r="AK900" s="3"/>
      <c r="AL900" s="3"/>
      <c r="AM900" s="3"/>
      <c r="AN900" s="3"/>
      <c r="AO900" s="3"/>
      <c r="AP900" s="3"/>
      <c r="AQ900" s="3"/>
      <c r="AR900" s="3"/>
      <c r="AS900" s="3"/>
      <c r="AT900" s="3"/>
      <c r="AU900" s="3"/>
      <c r="AV900" s="3"/>
      <c r="AW900" s="3"/>
      <c r="AX900" s="3"/>
      <c r="AY900" s="3"/>
      <c r="AZ900" s="3"/>
      <c r="BA900" s="3"/>
      <c r="BB900" s="3"/>
      <c r="BC900" s="3"/>
    </row>
    <row r="901" spans="1:55">
      <c r="A901" s="1" t="str">
        <f>'Population Definitions'!$A$5</f>
        <v>0-9_females</v>
      </c>
      <c r="C901" t="s">
        <v>34</v>
      </c>
      <c r="D901" s="3"/>
      <c r="E901" s="3">
        <v>0</v>
      </c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  <c r="AB901" s="3"/>
      <c r="AC901" s="3"/>
      <c r="AD901" s="3"/>
      <c r="AE901" s="3"/>
      <c r="AF901" s="3"/>
      <c r="AG901" s="3"/>
      <c r="AH901" s="3"/>
      <c r="AI901" s="3"/>
      <c r="AJ901" s="3"/>
      <c r="AK901" s="3"/>
      <c r="AL901" s="3"/>
      <c r="AM901" s="3"/>
      <c r="AN901" s="3"/>
      <c r="AO901" s="3"/>
      <c r="AP901" s="3"/>
      <c r="AQ901" s="3"/>
      <c r="AR901" s="3"/>
      <c r="AS901" s="3"/>
      <c r="AT901" s="3"/>
      <c r="AU901" s="3"/>
      <c r="AV901" s="3"/>
      <c r="AW901" s="3"/>
      <c r="AX901" s="3"/>
      <c r="AY901" s="3"/>
      <c r="AZ901" s="3"/>
      <c r="BA901" s="3"/>
      <c r="BB901" s="3"/>
      <c r="BC901" s="3"/>
    </row>
    <row r="902" spans="1:55">
      <c r="A902" s="1" t="str">
        <f>'Population Definitions'!$A$6</f>
        <v>10-17_males</v>
      </c>
      <c r="C902" t="s">
        <v>34</v>
      </c>
      <c r="D902" s="3"/>
      <c r="E902" s="3">
        <v>0</v>
      </c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/>
      <c r="AC902" s="3"/>
      <c r="AD902" s="3"/>
      <c r="AE902" s="3"/>
      <c r="AF902" s="3"/>
      <c r="AG902" s="3"/>
      <c r="AH902" s="3"/>
      <c r="AI902" s="3"/>
      <c r="AJ902" s="3"/>
      <c r="AK902" s="3"/>
      <c r="AL902" s="3"/>
      <c r="AM902" s="3"/>
      <c r="AN902" s="3"/>
      <c r="AO902" s="3"/>
      <c r="AP902" s="3"/>
      <c r="AQ902" s="3"/>
      <c r="AR902" s="3"/>
      <c r="AS902" s="3"/>
      <c r="AT902" s="3"/>
      <c r="AU902" s="3"/>
      <c r="AV902" s="3"/>
      <c r="AW902" s="3"/>
      <c r="AX902" s="3"/>
      <c r="AY902" s="3"/>
      <c r="AZ902" s="3"/>
      <c r="BA902" s="3"/>
      <c r="BB902" s="3"/>
      <c r="BC902" s="3"/>
    </row>
    <row r="903" spans="1:55">
      <c r="A903" s="1" t="str">
        <f>'Population Definitions'!$A$7</f>
        <v>10-17_females</v>
      </c>
      <c r="C903" t="s">
        <v>34</v>
      </c>
      <c r="D903" s="3"/>
      <c r="E903" s="3">
        <v>0</v>
      </c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/>
      <c r="AC903" s="3"/>
      <c r="AD903" s="3"/>
      <c r="AE903" s="3"/>
      <c r="AF903" s="3"/>
      <c r="AG903" s="3"/>
      <c r="AH903" s="3"/>
      <c r="AI903" s="3"/>
      <c r="AJ903" s="3"/>
      <c r="AK903" s="3"/>
      <c r="AL903" s="3"/>
      <c r="AM903" s="3"/>
      <c r="AN903" s="3"/>
      <c r="AO903" s="3"/>
      <c r="AP903" s="3"/>
      <c r="AQ903" s="3"/>
      <c r="AR903" s="3"/>
      <c r="AS903" s="3"/>
      <c r="AT903" s="3"/>
      <c r="AU903" s="3"/>
      <c r="AV903" s="3"/>
      <c r="AW903" s="3"/>
      <c r="AX903" s="3"/>
      <c r="AY903" s="3"/>
      <c r="AZ903" s="3"/>
      <c r="BA903" s="3"/>
      <c r="BB903" s="3"/>
      <c r="BC903" s="3"/>
    </row>
    <row r="904" spans="1:55">
      <c r="A904" s="1" t="str">
        <f>'Population Definitions'!$A$8</f>
        <v>18-64_males</v>
      </c>
      <c r="C904" t="s">
        <v>34</v>
      </c>
      <c r="D904" s="3"/>
      <c r="E904" s="3">
        <v>0</v>
      </c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/>
      <c r="AC904" s="3"/>
      <c r="AD904" s="3"/>
      <c r="AE904" s="3"/>
      <c r="AF904" s="3"/>
      <c r="AG904" s="3"/>
      <c r="AH904" s="3"/>
      <c r="AI904" s="3"/>
      <c r="AJ904" s="3"/>
      <c r="AK904" s="3"/>
      <c r="AL904" s="3"/>
      <c r="AM904" s="3"/>
      <c r="AN904" s="3"/>
      <c r="AO904" s="3"/>
      <c r="AP904" s="3"/>
      <c r="AQ904" s="3"/>
      <c r="AR904" s="3"/>
      <c r="AS904" s="3"/>
      <c r="AT904" s="3"/>
      <c r="AU904" s="3"/>
      <c r="AV904" s="3"/>
      <c r="AW904" s="3"/>
      <c r="AX904" s="3"/>
      <c r="AY904" s="3"/>
      <c r="AZ904" s="3"/>
      <c r="BA904" s="3"/>
      <c r="BB904" s="3"/>
      <c r="BC904" s="3"/>
    </row>
    <row r="905" spans="1:55">
      <c r="A905" s="1" t="str">
        <f>'Population Definitions'!$A$9</f>
        <v>18-64_females</v>
      </c>
      <c r="C905" t="s">
        <v>34</v>
      </c>
      <c r="D905" s="3"/>
      <c r="E905" s="3">
        <v>0</v>
      </c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/>
      <c r="AC905" s="3"/>
      <c r="AD905" s="3"/>
      <c r="AE905" s="3"/>
      <c r="AF905" s="3"/>
      <c r="AG905" s="3"/>
      <c r="AH905" s="3"/>
      <c r="AI905" s="3"/>
      <c r="AJ905" s="3"/>
      <c r="AK905" s="3"/>
      <c r="AL905" s="3"/>
      <c r="AM905" s="3"/>
      <c r="AN905" s="3"/>
      <c r="AO905" s="3"/>
      <c r="AP905" s="3"/>
      <c r="AQ905" s="3"/>
      <c r="AR905" s="3"/>
      <c r="AS905" s="3"/>
      <c r="AT905" s="3"/>
      <c r="AU905" s="3"/>
      <c r="AV905" s="3"/>
      <c r="AW905" s="3"/>
      <c r="AX905" s="3"/>
      <c r="AY905" s="3"/>
      <c r="AZ905" s="3"/>
      <c r="BA905" s="3"/>
      <c r="BB905" s="3"/>
      <c r="BC905" s="3"/>
    </row>
    <row r="906" spans="1:55">
      <c r="A906" s="1" t="str">
        <f>'Population Definitions'!$A$10</f>
        <v>65+_males</v>
      </c>
      <c r="C906" t="s">
        <v>34</v>
      </c>
      <c r="D906" s="3"/>
      <c r="E906" s="3">
        <v>0</v>
      </c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  <c r="AB906" s="3"/>
      <c r="AC906" s="3"/>
      <c r="AD906" s="3"/>
      <c r="AE906" s="3"/>
      <c r="AF906" s="3"/>
      <c r="AG906" s="3"/>
      <c r="AH906" s="3"/>
      <c r="AI906" s="3"/>
      <c r="AJ906" s="3"/>
      <c r="AK906" s="3"/>
      <c r="AL906" s="3"/>
      <c r="AM906" s="3"/>
      <c r="AN906" s="3"/>
      <c r="AO906" s="3"/>
      <c r="AP906" s="3"/>
      <c r="AQ906" s="3"/>
      <c r="AR906" s="3"/>
      <c r="AS906" s="3"/>
      <c r="AT906" s="3"/>
      <c r="AU906" s="3"/>
      <c r="AV906" s="3"/>
      <c r="AW906" s="3"/>
      <c r="AX906" s="3"/>
      <c r="AY906" s="3"/>
      <c r="AZ906" s="3"/>
      <c r="BA906" s="3"/>
      <c r="BB906" s="3"/>
      <c r="BC906" s="3"/>
    </row>
    <row r="907" spans="1:55">
      <c r="A907" s="1" t="str">
        <f>'Population Definitions'!$A$11</f>
        <v>65+_females</v>
      </c>
      <c r="C907" t="s">
        <v>34</v>
      </c>
      <c r="D907" s="3"/>
      <c r="E907" s="3">
        <v>0</v>
      </c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  <c r="AB907" s="3"/>
      <c r="AC907" s="3"/>
      <c r="AD907" s="3"/>
      <c r="AE907" s="3"/>
      <c r="AF907" s="3"/>
      <c r="AG907" s="3"/>
      <c r="AH907" s="3"/>
      <c r="AI907" s="3"/>
      <c r="AJ907" s="3"/>
      <c r="AK907" s="3"/>
      <c r="AL907" s="3"/>
      <c r="AM907" s="3"/>
      <c r="AN907" s="3"/>
      <c r="AO907" s="3"/>
      <c r="AP907" s="3"/>
      <c r="AQ907" s="3"/>
      <c r="AR907" s="3"/>
      <c r="AS907" s="3"/>
      <c r="AT907" s="3"/>
      <c r="AU907" s="3"/>
      <c r="AV907" s="3"/>
      <c r="AW907" s="3"/>
      <c r="AX907" s="3"/>
      <c r="AY907" s="3"/>
      <c r="AZ907" s="3"/>
      <c r="BA907" s="3"/>
      <c r="BB907" s="3"/>
      <c r="BC907" s="3"/>
    </row>
    <row r="908" spans="1:55">
      <c r="A908" s="1" t="str">
        <f>'Population Definitions'!$A$12</f>
        <v>Prisoners_males</v>
      </c>
      <c r="C908" t="s">
        <v>34</v>
      </c>
      <c r="D908" s="3"/>
      <c r="E908" s="3">
        <v>0</v>
      </c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  <c r="AB908" s="3"/>
      <c r="AC908" s="3"/>
      <c r="AD908" s="3"/>
      <c r="AE908" s="3"/>
      <c r="AF908" s="3"/>
      <c r="AG908" s="3"/>
      <c r="AH908" s="3"/>
      <c r="AI908" s="3"/>
      <c r="AJ908" s="3"/>
      <c r="AK908" s="3"/>
      <c r="AL908" s="3"/>
      <c r="AM908" s="3"/>
      <c r="AN908" s="3"/>
      <c r="AO908" s="3"/>
      <c r="AP908" s="3"/>
      <c r="AQ908" s="3"/>
      <c r="AR908" s="3"/>
      <c r="AS908" s="3"/>
      <c r="AT908" s="3"/>
      <c r="AU908" s="3"/>
      <c r="AV908" s="3"/>
      <c r="AW908" s="3"/>
      <c r="AX908" s="3"/>
      <c r="AY908" s="3"/>
      <c r="AZ908" s="3"/>
      <c r="BA908" s="3"/>
      <c r="BB908" s="3"/>
      <c r="BC908" s="3"/>
    </row>
    <row r="909" spans="1:55">
      <c r="A909" s="1" t="str">
        <f>'Population Definitions'!$A$13</f>
        <v>Prisoners_females</v>
      </c>
      <c r="C909" t="s">
        <v>34</v>
      </c>
      <c r="D909" s="3"/>
      <c r="E909" s="3">
        <v>0</v>
      </c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  <c r="AB909" s="3"/>
      <c r="AC909" s="3"/>
      <c r="AD909" s="3"/>
      <c r="AE909" s="3"/>
      <c r="AF909" s="3"/>
      <c r="AG909" s="3"/>
      <c r="AH909" s="3"/>
      <c r="AI909" s="3"/>
      <c r="AJ909" s="3"/>
      <c r="AK909" s="3"/>
      <c r="AL909" s="3"/>
      <c r="AM909" s="3"/>
      <c r="AN909" s="3"/>
      <c r="AO909" s="3"/>
      <c r="AP909" s="3"/>
      <c r="AQ909" s="3"/>
      <c r="AR909" s="3"/>
      <c r="AS909" s="3"/>
      <c r="AT909" s="3"/>
      <c r="AU909" s="3"/>
      <c r="AV909" s="3"/>
      <c r="AW909" s="3"/>
      <c r="AX909" s="3"/>
      <c r="AY909" s="3"/>
      <c r="AZ909" s="3"/>
      <c r="BA909" s="3"/>
      <c r="BB909" s="3"/>
      <c r="BC909" s="3"/>
    </row>
    <row r="910" spans="1:55">
      <c r="A910" s="1" t="str">
        <f>'Population Definitions'!$A$14</f>
        <v>Prisoners_PWID_males</v>
      </c>
      <c r="C910" t="s">
        <v>34</v>
      </c>
      <c r="D910" s="3"/>
      <c r="E910" s="3">
        <v>0</v>
      </c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  <c r="AB910" s="3"/>
      <c r="AC910" s="3"/>
      <c r="AD910" s="3"/>
      <c r="AE910" s="3"/>
      <c r="AF910" s="3"/>
      <c r="AG910" s="3"/>
      <c r="AH910" s="3"/>
      <c r="AI910" s="3"/>
      <c r="AJ910" s="3"/>
      <c r="AK910" s="3"/>
      <c r="AL910" s="3"/>
      <c r="AM910" s="3"/>
      <c r="AN910" s="3"/>
      <c r="AO910" s="3"/>
      <c r="AP910" s="3"/>
      <c r="AQ910" s="3"/>
      <c r="AR910" s="3"/>
      <c r="AS910" s="3"/>
      <c r="AT910" s="3"/>
      <c r="AU910" s="3"/>
      <c r="AV910" s="3"/>
      <c r="AW910" s="3"/>
      <c r="AX910" s="3"/>
      <c r="AY910" s="3"/>
      <c r="AZ910" s="3"/>
      <c r="BA910" s="3"/>
      <c r="BB910" s="3"/>
      <c r="BC910" s="3"/>
    </row>
    <row r="911" spans="1:55">
      <c r="A911" s="1" t="str">
        <f>'Population Definitions'!$A$15</f>
        <v>Prisoners_PWID_females</v>
      </c>
      <c r="C911" t="s">
        <v>34</v>
      </c>
      <c r="D911" s="3"/>
      <c r="E911" s="3">
        <v>0</v>
      </c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  <c r="AB911" s="3"/>
      <c r="AC911" s="3"/>
      <c r="AD911" s="3"/>
      <c r="AE911" s="3"/>
      <c r="AF911" s="3"/>
      <c r="AG911" s="3"/>
      <c r="AH911" s="3"/>
      <c r="AI911" s="3"/>
      <c r="AJ911" s="3"/>
      <c r="AK911" s="3"/>
      <c r="AL911" s="3"/>
      <c r="AM911" s="3"/>
      <c r="AN911" s="3"/>
      <c r="AO911" s="3"/>
      <c r="AP911" s="3"/>
      <c r="AQ911" s="3"/>
      <c r="AR911" s="3"/>
      <c r="AS911" s="3"/>
      <c r="AT911" s="3"/>
      <c r="AU911" s="3"/>
      <c r="AV911" s="3"/>
      <c r="AW911" s="3"/>
      <c r="AX911" s="3"/>
      <c r="AY911" s="3"/>
      <c r="AZ911" s="3"/>
      <c r="BA911" s="3"/>
      <c r="BB911" s="3"/>
      <c r="BC911" s="3"/>
    </row>
    <row r="913" spans="1:55">
      <c r="A913" s="1" t="s">
        <v>184</v>
      </c>
      <c r="B913" s="1" t="s">
        <v>31</v>
      </c>
      <c r="C913" s="1" t="s">
        <v>32</v>
      </c>
      <c r="D913" s="1" t="s">
        <v>33</v>
      </c>
      <c r="E913" s="1">
        <v>2000</v>
      </c>
      <c r="F913" s="1">
        <v>2001</v>
      </c>
      <c r="G913" s="1">
        <v>2002</v>
      </c>
      <c r="H913" s="1">
        <v>2003</v>
      </c>
      <c r="I913" s="1">
        <v>2004</v>
      </c>
      <c r="J913" s="1">
        <v>2005</v>
      </c>
      <c r="K913" s="1">
        <v>2006</v>
      </c>
      <c r="L913" s="1">
        <v>2007</v>
      </c>
      <c r="M913" s="1">
        <v>2008</v>
      </c>
      <c r="N913" s="1">
        <v>2009</v>
      </c>
      <c r="O913" s="1">
        <v>2010</v>
      </c>
      <c r="P913" s="1">
        <v>2011</v>
      </c>
      <c r="Q913" s="1">
        <v>2012</v>
      </c>
      <c r="R913" s="1">
        <v>2013</v>
      </c>
      <c r="S913" s="1">
        <v>2014</v>
      </c>
      <c r="T913" s="1">
        <v>2015</v>
      </c>
      <c r="U913" s="1">
        <v>2016</v>
      </c>
      <c r="V913" s="1">
        <v>2017</v>
      </c>
      <c r="W913" s="1">
        <v>2018</v>
      </c>
      <c r="X913" s="1">
        <v>2019</v>
      </c>
      <c r="Y913" s="1">
        <v>2020</v>
      </c>
      <c r="Z913" s="1">
        <v>2021</v>
      </c>
      <c r="AA913" s="1">
        <v>2022</v>
      </c>
      <c r="AB913" s="1">
        <v>2023</v>
      </c>
      <c r="AC913" s="1">
        <v>2024</v>
      </c>
      <c r="AD913" s="1">
        <v>2025</v>
      </c>
      <c r="AE913" s="1">
        <v>2026</v>
      </c>
      <c r="AF913" s="1">
        <v>2027</v>
      </c>
      <c r="AG913" s="1">
        <v>2028</v>
      </c>
      <c r="AH913" s="1">
        <v>2029</v>
      </c>
      <c r="AI913" s="1">
        <v>2030</v>
      </c>
      <c r="AJ913" s="1">
        <v>2031</v>
      </c>
      <c r="AK913" s="1">
        <v>2032</v>
      </c>
      <c r="AL913" s="1">
        <v>2033</v>
      </c>
      <c r="AM913" s="1">
        <v>2034</v>
      </c>
      <c r="AN913" s="1">
        <v>2035</v>
      </c>
      <c r="AO913" s="1">
        <v>2036</v>
      </c>
      <c r="AP913" s="1">
        <v>2037</v>
      </c>
      <c r="AQ913" s="1">
        <v>2038</v>
      </c>
      <c r="AR913" s="1">
        <v>2039</v>
      </c>
      <c r="AS913" s="1">
        <v>2040</v>
      </c>
      <c r="AT913" s="1">
        <v>2041</v>
      </c>
      <c r="AU913" s="1">
        <v>2042</v>
      </c>
      <c r="AV913" s="1">
        <v>2043</v>
      </c>
      <c r="AW913" s="1">
        <v>2044</v>
      </c>
      <c r="AX913" s="1">
        <v>2045</v>
      </c>
      <c r="AY913" s="1">
        <v>2046</v>
      </c>
      <c r="AZ913" s="1">
        <v>2047</v>
      </c>
      <c r="BA913" s="1">
        <v>2048</v>
      </c>
      <c r="BB913" s="1">
        <v>2049</v>
      </c>
      <c r="BC913" s="1">
        <v>2050</v>
      </c>
    </row>
    <row r="914" spans="1:55">
      <c r="A914" s="1" t="str">
        <f>'Population Definitions'!$A$2</f>
        <v>PWID_males</v>
      </c>
      <c r="C914" t="s">
        <v>34</v>
      </c>
      <c r="D914" s="3"/>
      <c r="E914" s="3">
        <v>0</v>
      </c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  <c r="AB914" s="3"/>
      <c r="AC914" s="3"/>
      <c r="AD914" s="3"/>
      <c r="AE914" s="3"/>
      <c r="AF914" s="3"/>
      <c r="AG914" s="3"/>
      <c r="AH914" s="3"/>
      <c r="AI914" s="3"/>
      <c r="AJ914" s="3"/>
      <c r="AK914" s="3"/>
      <c r="AL914" s="3"/>
      <c r="AM914" s="3"/>
      <c r="AN914" s="3"/>
      <c r="AO914" s="3"/>
      <c r="AP914" s="3"/>
      <c r="AQ914" s="3"/>
      <c r="AR914" s="3"/>
      <c r="AS914" s="3"/>
      <c r="AT914" s="3"/>
      <c r="AU914" s="3"/>
      <c r="AV914" s="3"/>
      <c r="AW914" s="3"/>
      <c r="AX914" s="3"/>
      <c r="AY914" s="3"/>
      <c r="AZ914" s="3"/>
      <c r="BA914" s="3"/>
      <c r="BB914" s="3"/>
      <c r="BC914" s="3"/>
    </row>
    <row r="915" spans="1:55">
      <c r="A915" s="1" t="str">
        <f>'Population Definitions'!$A$3</f>
        <v>PWID_females</v>
      </c>
      <c r="C915" t="s">
        <v>34</v>
      </c>
      <c r="D915" s="3"/>
      <c r="E915" s="3">
        <v>0</v>
      </c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  <c r="AB915" s="3"/>
      <c r="AC915" s="3"/>
      <c r="AD915" s="3"/>
      <c r="AE915" s="3"/>
      <c r="AF915" s="3"/>
      <c r="AG915" s="3"/>
      <c r="AH915" s="3"/>
      <c r="AI915" s="3"/>
      <c r="AJ915" s="3"/>
      <c r="AK915" s="3"/>
      <c r="AL915" s="3"/>
      <c r="AM915" s="3"/>
      <c r="AN915" s="3"/>
      <c r="AO915" s="3"/>
      <c r="AP915" s="3"/>
      <c r="AQ915" s="3"/>
      <c r="AR915" s="3"/>
      <c r="AS915" s="3"/>
      <c r="AT915" s="3"/>
      <c r="AU915" s="3"/>
      <c r="AV915" s="3"/>
      <c r="AW915" s="3"/>
      <c r="AX915" s="3"/>
      <c r="AY915" s="3"/>
      <c r="AZ915" s="3"/>
      <c r="BA915" s="3"/>
      <c r="BB915" s="3"/>
      <c r="BC915" s="3"/>
    </row>
    <row r="916" spans="1:55">
      <c r="A916" s="1" t="str">
        <f>'Population Definitions'!$A$4</f>
        <v>0-9_males</v>
      </c>
      <c r="C916" t="s">
        <v>34</v>
      </c>
      <c r="D916" s="3"/>
      <c r="E916" s="3">
        <v>0</v>
      </c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  <c r="AB916" s="3"/>
      <c r="AC916" s="3"/>
      <c r="AD916" s="3"/>
      <c r="AE916" s="3"/>
      <c r="AF916" s="3"/>
      <c r="AG916" s="3"/>
      <c r="AH916" s="3"/>
      <c r="AI916" s="3"/>
      <c r="AJ916" s="3"/>
      <c r="AK916" s="3"/>
      <c r="AL916" s="3"/>
      <c r="AM916" s="3"/>
      <c r="AN916" s="3"/>
      <c r="AO916" s="3"/>
      <c r="AP916" s="3"/>
      <c r="AQ916" s="3"/>
      <c r="AR916" s="3"/>
      <c r="AS916" s="3"/>
      <c r="AT916" s="3"/>
      <c r="AU916" s="3"/>
      <c r="AV916" s="3"/>
      <c r="AW916" s="3"/>
      <c r="AX916" s="3"/>
      <c r="AY916" s="3"/>
      <c r="AZ916" s="3"/>
      <c r="BA916" s="3"/>
      <c r="BB916" s="3"/>
      <c r="BC916" s="3"/>
    </row>
    <row r="917" spans="1:55">
      <c r="A917" s="1" t="str">
        <f>'Population Definitions'!$A$5</f>
        <v>0-9_females</v>
      </c>
      <c r="C917" t="s">
        <v>34</v>
      </c>
      <c r="D917" s="3"/>
      <c r="E917" s="3">
        <v>0</v>
      </c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  <c r="AB917" s="3"/>
      <c r="AC917" s="3"/>
      <c r="AD917" s="3"/>
      <c r="AE917" s="3"/>
      <c r="AF917" s="3"/>
      <c r="AG917" s="3"/>
      <c r="AH917" s="3"/>
      <c r="AI917" s="3"/>
      <c r="AJ917" s="3"/>
      <c r="AK917" s="3"/>
      <c r="AL917" s="3"/>
      <c r="AM917" s="3"/>
      <c r="AN917" s="3"/>
      <c r="AO917" s="3"/>
      <c r="AP917" s="3"/>
      <c r="AQ917" s="3"/>
      <c r="AR917" s="3"/>
      <c r="AS917" s="3"/>
      <c r="AT917" s="3"/>
      <c r="AU917" s="3"/>
      <c r="AV917" s="3"/>
      <c r="AW917" s="3"/>
      <c r="AX917" s="3"/>
      <c r="AY917" s="3"/>
      <c r="AZ917" s="3"/>
      <c r="BA917" s="3"/>
      <c r="BB917" s="3"/>
      <c r="BC917" s="3"/>
    </row>
    <row r="918" spans="1:55">
      <c r="A918" s="1" t="str">
        <f>'Population Definitions'!$A$6</f>
        <v>10-17_males</v>
      </c>
      <c r="C918" t="s">
        <v>34</v>
      </c>
      <c r="D918" s="3"/>
      <c r="E918" s="3">
        <v>0</v>
      </c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  <c r="AB918" s="3"/>
      <c r="AC918" s="3"/>
      <c r="AD918" s="3"/>
      <c r="AE918" s="3"/>
      <c r="AF918" s="3"/>
      <c r="AG918" s="3"/>
      <c r="AH918" s="3"/>
      <c r="AI918" s="3"/>
      <c r="AJ918" s="3"/>
      <c r="AK918" s="3"/>
      <c r="AL918" s="3"/>
      <c r="AM918" s="3"/>
      <c r="AN918" s="3"/>
      <c r="AO918" s="3"/>
      <c r="AP918" s="3"/>
      <c r="AQ918" s="3"/>
      <c r="AR918" s="3"/>
      <c r="AS918" s="3"/>
      <c r="AT918" s="3"/>
      <c r="AU918" s="3"/>
      <c r="AV918" s="3"/>
      <c r="AW918" s="3"/>
      <c r="AX918" s="3"/>
      <c r="AY918" s="3"/>
      <c r="AZ918" s="3"/>
      <c r="BA918" s="3"/>
      <c r="BB918" s="3"/>
      <c r="BC918" s="3"/>
    </row>
    <row r="919" spans="1:55">
      <c r="A919" s="1" t="str">
        <f>'Population Definitions'!$A$7</f>
        <v>10-17_females</v>
      </c>
      <c r="C919" t="s">
        <v>34</v>
      </c>
      <c r="D919" s="3"/>
      <c r="E919" s="3">
        <v>0</v>
      </c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  <c r="AB919" s="3"/>
      <c r="AC919" s="3"/>
      <c r="AD919" s="3"/>
      <c r="AE919" s="3"/>
      <c r="AF919" s="3"/>
      <c r="AG919" s="3"/>
      <c r="AH919" s="3"/>
      <c r="AI919" s="3"/>
      <c r="AJ919" s="3"/>
      <c r="AK919" s="3"/>
      <c r="AL919" s="3"/>
      <c r="AM919" s="3"/>
      <c r="AN919" s="3"/>
      <c r="AO919" s="3"/>
      <c r="AP919" s="3"/>
      <c r="AQ919" s="3"/>
      <c r="AR919" s="3"/>
      <c r="AS919" s="3"/>
      <c r="AT919" s="3"/>
      <c r="AU919" s="3"/>
      <c r="AV919" s="3"/>
      <c r="AW919" s="3"/>
      <c r="AX919" s="3"/>
      <c r="AY919" s="3"/>
      <c r="AZ919" s="3"/>
      <c r="BA919" s="3"/>
      <c r="BB919" s="3"/>
      <c r="BC919" s="3"/>
    </row>
    <row r="920" spans="1:55">
      <c r="A920" s="1" t="str">
        <f>'Population Definitions'!$A$8</f>
        <v>18-64_males</v>
      </c>
      <c r="C920" t="s">
        <v>34</v>
      </c>
      <c r="D920" s="3"/>
      <c r="E920" s="3">
        <v>0</v>
      </c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  <c r="AB920" s="3"/>
      <c r="AC920" s="3"/>
      <c r="AD920" s="3"/>
      <c r="AE920" s="3"/>
      <c r="AF920" s="3"/>
      <c r="AG920" s="3"/>
      <c r="AH920" s="3"/>
      <c r="AI920" s="3"/>
      <c r="AJ920" s="3"/>
      <c r="AK920" s="3"/>
      <c r="AL920" s="3"/>
      <c r="AM920" s="3"/>
      <c r="AN920" s="3"/>
      <c r="AO920" s="3"/>
      <c r="AP920" s="3"/>
      <c r="AQ920" s="3"/>
      <c r="AR920" s="3"/>
      <c r="AS920" s="3"/>
      <c r="AT920" s="3"/>
      <c r="AU920" s="3"/>
      <c r="AV920" s="3"/>
      <c r="AW920" s="3"/>
      <c r="AX920" s="3"/>
      <c r="AY920" s="3"/>
      <c r="AZ920" s="3"/>
      <c r="BA920" s="3"/>
      <c r="BB920" s="3"/>
      <c r="BC920" s="3"/>
    </row>
    <row r="921" spans="1:55">
      <c r="A921" s="1" t="str">
        <f>'Population Definitions'!$A$9</f>
        <v>18-64_females</v>
      </c>
      <c r="C921" t="s">
        <v>34</v>
      </c>
      <c r="D921" s="3"/>
      <c r="E921" s="3">
        <v>0</v>
      </c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  <c r="AB921" s="3"/>
      <c r="AC921" s="3"/>
      <c r="AD921" s="3"/>
      <c r="AE921" s="3"/>
      <c r="AF921" s="3"/>
      <c r="AG921" s="3"/>
      <c r="AH921" s="3"/>
      <c r="AI921" s="3"/>
      <c r="AJ921" s="3"/>
      <c r="AK921" s="3"/>
      <c r="AL921" s="3"/>
      <c r="AM921" s="3"/>
      <c r="AN921" s="3"/>
      <c r="AO921" s="3"/>
      <c r="AP921" s="3"/>
      <c r="AQ921" s="3"/>
      <c r="AR921" s="3"/>
      <c r="AS921" s="3"/>
      <c r="AT921" s="3"/>
      <c r="AU921" s="3"/>
      <c r="AV921" s="3"/>
      <c r="AW921" s="3"/>
      <c r="AX921" s="3"/>
      <c r="AY921" s="3"/>
      <c r="AZ921" s="3"/>
      <c r="BA921" s="3"/>
      <c r="BB921" s="3"/>
      <c r="BC921" s="3"/>
    </row>
    <row r="922" spans="1:55">
      <c r="A922" s="1" t="str">
        <f>'Population Definitions'!$A$10</f>
        <v>65+_males</v>
      </c>
      <c r="C922" t="s">
        <v>34</v>
      </c>
      <c r="D922" s="3"/>
      <c r="E922" s="3">
        <v>0</v>
      </c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  <c r="AB922" s="3"/>
      <c r="AC922" s="3"/>
      <c r="AD922" s="3"/>
      <c r="AE922" s="3"/>
      <c r="AF922" s="3"/>
      <c r="AG922" s="3"/>
      <c r="AH922" s="3"/>
      <c r="AI922" s="3"/>
      <c r="AJ922" s="3"/>
      <c r="AK922" s="3"/>
      <c r="AL922" s="3"/>
      <c r="AM922" s="3"/>
      <c r="AN922" s="3"/>
      <c r="AO922" s="3"/>
      <c r="AP922" s="3"/>
      <c r="AQ922" s="3"/>
      <c r="AR922" s="3"/>
      <c r="AS922" s="3"/>
      <c r="AT922" s="3"/>
      <c r="AU922" s="3"/>
      <c r="AV922" s="3"/>
      <c r="AW922" s="3"/>
      <c r="AX922" s="3"/>
      <c r="AY922" s="3"/>
      <c r="AZ922" s="3"/>
      <c r="BA922" s="3"/>
      <c r="BB922" s="3"/>
      <c r="BC922" s="3"/>
    </row>
    <row r="923" spans="1:55">
      <c r="A923" s="1" t="str">
        <f>'Population Definitions'!$A$11</f>
        <v>65+_females</v>
      </c>
      <c r="C923" t="s">
        <v>34</v>
      </c>
      <c r="D923" s="3"/>
      <c r="E923" s="3">
        <v>0</v>
      </c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  <c r="AB923" s="3"/>
      <c r="AC923" s="3"/>
      <c r="AD923" s="3"/>
      <c r="AE923" s="3"/>
      <c r="AF923" s="3"/>
      <c r="AG923" s="3"/>
      <c r="AH923" s="3"/>
      <c r="AI923" s="3"/>
      <c r="AJ923" s="3"/>
      <c r="AK923" s="3"/>
      <c r="AL923" s="3"/>
      <c r="AM923" s="3"/>
      <c r="AN923" s="3"/>
      <c r="AO923" s="3"/>
      <c r="AP923" s="3"/>
      <c r="AQ923" s="3"/>
      <c r="AR923" s="3"/>
      <c r="AS923" s="3"/>
      <c r="AT923" s="3"/>
      <c r="AU923" s="3"/>
      <c r="AV923" s="3"/>
      <c r="AW923" s="3"/>
      <c r="AX923" s="3"/>
      <c r="AY923" s="3"/>
      <c r="AZ923" s="3"/>
      <c r="BA923" s="3"/>
      <c r="BB923" s="3"/>
      <c r="BC923" s="3"/>
    </row>
    <row r="924" spans="1:55">
      <c r="A924" s="1" t="str">
        <f>'Population Definitions'!$A$12</f>
        <v>Prisoners_males</v>
      </c>
      <c r="C924" t="s">
        <v>34</v>
      </c>
      <c r="D924" s="3"/>
      <c r="E924" s="3">
        <v>0</v>
      </c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  <c r="AB924" s="3"/>
      <c r="AC924" s="3"/>
      <c r="AD924" s="3"/>
      <c r="AE924" s="3"/>
      <c r="AF924" s="3"/>
      <c r="AG924" s="3"/>
      <c r="AH924" s="3"/>
      <c r="AI924" s="3"/>
      <c r="AJ924" s="3"/>
      <c r="AK924" s="3"/>
      <c r="AL924" s="3"/>
      <c r="AM924" s="3"/>
      <c r="AN924" s="3"/>
      <c r="AO924" s="3"/>
      <c r="AP924" s="3"/>
      <c r="AQ924" s="3"/>
      <c r="AR924" s="3"/>
      <c r="AS924" s="3"/>
      <c r="AT924" s="3"/>
      <c r="AU924" s="3"/>
      <c r="AV924" s="3"/>
      <c r="AW924" s="3"/>
      <c r="AX924" s="3"/>
      <c r="AY924" s="3"/>
      <c r="AZ924" s="3"/>
      <c r="BA924" s="3"/>
      <c r="BB924" s="3"/>
      <c r="BC924" s="3"/>
    </row>
    <row r="925" spans="1:55">
      <c r="A925" s="1" t="str">
        <f>'Population Definitions'!$A$13</f>
        <v>Prisoners_females</v>
      </c>
      <c r="C925" t="s">
        <v>34</v>
      </c>
      <c r="D925" s="3"/>
      <c r="E925" s="3">
        <v>0</v>
      </c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  <c r="AB925" s="3"/>
      <c r="AC925" s="3"/>
      <c r="AD925" s="3"/>
      <c r="AE925" s="3"/>
      <c r="AF925" s="3"/>
      <c r="AG925" s="3"/>
      <c r="AH925" s="3"/>
      <c r="AI925" s="3"/>
      <c r="AJ925" s="3"/>
      <c r="AK925" s="3"/>
      <c r="AL925" s="3"/>
      <c r="AM925" s="3"/>
      <c r="AN925" s="3"/>
      <c r="AO925" s="3"/>
      <c r="AP925" s="3"/>
      <c r="AQ925" s="3"/>
      <c r="AR925" s="3"/>
      <c r="AS925" s="3"/>
      <c r="AT925" s="3"/>
      <c r="AU925" s="3"/>
      <c r="AV925" s="3"/>
      <c r="AW925" s="3"/>
      <c r="AX925" s="3"/>
      <c r="AY925" s="3"/>
      <c r="AZ925" s="3"/>
      <c r="BA925" s="3"/>
      <c r="BB925" s="3"/>
      <c r="BC925" s="3"/>
    </row>
    <row r="926" spans="1:55">
      <c r="A926" s="1" t="str">
        <f>'Population Definitions'!$A$14</f>
        <v>Prisoners_PWID_males</v>
      </c>
      <c r="C926" t="s">
        <v>34</v>
      </c>
      <c r="D926" s="3"/>
      <c r="E926" s="3">
        <v>0</v>
      </c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/>
      <c r="AC926" s="3"/>
      <c r="AD926" s="3"/>
      <c r="AE926" s="3"/>
      <c r="AF926" s="3"/>
      <c r="AG926" s="3"/>
      <c r="AH926" s="3"/>
      <c r="AI926" s="3"/>
      <c r="AJ926" s="3"/>
      <c r="AK926" s="3"/>
      <c r="AL926" s="3"/>
      <c r="AM926" s="3"/>
      <c r="AN926" s="3"/>
      <c r="AO926" s="3"/>
      <c r="AP926" s="3"/>
      <c r="AQ926" s="3"/>
      <c r="AR926" s="3"/>
      <c r="AS926" s="3"/>
      <c r="AT926" s="3"/>
      <c r="AU926" s="3"/>
      <c r="AV926" s="3"/>
      <c r="AW926" s="3"/>
      <c r="AX926" s="3"/>
      <c r="AY926" s="3"/>
      <c r="AZ926" s="3"/>
      <c r="BA926" s="3"/>
      <c r="BB926" s="3"/>
      <c r="BC926" s="3"/>
    </row>
    <row r="927" spans="1:55">
      <c r="A927" s="1" t="str">
        <f>'Population Definitions'!$A$15</f>
        <v>Prisoners_PWID_females</v>
      </c>
      <c r="C927" t="s">
        <v>34</v>
      </c>
      <c r="D927" s="3"/>
      <c r="E927" s="3">
        <v>0</v>
      </c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/>
      <c r="AC927" s="3"/>
      <c r="AD927" s="3"/>
      <c r="AE927" s="3"/>
      <c r="AF927" s="3"/>
      <c r="AG927" s="3"/>
      <c r="AH927" s="3"/>
      <c r="AI927" s="3"/>
      <c r="AJ927" s="3"/>
      <c r="AK927" s="3"/>
      <c r="AL927" s="3"/>
      <c r="AM927" s="3"/>
      <c r="AN927" s="3"/>
      <c r="AO927" s="3"/>
      <c r="AP927" s="3"/>
      <c r="AQ927" s="3"/>
      <c r="AR927" s="3"/>
      <c r="AS927" s="3"/>
      <c r="AT927" s="3"/>
      <c r="AU927" s="3"/>
      <c r="AV927" s="3"/>
      <c r="AW927" s="3"/>
      <c r="AX927" s="3"/>
      <c r="AY927" s="3"/>
      <c r="AZ927" s="3"/>
      <c r="BA927" s="3"/>
      <c r="BB927" s="3"/>
      <c r="BC927" s="3"/>
    </row>
    <row r="929" spans="1:55">
      <c r="A929" s="1" t="s">
        <v>185</v>
      </c>
      <c r="B929" s="1" t="s">
        <v>31</v>
      </c>
      <c r="C929" s="1" t="s">
        <v>32</v>
      </c>
      <c r="D929" s="1" t="s">
        <v>33</v>
      </c>
      <c r="E929" s="1">
        <v>2000</v>
      </c>
      <c r="F929" s="1">
        <v>2001</v>
      </c>
      <c r="G929" s="1">
        <v>2002</v>
      </c>
      <c r="H929" s="1">
        <v>2003</v>
      </c>
      <c r="I929" s="1">
        <v>2004</v>
      </c>
      <c r="J929" s="1">
        <v>2005</v>
      </c>
      <c r="K929" s="1">
        <v>2006</v>
      </c>
      <c r="L929" s="1">
        <v>2007</v>
      </c>
      <c r="M929" s="1">
        <v>2008</v>
      </c>
      <c r="N929" s="1">
        <v>2009</v>
      </c>
      <c r="O929" s="1">
        <v>2010</v>
      </c>
      <c r="P929" s="1">
        <v>2011</v>
      </c>
      <c r="Q929" s="1">
        <v>2012</v>
      </c>
      <c r="R929" s="1">
        <v>2013</v>
      </c>
      <c r="S929" s="1">
        <v>2014</v>
      </c>
      <c r="T929" s="1">
        <v>2015</v>
      </c>
      <c r="U929" s="1">
        <v>2016</v>
      </c>
      <c r="V929" s="1">
        <v>2017</v>
      </c>
      <c r="W929" s="1">
        <v>2018</v>
      </c>
      <c r="X929" s="1">
        <v>2019</v>
      </c>
      <c r="Y929" s="1">
        <v>2020</v>
      </c>
      <c r="Z929" s="1">
        <v>2021</v>
      </c>
      <c r="AA929" s="1">
        <v>2022</v>
      </c>
      <c r="AB929" s="1">
        <v>2023</v>
      </c>
      <c r="AC929" s="1">
        <v>2024</v>
      </c>
      <c r="AD929" s="1">
        <v>2025</v>
      </c>
      <c r="AE929" s="1">
        <v>2026</v>
      </c>
      <c r="AF929" s="1">
        <v>2027</v>
      </c>
      <c r="AG929" s="1">
        <v>2028</v>
      </c>
      <c r="AH929" s="1">
        <v>2029</v>
      </c>
      <c r="AI929" s="1">
        <v>2030</v>
      </c>
      <c r="AJ929" s="1">
        <v>2031</v>
      </c>
      <c r="AK929" s="1">
        <v>2032</v>
      </c>
      <c r="AL929" s="1">
        <v>2033</v>
      </c>
      <c r="AM929" s="1">
        <v>2034</v>
      </c>
      <c r="AN929" s="1">
        <v>2035</v>
      </c>
      <c r="AO929" s="1">
        <v>2036</v>
      </c>
      <c r="AP929" s="1">
        <v>2037</v>
      </c>
      <c r="AQ929" s="1">
        <v>2038</v>
      </c>
      <c r="AR929" s="1">
        <v>2039</v>
      </c>
      <c r="AS929" s="1">
        <v>2040</v>
      </c>
      <c r="AT929" s="1">
        <v>2041</v>
      </c>
      <c r="AU929" s="1">
        <v>2042</v>
      </c>
      <c r="AV929" s="1">
        <v>2043</v>
      </c>
      <c r="AW929" s="1">
        <v>2044</v>
      </c>
      <c r="AX929" s="1">
        <v>2045</v>
      </c>
      <c r="AY929" s="1">
        <v>2046</v>
      </c>
      <c r="AZ929" s="1">
        <v>2047</v>
      </c>
      <c r="BA929" s="1">
        <v>2048</v>
      </c>
      <c r="BB929" s="1">
        <v>2049</v>
      </c>
      <c r="BC929" s="1">
        <v>2050</v>
      </c>
    </row>
    <row r="930" spans="1:55">
      <c r="A930" s="1" t="str">
        <f>'Population Definitions'!$A$2</f>
        <v>PWID_males</v>
      </c>
      <c r="C930" t="s">
        <v>34</v>
      </c>
      <c r="D930" s="3"/>
      <c r="E930" s="3">
        <v>0</v>
      </c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  <c r="AB930" s="3"/>
      <c r="AC930" s="3"/>
      <c r="AD930" s="3"/>
      <c r="AE930" s="3"/>
      <c r="AF930" s="3"/>
      <c r="AG930" s="3"/>
      <c r="AH930" s="3"/>
      <c r="AI930" s="3"/>
      <c r="AJ930" s="3"/>
      <c r="AK930" s="3"/>
      <c r="AL930" s="3"/>
      <c r="AM930" s="3"/>
      <c r="AN930" s="3"/>
      <c r="AO930" s="3"/>
      <c r="AP930" s="3"/>
      <c r="AQ930" s="3"/>
      <c r="AR930" s="3"/>
      <c r="AS930" s="3"/>
      <c r="AT930" s="3"/>
      <c r="AU930" s="3"/>
      <c r="AV930" s="3"/>
      <c r="AW930" s="3"/>
      <c r="AX930" s="3"/>
      <c r="AY930" s="3"/>
      <c r="AZ930" s="3"/>
      <c r="BA930" s="3"/>
      <c r="BB930" s="3"/>
      <c r="BC930" s="3"/>
    </row>
    <row r="931" spans="1:55">
      <c r="A931" s="1" t="str">
        <f>'Population Definitions'!$A$3</f>
        <v>PWID_females</v>
      </c>
      <c r="C931" t="s">
        <v>34</v>
      </c>
      <c r="D931" s="3"/>
      <c r="E931" s="3">
        <v>0</v>
      </c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  <c r="AB931" s="3"/>
      <c r="AC931" s="3"/>
      <c r="AD931" s="3"/>
      <c r="AE931" s="3"/>
      <c r="AF931" s="3"/>
      <c r="AG931" s="3"/>
      <c r="AH931" s="3"/>
      <c r="AI931" s="3"/>
      <c r="AJ931" s="3"/>
      <c r="AK931" s="3"/>
      <c r="AL931" s="3"/>
      <c r="AM931" s="3"/>
      <c r="AN931" s="3"/>
      <c r="AO931" s="3"/>
      <c r="AP931" s="3"/>
      <c r="AQ931" s="3"/>
      <c r="AR931" s="3"/>
      <c r="AS931" s="3"/>
      <c r="AT931" s="3"/>
      <c r="AU931" s="3"/>
      <c r="AV931" s="3"/>
      <c r="AW931" s="3"/>
      <c r="AX931" s="3"/>
      <c r="AY931" s="3"/>
      <c r="AZ931" s="3"/>
      <c r="BA931" s="3"/>
      <c r="BB931" s="3"/>
      <c r="BC931" s="3"/>
    </row>
    <row r="932" spans="1:55">
      <c r="A932" s="1" t="str">
        <f>'Population Definitions'!$A$4</f>
        <v>0-9_males</v>
      </c>
      <c r="C932" t="s">
        <v>34</v>
      </c>
      <c r="D932" s="3"/>
      <c r="E932" s="3">
        <v>0</v>
      </c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  <c r="AB932" s="3"/>
      <c r="AC932" s="3"/>
      <c r="AD932" s="3"/>
      <c r="AE932" s="3"/>
      <c r="AF932" s="3"/>
      <c r="AG932" s="3"/>
      <c r="AH932" s="3"/>
      <c r="AI932" s="3"/>
      <c r="AJ932" s="3"/>
      <c r="AK932" s="3"/>
      <c r="AL932" s="3"/>
      <c r="AM932" s="3"/>
      <c r="AN932" s="3"/>
      <c r="AO932" s="3"/>
      <c r="AP932" s="3"/>
      <c r="AQ932" s="3"/>
      <c r="AR932" s="3"/>
      <c r="AS932" s="3"/>
      <c r="AT932" s="3"/>
      <c r="AU932" s="3"/>
      <c r="AV932" s="3"/>
      <c r="AW932" s="3"/>
      <c r="AX932" s="3"/>
      <c r="AY932" s="3"/>
      <c r="AZ932" s="3"/>
      <c r="BA932" s="3"/>
      <c r="BB932" s="3"/>
      <c r="BC932" s="3"/>
    </row>
    <row r="933" spans="1:55">
      <c r="A933" s="1" t="str">
        <f>'Population Definitions'!$A$5</f>
        <v>0-9_females</v>
      </c>
      <c r="C933" t="s">
        <v>34</v>
      </c>
      <c r="D933" s="3"/>
      <c r="E933" s="3">
        <v>0</v>
      </c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  <c r="AB933" s="3"/>
      <c r="AC933" s="3"/>
      <c r="AD933" s="3"/>
      <c r="AE933" s="3"/>
      <c r="AF933" s="3"/>
      <c r="AG933" s="3"/>
      <c r="AH933" s="3"/>
      <c r="AI933" s="3"/>
      <c r="AJ933" s="3"/>
      <c r="AK933" s="3"/>
      <c r="AL933" s="3"/>
      <c r="AM933" s="3"/>
      <c r="AN933" s="3"/>
      <c r="AO933" s="3"/>
      <c r="AP933" s="3"/>
      <c r="AQ933" s="3"/>
      <c r="AR933" s="3"/>
      <c r="AS933" s="3"/>
      <c r="AT933" s="3"/>
      <c r="AU933" s="3"/>
      <c r="AV933" s="3"/>
      <c r="AW933" s="3"/>
      <c r="AX933" s="3"/>
      <c r="AY933" s="3"/>
      <c r="AZ933" s="3"/>
      <c r="BA933" s="3"/>
      <c r="BB933" s="3"/>
      <c r="BC933" s="3"/>
    </row>
    <row r="934" spans="1:55">
      <c r="A934" s="1" t="str">
        <f>'Population Definitions'!$A$6</f>
        <v>10-17_males</v>
      </c>
      <c r="C934" t="s">
        <v>34</v>
      </c>
      <c r="D934" s="3"/>
      <c r="E934" s="3">
        <v>0</v>
      </c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  <c r="AB934" s="3"/>
      <c r="AC934" s="3"/>
      <c r="AD934" s="3"/>
      <c r="AE934" s="3"/>
      <c r="AF934" s="3"/>
      <c r="AG934" s="3"/>
      <c r="AH934" s="3"/>
      <c r="AI934" s="3"/>
      <c r="AJ934" s="3"/>
      <c r="AK934" s="3"/>
      <c r="AL934" s="3"/>
      <c r="AM934" s="3"/>
      <c r="AN934" s="3"/>
      <c r="AO934" s="3"/>
      <c r="AP934" s="3"/>
      <c r="AQ934" s="3"/>
      <c r="AR934" s="3"/>
      <c r="AS934" s="3"/>
      <c r="AT934" s="3"/>
      <c r="AU934" s="3"/>
      <c r="AV934" s="3"/>
      <c r="AW934" s="3"/>
      <c r="AX934" s="3"/>
      <c r="AY934" s="3"/>
      <c r="AZ934" s="3"/>
      <c r="BA934" s="3"/>
      <c r="BB934" s="3"/>
      <c r="BC934" s="3"/>
    </row>
    <row r="935" spans="1:55">
      <c r="A935" s="1" t="str">
        <f>'Population Definitions'!$A$7</f>
        <v>10-17_females</v>
      </c>
      <c r="C935" t="s">
        <v>34</v>
      </c>
      <c r="D935" s="3"/>
      <c r="E935" s="3">
        <v>0</v>
      </c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  <c r="AB935" s="3"/>
      <c r="AC935" s="3"/>
      <c r="AD935" s="3"/>
      <c r="AE935" s="3"/>
      <c r="AF935" s="3"/>
      <c r="AG935" s="3"/>
      <c r="AH935" s="3"/>
      <c r="AI935" s="3"/>
      <c r="AJ935" s="3"/>
      <c r="AK935" s="3"/>
      <c r="AL935" s="3"/>
      <c r="AM935" s="3"/>
      <c r="AN935" s="3"/>
      <c r="AO935" s="3"/>
      <c r="AP935" s="3"/>
      <c r="AQ935" s="3"/>
      <c r="AR935" s="3"/>
      <c r="AS935" s="3"/>
      <c r="AT935" s="3"/>
      <c r="AU935" s="3"/>
      <c r="AV935" s="3"/>
      <c r="AW935" s="3"/>
      <c r="AX935" s="3"/>
      <c r="AY935" s="3"/>
      <c r="AZ935" s="3"/>
      <c r="BA935" s="3"/>
      <c r="BB935" s="3"/>
      <c r="BC935" s="3"/>
    </row>
    <row r="936" spans="1:55">
      <c r="A936" s="1" t="str">
        <f>'Population Definitions'!$A$8</f>
        <v>18-64_males</v>
      </c>
      <c r="C936" t="s">
        <v>34</v>
      </c>
      <c r="D936" s="3"/>
      <c r="E936" s="3">
        <v>0</v>
      </c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  <c r="AB936" s="3"/>
      <c r="AC936" s="3"/>
      <c r="AD936" s="3"/>
      <c r="AE936" s="3"/>
      <c r="AF936" s="3"/>
      <c r="AG936" s="3"/>
      <c r="AH936" s="3"/>
      <c r="AI936" s="3"/>
      <c r="AJ936" s="3"/>
      <c r="AK936" s="3"/>
      <c r="AL936" s="3"/>
      <c r="AM936" s="3"/>
      <c r="AN936" s="3"/>
      <c r="AO936" s="3"/>
      <c r="AP936" s="3"/>
      <c r="AQ936" s="3"/>
      <c r="AR936" s="3"/>
      <c r="AS936" s="3"/>
      <c r="AT936" s="3"/>
      <c r="AU936" s="3"/>
      <c r="AV936" s="3"/>
      <c r="AW936" s="3"/>
      <c r="AX936" s="3"/>
      <c r="AY936" s="3"/>
      <c r="AZ936" s="3"/>
      <c r="BA936" s="3"/>
      <c r="BB936" s="3"/>
      <c r="BC936" s="3"/>
    </row>
    <row r="937" spans="1:55">
      <c r="A937" s="1" t="str">
        <f>'Population Definitions'!$A$9</f>
        <v>18-64_females</v>
      </c>
      <c r="C937" t="s">
        <v>34</v>
      </c>
      <c r="D937" s="3"/>
      <c r="E937" s="3">
        <v>0</v>
      </c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  <c r="AB937" s="3"/>
      <c r="AC937" s="3"/>
      <c r="AD937" s="3"/>
      <c r="AE937" s="3"/>
      <c r="AF937" s="3"/>
      <c r="AG937" s="3"/>
      <c r="AH937" s="3"/>
      <c r="AI937" s="3"/>
      <c r="AJ937" s="3"/>
      <c r="AK937" s="3"/>
      <c r="AL937" s="3"/>
      <c r="AM937" s="3"/>
      <c r="AN937" s="3"/>
      <c r="AO937" s="3"/>
      <c r="AP937" s="3"/>
      <c r="AQ937" s="3"/>
      <c r="AR937" s="3"/>
      <c r="AS937" s="3"/>
      <c r="AT937" s="3"/>
      <c r="AU937" s="3"/>
      <c r="AV937" s="3"/>
      <c r="AW937" s="3"/>
      <c r="AX937" s="3"/>
      <c r="AY937" s="3"/>
      <c r="AZ937" s="3"/>
      <c r="BA937" s="3"/>
      <c r="BB937" s="3"/>
      <c r="BC937" s="3"/>
    </row>
    <row r="938" spans="1:55">
      <c r="A938" s="1" t="str">
        <f>'Population Definitions'!$A$10</f>
        <v>65+_males</v>
      </c>
      <c r="C938" t="s">
        <v>34</v>
      </c>
      <c r="D938" s="3"/>
      <c r="E938" s="3">
        <v>0</v>
      </c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  <c r="AB938" s="3"/>
      <c r="AC938" s="3"/>
      <c r="AD938" s="3"/>
      <c r="AE938" s="3"/>
      <c r="AF938" s="3"/>
      <c r="AG938" s="3"/>
      <c r="AH938" s="3"/>
      <c r="AI938" s="3"/>
      <c r="AJ938" s="3"/>
      <c r="AK938" s="3"/>
      <c r="AL938" s="3"/>
      <c r="AM938" s="3"/>
      <c r="AN938" s="3"/>
      <c r="AO938" s="3"/>
      <c r="AP938" s="3"/>
      <c r="AQ938" s="3"/>
      <c r="AR938" s="3"/>
      <c r="AS938" s="3"/>
      <c r="AT938" s="3"/>
      <c r="AU938" s="3"/>
      <c r="AV938" s="3"/>
      <c r="AW938" s="3"/>
      <c r="AX938" s="3"/>
      <c r="AY938" s="3"/>
      <c r="AZ938" s="3"/>
      <c r="BA938" s="3"/>
      <c r="BB938" s="3"/>
      <c r="BC938" s="3"/>
    </row>
    <row r="939" spans="1:55">
      <c r="A939" s="1" t="str">
        <f>'Population Definitions'!$A$11</f>
        <v>65+_females</v>
      </c>
      <c r="C939" t="s">
        <v>34</v>
      </c>
      <c r="D939" s="3"/>
      <c r="E939" s="3">
        <v>0</v>
      </c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  <c r="AB939" s="3"/>
      <c r="AC939" s="3"/>
      <c r="AD939" s="3"/>
      <c r="AE939" s="3"/>
      <c r="AF939" s="3"/>
      <c r="AG939" s="3"/>
      <c r="AH939" s="3"/>
      <c r="AI939" s="3"/>
      <c r="AJ939" s="3"/>
      <c r="AK939" s="3"/>
      <c r="AL939" s="3"/>
      <c r="AM939" s="3"/>
      <c r="AN939" s="3"/>
      <c r="AO939" s="3"/>
      <c r="AP939" s="3"/>
      <c r="AQ939" s="3"/>
      <c r="AR939" s="3"/>
      <c r="AS939" s="3"/>
      <c r="AT939" s="3"/>
      <c r="AU939" s="3"/>
      <c r="AV939" s="3"/>
      <c r="AW939" s="3"/>
      <c r="AX939" s="3"/>
      <c r="AY939" s="3"/>
      <c r="AZ939" s="3"/>
      <c r="BA939" s="3"/>
      <c r="BB939" s="3"/>
      <c r="BC939" s="3"/>
    </row>
    <row r="940" spans="1:55">
      <c r="A940" s="1" t="str">
        <f>'Population Definitions'!$A$12</f>
        <v>Prisoners_males</v>
      </c>
      <c r="C940" t="s">
        <v>34</v>
      </c>
      <c r="D940" s="3"/>
      <c r="E940" s="3">
        <v>0</v>
      </c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  <c r="AB940" s="3"/>
      <c r="AC940" s="3"/>
      <c r="AD940" s="3"/>
      <c r="AE940" s="3"/>
      <c r="AF940" s="3"/>
      <c r="AG940" s="3"/>
      <c r="AH940" s="3"/>
      <c r="AI940" s="3"/>
      <c r="AJ940" s="3"/>
      <c r="AK940" s="3"/>
      <c r="AL940" s="3"/>
      <c r="AM940" s="3"/>
      <c r="AN940" s="3"/>
      <c r="AO940" s="3"/>
      <c r="AP940" s="3"/>
      <c r="AQ940" s="3"/>
      <c r="AR940" s="3"/>
      <c r="AS940" s="3"/>
      <c r="AT940" s="3"/>
      <c r="AU940" s="3"/>
      <c r="AV940" s="3"/>
      <c r="AW940" s="3"/>
      <c r="AX940" s="3"/>
      <c r="AY940" s="3"/>
      <c r="AZ940" s="3"/>
      <c r="BA940" s="3"/>
      <c r="BB940" s="3"/>
      <c r="BC940" s="3"/>
    </row>
    <row r="941" spans="1:55">
      <c r="A941" s="1" t="str">
        <f>'Population Definitions'!$A$13</f>
        <v>Prisoners_females</v>
      </c>
      <c r="C941" t="s">
        <v>34</v>
      </c>
      <c r="D941" s="3"/>
      <c r="E941" s="3">
        <v>0</v>
      </c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  <c r="AB941" s="3"/>
      <c r="AC941" s="3"/>
      <c r="AD941" s="3"/>
      <c r="AE941" s="3"/>
      <c r="AF941" s="3"/>
      <c r="AG941" s="3"/>
      <c r="AH941" s="3"/>
      <c r="AI941" s="3"/>
      <c r="AJ941" s="3"/>
      <c r="AK941" s="3"/>
      <c r="AL941" s="3"/>
      <c r="AM941" s="3"/>
      <c r="AN941" s="3"/>
      <c r="AO941" s="3"/>
      <c r="AP941" s="3"/>
      <c r="AQ941" s="3"/>
      <c r="AR941" s="3"/>
      <c r="AS941" s="3"/>
      <c r="AT941" s="3"/>
      <c r="AU941" s="3"/>
      <c r="AV941" s="3"/>
      <c r="AW941" s="3"/>
      <c r="AX941" s="3"/>
      <c r="AY941" s="3"/>
      <c r="AZ941" s="3"/>
      <c r="BA941" s="3"/>
      <c r="BB941" s="3"/>
      <c r="BC941" s="3"/>
    </row>
    <row r="942" spans="1:55">
      <c r="A942" s="1" t="str">
        <f>'Population Definitions'!$A$14</f>
        <v>Prisoners_PWID_males</v>
      </c>
      <c r="C942" t="s">
        <v>34</v>
      </c>
      <c r="D942" s="3"/>
      <c r="E942" s="3">
        <v>0</v>
      </c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  <c r="AB942" s="3"/>
      <c r="AC942" s="3"/>
      <c r="AD942" s="3"/>
      <c r="AE942" s="3"/>
      <c r="AF942" s="3"/>
      <c r="AG942" s="3"/>
      <c r="AH942" s="3"/>
      <c r="AI942" s="3"/>
      <c r="AJ942" s="3"/>
      <c r="AK942" s="3"/>
      <c r="AL942" s="3"/>
      <c r="AM942" s="3"/>
      <c r="AN942" s="3"/>
      <c r="AO942" s="3"/>
      <c r="AP942" s="3"/>
      <c r="AQ942" s="3"/>
      <c r="AR942" s="3"/>
      <c r="AS942" s="3"/>
      <c r="AT942" s="3"/>
      <c r="AU942" s="3"/>
      <c r="AV942" s="3"/>
      <c r="AW942" s="3"/>
      <c r="AX942" s="3"/>
      <c r="AY942" s="3"/>
      <c r="AZ942" s="3"/>
      <c r="BA942" s="3"/>
      <c r="BB942" s="3"/>
      <c r="BC942" s="3"/>
    </row>
    <row r="943" spans="1:55">
      <c r="A943" s="1" t="str">
        <f>'Population Definitions'!$A$15</f>
        <v>Prisoners_PWID_females</v>
      </c>
      <c r="C943" t="s">
        <v>34</v>
      </c>
      <c r="D943" s="3"/>
      <c r="E943" s="3">
        <v>0</v>
      </c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  <c r="AB943" s="3"/>
      <c r="AC943" s="3"/>
      <c r="AD943" s="3"/>
      <c r="AE943" s="3"/>
      <c r="AF943" s="3"/>
      <c r="AG943" s="3"/>
      <c r="AH943" s="3"/>
      <c r="AI943" s="3"/>
      <c r="AJ943" s="3"/>
      <c r="AK943" s="3"/>
      <c r="AL943" s="3"/>
      <c r="AM943" s="3"/>
      <c r="AN943" s="3"/>
      <c r="AO943" s="3"/>
      <c r="AP943" s="3"/>
      <c r="AQ943" s="3"/>
      <c r="AR943" s="3"/>
      <c r="AS943" s="3"/>
      <c r="AT943" s="3"/>
      <c r="AU943" s="3"/>
      <c r="AV943" s="3"/>
      <c r="AW943" s="3"/>
      <c r="AX943" s="3"/>
      <c r="AY943" s="3"/>
      <c r="AZ943" s="3"/>
      <c r="BA943" s="3"/>
      <c r="BB943" s="3"/>
      <c r="BC943" s="3"/>
    </row>
    <row r="945" spans="1:55">
      <c r="A945" s="1" t="s">
        <v>186</v>
      </c>
      <c r="B945" s="1" t="s">
        <v>31</v>
      </c>
      <c r="C945" s="1" t="s">
        <v>32</v>
      </c>
      <c r="D945" s="1" t="s">
        <v>33</v>
      </c>
      <c r="E945" s="1">
        <v>2000</v>
      </c>
      <c r="F945" s="1">
        <v>2001</v>
      </c>
      <c r="G945" s="1">
        <v>2002</v>
      </c>
      <c r="H945" s="1">
        <v>2003</v>
      </c>
      <c r="I945" s="1">
        <v>2004</v>
      </c>
      <c r="J945" s="1">
        <v>2005</v>
      </c>
      <c r="K945" s="1">
        <v>2006</v>
      </c>
      <c r="L945" s="1">
        <v>2007</v>
      </c>
      <c r="M945" s="1">
        <v>2008</v>
      </c>
      <c r="N945" s="1">
        <v>2009</v>
      </c>
      <c r="O945" s="1">
        <v>2010</v>
      </c>
      <c r="P945" s="1">
        <v>2011</v>
      </c>
      <c r="Q945" s="1">
        <v>2012</v>
      </c>
      <c r="R945" s="1">
        <v>2013</v>
      </c>
      <c r="S945" s="1">
        <v>2014</v>
      </c>
      <c r="T945" s="1">
        <v>2015</v>
      </c>
      <c r="U945" s="1">
        <v>2016</v>
      </c>
      <c r="V945" s="1">
        <v>2017</v>
      </c>
      <c r="W945" s="1">
        <v>2018</v>
      </c>
      <c r="X945" s="1">
        <v>2019</v>
      </c>
      <c r="Y945" s="1">
        <v>2020</v>
      </c>
      <c r="Z945" s="1">
        <v>2021</v>
      </c>
      <c r="AA945" s="1">
        <v>2022</v>
      </c>
      <c r="AB945" s="1">
        <v>2023</v>
      </c>
      <c r="AC945" s="1">
        <v>2024</v>
      </c>
      <c r="AD945" s="1">
        <v>2025</v>
      </c>
      <c r="AE945" s="1">
        <v>2026</v>
      </c>
      <c r="AF945" s="1">
        <v>2027</v>
      </c>
      <c r="AG945" s="1">
        <v>2028</v>
      </c>
      <c r="AH945" s="1">
        <v>2029</v>
      </c>
      <c r="AI945" s="1">
        <v>2030</v>
      </c>
      <c r="AJ945" s="1">
        <v>2031</v>
      </c>
      <c r="AK945" s="1">
        <v>2032</v>
      </c>
      <c r="AL945" s="1">
        <v>2033</v>
      </c>
      <c r="AM945" s="1">
        <v>2034</v>
      </c>
      <c r="AN945" s="1">
        <v>2035</v>
      </c>
      <c r="AO945" s="1">
        <v>2036</v>
      </c>
      <c r="AP945" s="1">
        <v>2037</v>
      </c>
      <c r="AQ945" s="1">
        <v>2038</v>
      </c>
      <c r="AR945" s="1">
        <v>2039</v>
      </c>
      <c r="AS945" s="1">
        <v>2040</v>
      </c>
      <c r="AT945" s="1">
        <v>2041</v>
      </c>
      <c r="AU945" s="1">
        <v>2042</v>
      </c>
      <c r="AV945" s="1">
        <v>2043</v>
      </c>
      <c r="AW945" s="1">
        <v>2044</v>
      </c>
      <c r="AX945" s="1">
        <v>2045</v>
      </c>
      <c r="AY945" s="1">
        <v>2046</v>
      </c>
      <c r="AZ945" s="1">
        <v>2047</v>
      </c>
      <c r="BA945" s="1">
        <v>2048</v>
      </c>
      <c r="BB945" s="1">
        <v>2049</v>
      </c>
      <c r="BC945" s="1">
        <v>2050</v>
      </c>
    </row>
    <row r="946" spans="1:55">
      <c r="A946" s="1" t="str">
        <f>'Population Definitions'!$A$2</f>
        <v>PWID_males</v>
      </c>
      <c r="C946" t="s">
        <v>34</v>
      </c>
      <c r="D946" s="3"/>
      <c r="E946" s="3">
        <v>0</v>
      </c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  <c r="AB946" s="3"/>
      <c r="AC946" s="3"/>
      <c r="AD946" s="3"/>
      <c r="AE946" s="3"/>
      <c r="AF946" s="3"/>
      <c r="AG946" s="3"/>
      <c r="AH946" s="3"/>
      <c r="AI946" s="3"/>
      <c r="AJ946" s="3"/>
      <c r="AK946" s="3"/>
      <c r="AL946" s="3"/>
      <c r="AM946" s="3"/>
      <c r="AN946" s="3"/>
      <c r="AO946" s="3"/>
      <c r="AP946" s="3"/>
      <c r="AQ946" s="3"/>
      <c r="AR946" s="3"/>
      <c r="AS946" s="3"/>
      <c r="AT946" s="3"/>
      <c r="AU946" s="3"/>
      <c r="AV946" s="3"/>
      <c r="AW946" s="3"/>
      <c r="AX946" s="3"/>
      <c r="AY946" s="3"/>
      <c r="AZ946" s="3"/>
      <c r="BA946" s="3"/>
      <c r="BB946" s="3"/>
      <c r="BC946" s="3"/>
    </row>
    <row r="947" spans="1:55">
      <c r="A947" s="1" t="str">
        <f>'Population Definitions'!$A$3</f>
        <v>PWID_females</v>
      </c>
      <c r="C947" t="s">
        <v>34</v>
      </c>
      <c r="D947" s="3"/>
      <c r="E947" s="3">
        <v>0</v>
      </c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  <c r="AB947" s="3"/>
      <c r="AC947" s="3"/>
      <c r="AD947" s="3"/>
      <c r="AE947" s="3"/>
      <c r="AF947" s="3"/>
      <c r="AG947" s="3"/>
      <c r="AH947" s="3"/>
      <c r="AI947" s="3"/>
      <c r="AJ947" s="3"/>
      <c r="AK947" s="3"/>
      <c r="AL947" s="3"/>
      <c r="AM947" s="3"/>
      <c r="AN947" s="3"/>
      <c r="AO947" s="3"/>
      <c r="AP947" s="3"/>
      <c r="AQ947" s="3"/>
      <c r="AR947" s="3"/>
      <c r="AS947" s="3"/>
      <c r="AT947" s="3"/>
      <c r="AU947" s="3"/>
      <c r="AV947" s="3"/>
      <c r="AW947" s="3"/>
      <c r="AX947" s="3"/>
      <c r="AY947" s="3"/>
      <c r="AZ947" s="3"/>
      <c r="BA947" s="3"/>
      <c r="BB947" s="3"/>
      <c r="BC947" s="3"/>
    </row>
    <row r="948" spans="1:55">
      <c r="A948" s="1" t="str">
        <f>'Population Definitions'!$A$4</f>
        <v>0-9_males</v>
      </c>
      <c r="C948" t="s">
        <v>34</v>
      </c>
      <c r="D948" s="3"/>
      <c r="E948" s="3">
        <v>0</v>
      </c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  <c r="AB948" s="3"/>
      <c r="AC948" s="3"/>
      <c r="AD948" s="3"/>
      <c r="AE948" s="3"/>
      <c r="AF948" s="3"/>
      <c r="AG948" s="3"/>
      <c r="AH948" s="3"/>
      <c r="AI948" s="3"/>
      <c r="AJ948" s="3"/>
      <c r="AK948" s="3"/>
      <c r="AL948" s="3"/>
      <c r="AM948" s="3"/>
      <c r="AN948" s="3"/>
      <c r="AO948" s="3"/>
      <c r="AP948" s="3"/>
      <c r="AQ948" s="3"/>
      <c r="AR948" s="3"/>
      <c r="AS948" s="3"/>
      <c r="AT948" s="3"/>
      <c r="AU948" s="3"/>
      <c r="AV948" s="3"/>
      <c r="AW948" s="3"/>
      <c r="AX948" s="3"/>
      <c r="AY948" s="3"/>
      <c r="AZ948" s="3"/>
      <c r="BA948" s="3"/>
      <c r="BB948" s="3"/>
      <c r="BC948" s="3"/>
    </row>
    <row r="949" spans="1:55">
      <c r="A949" s="1" t="str">
        <f>'Population Definitions'!$A$5</f>
        <v>0-9_females</v>
      </c>
      <c r="C949" t="s">
        <v>34</v>
      </c>
      <c r="D949" s="3"/>
      <c r="E949" s="3">
        <v>0</v>
      </c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  <c r="AB949" s="3"/>
      <c r="AC949" s="3"/>
      <c r="AD949" s="3"/>
      <c r="AE949" s="3"/>
      <c r="AF949" s="3"/>
      <c r="AG949" s="3"/>
      <c r="AH949" s="3"/>
      <c r="AI949" s="3"/>
      <c r="AJ949" s="3"/>
      <c r="AK949" s="3"/>
      <c r="AL949" s="3"/>
      <c r="AM949" s="3"/>
      <c r="AN949" s="3"/>
      <c r="AO949" s="3"/>
      <c r="AP949" s="3"/>
      <c r="AQ949" s="3"/>
      <c r="AR949" s="3"/>
      <c r="AS949" s="3"/>
      <c r="AT949" s="3"/>
      <c r="AU949" s="3"/>
      <c r="AV949" s="3"/>
      <c r="AW949" s="3"/>
      <c r="AX949" s="3"/>
      <c r="AY949" s="3"/>
      <c r="AZ949" s="3"/>
      <c r="BA949" s="3"/>
      <c r="BB949" s="3"/>
      <c r="BC949" s="3"/>
    </row>
    <row r="950" spans="1:55">
      <c r="A950" s="1" t="str">
        <f>'Population Definitions'!$A$6</f>
        <v>10-17_males</v>
      </c>
      <c r="C950" t="s">
        <v>34</v>
      </c>
      <c r="D950" s="3"/>
      <c r="E950" s="3">
        <v>0</v>
      </c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  <c r="AB950" s="3"/>
      <c r="AC950" s="3"/>
      <c r="AD950" s="3"/>
      <c r="AE950" s="3"/>
      <c r="AF950" s="3"/>
      <c r="AG950" s="3"/>
      <c r="AH950" s="3"/>
      <c r="AI950" s="3"/>
      <c r="AJ950" s="3"/>
      <c r="AK950" s="3"/>
      <c r="AL950" s="3"/>
      <c r="AM950" s="3"/>
      <c r="AN950" s="3"/>
      <c r="AO950" s="3"/>
      <c r="AP950" s="3"/>
      <c r="AQ950" s="3"/>
      <c r="AR950" s="3"/>
      <c r="AS950" s="3"/>
      <c r="AT950" s="3"/>
      <c r="AU950" s="3"/>
      <c r="AV950" s="3"/>
      <c r="AW950" s="3"/>
      <c r="AX950" s="3"/>
      <c r="AY950" s="3"/>
      <c r="AZ950" s="3"/>
      <c r="BA950" s="3"/>
      <c r="BB950" s="3"/>
      <c r="BC950" s="3"/>
    </row>
    <row r="951" spans="1:55">
      <c r="A951" s="1" t="str">
        <f>'Population Definitions'!$A$7</f>
        <v>10-17_females</v>
      </c>
      <c r="C951" t="s">
        <v>34</v>
      </c>
      <c r="D951" s="3"/>
      <c r="E951" s="3">
        <v>0</v>
      </c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  <c r="AB951" s="3"/>
      <c r="AC951" s="3"/>
      <c r="AD951" s="3"/>
      <c r="AE951" s="3"/>
      <c r="AF951" s="3"/>
      <c r="AG951" s="3"/>
      <c r="AH951" s="3"/>
      <c r="AI951" s="3"/>
      <c r="AJ951" s="3"/>
      <c r="AK951" s="3"/>
      <c r="AL951" s="3"/>
      <c r="AM951" s="3"/>
      <c r="AN951" s="3"/>
      <c r="AO951" s="3"/>
      <c r="AP951" s="3"/>
      <c r="AQ951" s="3"/>
      <c r="AR951" s="3"/>
      <c r="AS951" s="3"/>
      <c r="AT951" s="3"/>
      <c r="AU951" s="3"/>
      <c r="AV951" s="3"/>
      <c r="AW951" s="3"/>
      <c r="AX951" s="3"/>
      <c r="AY951" s="3"/>
      <c r="AZ951" s="3"/>
      <c r="BA951" s="3"/>
      <c r="BB951" s="3"/>
      <c r="BC951" s="3"/>
    </row>
    <row r="952" spans="1:55">
      <c r="A952" s="1" t="str">
        <f>'Population Definitions'!$A$8</f>
        <v>18-64_males</v>
      </c>
      <c r="C952" t="s">
        <v>34</v>
      </c>
      <c r="D952" s="3"/>
      <c r="E952" s="3">
        <v>0</v>
      </c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  <c r="AB952" s="3"/>
      <c r="AC952" s="3"/>
      <c r="AD952" s="3"/>
      <c r="AE952" s="3"/>
      <c r="AF952" s="3"/>
      <c r="AG952" s="3"/>
      <c r="AH952" s="3"/>
      <c r="AI952" s="3"/>
      <c r="AJ952" s="3"/>
      <c r="AK952" s="3"/>
      <c r="AL952" s="3"/>
      <c r="AM952" s="3"/>
      <c r="AN952" s="3"/>
      <c r="AO952" s="3"/>
      <c r="AP952" s="3"/>
      <c r="AQ952" s="3"/>
      <c r="AR952" s="3"/>
      <c r="AS952" s="3"/>
      <c r="AT952" s="3"/>
      <c r="AU952" s="3"/>
      <c r="AV952" s="3"/>
      <c r="AW952" s="3"/>
      <c r="AX952" s="3"/>
      <c r="AY952" s="3"/>
      <c r="AZ952" s="3"/>
      <c r="BA952" s="3"/>
      <c r="BB952" s="3"/>
      <c r="BC952" s="3"/>
    </row>
    <row r="953" spans="1:55">
      <c r="A953" s="1" t="str">
        <f>'Population Definitions'!$A$9</f>
        <v>18-64_females</v>
      </c>
      <c r="C953" t="s">
        <v>34</v>
      </c>
      <c r="D953" s="3"/>
      <c r="E953" s="3">
        <v>0</v>
      </c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  <c r="AB953" s="3"/>
      <c r="AC953" s="3"/>
      <c r="AD953" s="3"/>
      <c r="AE953" s="3"/>
      <c r="AF953" s="3"/>
      <c r="AG953" s="3"/>
      <c r="AH953" s="3"/>
      <c r="AI953" s="3"/>
      <c r="AJ953" s="3"/>
      <c r="AK953" s="3"/>
      <c r="AL953" s="3"/>
      <c r="AM953" s="3"/>
      <c r="AN953" s="3"/>
      <c r="AO953" s="3"/>
      <c r="AP953" s="3"/>
      <c r="AQ953" s="3"/>
      <c r="AR953" s="3"/>
      <c r="AS953" s="3"/>
      <c r="AT953" s="3"/>
      <c r="AU953" s="3"/>
      <c r="AV953" s="3"/>
      <c r="AW953" s="3"/>
      <c r="AX953" s="3"/>
      <c r="AY953" s="3"/>
      <c r="AZ953" s="3"/>
      <c r="BA953" s="3"/>
      <c r="BB953" s="3"/>
      <c r="BC953" s="3"/>
    </row>
    <row r="954" spans="1:55">
      <c r="A954" s="1" t="str">
        <f>'Population Definitions'!$A$10</f>
        <v>65+_males</v>
      </c>
      <c r="C954" t="s">
        <v>34</v>
      </c>
      <c r="D954" s="3"/>
      <c r="E954" s="3">
        <v>0</v>
      </c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  <c r="AB954" s="3"/>
      <c r="AC954" s="3"/>
      <c r="AD954" s="3"/>
      <c r="AE954" s="3"/>
      <c r="AF954" s="3"/>
      <c r="AG954" s="3"/>
      <c r="AH954" s="3"/>
      <c r="AI954" s="3"/>
      <c r="AJ954" s="3"/>
      <c r="AK954" s="3"/>
      <c r="AL954" s="3"/>
      <c r="AM954" s="3"/>
      <c r="AN954" s="3"/>
      <c r="AO954" s="3"/>
      <c r="AP954" s="3"/>
      <c r="AQ954" s="3"/>
      <c r="AR954" s="3"/>
      <c r="AS954" s="3"/>
      <c r="AT954" s="3"/>
      <c r="AU954" s="3"/>
      <c r="AV954" s="3"/>
      <c r="AW954" s="3"/>
      <c r="AX954" s="3"/>
      <c r="AY954" s="3"/>
      <c r="AZ954" s="3"/>
      <c r="BA954" s="3"/>
      <c r="BB954" s="3"/>
      <c r="BC954" s="3"/>
    </row>
    <row r="955" spans="1:55">
      <c r="A955" s="1" t="str">
        <f>'Population Definitions'!$A$11</f>
        <v>65+_females</v>
      </c>
      <c r="C955" t="s">
        <v>34</v>
      </c>
      <c r="D955" s="3"/>
      <c r="E955" s="3">
        <v>0</v>
      </c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  <c r="AB955" s="3"/>
      <c r="AC955" s="3"/>
      <c r="AD955" s="3"/>
      <c r="AE955" s="3"/>
      <c r="AF955" s="3"/>
      <c r="AG955" s="3"/>
      <c r="AH955" s="3"/>
      <c r="AI955" s="3"/>
      <c r="AJ955" s="3"/>
      <c r="AK955" s="3"/>
      <c r="AL955" s="3"/>
      <c r="AM955" s="3"/>
      <c r="AN955" s="3"/>
      <c r="AO955" s="3"/>
      <c r="AP955" s="3"/>
      <c r="AQ955" s="3"/>
      <c r="AR955" s="3"/>
      <c r="AS955" s="3"/>
      <c r="AT955" s="3"/>
      <c r="AU955" s="3"/>
      <c r="AV955" s="3"/>
      <c r="AW955" s="3"/>
      <c r="AX955" s="3"/>
      <c r="AY955" s="3"/>
      <c r="AZ955" s="3"/>
      <c r="BA955" s="3"/>
      <c r="BB955" s="3"/>
      <c r="BC955" s="3"/>
    </row>
    <row r="956" spans="1:55">
      <c r="A956" s="1" t="str">
        <f>'Population Definitions'!$A$12</f>
        <v>Prisoners_males</v>
      </c>
      <c r="C956" t="s">
        <v>34</v>
      </c>
      <c r="D956" s="3"/>
      <c r="E956" s="3">
        <v>0</v>
      </c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  <c r="AB956" s="3"/>
      <c r="AC956" s="3"/>
      <c r="AD956" s="3"/>
      <c r="AE956" s="3"/>
      <c r="AF956" s="3"/>
      <c r="AG956" s="3"/>
      <c r="AH956" s="3"/>
      <c r="AI956" s="3"/>
      <c r="AJ956" s="3"/>
      <c r="AK956" s="3"/>
      <c r="AL956" s="3"/>
      <c r="AM956" s="3"/>
      <c r="AN956" s="3"/>
      <c r="AO956" s="3"/>
      <c r="AP956" s="3"/>
      <c r="AQ956" s="3"/>
      <c r="AR956" s="3"/>
      <c r="AS956" s="3"/>
      <c r="AT956" s="3"/>
      <c r="AU956" s="3"/>
      <c r="AV956" s="3"/>
      <c r="AW956" s="3"/>
      <c r="AX956" s="3"/>
      <c r="AY956" s="3"/>
      <c r="AZ956" s="3"/>
      <c r="BA956" s="3"/>
      <c r="BB956" s="3"/>
      <c r="BC956" s="3"/>
    </row>
    <row r="957" spans="1:55">
      <c r="A957" s="1" t="str">
        <f>'Population Definitions'!$A$13</f>
        <v>Prisoners_females</v>
      </c>
      <c r="C957" t="s">
        <v>34</v>
      </c>
      <c r="D957" s="3"/>
      <c r="E957" s="3">
        <v>0</v>
      </c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  <c r="AB957" s="3"/>
      <c r="AC957" s="3"/>
      <c r="AD957" s="3"/>
      <c r="AE957" s="3"/>
      <c r="AF957" s="3"/>
      <c r="AG957" s="3"/>
      <c r="AH957" s="3"/>
      <c r="AI957" s="3"/>
      <c r="AJ957" s="3"/>
      <c r="AK957" s="3"/>
      <c r="AL957" s="3"/>
      <c r="AM957" s="3"/>
      <c r="AN957" s="3"/>
      <c r="AO957" s="3"/>
      <c r="AP957" s="3"/>
      <c r="AQ957" s="3"/>
      <c r="AR957" s="3"/>
      <c r="AS957" s="3"/>
      <c r="AT957" s="3"/>
      <c r="AU957" s="3"/>
      <c r="AV957" s="3"/>
      <c r="AW957" s="3"/>
      <c r="AX957" s="3"/>
      <c r="AY957" s="3"/>
      <c r="AZ957" s="3"/>
      <c r="BA957" s="3"/>
      <c r="BB957" s="3"/>
      <c r="BC957" s="3"/>
    </row>
    <row r="958" spans="1:55">
      <c r="A958" s="1" t="str">
        <f>'Population Definitions'!$A$14</f>
        <v>Prisoners_PWID_males</v>
      </c>
      <c r="C958" t="s">
        <v>34</v>
      </c>
      <c r="D958" s="3"/>
      <c r="E958" s="3">
        <v>0</v>
      </c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  <c r="AB958" s="3"/>
      <c r="AC958" s="3"/>
      <c r="AD958" s="3"/>
      <c r="AE958" s="3"/>
      <c r="AF958" s="3"/>
      <c r="AG958" s="3"/>
      <c r="AH958" s="3"/>
      <c r="AI958" s="3"/>
      <c r="AJ958" s="3"/>
      <c r="AK958" s="3"/>
      <c r="AL958" s="3"/>
      <c r="AM958" s="3"/>
      <c r="AN958" s="3"/>
      <c r="AO958" s="3"/>
      <c r="AP958" s="3"/>
      <c r="AQ958" s="3"/>
      <c r="AR958" s="3"/>
      <c r="AS958" s="3"/>
      <c r="AT958" s="3"/>
      <c r="AU958" s="3"/>
      <c r="AV958" s="3"/>
      <c r="AW958" s="3"/>
      <c r="AX958" s="3"/>
      <c r="AY958" s="3"/>
      <c r="AZ958" s="3"/>
      <c r="BA958" s="3"/>
      <c r="BB958" s="3"/>
      <c r="BC958" s="3"/>
    </row>
    <row r="959" spans="1:55">
      <c r="A959" s="1" t="str">
        <f>'Population Definitions'!$A$15</f>
        <v>Prisoners_PWID_females</v>
      </c>
      <c r="C959" t="s">
        <v>34</v>
      </c>
      <c r="D959" s="3"/>
      <c r="E959" s="3">
        <v>0</v>
      </c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  <c r="AB959" s="3"/>
      <c r="AC959" s="3"/>
      <c r="AD959" s="3"/>
      <c r="AE959" s="3"/>
      <c r="AF959" s="3"/>
      <c r="AG959" s="3"/>
      <c r="AH959" s="3"/>
      <c r="AI959" s="3"/>
      <c r="AJ959" s="3"/>
      <c r="AK959" s="3"/>
      <c r="AL959" s="3"/>
      <c r="AM959" s="3"/>
      <c r="AN959" s="3"/>
      <c r="AO959" s="3"/>
      <c r="AP959" s="3"/>
      <c r="AQ959" s="3"/>
      <c r="AR959" s="3"/>
      <c r="AS959" s="3"/>
      <c r="AT959" s="3"/>
      <c r="AU959" s="3"/>
      <c r="AV959" s="3"/>
      <c r="AW959" s="3"/>
      <c r="AX959" s="3"/>
      <c r="AY959" s="3"/>
      <c r="AZ959" s="3"/>
      <c r="BA959" s="3"/>
      <c r="BB959" s="3"/>
      <c r="BC959" s="3"/>
    </row>
    <row r="961" spans="1:55">
      <c r="A961" s="1" t="s">
        <v>187</v>
      </c>
      <c r="B961" s="1" t="s">
        <v>31</v>
      </c>
      <c r="C961" s="1" t="s">
        <v>32</v>
      </c>
      <c r="D961" s="1" t="s">
        <v>33</v>
      </c>
      <c r="E961" s="1">
        <v>2000</v>
      </c>
      <c r="F961" s="1">
        <v>2001</v>
      </c>
      <c r="G961" s="1">
        <v>2002</v>
      </c>
      <c r="H961" s="1">
        <v>2003</v>
      </c>
      <c r="I961" s="1">
        <v>2004</v>
      </c>
      <c r="J961" s="1">
        <v>2005</v>
      </c>
      <c r="K961" s="1">
        <v>2006</v>
      </c>
      <c r="L961" s="1">
        <v>2007</v>
      </c>
      <c r="M961" s="1">
        <v>2008</v>
      </c>
      <c r="N961" s="1">
        <v>2009</v>
      </c>
      <c r="O961" s="1">
        <v>2010</v>
      </c>
      <c r="P961" s="1">
        <v>2011</v>
      </c>
      <c r="Q961" s="1">
        <v>2012</v>
      </c>
      <c r="R961" s="1">
        <v>2013</v>
      </c>
      <c r="S961" s="1">
        <v>2014</v>
      </c>
      <c r="T961" s="1">
        <v>2015</v>
      </c>
      <c r="U961" s="1">
        <v>2016</v>
      </c>
      <c r="V961" s="1">
        <v>2017</v>
      </c>
      <c r="W961" s="1">
        <v>2018</v>
      </c>
      <c r="X961" s="1">
        <v>2019</v>
      </c>
      <c r="Y961" s="1">
        <v>2020</v>
      </c>
      <c r="Z961" s="1">
        <v>2021</v>
      </c>
      <c r="AA961" s="1">
        <v>2022</v>
      </c>
      <c r="AB961" s="1">
        <v>2023</v>
      </c>
      <c r="AC961" s="1">
        <v>2024</v>
      </c>
      <c r="AD961" s="1">
        <v>2025</v>
      </c>
      <c r="AE961" s="1">
        <v>2026</v>
      </c>
      <c r="AF961" s="1">
        <v>2027</v>
      </c>
      <c r="AG961" s="1">
        <v>2028</v>
      </c>
      <c r="AH961" s="1">
        <v>2029</v>
      </c>
      <c r="AI961" s="1">
        <v>2030</v>
      </c>
      <c r="AJ961" s="1">
        <v>2031</v>
      </c>
      <c r="AK961" s="1">
        <v>2032</v>
      </c>
      <c r="AL961" s="1">
        <v>2033</v>
      </c>
      <c r="AM961" s="1">
        <v>2034</v>
      </c>
      <c r="AN961" s="1">
        <v>2035</v>
      </c>
      <c r="AO961" s="1">
        <v>2036</v>
      </c>
      <c r="AP961" s="1">
        <v>2037</v>
      </c>
      <c r="AQ961" s="1">
        <v>2038</v>
      </c>
      <c r="AR961" s="1">
        <v>2039</v>
      </c>
      <c r="AS961" s="1">
        <v>2040</v>
      </c>
      <c r="AT961" s="1">
        <v>2041</v>
      </c>
      <c r="AU961" s="1">
        <v>2042</v>
      </c>
      <c r="AV961" s="1">
        <v>2043</v>
      </c>
      <c r="AW961" s="1">
        <v>2044</v>
      </c>
      <c r="AX961" s="1">
        <v>2045</v>
      </c>
      <c r="AY961" s="1">
        <v>2046</v>
      </c>
      <c r="AZ961" s="1">
        <v>2047</v>
      </c>
      <c r="BA961" s="1">
        <v>2048</v>
      </c>
      <c r="BB961" s="1">
        <v>2049</v>
      </c>
      <c r="BC961" s="1">
        <v>2050</v>
      </c>
    </row>
    <row r="962" spans="1:55">
      <c r="A962" s="1" t="str">
        <f>'Population Definitions'!$A$2</f>
        <v>PWID_males</v>
      </c>
      <c r="C962" t="s">
        <v>34</v>
      </c>
      <c r="D962" s="3"/>
      <c r="E962" s="3">
        <v>0</v>
      </c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  <c r="AB962" s="3"/>
      <c r="AC962" s="3"/>
      <c r="AD962" s="3"/>
      <c r="AE962" s="3"/>
      <c r="AF962" s="3"/>
      <c r="AG962" s="3"/>
      <c r="AH962" s="3"/>
      <c r="AI962" s="3"/>
      <c r="AJ962" s="3"/>
      <c r="AK962" s="3"/>
      <c r="AL962" s="3"/>
      <c r="AM962" s="3"/>
      <c r="AN962" s="3"/>
      <c r="AO962" s="3"/>
      <c r="AP962" s="3"/>
      <c r="AQ962" s="3"/>
      <c r="AR962" s="3"/>
      <c r="AS962" s="3"/>
      <c r="AT962" s="3"/>
      <c r="AU962" s="3"/>
      <c r="AV962" s="3"/>
      <c r="AW962" s="3"/>
      <c r="AX962" s="3"/>
      <c r="AY962" s="3"/>
      <c r="AZ962" s="3"/>
      <c r="BA962" s="3"/>
      <c r="BB962" s="3"/>
      <c r="BC962" s="3"/>
    </row>
    <row r="963" spans="1:55">
      <c r="A963" s="1" t="str">
        <f>'Population Definitions'!$A$3</f>
        <v>PWID_females</v>
      </c>
      <c r="C963" t="s">
        <v>34</v>
      </c>
      <c r="D963" s="3"/>
      <c r="E963" s="3">
        <v>0</v>
      </c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  <c r="AB963" s="3"/>
      <c r="AC963" s="3"/>
      <c r="AD963" s="3"/>
      <c r="AE963" s="3"/>
      <c r="AF963" s="3"/>
      <c r="AG963" s="3"/>
      <c r="AH963" s="3"/>
      <c r="AI963" s="3"/>
      <c r="AJ963" s="3"/>
      <c r="AK963" s="3"/>
      <c r="AL963" s="3"/>
      <c r="AM963" s="3"/>
      <c r="AN963" s="3"/>
      <c r="AO963" s="3"/>
      <c r="AP963" s="3"/>
      <c r="AQ963" s="3"/>
      <c r="AR963" s="3"/>
      <c r="AS963" s="3"/>
      <c r="AT963" s="3"/>
      <c r="AU963" s="3"/>
      <c r="AV963" s="3"/>
      <c r="AW963" s="3"/>
      <c r="AX963" s="3"/>
      <c r="AY963" s="3"/>
      <c r="AZ963" s="3"/>
      <c r="BA963" s="3"/>
      <c r="BB963" s="3"/>
      <c r="BC963" s="3"/>
    </row>
    <row r="964" spans="1:55">
      <c r="A964" s="1" t="str">
        <f>'Population Definitions'!$A$4</f>
        <v>0-9_males</v>
      </c>
      <c r="C964" t="s">
        <v>34</v>
      </c>
      <c r="D964" s="3"/>
      <c r="E964" s="3">
        <v>0</v>
      </c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  <c r="AB964" s="3"/>
      <c r="AC964" s="3"/>
      <c r="AD964" s="3"/>
      <c r="AE964" s="3"/>
      <c r="AF964" s="3"/>
      <c r="AG964" s="3"/>
      <c r="AH964" s="3"/>
      <c r="AI964" s="3"/>
      <c r="AJ964" s="3"/>
      <c r="AK964" s="3"/>
      <c r="AL964" s="3"/>
      <c r="AM964" s="3"/>
      <c r="AN964" s="3"/>
      <c r="AO964" s="3"/>
      <c r="AP964" s="3"/>
      <c r="AQ964" s="3"/>
      <c r="AR964" s="3"/>
      <c r="AS964" s="3"/>
      <c r="AT964" s="3"/>
      <c r="AU964" s="3"/>
      <c r="AV964" s="3"/>
      <c r="AW964" s="3"/>
      <c r="AX964" s="3"/>
      <c r="AY964" s="3"/>
      <c r="AZ964" s="3"/>
      <c r="BA964" s="3"/>
      <c r="BB964" s="3"/>
      <c r="BC964" s="3"/>
    </row>
    <row r="965" spans="1:55">
      <c r="A965" s="1" t="str">
        <f>'Population Definitions'!$A$5</f>
        <v>0-9_females</v>
      </c>
      <c r="C965" t="s">
        <v>34</v>
      </c>
      <c r="D965" s="3"/>
      <c r="E965" s="3">
        <v>0</v>
      </c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  <c r="AB965" s="3"/>
      <c r="AC965" s="3"/>
      <c r="AD965" s="3"/>
      <c r="AE965" s="3"/>
      <c r="AF965" s="3"/>
      <c r="AG965" s="3"/>
      <c r="AH965" s="3"/>
      <c r="AI965" s="3"/>
      <c r="AJ965" s="3"/>
      <c r="AK965" s="3"/>
      <c r="AL965" s="3"/>
      <c r="AM965" s="3"/>
      <c r="AN965" s="3"/>
      <c r="AO965" s="3"/>
      <c r="AP965" s="3"/>
      <c r="AQ965" s="3"/>
      <c r="AR965" s="3"/>
      <c r="AS965" s="3"/>
      <c r="AT965" s="3"/>
      <c r="AU965" s="3"/>
      <c r="AV965" s="3"/>
      <c r="AW965" s="3"/>
      <c r="AX965" s="3"/>
      <c r="AY965" s="3"/>
      <c r="AZ965" s="3"/>
      <c r="BA965" s="3"/>
      <c r="BB965" s="3"/>
      <c r="BC965" s="3"/>
    </row>
    <row r="966" spans="1:55">
      <c r="A966" s="1" t="str">
        <f>'Population Definitions'!$A$6</f>
        <v>10-17_males</v>
      </c>
      <c r="C966" t="s">
        <v>34</v>
      </c>
      <c r="D966" s="3"/>
      <c r="E966" s="3">
        <v>0</v>
      </c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  <c r="AB966" s="3"/>
      <c r="AC966" s="3"/>
      <c r="AD966" s="3"/>
      <c r="AE966" s="3"/>
      <c r="AF966" s="3"/>
      <c r="AG966" s="3"/>
      <c r="AH966" s="3"/>
      <c r="AI966" s="3"/>
      <c r="AJ966" s="3"/>
      <c r="AK966" s="3"/>
      <c r="AL966" s="3"/>
      <c r="AM966" s="3"/>
      <c r="AN966" s="3"/>
      <c r="AO966" s="3"/>
      <c r="AP966" s="3"/>
      <c r="AQ966" s="3"/>
      <c r="AR966" s="3"/>
      <c r="AS966" s="3"/>
      <c r="AT966" s="3"/>
      <c r="AU966" s="3"/>
      <c r="AV966" s="3"/>
      <c r="AW966" s="3"/>
      <c r="AX966" s="3"/>
      <c r="AY966" s="3"/>
      <c r="AZ966" s="3"/>
      <c r="BA966" s="3"/>
      <c r="BB966" s="3"/>
      <c r="BC966" s="3"/>
    </row>
    <row r="967" spans="1:55">
      <c r="A967" s="1" t="str">
        <f>'Population Definitions'!$A$7</f>
        <v>10-17_females</v>
      </c>
      <c r="C967" t="s">
        <v>34</v>
      </c>
      <c r="D967" s="3"/>
      <c r="E967" s="3">
        <v>0</v>
      </c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  <c r="AB967" s="3"/>
      <c r="AC967" s="3"/>
      <c r="AD967" s="3"/>
      <c r="AE967" s="3"/>
      <c r="AF967" s="3"/>
      <c r="AG967" s="3"/>
      <c r="AH967" s="3"/>
      <c r="AI967" s="3"/>
      <c r="AJ967" s="3"/>
      <c r="AK967" s="3"/>
      <c r="AL967" s="3"/>
      <c r="AM967" s="3"/>
      <c r="AN967" s="3"/>
      <c r="AO967" s="3"/>
      <c r="AP967" s="3"/>
      <c r="AQ967" s="3"/>
      <c r="AR967" s="3"/>
      <c r="AS967" s="3"/>
      <c r="AT967" s="3"/>
      <c r="AU967" s="3"/>
      <c r="AV967" s="3"/>
      <c r="AW967" s="3"/>
      <c r="AX967" s="3"/>
      <c r="AY967" s="3"/>
      <c r="AZ967" s="3"/>
      <c r="BA967" s="3"/>
      <c r="BB967" s="3"/>
      <c r="BC967" s="3"/>
    </row>
    <row r="968" spans="1:55">
      <c r="A968" s="1" t="str">
        <f>'Population Definitions'!$A$8</f>
        <v>18-64_males</v>
      </c>
      <c r="C968" t="s">
        <v>34</v>
      </c>
      <c r="D968" s="3"/>
      <c r="E968" s="3">
        <v>0</v>
      </c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  <c r="AB968" s="3"/>
      <c r="AC968" s="3"/>
      <c r="AD968" s="3"/>
      <c r="AE968" s="3"/>
      <c r="AF968" s="3"/>
      <c r="AG968" s="3"/>
      <c r="AH968" s="3"/>
      <c r="AI968" s="3"/>
      <c r="AJ968" s="3"/>
      <c r="AK968" s="3"/>
      <c r="AL968" s="3"/>
      <c r="AM968" s="3"/>
      <c r="AN968" s="3"/>
      <c r="AO968" s="3"/>
      <c r="AP968" s="3"/>
      <c r="AQ968" s="3"/>
      <c r="AR968" s="3"/>
      <c r="AS968" s="3"/>
      <c r="AT968" s="3"/>
      <c r="AU968" s="3"/>
      <c r="AV968" s="3"/>
      <c r="AW968" s="3"/>
      <c r="AX968" s="3"/>
      <c r="AY968" s="3"/>
      <c r="AZ968" s="3"/>
      <c r="BA968" s="3"/>
      <c r="BB968" s="3"/>
      <c r="BC968" s="3"/>
    </row>
    <row r="969" spans="1:55">
      <c r="A969" s="1" t="str">
        <f>'Population Definitions'!$A$9</f>
        <v>18-64_females</v>
      </c>
      <c r="C969" t="s">
        <v>34</v>
      </c>
      <c r="D969" s="3"/>
      <c r="E969" s="3">
        <v>0</v>
      </c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  <c r="AB969" s="3"/>
      <c r="AC969" s="3"/>
      <c r="AD969" s="3"/>
      <c r="AE969" s="3"/>
      <c r="AF969" s="3"/>
      <c r="AG969" s="3"/>
      <c r="AH969" s="3"/>
      <c r="AI969" s="3"/>
      <c r="AJ969" s="3"/>
      <c r="AK969" s="3"/>
      <c r="AL969" s="3"/>
      <c r="AM969" s="3"/>
      <c r="AN969" s="3"/>
      <c r="AO969" s="3"/>
      <c r="AP969" s="3"/>
      <c r="AQ969" s="3"/>
      <c r="AR969" s="3"/>
      <c r="AS969" s="3"/>
      <c r="AT969" s="3"/>
      <c r="AU969" s="3"/>
      <c r="AV969" s="3"/>
      <c r="AW969" s="3"/>
      <c r="AX969" s="3"/>
      <c r="AY969" s="3"/>
      <c r="AZ969" s="3"/>
      <c r="BA969" s="3"/>
      <c r="BB969" s="3"/>
      <c r="BC969" s="3"/>
    </row>
    <row r="970" spans="1:55">
      <c r="A970" s="1" t="str">
        <f>'Population Definitions'!$A$10</f>
        <v>65+_males</v>
      </c>
      <c r="C970" t="s">
        <v>34</v>
      </c>
      <c r="D970" s="3"/>
      <c r="E970" s="3">
        <v>0</v>
      </c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  <c r="AB970" s="3"/>
      <c r="AC970" s="3"/>
      <c r="AD970" s="3"/>
      <c r="AE970" s="3"/>
      <c r="AF970" s="3"/>
      <c r="AG970" s="3"/>
      <c r="AH970" s="3"/>
      <c r="AI970" s="3"/>
      <c r="AJ970" s="3"/>
      <c r="AK970" s="3"/>
      <c r="AL970" s="3"/>
      <c r="AM970" s="3"/>
      <c r="AN970" s="3"/>
      <c r="AO970" s="3"/>
      <c r="AP970" s="3"/>
      <c r="AQ970" s="3"/>
      <c r="AR970" s="3"/>
      <c r="AS970" s="3"/>
      <c r="AT970" s="3"/>
      <c r="AU970" s="3"/>
      <c r="AV970" s="3"/>
      <c r="AW970" s="3"/>
      <c r="AX970" s="3"/>
      <c r="AY970" s="3"/>
      <c r="AZ970" s="3"/>
      <c r="BA970" s="3"/>
      <c r="BB970" s="3"/>
      <c r="BC970" s="3"/>
    </row>
    <row r="971" spans="1:55">
      <c r="A971" s="1" t="str">
        <f>'Population Definitions'!$A$11</f>
        <v>65+_females</v>
      </c>
      <c r="C971" t="s">
        <v>34</v>
      </c>
      <c r="D971" s="3"/>
      <c r="E971" s="3">
        <v>0</v>
      </c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  <c r="AB971" s="3"/>
      <c r="AC971" s="3"/>
      <c r="AD971" s="3"/>
      <c r="AE971" s="3"/>
      <c r="AF971" s="3"/>
      <c r="AG971" s="3"/>
      <c r="AH971" s="3"/>
      <c r="AI971" s="3"/>
      <c r="AJ971" s="3"/>
      <c r="AK971" s="3"/>
      <c r="AL971" s="3"/>
      <c r="AM971" s="3"/>
      <c r="AN971" s="3"/>
      <c r="AO971" s="3"/>
      <c r="AP971" s="3"/>
      <c r="AQ971" s="3"/>
      <c r="AR971" s="3"/>
      <c r="AS971" s="3"/>
      <c r="AT971" s="3"/>
      <c r="AU971" s="3"/>
      <c r="AV971" s="3"/>
      <c r="AW971" s="3"/>
      <c r="AX971" s="3"/>
      <c r="AY971" s="3"/>
      <c r="AZ971" s="3"/>
      <c r="BA971" s="3"/>
      <c r="BB971" s="3"/>
      <c r="BC971" s="3"/>
    </row>
    <row r="972" spans="1:55">
      <c r="A972" s="1" t="str">
        <f>'Population Definitions'!$A$12</f>
        <v>Prisoners_males</v>
      </c>
      <c r="C972" t="s">
        <v>34</v>
      </c>
      <c r="D972" s="3"/>
      <c r="E972" s="3">
        <v>0</v>
      </c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  <c r="AB972" s="3"/>
      <c r="AC972" s="3"/>
      <c r="AD972" s="3"/>
      <c r="AE972" s="3"/>
      <c r="AF972" s="3"/>
      <c r="AG972" s="3"/>
      <c r="AH972" s="3"/>
      <c r="AI972" s="3"/>
      <c r="AJ972" s="3"/>
      <c r="AK972" s="3"/>
      <c r="AL972" s="3"/>
      <c r="AM972" s="3"/>
      <c r="AN972" s="3"/>
      <c r="AO972" s="3"/>
      <c r="AP972" s="3"/>
      <c r="AQ972" s="3"/>
      <c r="AR972" s="3"/>
      <c r="AS972" s="3"/>
      <c r="AT972" s="3"/>
      <c r="AU972" s="3"/>
      <c r="AV972" s="3"/>
      <c r="AW972" s="3"/>
      <c r="AX972" s="3"/>
      <c r="AY972" s="3"/>
      <c r="AZ972" s="3"/>
      <c r="BA972" s="3"/>
      <c r="BB972" s="3"/>
      <c r="BC972" s="3"/>
    </row>
    <row r="973" spans="1:55">
      <c r="A973" s="1" t="str">
        <f>'Population Definitions'!$A$13</f>
        <v>Prisoners_females</v>
      </c>
      <c r="C973" t="s">
        <v>34</v>
      </c>
      <c r="D973" s="3"/>
      <c r="E973" s="3">
        <v>0</v>
      </c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  <c r="AB973" s="3"/>
      <c r="AC973" s="3"/>
      <c r="AD973" s="3"/>
      <c r="AE973" s="3"/>
      <c r="AF973" s="3"/>
      <c r="AG973" s="3"/>
      <c r="AH973" s="3"/>
      <c r="AI973" s="3"/>
      <c r="AJ973" s="3"/>
      <c r="AK973" s="3"/>
      <c r="AL973" s="3"/>
      <c r="AM973" s="3"/>
      <c r="AN973" s="3"/>
      <c r="AO973" s="3"/>
      <c r="AP973" s="3"/>
      <c r="AQ973" s="3"/>
      <c r="AR973" s="3"/>
      <c r="AS973" s="3"/>
      <c r="AT973" s="3"/>
      <c r="AU973" s="3"/>
      <c r="AV973" s="3"/>
      <c r="AW973" s="3"/>
      <c r="AX973" s="3"/>
      <c r="AY973" s="3"/>
      <c r="AZ973" s="3"/>
      <c r="BA973" s="3"/>
      <c r="BB973" s="3"/>
      <c r="BC973" s="3"/>
    </row>
    <row r="974" spans="1:55">
      <c r="A974" s="1" t="str">
        <f>'Population Definitions'!$A$14</f>
        <v>Prisoners_PWID_males</v>
      </c>
      <c r="C974" t="s">
        <v>34</v>
      </c>
      <c r="D974" s="3"/>
      <c r="E974" s="3">
        <v>0</v>
      </c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  <c r="AB974" s="3"/>
      <c r="AC974" s="3"/>
      <c r="AD974" s="3"/>
      <c r="AE974" s="3"/>
      <c r="AF974" s="3"/>
      <c r="AG974" s="3"/>
      <c r="AH974" s="3"/>
      <c r="AI974" s="3"/>
      <c r="AJ974" s="3"/>
      <c r="AK974" s="3"/>
      <c r="AL974" s="3"/>
      <c r="AM974" s="3"/>
      <c r="AN974" s="3"/>
      <c r="AO974" s="3"/>
      <c r="AP974" s="3"/>
      <c r="AQ974" s="3"/>
      <c r="AR974" s="3"/>
      <c r="AS974" s="3"/>
      <c r="AT974" s="3"/>
      <c r="AU974" s="3"/>
      <c r="AV974" s="3"/>
      <c r="AW974" s="3"/>
      <c r="AX974" s="3"/>
      <c r="AY974" s="3"/>
      <c r="AZ974" s="3"/>
      <c r="BA974" s="3"/>
      <c r="BB974" s="3"/>
      <c r="BC974" s="3"/>
    </row>
    <row r="975" spans="1:55">
      <c r="A975" s="1" t="str">
        <f>'Population Definitions'!$A$15</f>
        <v>Prisoners_PWID_females</v>
      </c>
      <c r="C975" t="s">
        <v>34</v>
      </c>
      <c r="D975" s="3"/>
      <c r="E975" s="3">
        <v>0</v>
      </c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  <c r="AB975" s="3"/>
      <c r="AC975" s="3"/>
      <c r="AD975" s="3"/>
      <c r="AE975" s="3"/>
      <c r="AF975" s="3"/>
      <c r="AG975" s="3"/>
      <c r="AH975" s="3"/>
      <c r="AI975" s="3"/>
      <c r="AJ975" s="3"/>
      <c r="AK975" s="3"/>
      <c r="AL975" s="3"/>
      <c r="AM975" s="3"/>
      <c r="AN975" s="3"/>
      <c r="AO975" s="3"/>
      <c r="AP975" s="3"/>
      <c r="AQ975" s="3"/>
      <c r="AR975" s="3"/>
      <c r="AS975" s="3"/>
      <c r="AT975" s="3"/>
      <c r="AU975" s="3"/>
      <c r="AV975" s="3"/>
      <c r="AW975" s="3"/>
      <c r="AX975" s="3"/>
      <c r="AY975" s="3"/>
      <c r="AZ975" s="3"/>
      <c r="BA975" s="3"/>
      <c r="BB975" s="3"/>
      <c r="BC975" s="3"/>
    </row>
    <row r="977" spans="1:55">
      <c r="A977" s="1" t="s">
        <v>188</v>
      </c>
      <c r="B977" s="1" t="s">
        <v>31</v>
      </c>
      <c r="C977" s="1" t="s">
        <v>32</v>
      </c>
      <c r="D977" s="1" t="s">
        <v>33</v>
      </c>
      <c r="E977" s="1">
        <v>2000</v>
      </c>
      <c r="F977" s="1">
        <v>2001</v>
      </c>
      <c r="G977" s="1">
        <v>2002</v>
      </c>
      <c r="H977" s="1">
        <v>2003</v>
      </c>
      <c r="I977" s="1">
        <v>2004</v>
      </c>
      <c r="J977" s="1">
        <v>2005</v>
      </c>
      <c r="K977" s="1">
        <v>2006</v>
      </c>
      <c r="L977" s="1">
        <v>2007</v>
      </c>
      <c r="M977" s="1">
        <v>2008</v>
      </c>
      <c r="N977" s="1">
        <v>2009</v>
      </c>
      <c r="O977" s="1">
        <v>2010</v>
      </c>
      <c r="P977" s="1">
        <v>2011</v>
      </c>
      <c r="Q977" s="1">
        <v>2012</v>
      </c>
      <c r="R977" s="1">
        <v>2013</v>
      </c>
      <c r="S977" s="1">
        <v>2014</v>
      </c>
      <c r="T977" s="1">
        <v>2015</v>
      </c>
      <c r="U977" s="1">
        <v>2016</v>
      </c>
      <c r="V977" s="1">
        <v>2017</v>
      </c>
      <c r="W977" s="1">
        <v>2018</v>
      </c>
      <c r="X977" s="1">
        <v>2019</v>
      </c>
      <c r="Y977" s="1">
        <v>2020</v>
      </c>
      <c r="Z977" s="1">
        <v>2021</v>
      </c>
      <c r="AA977" s="1">
        <v>2022</v>
      </c>
      <c r="AB977" s="1">
        <v>2023</v>
      </c>
      <c r="AC977" s="1">
        <v>2024</v>
      </c>
      <c r="AD977" s="1">
        <v>2025</v>
      </c>
      <c r="AE977" s="1">
        <v>2026</v>
      </c>
      <c r="AF977" s="1">
        <v>2027</v>
      </c>
      <c r="AG977" s="1">
        <v>2028</v>
      </c>
      <c r="AH977" s="1">
        <v>2029</v>
      </c>
      <c r="AI977" s="1">
        <v>2030</v>
      </c>
      <c r="AJ977" s="1">
        <v>2031</v>
      </c>
      <c r="AK977" s="1">
        <v>2032</v>
      </c>
      <c r="AL977" s="1">
        <v>2033</v>
      </c>
      <c r="AM977" s="1">
        <v>2034</v>
      </c>
      <c r="AN977" s="1">
        <v>2035</v>
      </c>
      <c r="AO977" s="1">
        <v>2036</v>
      </c>
      <c r="AP977" s="1">
        <v>2037</v>
      </c>
      <c r="AQ977" s="1">
        <v>2038</v>
      </c>
      <c r="AR977" s="1">
        <v>2039</v>
      </c>
      <c r="AS977" s="1">
        <v>2040</v>
      </c>
      <c r="AT977" s="1">
        <v>2041</v>
      </c>
      <c r="AU977" s="1">
        <v>2042</v>
      </c>
      <c r="AV977" s="1">
        <v>2043</v>
      </c>
      <c r="AW977" s="1">
        <v>2044</v>
      </c>
      <c r="AX977" s="1">
        <v>2045</v>
      </c>
      <c r="AY977" s="1">
        <v>2046</v>
      </c>
      <c r="AZ977" s="1">
        <v>2047</v>
      </c>
      <c r="BA977" s="1">
        <v>2048</v>
      </c>
      <c r="BB977" s="1">
        <v>2049</v>
      </c>
      <c r="BC977" s="1">
        <v>2050</v>
      </c>
    </row>
    <row r="978" spans="1:55">
      <c r="A978" s="1" t="str">
        <f>'Population Definitions'!$A$2</f>
        <v>PWID_males</v>
      </c>
      <c r="C978" t="s">
        <v>34</v>
      </c>
      <c r="D978" s="3"/>
      <c r="E978" s="3">
        <v>0</v>
      </c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  <c r="AB978" s="3"/>
      <c r="AC978" s="3"/>
      <c r="AD978" s="3"/>
      <c r="AE978" s="3"/>
      <c r="AF978" s="3"/>
      <c r="AG978" s="3"/>
      <c r="AH978" s="3"/>
      <c r="AI978" s="3"/>
      <c r="AJ978" s="3"/>
      <c r="AK978" s="3"/>
      <c r="AL978" s="3"/>
      <c r="AM978" s="3"/>
      <c r="AN978" s="3"/>
      <c r="AO978" s="3"/>
      <c r="AP978" s="3"/>
      <c r="AQ978" s="3"/>
      <c r="AR978" s="3"/>
      <c r="AS978" s="3"/>
      <c r="AT978" s="3"/>
      <c r="AU978" s="3"/>
      <c r="AV978" s="3"/>
      <c r="AW978" s="3"/>
      <c r="AX978" s="3"/>
      <c r="AY978" s="3"/>
      <c r="AZ978" s="3"/>
      <c r="BA978" s="3"/>
      <c r="BB978" s="3"/>
      <c r="BC978" s="3"/>
    </row>
    <row r="979" spans="1:55">
      <c r="A979" s="1" t="str">
        <f>'Population Definitions'!$A$3</f>
        <v>PWID_females</v>
      </c>
      <c r="C979" t="s">
        <v>34</v>
      </c>
      <c r="D979" s="3"/>
      <c r="E979" s="3">
        <v>0</v>
      </c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  <c r="AB979" s="3"/>
      <c r="AC979" s="3"/>
      <c r="AD979" s="3"/>
      <c r="AE979" s="3"/>
      <c r="AF979" s="3"/>
      <c r="AG979" s="3"/>
      <c r="AH979" s="3"/>
      <c r="AI979" s="3"/>
      <c r="AJ979" s="3"/>
      <c r="AK979" s="3"/>
      <c r="AL979" s="3"/>
      <c r="AM979" s="3"/>
      <c r="AN979" s="3"/>
      <c r="AO979" s="3"/>
      <c r="AP979" s="3"/>
      <c r="AQ979" s="3"/>
      <c r="AR979" s="3"/>
      <c r="AS979" s="3"/>
      <c r="AT979" s="3"/>
      <c r="AU979" s="3"/>
      <c r="AV979" s="3"/>
      <c r="AW979" s="3"/>
      <c r="AX979" s="3"/>
      <c r="AY979" s="3"/>
      <c r="AZ979" s="3"/>
      <c r="BA979" s="3"/>
      <c r="BB979" s="3"/>
      <c r="BC979" s="3"/>
    </row>
    <row r="980" spans="1:55">
      <c r="A980" s="1" t="str">
        <f>'Population Definitions'!$A$4</f>
        <v>0-9_males</v>
      </c>
      <c r="C980" t="s">
        <v>34</v>
      </c>
      <c r="D980" s="3"/>
      <c r="E980" s="3">
        <v>0</v>
      </c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  <c r="AB980" s="3"/>
      <c r="AC980" s="3"/>
      <c r="AD980" s="3"/>
      <c r="AE980" s="3"/>
      <c r="AF980" s="3"/>
      <c r="AG980" s="3"/>
      <c r="AH980" s="3"/>
      <c r="AI980" s="3"/>
      <c r="AJ980" s="3"/>
      <c r="AK980" s="3"/>
      <c r="AL980" s="3"/>
      <c r="AM980" s="3"/>
      <c r="AN980" s="3"/>
      <c r="AO980" s="3"/>
      <c r="AP980" s="3"/>
      <c r="AQ980" s="3"/>
      <c r="AR980" s="3"/>
      <c r="AS980" s="3"/>
      <c r="AT980" s="3"/>
      <c r="AU980" s="3"/>
      <c r="AV980" s="3"/>
      <c r="AW980" s="3"/>
      <c r="AX980" s="3"/>
      <c r="AY980" s="3"/>
      <c r="AZ980" s="3"/>
      <c r="BA980" s="3"/>
      <c r="BB980" s="3"/>
      <c r="BC980" s="3"/>
    </row>
    <row r="981" spans="1:55">
      <c r="A981" s="1" t="str">
        <f>'Population Definitions'!$A$5</f>
        <v>0-9_females</v>
      </c>
      <c r="C981" t="s">
        <v>34</v>
      </c>
      <c r="D981" s="3"/>
      <c r="E981" s="3">
        <v>0</v>
      </c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  <c r="AB981" s="3"/>
      <c r="AC981" s="3"/>
      <c r="AD981" s="3"/>
      <c r="AE981" s="3"/>
      <c r="AF981" s="3"/>
      <c r="AG981" s="3"/>
      <c r="AH981" s="3"/>
      <c r="AI981" s="3"/>
      <c r="AJ981" s="3"/>
      <c r="AK981" s="3"/>
      <c r="AL981" s="3"/>
      <c r="AM981" s="3"/>
      <c r="AN981" s="3"/>
      <c r="AO981" s="3"/>
      <c r="AP981" s="3"/>
      <c r="AQ981" s="3"/>
      <c r="AR981" s="3"/>
      <c r="AS981" s="3"/>
      <c r="AT981" s="3"/>
      <c r="AU981" s="3"/>
      <c r="AV981" s="3"/>
      <c r="AW981" s="3"/>
      <c r="AX981" s="3"/>
      <c r="AY981" s="3"/>
      <c r="AZ981" s="3"/>
      <c r="BA981" s="3"/>
      <c r="BB981" s="3"/>
      <c r="BC981" s="3"/>
    </row>
    <row r="982" spans="1:55">
      <c r="A982" s="1" t="str">
        <f>'Population Definitions'!$A$6</f>
        <v>10-17_males</v>
      </c>
      <c r="C982" t="s">
        <v>34</v>
      </c>
      <c r="D982" s="3"/>
      <c r="E982" s="3">
        <v>0</v>
      </c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  <c r="AB982" s="3"/>
      <c r="AC982" s="3"/>
      <c r="AD982" s="3"/>
      <c r="AE982" s="3"/>
      <c r="AF982" s="3"/>
      <c r="AG982" s="3"/>
      <c r="AH982" s="3"/>
      <c r="AI982" s="3"/>
      <c r="AJ982" s="3"/>
      <c r="AK982" s="3"/>
      <c r="AL982" s="3"/>
      <c r="AM982" s="3"/>
      <c r="AN982" s="3"/>
      <c r="AO982" s="3"/>
      <c r="AP982" s="3"/>
      <c r="AQ982" s="3"/>
      <c r="AR982" s="3"/>
      <c r="AS982" s="3"/>
      <c r="AT982" s="3"/>
      <c r="AU982" s="3"/>
      <c r="AV982" s="3"/>
      <c r="AW982" s="3"/>
      <c r="AX982" s="3"/>
      <c r="AY982" s="3"/>
      <c r="AZ982" s="3"/>
      <c r="BA982" s="3"/>
      <c r="BB982" s="3"/>
      <c r="BC982" s="3"/>
    </row>
    <row r="983" spans="1:55">
      <c r="A983" s="1" t="str">
        <f>'Population Definitions'!$A$7</f>
        <v>10-17_females</v>
      </c>
      <c r="C983" t="s">
        <v>34</v>
      </c>
      <c r="D983" s="3"/>
      <c r="E983" s="3">
        <v>0</v>
      </c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  <c r="AB983" s="3"/>
      <c r="AC983" s="3"/>
      <c r="AD983" s="3"/>
      <c r="AE983" s="3"/>
      <c r="AF983" s="3"/>
      <c r="AG983" s="3"/>
      <c r="AH983" s="3"/>
      <c r="AI983" s="3"/>
      <c r="AJ983" s="3"/>
      <c r="AK983" s="3"/>
      <c r="AL983" s="3"/>
      <c r="AM983" s="3"/>
      <c r="AN983" s="3"/>
      <c r="AO983" s="3"/>
      <c r="AP983" s="3"/>
      <c r="AQ983" s="3"/>
      <c r="AR983" s="3"/>
      <c r="AS983" s="3"/>
      <c r="AT983" s="3"/>
      <c r="AU983" s="3"/>
      <c r="AV983" s="3"/>
      <c r="AW983" s="3"/>
      <c r="AX983" s="3"/>
      <c r="AY983" s="3"/>
      <c r="AZ983" s="3"/>
      <c r="BA983" s="3"/>
      <c r="BB983" s="3"/>
      <c r="BC983" s="3"/>
    </row>
    <row r="984" spans="1:55">
      <c r="A984" s="1" t="str">
        <f>'Population Definitions'!$A$8</f>
        <v>18-64_males</v>
      </c>
      <c r="C984" t="s">
        <v>34</v>
      </c>
      <c r="D984" s="3"/>
      <c r="E984" s="3">
        <v>0</v>
      </c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  <c r="AB984" s="3"/>
      <c r="AC984" s="3"/>
      <c r="AD984" s="3"/>
      <c r="AE984" s="3"/>
      <c r="AF984" s="3"/>
      <c r="AG984" s="3"/>
      <c r="AH984" s="3"/>
      <c r="AI984" s="3"/>
      <c r="AJ984" s="3"/>
      <c r="AK984" s="3"/>
      <c r="AL984" s="3"/>
      <c r="AM984" s="3"/>
      <c r="AN984" s="3"/>
      <c r="AO984" s="3"/>
      <c r="AP984" s="3"/>
      <c r="AQ984" s="3"/>
      <c r="AR984" s="3"/>
      <c r="AS984" s="3"/>
      <c r="AT984" s="3"/>
      <c r="AU984" s="3"/>
      <c r="AV984" s="3"/>
      <c r="AW984" s="3"/>
      <c r="AX984" s="3"/>
      <c r="AY984" s="3"/>
      <c r="AZ984" s="3"/>
      <c r="BA984" s="3"/>
      <c r="BB984" s="3"/>
      <c r="BC984" s="3"/>
    </row>
    <row r="985" spans="1:55">
      <c r="A985" s="1" t="str">
        <f>'Population Definitions'!$A$9</f>
        <v>18-64_females</v>
      </c>
      <c r="C985" t="s">
        <v>34</v>
      </c>
      <c r="D985" s="3"/>
      <c r="E985" s="3">
        <v>0</v>
      </c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  <c r="AB985" s="3"/>
      <c r="AC985" s="3"/>
      <c r="AD985" s="3"/>
      <c r="AE985" s="3"/>
      <c r="AF985" s="3"/>
      <c r="AG985" s="3"/>
      <c r="AH985" s="3"/>
      <c r="AI985" s="3"/>
      <c r="AJ985" s="3"/>
      <c r="AK985" s="3"/>
      <c r="AL985" s="3"/>
      <c r="AM985" s="3"/>
      <c r="AN985" s="3"/>
      <c r="AO985" s="3"/>
      <c r="AP985" s="3"/>
      <c r="AQ985" s="3"/>
      <c r="AR985" s="3"/>
      <c r="AS985" s="3"/>
      <c r="AT985" s="3"/>
      <c r="AU985" s="3"/>
      <c r="AV985" s="3"/>
      <c r="AW985" s="3"/>
      <c r="AX985" s="3"/>
      <c r="AY985" s="3"/>
      <c r="AZ985" s="3"/>
      <c r="BA985" s="3"/>
      <c r="BB985" s="3"/>
      <c r="BC985" s="3"/>
    </row>
    <row r="986" spans="1:55">
      <c r="A986" s="1" t="str">
        <f>'Population Definitions'!$A$10</f>
        <v>65+_males</v>
      </c>
      <c r="C986" t="s">
        <v>34</v>
      </c>
      <c r="D986" s="3"/>
      <c r="E986" s="3">
        <v>0</v>
      </c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  <c r="AB986" s="3"/>
      <c r="AC986" s="3"/>
      <c r="AD986" s="3"/>
      <c r="AE986" s="3"/>
      <c r="AF986" s="3"/>
      <c r="AG986" s="3"/>
      <c r="AH986" s="3"/>
      <c r="AI986" s="3"/>
      <c r="AJ986" s="3"/>
      <c r="AK986" s="3"/>
      <c r="AL986" s="3"/>
      <c r="AM986" s="3"/>
      <c r="AN986" s="3"/>
      <c r="AO986" s="3"/>
      <c r="AP986" s="3"/>
      <c r="AQ986" s="3"/>
      <c r="AR986" s="3"/>
      <c r="AS986" s="3"/>
      <c r="AT986" s="3"/>
      <c r="AU986" s="3"/>
      <c r="AV986" s="3"/>
      <c r="AW986" s="3"/>
      <c r="AX986" s="3"/>
      <c r="AY986" s="3"/>
      <c r="AZ986" s="3"/>
      <c r="BA986" s="3"/>
      <c r="BB986" s="3"/>
      <c r="BC986" s="3"/>
    </row>
    <row r="987" spans="1:55">
      <c r="A987" s="1" t="str">
        <f>'Population Definitions'!$A$11</f>
        <v>65+_females</v>
      </c>
      <c r="C987" t="s">
        <v>34</v>
      </c>
      <c r="D987" s="3"/>
      <c r="E987" s="3">
        <v>0</v>
      </c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  <c r="AB987" s="3"/>
      <c r="AC987" s="3"/>
      <c r="AD987" s="3"/>
      <c r="AE987" s="3"/>
      <c r="AF987" s="3"/>
      <c r="AG987" s="3"/>
      <c r="AH987" s="3"/>
      <c r="AI987" s="3"/>
      <c r="AJ987" s="3"/>
      <c r="AK987" s="3"/>
      <c r="AL987" s="3"/>
      <c r="AM987" s="3"/>
      <c r="AN987" s="3"/>
      <c r="AO987" s="3"/>
      <c r="AP987" s="3"/>
      <c r="AQ987" s="3"/>
      <c r="AR987" s="3"/>
      <c r="AS987" s="3"/>
      <c r="AT987" s="3"/>
      <c r="AU987" s="3"/>
      <c r="AV987" s="3"/>
      <c r="AW987" s="3"/>
      <c r="AX987" s="3"/>
      <c r="AY987" s="3"/>
      <c r="AZ987" s="3"/>
      <c r="BA987" s="3"/>
      <c r="BB987" s="3"/>
      <c r="BC987" s="3"/>
    </row>
    <row r="988" spans="1:55">
      <c r="A988" s="1" t="str">
        <f>'Population Definitions'!$A$12</f>
        <v>Prisoners_males</v>
      </c>
      <c r="C988" t="s">
        <v>34</v>
      </c>
      <c r="D988" s="3"/>
      <c r="E988" s="3">
        <v>0</v>
      </c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  <c r="AB988" s="3"/>
      <c r="AC988" s="3"/>
      <c r="AD988" s="3"/>
      <c r="AE988" s="3"/>
      <c r="AF988" s="3"/>
      <c r="AG988" s="3"/>
      <c r="AH988" s="3"/>
      <c r="AI988" s="3"/>
      <c r="AJ988" s="3"/>
      <c r="AK988" s="3"/>
      <c r="AL988" s="3"/>
      <c r="AM988" s="3"/>
      <c r="AN988" s="3"/>
      <c r="AO988" s="3"/>
      <c r="AP988" s="3"/>
      <c r="AQ988" s="3"/>
      <c r="AR988" s="3"/>
      <c r="AS988" s="3"/>
      <c r="AT988" s="3"/>
      <c r="AU988" s="3"/>
      <c r="AV988" s="3"/>
      <c r="AW988" s="3"/>
      <c r="AX988" s="3"/>
      <c r="AY988" s="3"/>
      <c r="AZ988" s="3"/>
      <c r="BA988" s="3"/>
      <c r="BB988" s="3"/>
      <c r="BC988" s="3"/>
    </row>
    <row r="989" spans="1:55">
      <c r="A989" s="1" t="str">
        <f>'Population Definitions'!$A$13</f>
        <v>Prisoners_females</v>
      </c>
      <c r="C989" t="s">
        <v>34</v>
      </c>
      <c r="D989" s="3"/>
      <c r="E989" s="3">
        <v>0</v>
      </c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  <c r="AB989" s="3"/>
      <c r="AC989" s="3"/>
      <c r="AD989" s="3"/>
      <c r="AE989" s="3"/>
      <c r="AF989" s="3"/>
      <c r="AG989" s="3"/>
      <c r="AH989" s="3"/>
      <c r="AI989" s="3"/>
      <c r="AJ989" s="3"/>
      <c r="AK989" s="3"/>
      <c r="AL989" s="3"/>
      <c r="AM989" s="3"/>
      <c r="AN989" s="3"/>
      <c r="AO989" s="3"/>
      <c r="AP989" s="3"/>
      <c r="AQ989" s="3"/>
      <c r="AR989" s="3"/>
      <c r="AS989" s="3"/>
      <c r="AT989" s="3"/>
      <c r="AU989" s="3"/>
      <c r="AV989" s="3"/>
      <c r="AW989" s="3"/>
      <c r="AX989" s="3"/>
      <c r="AY989" s="3"/>
      <c r="AZ989" s="3"/>
      <c r="BA989" s="3"/>
      <c r="BB989" s="3"/>
      <c r="BC989" s="3"/>
    </row>
    <row r="990" spans="1:55">
      <c r="A990" s="1" t="str">
        <f>'Population Definitions'!$A$14</f>
        <v>Prisoners_PWID_males</v>
      </c>
      <c r="C990" t="s">
        <v>34</v>
      </c>
      <c r="D990" s="3"/>
      <c r="E990" s="3">
        <v>0</v>
      </c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  <c r="AB990" s="3"/>
      <c r="AC990" s="3"/>
      <c r="AD990" s="3"/>
      <c r="AE990" s="3"/>
      <c r="AF990" s="3"/>
      <c r="AG990" s="3"/>
      <c r="AH990" s="3"/>
      <c r="AI990" s="3"/>
      <c r="AJ990" s="3"/>
      <c r="AK990" s="3"/>
      <c r="AL990" s="3"/>
      <c r="AM990" s="3"/>
      <c r="AN990" s="3"/>
      <c r="AO990" s="3"/>
      <c r="AP990" s="3"/>
      <c r="AQ990" s="3"/>
      <c r="AR990" s="3"/>
      <c r="AS990" s="3"/>
      <c r="AT990" s="3"/>
      <c r="AU990" s="3"/>
      <c r="AV990" s="3"/>
      <c r="AW990" s="3"/>
      <c r="AX990" s="3"/>
      <c r="AY990" s="3"/>
      <c r="AZ990" s="3"/>
      <c r="BA990" s="3"/>
      <c r="BB990" s="3"/>
      <c r="BC990" s="3"/>
    </row>
    <row r="991" spans="1:55">
      <c r="A991" s="1" t="str">
        <f>'Population Definitions'!$A$15</f>
        <v>Prisoners_PWID_females</v>
      </c>
      <c r="C991" t="s">
        <v>34</v>
      </c>
      <c r="D991" s="3"/>
      <c r="E991" s="3">
        <v>0</v>
      </c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  <c r="AB991" s="3"/>
      <c r="AC991" s="3"/>
      <c r="AD991" s="3"/>
      <c r="AE991" s="3"/>
      <c r="AF991" s="3"/>
      <c r="AG991" s="3"/>
      <c r="AH991" s="3"/>
      <c r="AI991" s="3"/>
      <c r="AJ991" s="3"/>
      <c r="AK991" s="3"/>
      <c r="AL991" s="3"/>
      <c r="AM991" s="3"/>
      <c r="AN991" s="3"/>
      <c r="AO991" s="3"/>
      <c r="AP991" s="3"/>
      <c r="AQ991" s="3"/>
      <c r="AR991" s="3"/>
      <c r="AS991" s="3"/>
      <c r="AT991" s="3"/>
      <c r="AU991" s="3"/>
      <c r="AV991" s="3"/>
      <c r="AW991" s="3"/>
      <c r="AX991" s="3"/>
      <c r="AY991" s="3"/>
      <c r="AZ991" s="3"/>
      <c r="BA991" s="3"/>
      <c r="BB991" s="3"/>
      <c r="BC991" s="3"/>
    </row>
    <row r="993" spans="1:55">
      <c r="A993" s="1" t="s">
        <v>189</v>
      </c>
      <c r="B993" s="1" t="s">
        <v>31</v>
      </c>
      <c r="C993" s="1" t="s">
        <v>32</v>
      </c>
      <c r="D993" s="1" t="s">
        <v>33</v>
      </c>
      <c r="E993" s="1">
        <v>2000</v>
      </c>
      <c r="F993" s="1">
        <v>2001</v>
      </c>
      <c r="G993" s="1">
        <v>2002</v>
      </c>
      <c r="H993" s="1">
        <v>2003</v>
      </c>
      <c r="I993" s="1">
        <v>2004</v>
      </c>
      <c r="J993" s="1">
        <v>2005</v>
      </c>
      <c r="K993" s="1">
        <v>2006</v>
      </c>
      <c r="L993" s="1">
        <v>2007</v>
      </c>
      <c r="M993" s="1">
        <v>2008</v>
      </c>
      <c r="N993" s="1">
        <v>2009</v>
      </c>
      <c r="O993" s="1">
        <v>2010</v>
      </c>
      <c r="P993" s="1">
        <v>2011</v>
      </c>
      <c r="Q993" s="1">
        <v>2012</v>
      </c>
      <c r="R993" s="1">
        <v>2013</v>
      </c>
      <c r="S993" s="1">
        <v>2014</v>
      </c>
      <c r="T993" s="1">
        <v>2015</v>
      </c>
      <c r="U993" s="1">
        <v>2016</v>
      </c>
      <c r="V993" s="1">
        <v>2017</v>
      </c>
      <c r="W993" s="1">
        <v>2018</v>
      </c>
      <c r="X993" s="1">
        <v>2019</v>
      </c>
      <c r="Y993" s="1">
        <v>2020</v>
      </c>
      <c r="Z993" s="1">
        <v>2021</v>
      </c>
      <c r="AA993" s="1">
        <v>2022</v>
      </c>
      <c r="AB993" s="1">
        <v>2023</v>
      </c>
      <c r="AC993" s="1">
        <v>2024</v>
      </c>
      <c r="AD993" s="1">
        <v>2025</v>
      </c>
      <c r="AE993" s="1">
        <v>2026</v>
      </c>
      <c r="AF993" s="1">
        <v>2027</v>
      </c>
      <c r="AG993" s="1">
        <v>2028</v>
      </c>
      <c r="AH993" s="1">
        <v>2029</v>
      </c>
      <c r="AI993" s="1">
        <v>2030</v>
      </c>
      <c r="AJ993" s="1">
        <v>2031</v>
      </c>
      <c r="AK993" s="1">
        <v>2032</v>
      </c>
      <c r="AL993" s="1">
        <v>2033</v>
      </c>
      <c r="AM993" s="1">
        <v>2034</v>
      </c>
      <c r="AN993" s="1">
        <v>2035</v>
      </c>
      <c r="AO993" s="1">
        <v>2036</v>
      </c>
      <c r="AP993" s="1">
        <v>2037</v>
      </c>
      <c r="AQ993" s="1">
        <v>2038</v>
      </c>
      <c r="AR993" s="1">
        <v>2039</v>
      </c>
      <c r="AS993" s="1">
        <v>2040</v>
      </c>
      <c r="AT993" s="1">
        <v>2041</v>
      </c>
      <c r="AU993" s="1">
        <v>2042</v>
      </c>
      <c r="AV993" s="1">
        <v>2043</v>
      </c>
      <c r="AW993" s="1">
        <v>2044</v>
      </c>
      <c r="AX993" s="1">
        <v>2045</v>
      </c>
      <c r="AY993" s="1">
        <v>2046</v>
      </c>
      <c r="AZ993" s="1">
        <v>2047</v>
      </c>
      <c r="BA993" s="1">
        <v>2048</v>
      </c>
      <c r="BB993" s="1">
        <v>2049</v>
      </c>
      <c r="BC993" s="1">
        <v>2050</v>
      </c>
    </row>
    <row r="994" spans="1:55">
      <c r="A994" s="1" t="str">
        <f>'Population Definitions'!$A$2</f>
        <v>PWID_males</v>
      </c>
      <c r="C994" t="s">
        <v>34</v>
      </c>
      <c r="D994" s="3"/>
      <c r="E994" s="3">
        <v>0</v>
      </c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  <c r="AB994" s="3"/>
      <c r="AC994" s="3"/>
      <c r="AD994" s="3"/>
      <c r="AE994" s="3"/>
      <c r="AF994" s="3"/>
      <c r="AG994" s="3"/>
      <c r="AH994" s="3"/>
      <c r="AI994" s="3"/>
      <c r="AJ994" s="3"/>
      <c r="AK994" s="3"/>
      <c r="AL994" s="3"/>
      <c r="AM994" s="3"/>
      <c r="AN994" s="3"/>
      <c r="AO994" s="3"/>
      <c r="AP994" s="3"/>
      <c r="AQ994" s="3"/>
      <c r="AR994" s="3"/>
      <c r="AS994" s="3"/>
      <c r="AT994" s="3"/>
      <c r="AU994" s="3"/>
      <c r="AV994" s="3"/>
      <c r="AW994" s="3"/>
      <c r="AX994" s="3"/>
      <c r="AY994" s="3"/>
      <c r="AZ994" s="3"/>
      <c r="BA994" s="3"/>
      <c r="BB994" s="3"/>
      <c r="BC994" s="3"/>
    </row>
    <row r="995" spans="1:55">
      <c r="A995" s="1" t="str">
        <f>'Population Definitions'!$A$3</f>
        <v>PWID_females</v>
      </c>
      <c r="C995" t="s">
        <v>34</v>
      </c>
      <c r="D995" s="3"/>
      <c r="E995" s="3">
        <v>0</v>
      </c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  <c r="AB995" s="3"/>
      <c r="AC995" s="3"/>
      <c r="AD995" s="3"/>
      <c r="AE995" s="3"/>
      <c r="AF995" s="3"/>
      <c r="AG995" s="3"/>
      <c r="AH995" s="3"/>
      <c r="AI995" s="3"/>
      <c r="AJ995" s="3"/>
      <c r="AK995" s="3"/>
      <c r="AL995" s="3"/>
      <c r="AM995" s="3"/>
      <c r="AN995" s="3"/>
      <c r="AO995" s="3"/>
      <c r="AP995" s="3"/>
      <c r="AQ995" s="3"/>
      <c r="AR995" s="3"/>
      <c r="AS995" s="3"/>
      <c r="AT995" s="3"/>
      <c r="AU995" s="3"/>
      <c r="AV995" s="3"/>
      <c r="AW995" s="3"/>
      <c r="AX995" s="3"/>
      <c r="AY995" s="3"/>
      <c r="AZ995" s="3"/>
      <c r="BA995" s="3"/>
      <c r="BB995" s="3"/>
      <c r="BC995" s="3"/>
    </row>
    <row r="996" spans="1:55">
      <c r="A996" s="1" t="str">
        <f>'Population Definitions'!$A$4</f>
        <v>0-9_males</v>
      </c>
      <c r="C996" t="s">
        <v>34</v>
      </c>
      <c r="D996" s="3"/>
      <c r="E996" s="3">
        <v>0</v>
      </c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  <c r="AB996" s="3"/>
      <c r="AC996" s="3"/>
      <c r="AD996" s="3"/>
      <c r="AE996" s="3"/>
      <c r="AF996" s="3"/>
      <c r="AG996" s="3"/>
      <c r="AH996" s="3"/>
      <c r="AI996" s="3"/>
      <c r="AJ996" s="3"/>
      <c r="AK996" s="3"/>
      <c r="AL996" s="3"/>
      <c r="AM996" s="3"/>
      <c r="AN996" s="3"/>
      <c r="AO996" s="3"/>
      <c r="AP996" s="3"/>
      <c r="AQ996" s="3"/>
      <c r="AR996" s="3"/>
      <c r="AS996" s="3"/>
      <c r="AT996" s="3"/>
      <c r="AU996" s="3"/>
      <c r="AV996" s="3"/>
      <c r="AW996" s="3"/>
      <c r="AX996" s="3"/>
      <c r="AY996" s="3"/>
      <c r="AZ996" s="3"/>
      <c r="BA996" s="3"/>
      <c r="BB996" s="3"/>
      <c r="BC996" s="3"/>
    </row>
    <row r="997" spans="1:55">
      <c r="A997" s="1" t="str">
        <f>'Population Definitions'!$A$5</f>
        <v>0-9_females</v>
      </c>
      <c r="C997" t="s">
        <v>34</v>
      </c>
      <c r="D997" s="3"/>
      <c r="E997" s="3">
        <v>0</v>
      </c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  <c r="AB997" s="3"/>
      <c r="AC997" s="3"/>
      <c r="AD997" s="3"/>
      <c r="AE997" s="3"/>
      <c r="AF997" s="3"/>
      <c r="AG997" s="3"/>
      <c r="AH997" s="3"/>
      <c r="AI997" s="3"/>
      <c r="AJ997" s="3"/>
      <c r="AK997" s="3"/>
      <c r="AL997" s="3"/>
      <c r="AM997" s="3"/>
      <c r="AN997" s="3"/>
      <c r="AO997" s="3"/>
      <c r="AP997" s="3"/>
      <c r="AQ997" s="3"/>
      <c r="AR997" s="3"/>
      <c r="AS997" s="3"/>
      <c r="AT997" s="3"/>
      <c r="AU997" s="3"/>
      <c r="AV997" s="3"/>
      <c r="AW997" s="3"/>
      <c r="AX997" s="3"/>
      <c r="AY997" s="3"/>
      <c r="AZ997" s="3"/>
      <c r="BA997" s="3"/>
      <c r="BB997" s="3"/>
      <c r="BC997" s="3"/>
    </row>
    <row r="998" spans="1:55">
      <c r="A998" s="1" t="str">
        <f>'Population Definitions'!$A$6</f>
        <v>10-17_males</v>
      </c>
      <c r="C998" t="s">
        <v>34</v>
      </c>
      <c r="D998" s="3"/>
      <c r="E998" s="3">
        <v>0</v>
      </c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  <c r="AB998" s="3"/>
      <c r="AC998" s="3"/>
      <c r="AD998" s="3"/>
      <c r="AE998" s="3"/>
      <c r="AF998" s="3"/>
      <c r="AG998" s="3"/>
      <c r="AH998" s="3"/>
      <c r="AI998" s="3"/>
      <c r="AJ998" s="3"/>
      <c r="AK998" s="3"/>
      <c r="AL998" s="3"/>
      <c r="AM998" s="3"/>
      <c r="AN998" s="3"/>
      <c r="AO998" s="3"/>
      <c r="AP998" s="3"/>
      <c r="AQ998" s="3"/>
      <c r="AR998" s="3"/>
      <c r="AS998" s="3"/>
      <c r="AT998" s="3"/>
      <c r="AU998" s="3"/>
      <c r="AV998" s="3"/>
      <c r="AW998" s="3"/>
      <c r="AX998" s="3"/>
      <c r="AY998" s="3"/>
      <c r="AZ998" s="3"/>
      <c r="BA998" s="3"/>
      <c r="BB998" s="3"/>
      <c r="BC998" s="3"/>
    </row>
    <row r="999" spans="1:55">
      <c r="A999" s="1" t="str">
        <f>'Population Definitions'!$A$7</f>
        <v>10-17_females</v>
      </c>
      <c r="C999" t="s">
        <v>34</v>
      </c>
      <c r="D999" s="3"/>
      <c r="E999" s="3">
        <v>0</v>
      </c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  <c r="AB999" s="3"/>
      <c r="AC999" s="3"/>
      <c r="AD999" s="3"/>
      <c r="AE999" s="3"/>
      <c r="AF999" s="3"/>
      <c r="AG999" s="3"/>
      <c r="AH999" s="3"/>
      <c r="AI999" s="3"/>
      <c r="AJ999" s="3"/>
      <c r="AK999" s="3"/>
      <c r="AL999" s="3"/>
      <c r="AM999" s="3"/>
      <c r="AN999" s="3"/>
      <c r="AO999" s="3"/>
      <c r="AP999" s="3"/>
      <c r="AQ999" s="3"/>
      <c r="AR999" s="3"/>
      <c r="AS999" s="3"/>
      <c r="AT999" s="3"/>
      <c r="AU999" s="3"/>
      <c r="AV999" s="3"/>
      <c r="AW999" s="3"/>
      <c r="AX999" s="3"/>
      <c r="AY999" s="3"/>
      <c r="AZ999" s="3"/>
      <c r="BA999" s="3"/>
      <c r="BB999" s="3"/>
      <c r="BC999" s="3"/>
    </row>
    <row r="1000" spans="1:55">
      <c r="A1000" s="1" t="str">
        <f>'Population Definitions'!$A$8</f>
        <v>18-64_males</v>
      </c>
      <c r="C1000" t="s">
        <v>34</v>
      </c>
      <c r="D1000" s="3"/>
      <c r="E1000" s="3">
        <v>0</v>
      </c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  <c r="AA1000" s="3"/>
      <c r="AB1000" s="3"/>
      <c r="AC1000" s="3"/>
      <c r="AD1000" s="3"/>
      <c r="AE1000" s="3"/>
      <c r="AF1000" s="3"/>
      <c r="AG1000" s="3"/>
      <c r="AH1000" s="3"/>
      <c r="AI1000" s="3"/>
      <c r="AJ1000" s="3"/>
      <c r="AK1000" s="3"/>
      <c r="AL1000" s="3"/>
      <c r="AM1000" s="3"/>
      <c r="AN1000" s="3"/>
      <c r="AO1000" s="3"/>
      <c r="AP1000" s="3"/>
      <c r="AQ1000" s="3"/>
      <c r="AR1000" s="3"/>
      <c r="AS1000" s="3"/>
      <c r="AT1000" s="3"/>
      <c r="AU1000" s="3"/>
      <c r="AV1000" s="3"/>
      <c r="AW1000" s="3"/>
      <c r="AX1000" s="3"/>
      <c r="AY1000" s="3"/>
      <c r="AZ1000" s="3"/>
      <c r="BA1000" s="3"/>
      <c r="BB1000" s="3"/>
      <c r="BC1000" s="3"/>
    </row>
    <row r="1001" spans="1:55">
      <c r="A1001" s="1" t="str">
        <f>'Population Definitions'!$A$9</f>
        <v>18-64_females</v>
      </c>
      <c r="C1001" t="s">
        <v>34</v>
      </c>
      <c r="D1001" s="3"/>
      <c r="E1001" s="3">
        <v>0</v>
      </c>
      <c r="F1001" s="3"/>
      <c r="G1001" s="3"/>
      <c r="H1001" s="3"/>
      <c r="I1001" s="3"/>
      <c r="J1001" s="3"/>
      <c r="K1001" s="3"/>
      <c r="L1001" s="3"/>
      <c r="M1001" s="3"/>
      <c r="N1001" s="3"/>
      <c r="O1001" s="3"/>
      <c r="P1001" s="3"/>
      <c r="Q1001" s="3"/>
      <c r="R1001" s="3"/>
      <c r="S1001" s="3"/>
      <c r="T1001" s="3"/>
      <c r="U1001" s="3"/>
      <c r="V1001" s="3"/>
      <c r="W1001" s="3"/>
      <c r="X1001" s="3"/>
      <c r="Y1001" s="3"/>
      <c r="Z1001" s="3"/>
      <c r="AA1001" s="3"/>
      <c r="AB1001" s="3"/>
      <c r="AC1001" s="3"/>
      <c r="AD1001" s="3"/>
      <c r="AE1001" s="3"/>
      <c r="AF1001" s="3"/>
      <c r="AG1001" s="3"/>
      <c r="AH1001" s="3"/>
      <c r="AI1001" s="3"/>
      <c r="AJ1001" s="3"/>
      <c r="AK1001" s="3"/>
      <c r="AL1001" s="3"/>
      <c r="AM1001" s="3"/>
      <c r="AN1001" s="3"/>
      <c r="AO1001" s="3"/>
      <c r="AP1001" s="3"/>
      <c r="AQ1001" s="3"/>
      <c r="AR1001" s="3"/>
      <c r="AS1001" s="3"/>
      <c r="AT1001" s="3"/>
      <c r="AU1001" s="3"/>
      <c r="AV1001" s="3"/>
      <c r="AW1001" s="3"/>
      <c r="AX1001" s="3"/>
      <c r="AY1001" s="3"/>
      <c r="AZ1001" s="3"/>
      <c r="BA1001" s="3"/>
      <c r="BB1001" s="3"/>
      <c r="BC1001" s="3"/>
    </row>
    <row r="1002" spans="1:55">
      <c r="A1002" s="1" t="str">
        <f>'Population Definitions'!$A$10</f>
        <v>65+_males</v>
      </c>
      <c r="C1002" t="s">
        <v>34</v>
      </c>
      <c r="D1002" s="3"/>
      <c r="E1002" s="3">
        <v>0</v>
      </c>
      <c r="F1002" s="3"/>
      <c r="G1002" s="3"/>
      <c r="H1002" s="3"/>
      <c r="I1002" s="3"/>
      <c r="J1002" s="3"/>
      <c r="K1002" s="3"/>
      <c r="L1002" s="3"/>
      <c r="M1002" s="3"/>
      <c r="N1002" s="3"/>
      <c r="O1002" s="3"/>
      <c r="P1002" s="3"/>
      <c r="Q1002" s="3"/>
      <c r="R1002" s="3"/>
      <c r="S1002" s="3"/>
      <c r="T1002" s="3"/>
      <c r="U1002" s="3"/>
      <c r="V1002" s="3"/>
      <c r="W1002" s="3"/>
      <c r="X1002" s="3"/>
      <c r="Y1002" s="3"/>
      <c r="Z1002" s="3"/>
      <c r="AA1002" s="3"/>
      <c r="AB1002" s="3"/>
      <c r="AC1002" s="3"/>
      <c r="AD1002" s="3"/>
      <c r="AE1002" s="3"/>
      <c r="AF1002" s="3"/>
      <c r="AG1002" s="3"/>
      <c r="AH1002" s="3"/>
      <c r="AI1002" s="3"/>
      <c r="AJ1002" s="3"/>
      <c r="AK1002" s="3"/>
      <c r="AL1002" s="3"/>
      <c r="AM1002" s="3"/>
      <c r="AN1002" s="3"/>
      <c r="AO1002" s="3"/>
      <c r="AP1002" s="3"/>
      <c r="AQ1002" s="3"/>
      <c r="AR1002" s="3"/>
      <c r="AS1002" s="3"/>
      <c r="AT1002" s="3"/>
      <c r="AU1002" s="3"/>
      <c r="AV1002" s="3"/>
      <c r="AW1002" s="3"/>
      <c r="AX1002" s="3"/>
      <c r="AY1002" s="3"/>
      <c r="AZ1002" s="3"/>
      <c r="BA1002" s="3"/>
      <c r="BB1002" s="3"/>
      <c r="BC1002" s="3"/>
    </row>
    <row r="1003" spans="1:55">
      <c r="A1003" s="1" t="str">
        <f>'Population Definitions'!$A$11</f>
        <v>65+_females</v>
      </c>
      <c r="C1003" t="s">
        <v>34</v>
      </c>
      <c r="D1003" s="3"/>
      <c r="E1003" s="3">
        <v>0</v>
      </c>
      <c r="F1003" s="3"/>
      <c r="G1003" s="3"/>
      <c r="H1003" s="3"/>
      <c r="I1003" s="3"/>
      <c r="J1003" s="3"/>
      <c r="K1003" s="3"/>
      <c r="L1003" s="3"/>
      <c r="M1003" s="3"/>
      <c r="N1003" s="3"/>
      <c r="O1003" s="3"/>
      <c r="P1003" s="3"/>
      <c r="Q1003" s="3"/>
      <c r="R1003" s="3"/>
      <c r="S1003" s="3"/>
      <c r="T1003" s="3"/>
      <c r="U1003" s="3"/>
      <c r="V1003" s="3"/>
      <c r="W1003" s="3"/>
      <c r="X1003" s="3"/>
      <c r="Y1003" s="3"/>
      <c r="Z1003" s="3"/>
      <c r="AA1003" s="3"/>
      <c r="AB1003" s="3"/>
      <c r="AC1003" s="3"/>
      <c r="AD1003" s="3"/>
      <c r="AE1003" s="3"/>
      <c r="AF1003" s="3"/>
      <c r="AG1003" s="3"/>
      <c r="AH1003" s="3"/>
      <c r="AI1003" s="3"/>
      <c r="AJ1003" s="3"/>
      <c r="AK1003" s="3"/>
      <c r="AL1003" s="3"/>
      <c r="AM1003" s="3"/>
      <c r="AN1003" s="3"/>
      <c r="AO1003" s="3"/>
      <c r="AP1003" s="3"/>
      <c r="AQ1003" s="3"/>
      <c r="AR1003" s="3"/>
      <c r="AS1003" s="3"/>
      <c r="AT1003" s="3"/>
      <c r="AU1003" s="3"/>
      <c r="AV1003" s="3"/>
      <c r="AW1003" s="3"/>
      <c r="AX1003" s="3"/>
      <c r="AY1003" s="3"/>
      <c r="AZ1003" s="3"/>
      <c r="BA1003" s="3"/>
      <c r="BB1003" s="3"/>
      <c r="BC1003" s="3"/>
    </row>
    <row r="1004" spans="1:55">
      <c r="A1004" s="1" t="str">
        <f>'Population Definitions'!$A$12</f>
        <v>Prisoners_males</v>
      </c>
      <c r="C1004" t="s">
        <v>34</v>
      </c>
      <c r="D1004" s="3"/>
      <c r="E1004" s="3">
        <v>0</v>
      </c>
      <c r="F1004" s="3"/>
      <c r="G1004" s="3"/>
      <c r="H1004" s="3"/>
      <c r="I1004" s="3"/>
      <c r="J1004" s="3"/>
      <c r="K1004" s="3"/>
      <c r="L1004" s="3"/>
      <c r="M1004" s="3"/>
      <c r="N1004" s="3"/>
      <c r="O1004" s="3"/>
      <c r="P1004" s="3"/>
      <c r="Q1004" s="3"/>
      <c r="R1004" s="3"/>
      <c r="S1004" s="3"/>
      <c r="T1004" s="3"/>
      <c r="U1004" s="3"/>
      <c r="V1004" s="3"/>
      <c r="W1004" s="3"/>
      <c r="X1004" s="3"/>
      <c r="Y1004" s="3"/>
      <c r="Z1004" s="3"/>
      <c r="AA1004" s="3"/>
      <c r="AB1004" s="3"/>
      <c r="AC1004" s="3"/>
      <c r="AD1004" s="3"/>
      <c r="AE1004" s="3"/>
      <c r="AF1004" s="3"/>
      <c r="AG1004" s="3"/>
      <c r="AH1004" s="3"/>
      <c r="AI1004" s="3"/>
      <c r="AJ1004" s="3"/>
      <c r="AK1004" s="3"/>
      <c r="AL1004" s="3"/>
      <c r="AM1004" s="3"/>
      <c r="AN1004" s="3"/>
      <c r="AO1004" s="3"/>
      <c r="AP1004" s="3"/>
      <c r="AQ1004" s="3"/>
      <c r="AR1004" s="3"/>
      <c r="AS1004" s="3"/>
      <c r="AT1004" s="3"/>
      <c r="AU1004" s="3"/>
      <c r="AV1004" s="3"/>
      <c r="AW1004" s="3"/>
      <c r="AX1004" s="3"/>
      <c r="AY1004" s="3"/>
      <c r="AZ1004" s="3"/>
      <c r="BA1004" s="3"/>
      <c r="BB1004" s="3"/>
      <c r="BC1004" s="3"/>
    </row>
    <row r="1005" spans="1:55">
      <c r="A1005" s="1" t="str">
        <f>'Population Definitions'!$A$13</f>
        <v>Prisoners_females</v>
      </c>
      <c r="C1005" t="s">
        <v>34</v>
      </c>
      <c r="D1005" s="3"/>
      <c r="E1005" s="3">
        <v>0</v>
      </c>
      <c r="F1005" s="3"/>
      <c r="G1005" s="3"/>
      <c r="H1005" s="3"/>
      <c r="I1005" s="3"/>
      <c r="J1005" s="3"/>
      <c r="K1005" s="3"/>
      <c r="L1005" s="3"/>
      <c r="M1005" s="3"/>
      <c r="N1005" s="3"/>
      <c r="O1005" s="3"/>
      <c r="P1005" s="3"/>
      <c r="Q1005" s="3"/>
      <c r="R1005" s="3"/>
      <c r="S1005" s="3"/>
      <c r="T1005" s="3"/>
      <c r="U1005" s="3"/>
      <c r="V1005" s="3"/>
      <c r="W1005" s="3"/>
      <c r="X1005" s="3"/>
      <c r="Y1005" s="3"/>
      <c r="Z1005" s="3"/>
      <c r="AA1005" s="3"/>
      <c r="AB1005" s="3"/>
      <c r="AC1005" s="3"/>
      <c r="AD1005" s="3"/>
      <c r="AE1005" s="3"/>
      <c r="AF1005" s="3"/>
      <c r="AG1005" s="3"/>
      <c r="AH1005" s="3"/>
      <c r="AI1005" s="3"/>
      <c r="AJ1005" s="3"/>
      <c r="AK1005" s="3"/>
      <c r="AL1005" s="3"/>
      <c r="AM1005" s="3"/>
      <c r="AN1005" s="3"/>
      <c r="AO1005" s="3"/>
      <c r="AP1005" s="3"/>
      <c r="AQ1005" s="3"/>
      <c r="AR1005" s="3"/>
      <c r="AS1005" s="3"/>
      <c r="AT1005" s="3"/>
      <c r="AU1005" s="3"/>
      <c r="AV1005" s="3"/>
      <c r="AW1005" s="3"/>
      <c r="AX1005" s="3"/>
      <c r="AY1005" s="3"/>
      <c r="AZ1005" s="3"/>
      <c r="BA1005" s="3"/>
      <c r="BB1005" s="3"/>
      <c r="BC1005" s="3"/>
    </row>
    <row r="1006" spans="1:55">
      <c r="A1006" s="1" t="str">
        <f>'Population Definitions'!$A$14</f>
        <v>Prisoners_PWID_males</v>
      </c>
      <c r="C1006" t="s">
        <v>34</v>
      </c>
      <c r="D1006" s="3"/>
      <c r="E1006" s="3">
        <v>0</v>
      </c>
      <c r="F1006" s="3"/>
      <c r="G1006" s="3"/>
      <c r="H1006" s="3"/>
      <c r="I1006" s="3"/>
      <c r="J1006" s="3"/>
      <c r="K1006" s="3"/>
      <c r="L1006" s="3"/>
      <c r="M1006" s="3"/>
      <c r="N1006" s="3"/>
      <c r="O1006" s="3"/>
      <c r="P1006" s="3"/>
      <c r="Q1006" s="3"/>
      <c r="R1006" s="3"/>
      <c r="S1006" s="3"/>
      <c r="T1006" s="3"/>
      <c r="U1006" s="3"/>
      <c r="V1006" s="3"/>
      <c r="W1006" s="3"/>
      <c r="X1006" s="3"/>
      <c r="Y1006" s="3"/>
      <c r="Z1006" s="3"/>
      <c r="AA1006" s="3"/>
      <c r="AB1006" s="3"/>
      <c r="AC1006" s="3"/>
      <c r="AD1006" s="3"/>
      <c r="AE1006" s="3"/>
      <c r="AF1006" s="3"/>
      <c r="AG1006" s="3"/>
      <c r="AH1006" s="3"/>
      <c r="AI1006" s="3"/>
      <c r="AJ1006" s="3"/>
      <c r="AK1006" s="3"/>
      <c r="AL1006" s="3"/>
      <c r="AM1006" s="3"/>
      <c r="AN1006" s="3"/>
      <c r="AO1006" s="3"/>
      <c r="AP1006" s="3"/>
      <c r="AQ1006" s="3"/>
      <c r="AR1006" s="3"/>
      <c r="AS1006" s="3"/>
      <c r="AT1006" s="3"/>
      <c r="AU1006" s="3"/>
      <c r="AV1006" s="3"/>
      <c r="AW1006" s="3"/>
      <c r="AX1006" s="3"/>
      <c r="AY1006" s="3"/>
      <c r="AZ1006" s="3"/>
      <c r="BA1006" s="3"/>
      <c r="BB1006" s="3"/>
      <c r="BC1006" s="3"/>
    </row>
    <row r="1007" spans="1:55">
      <c r="A1007" s="1" t="str">
        <f>'Population Definitions'!$A$15</f>
        <v>Prisoners_PWID_females</v>
      </c>
      <c r="C1007" t="s">
        <v>34</v>
      </c>
      <c r="D1007" s="3"/>
      <c r="E1007" s="3">
        <v>0</v>
      </c>
      <c r="F1007" s="3"/>
      <c r="G1007" s="3"/>
      <c r="H1007" s="3"/>
      <c r="I1007" s="3"/>
      <c r="J1007" s="3"/>
      <c r="K1007" s="3"/>
      <c r="L1007" s="3"/>
      <c r="M1007" s="3"/>
      <c r="N1007" s="3"/>
      <c r="O1007" s="3"/>
      <c r="P1007" s="3"/>
      <c r="Q1007" s="3"/>
      <c r="R1007" s="3"/>
      <c r="S1007" s="3"/>
      <c r="T1007" s="3"/>
      <c r="U1007" s="3"/>
      <c r="V1007" s="3"/>
      <c r="W1007" s="3"/>
      <c r="X1007" s="3"/>
      <c r="Y1007" s="3"/>
      <c r="Z1007" s="3"/>
      <c r="AA1007" s="3"/>
      <c r="AB1007" s="3"/>
      <c r="AC1007" s="3"/>
      <c r="AD1007" s="3"/>
      <c r="AE1007" s="3"/>
      <c r="AF1007" s="3"/>
      <c r="AG1007" s="3"/>
      <c r="AH1007" s="3"/>
      <c r="AI1007" s="3"/>
      <c r="AJ1007" s="3"/>
      <c r="AK1007" s="3"/>
      <c r="AL1007" s="3"/>
      <c r="AM1007" s="3"/>
      <c r="AN1007" s="3"/>
      <c r="AO1007" s="3"/>
      <c r="AP1007" s="3"/>
      <c r="AQ1007" s="3"/>
      <c r="AR1007" s="3"/>
      <c r="AS1007" s="3"/>
      <c r="AT1007" s="3"/>
      <c r="AU1007" s="3"/>
      <c r="AV1007" s="3"/>
      <c r="AW1007" s="3"/>
      <c r="AX1007" s="3"/>
      <c r="AY1007" s="3"/>
      <c r="AZ1007" s="3"/>
      <c r="BA1007" s="3"/>
      <c r="BB1007" s="3"/>
      <c r="BC1007" s="3"/>
    </row>
    <row r="1009" spans="1:55">
      <c r="A1009" s="1" t="s">
        <v>190</v>
      </c>
      <c r="B1009" s="1" t="s">
        <v>31</v>
      </c>
      <c r="C1009" s="1" t="s">
        <v>32</v>
      </c>
      <c r="D1009" s="1" t="s">
        <v>33</v>
      </c>
      <c r="E1009" s="1">
        <v>2000</v>
      </c>
      <c r="F1009" s="1">
        <v>2001</v>
      </c>
      <c r="G1009" s="1">
        <v>2002</v>
      </c>
      <c r="H1009" s="1">
        <v>2003</v>
      </c>
      <c r="I1009" s="1">
        <v>2004</v>
      </c>
      <c r="J1009" s="1">
        <v>2005</v>
      </c>
      <c r="K1009" s="1">
        <v>2006</v>
      </c>
      <c r="L1009" s="1">
        <v>2007</v>
      </c>
      <c r="M1009" s="1">
        <v>2008</v>
      </c>
      <c r="N1009" s="1">
        <v>2009</v>
      </c>
      <c r="O1009" s="1">
        <v>2010</v>
      </c>
      <c r="P1009" s="1">
        <v>2011</v>
      </c>
      <c r="Q1009" s="1">
        <v>2012</v>
      </c>
      <c r="R1009" s="1">
        <v>2013</v>
      </c>
      <c r="S1009" s="1">
        <v>2014</v>
      </c>
      <c r="T1009" s="1">
        <v>2015</v>
      </c>
      <c r="U1009" s="1">
        <v>2016</v>
      </c>
      <c r="V1009" s="1">
        <v>2017</v>
      </c>
      <c r="W1009" s="1">
        <v>2018</v>
      </c>
      <c r="X1009" s="1">
        <v>2019</v>
      </c>
      <c r="Y1009" s="1">
        <v>2020</v>
      </c>
      <c r="Z1009" s="1">
        <v>2021</v>
      </c>
      <c r="AA1009" s="1">
        <v>2022</v>
      </c>
      <c r="AB1009" s="1">
        <v>2023</v>
      </c>
      <c r="AC1009" s="1">
        <v>2024</v>
      </c>
      <c r="AD1009" s="1">
        <v>2025</v>
      </c>
      <c r="AE1009" s="1">
        <v>2026</v>
      </c>
      <c r="AF1009" s="1">
        <v>2027</v>
      </c>
      <c r="AG1009" s="1">
        <v>2028</v>
      </c>
      <c r="AH1009" s="1">
        <v>2029</v>
      </c>
      <c r="AI1009" s="1">
        <v>2030</v>
      </c>
      <c r="AJ1009" s="1">
        <v>2031</v>
      </c>
      <c r="AK1009" s="1">
        <v>2032</v>
      </c>
      <c r="AL1009" s="1">
        <v>2033</v>
      </c>
      <c r="AM1009" s="1">
        <v>2034</v>
      </c>
      <c r="AN1009" s="1">
        <v>2035</v>
      </c>
      <c r="AO1009" s="1">
        <v>2036</v>
      </c>
      <c r="AP1009" s="1">
        <v>2037</v>
      </c>
      <c r="AQ1009" s="1">
        <v>2038</v>
      </c>
      <c r="AR1009" s="1">
        <v>2039</v>
      </c>
      <c r="AS1009" s="1">
        <v>2040</v>
      </c>
      <c r="AT1009" s="1">
        <v>2041</v>
      </c>
      <c r="AU1009" s="1">
        <v>2042</v>
      </c>
      <c r="AV1009" s="1">
        <v>2043</v>
      </c>
      <c r="AW1009" s="1">
        <v>2044</v>
      </c>
      <c r="AX1009" s="1">
        <v>2045</v>
      </c>
      <c r="AY1009" s="1">
        <v>2046</v>
      </c>
      <c r="AZ1009" s="1">
        <v>2047</v>
      </c>
      <c r="BA1009" s="1">
        <v>2048</v>
      </c>
      <c r="BB1009" s="1">
        <v>2049</v>
      </c>
      <c r="BC1009" s="1">
        <v>2050</v>
      </c>
    </row>
    <row r="1010" spans="1:55">
      <c r="A1010" s="1" t="str">
        <f>'Population Definitions'!$A$2</f>
        <v>PWID_males</v>
      </c>
      <c r="C1010" t="s">
        <v>34</v>
      </c>
      <c r="D1010" s="3"/>
      <c r="E1010" s="3">
        <v>0</v>
      </c>
      <c r="F1010" s="3"/>
      <c r="G1010" s="3"/>
      <c r="H1010" s="3"/>
      <c r="I1010" s="3"/>
      <c r="J1010" s="3"/>
      <c r="K1010" s="3"/>
      <c r="L1010" s="3"/>
      <c r="M1010" s="3"/>
      <c r="N1010" s="3"/>
      <c r="O1010" s="3"/>
      <c r="P1010" s="3"/>
      <c r="Q1010" s="3"/>
      <c r="R1010" s="3"/>
      <c r="S1010" s="3"/>
      <c r="T1010" s="3"/>
      <c r="U1010" s="3"/>
      <c r="V1010" s="3"/>
      <c r="W1010" s="3"/>
      <c r="X1010" s="3"/>
      <c r="Y1010" s="3"/>
      <c r="Z1010" s="3"/>
      <c r="AA1010" s="3"/>
      <c r="AB1010" s="3"/>
      <c r="AC1010" s="3"/>
      <c r="AD1010" s="3"/>
      <c r="AE1010" s="3"/>
      <c r="AF1010" s="3"/>
      <c r="AG1010" s="3"/>
      <c r="AH1010" s="3"/>
      <c r="AI1010" s="3"/>
      <c r="AJ1010" s="3"/>
      <c r="AK1010" s="3"/>
      <c r="AL1010" s="3"/>
      <c r="AM1010" s="3"/>
      <c r="AN1010" s="3"/>
      <c r="AO1010" s="3"/>
      <c r="AP1010" s="3"/>
      <c r="AQ1010" s="3"/>
      <c r="AR1010" s="3"/>
      <c r="AS1010" s="3"/>
      <c r="AT1010" s="3"/>
      <c r="AU1010" s="3"/>
      <c r="AV1010" s="3"/>
      <c r="AW1010" s="3"/>
      <c r="AX1010" s="3"/>
      <c r="AY1010" s="3"/>
      <c r="AZ1010" s="3"/>
      <c r="BA1010" s="3"/>
      <c r="BB1010" s="3"/>
      <c r="BC1010" s="3"/>
    </row>
    <row r="1011" spans="1:55">
      <c r="A1011" s="1" t="str">
        <f>'Population Definitions'!$A$3</f>
        <v>PWID_females</v>
      </c>
      <c r="C1011" t="s">
        <v>34</v>
      </c>
      <c r="D1011" s="3"/>
      <c r="E1011" s="3">
        <v>0</v>
      </c>
      <c r="F1011" s="3"/>
      <c r="G1011" s="3"/>
      <c r="H1011" s="3"/>
      <c r="I1011" s="3"/>
      <c r="J1011" s="3"/>
      <c r="K1011" s="3"/>
      <c r="L1011" s="3"/>
      <c r="M1011" s="3"/>
      <c r="N1011" s="3"/>
      <c r="O1011" s="3"/>
      <c r="P1011" s="3"/>
      <c r="Q1011" s="3"/>
      <c r="R1011" s="3"/>
      <c r="S1011" s="3"/>
      <c r="T1011" s="3"/>
      <c r="U1011" s="3"/>
      <c r="V1011" s="3"/>
      <c r="W1011" s="3"/>
      <c r="X1011" s="3"/>
      <c r="Y1011" s="3"/>
      <c r="Z1011" s="3"/>
      <c r="AA1011" s="3"/>
      <c r="AB1011" s="3"/>
      <c r="AC1011" s="3"/>
      <c r="AD1011" s="3"/>
      <c r="AE1011" s="3"/>
      <c r="AF1011" s="3"/>
      <c r="AG1011" s="3"/>
      <c r="AH1011" s="3"/>
      <c r="AI1011" s="3"/>
      <c r="AJ1011" s="3"/>
      <c r="AK1011" s="3"/>
      <c r="AL1011" s="3"/>
      <c r="AM1011" s="3"/>
      <c r="AN1011" s="3"/>
      <c r="AO1011" s="3"/>
      <c r="AP1011" s="3"/>
      <c r="AQ1011" s="3"/>
      <c r="AR1011" s="3"/>
      <c r="AS1011" s="3"/>
      <c r="AT1011" s="3"/>
      <c r="AU1011" s="3"/>
      <c r="AV1011" s="3"/>
      <c r="AW1011" s="3"/>
      <c r="AX1011" s="3"/>
      <c r="AY1011" s="3"/>
      <c r="AZ1011" s="3"/>
      <c r="BA1011" s="3"/>
      <c r="BB1011" s="3"/>
      <c r="BC1011" s="3"/>
    </row>
    <row r="1012" spans="1:55">
      <c r="A1012" s="1" t="str">
        <f>'Population Definitions'!$A$4</f>
        <v>0-9_males</v>
      </c>
      <c r="C1012" t="s">
        <v>34</v>
      </c>
      <c r="D1012" s="3"/>
      <c r="E1012" s="3">
        <v>0</v>
      </c>
      <c r="F1012" s="3"/>
      <c r="G1012" s="3"/>
      <c r="H1012" s="3"/>
      <c r="I1012" s="3"/>
      <c r="J1012" s="3"/>
      <c r="K1012" s="3"/>
      <c r="L1012" s="3"/>
      <c r="M1012" s="3"/>
      <c r="N1012" s="3"/>
      <c r="O1012" s="3"/>
      <c r="P1012" s="3"/>
      <c r="Q1012" s="3"/>
      <c r="R1012" s="3"/>
      <c r="S1012" s="3"/>
      <c r="T1012" s="3"/>
      <c r="U1012" s="3"/>
      <c r="V1012" s="3"/>
      <c r="W1012" s="3"/>
      <c r="X1012" s="3"/>
      <c r="Y1012" s="3"/>
      <c r="Z1012" s="3"/>
      <c r="AA1012" s="3"/>
      <c r="AB1012" s="3"/>
      <c r="AC1012" s="3"/>
      <c r="AD1012" s="3"/>
      <c r="AE1012" s="3"/>
      <c r="AF1012" s="3"/>
      <c r="AG1012" s="3"/>
      <c r="AH1012" s="3"/>
      <c r="AI1012" s="3"/>
      <c r="AJ1012" s="3"/>
      <c r="AK1012" s="3"/>
      <c r="AL1012" s="3"/>
      <c r="AM1012" s="3"/>
      <c r="AN1012" s="3"/>
      <c r="AO1012" s="3"/>
      <c r="AP1012" s="3"/>
      <c r="AQ1012" s="3"/>
      <c r="AR1012" s="3"/>
      <c r="AS1012" s="3"/>
      <c r="AT1012" s="3"/>
      <c r="AU1012" s="3"/>
      <c r="AV1012" s="3"/>
      <c r="AW1012" s="3"/>
      <c r="AX1012" s="3"/>
      <c r="AY1012" s="3"/>
      <c r="AZ1012" s="3"/>
      <c r="BA1012" s="3"/>
      <c r="BB1012" s="3"/>
      <c r="BC1012" s="3"/>
    </row>
    <row r="1013" spans="1:55">
      <c r="A1013" s="1" t="str">
        <f>'Population Definitions'!$A$5</f>
        <v>0-9_females</v>
      </c>
      <c r="C1013" t="s">
        <v>34</v>
      </c>
      <c r="D1013" s="3"/>
      <c r="E1013" s="3">
        <v>0</v>
      </c>
      <c r="F1013" s="3"/>
      <c r="G1013" s="3"/>
      <c r="H1013" s="3"/>
      <c r="I1013" s="3"/>
      <c r="J1013" s="3"/>
      <c r="K1013" s="3"/>
      <c r="L1013" s="3"/>
      <c r="M1013" s="3"/>
      <c r="N1013" s="3"/>
      <c r="O1013" s="3"/>
      <c r="P1013" s="3"/>
      <c r="Q1013" s="3"/>
      <c r="R1013" s="3"/>
      <c r="S1013" s="3"/>
      <c r="T1013" s="3"/>
      <c r="U1013" s="3"/>
      <c r="V1013" s="3"/>
      <c r="W1013" s="3"/>
      <c r="X1013" s="3"/>
      <c r="Y1013" s="3"/>
      <c r="Z1013" s="3"/>
      <c r="AA1013" s="3"/>
      <c r="AB1013" s="3"/>
      <c r="AC1013" s="3"/>
      <c r="AD1013" s="3"/>
      <c r="AE1013" s="3"/>
      <c r="AF1013" s="3"/>
      <c r="AG1013" s="3"/>
      <c r="AH1013" s="3"/>
      <c r="AI1013" s="3"/>
      <c r="AJ1013" s="3"/>
      <c r="AK1013" s="3"/>
      <c r="AL1013" s="3"/>
      <c r="AM1013" s="3"/>
      <c r="AN1013" s="3"/>
      <c r="AO1013" s="3"/>
      <c r="AP1013" s="3"/>
      <c r="AQ1013" s="3"/>
      <c r="AR1013" s="3"/>
      <c r="AS1013" s="3"/>
      <c r="AT1013" s="3"/>
      <c r="AU1013" s="3"/>
      <c r="AV1013" s="3"/>
      <c r="AW1013" s="3"/>
      <c r="AX1013" s="3"/>
      <c r="AY1013" s="3"/>
      <c r="AZ1013" s="3"/>
      <c r="BA1013" s="3"/>
      <c r="BB1013" s="3"/>
      <c r="BC1013" s="3"/>
    </row>
    <row r="1014" spans="1:55">
      <c r="A1014" s="1" t="str">
        <f>'Population Definitions'!$A$6</f>
        <v>10-17_males</v>
      </c>
      <c r="C1014" t="s">
        <v>34</v>
      </c>
      <c r="D1014" s="3"/>
      <c r="E1014" s="3">
        <v>0</v>
      </c>
      <c r="F1014" s="3"/>
      <c r="G1014" s="3"/>
      <c r="H1014" s="3"/>
      <c r="I1014" s="3"/>
      <c r="J1014" s="3"/>
      <c r="K1014" s="3"/>
      <c r="L1014" s="3"/>
      <c r="M1014" s="3"/>
      <c r="N1014" s="3"/>
      <c r="O1014" s="3"/>
      <c r="P1014" s="3"/>
      <c r="Q1014" s="3"/>
      <c r="R1014" s="3"/>
      <c r="S1014" s="3"/>
      <c r="T1014" s="3"/>
      <c r="U1014" s="3"/>
      <c r="V1014" s="3"/>
      <c r="W1014" s="3"/>
      <c r="X1014" s="3"/>
      <c r="Y1014" s="3"/>
      <c r="Z1014" s="3"/>
      <c r="AA1014" s="3"/>
      <c r="AB1014" s="3"/>
      <c r="AC1014" s="3"/>
      <c r="AD1014" s="3"/>
      <c r="AE1014" s="3"/>
      <c r="AF1014" s="3"/>
      <c r="AG1014" s="3"/>
      <c r="AH1014" s="3"/>
      <c r="AI1014" s="3"/>
      <c r="AJ1014" s="3"/>
      <c r="AK1014" s="3"/>
      <c r="AL1014" s="3"/>
      <c r="AM1014" s="3"/>
      <c r="AN1014" s="3"/>
      <c r="AO1014" s="3"/>
      <c r="AP1014" s="3"/>
      <c r="AQ1014" s="3"/>
      <c r="AR1014" s="3"/>
      <c r="AS1014" s="3"/>
      <c r="AT1014" s="3"/>
      <c r="AU1014" s="3"/>
      <c r="AV1014" s="3"/>
      <c r="AW1014" s="3"/>
      <c r="AX1014" s="3"/>
      <c r="AY1014" s="3"/>
      <c r="AZ1014" s="3"/>
      <c r="BA1014" s="3"/>
      <c r="BB1014" s="3"/>
      <c r="BC1014" s="3"/>
    </row>
    <row r="1015" spans="1:55">
      <c r="A1015" s="1" t="str">
        <f>'Population Definitions'!$A$7</f>
        <v>10-17_females</v>
      </c>
      <c r="C1015" t="s">
        <v>34</v>
      </c>
      <c r="D1015" s="3"/>
      <c r="E1015" s="3">
        <v>0</v>
      </c>
      <c r="F1015" s="3"/>
      <c r="G1015" s="3"/>
      <c r="H1015" s="3"/>
      <c r="I1015" s="3"/>
      <c r="J1015" s="3"/>
      <c r="K1015" s="3"/>
      <c r="L1015" s="3"/>
      <c r="M1015" s="3"/>
      <c r="N1015" s="3"/>
      <c r="O1015" s="3"/>
      <c r="P1015" s="3"/>
      <c r="Q1015" s="3"/>
      <c r="R1015" s="3"/>
      <c r="S1015" s="3"/>
      <c r="T1015" s="3"/>
      <c r="U1015" s="3"/>
      <c r="V1015" s="3"/>
      <c r="W1015" s="3"/>
      <c r="X1015" s="3"/>
      <c r="Y1015" s="3"/>
      <c r="Z1015" s="3"/>
      <c r="AA1015" s="3"/>
      <c r="AB1015" s="3"/>
      <c r="AC1015" s="3"/>
      <c r="AD1015" s="3"/>
      <c r="AE1015" s="3"/>
      <c r="AF1015" s="3"/>
      <c r="AG1015" s="3"/>
      <c r="AH1015" s="3"/>
      <c r="AI1015" s="3"/>
      <c r="AJ1015" s="3"/>
      <c r="AK1015" s="3"/>
      <c r="AL1015" s="3"/>
      <c r="AM1015" s="3"/>
      <c r="AN1015" s="3"/>
      <c r="AO1015" s="3"/>
      <c r="AP1015" s="3"/>
      <c r="AQ1015" s="3"/>
      <c r="AR1015" s="3"/>
      <c r="AS1015" s="3"/>
      <c r="AT1015" s="3"/>
      <c r="AU1015" s="3"/>
      <c r="AV1015" s="3"/>
      <c r="AW1015" s="3"/>
      <c r="AX1015" s="3"/>
      <c r="AY1015" s="3"/>
      <c r="AZ1015" s="3"/>
      <c r="BA1015" s="3"/>
      <c r="BB1015" s="3"/>
      <c r="BC1015" s="3"/>
    </row>
    <row r="1016" spans="1:55">
      <c r="A1016" s="1" t="str">
        <f>'Population Definitions'!$A$8</f>
        <v>18-64_males</v>
      </c>
      <c r="C1016" t="s">
        <v>34</v>
      </c>
      <c r="D1016" s="3"/>
      <c r="E1016" s="3">
        <v>0</v>
      </c>
      <c r="F1016" s="3"/>
      <c r="G1016" s="3"/>
      <c r="H1016" s="3"/>
      <c r="I1016" s="3"/>
      <c r="J1016" s="3"/>
      <c r="K1016" s="3"/>
      <c r="L1016" s="3"/>
      <c r="M1016" s="3"/>
      <c r="N1016" s="3"/>
      <c r="O1016" s="3"/>
      <c r="P1016" s="3"/>
      <c r="Q1016" s="3"/>
      <c r="R1016" s="3"/>
      <c r="S1016" s="3"/>
      <c r="T1016" s="3"/>
      <c r="U1016" s="3"/>
      <c r="V1016" s="3"/>
      <c r="W1016" s="3"/>
      <c r="X1016" s="3"/>
      <c r="Y1016" s="3"/>
      <c r="Z1016" s="3"/>
      <c r="AA1016" s="3"/>
      <c r="AB1016" s="3"/>
      <c r="AC1016" s="3"/>
      <c r="AD1016" s="3"/>
      <c r="AE1016" s="3"/>
      <c r="AF1016" s="3"/>
      <c r="AG1016" s="3"/>
      <c r="AH1016" s="3"/>
      <c r="AI1016" s="3"/>
      <c r="AJ1016" s="3"/>
      <c r="AK1016" s="3"/>
      <c r="AL1016" s="3"/>
      <c r="AM1016" s="3"/>
      <c r="AN1016" s="3"/>
      <c r="AO1016" s="3"/>
      <c r="AP1016" s="3"/>
      <c r="AQ1016" s="3"/>
      <c r="AR1016" s="3"/>
      <c r="AS1016" s="3"/>
      <c r="AT1016" s="3"/>
      <c r="AU1016" s="3"/>
      <c r="AV1016" s="3"/>
      <c r="AW1016" s="3"/>
      <c r="AX1016" s="3"/>
      <c r="AY1016" s="3"/>
      <c r="AZ1016" s="3"/>
      <c r="BA1016" s="3"/>
      <c r="BB1016" s="3"/>
      <c r="BC1016" s="3"/>
    </row>
    <row r="1017" spans="1:55">
      <c r="A1017" s="1" t="str">
        <f>'Population Definitions'!$A$9</f>
        <v>18-64_females</v>
      </c>
      <c r="C1017" t="s">
        <v>34</v>
      </c>
      <c r="D1017" s="3"/>
      <c r="E1017" s="3">
        <v>0</v>
      </c>
      <c r="F1017" s="3"/>
      <c r="G1017" s="3"/>
      <c r="H1017" s="3"/>
      <c r="I1017" s="3"/>
      <c r="J1017" s="3"/>
      <c r="K1017" s="3"/>
      <c r="L1017" s="3"/>
      <c r="M1017" s="3"/>
      <c r="N1017" s="3"/>
      <c r="O1017" s="3"/>
      <c r="P1017" s="3"/>
      <c r="Q1017" s="3"/>
      <c r="R1017" s="3"/>
      <c r="S1017" s="3"/>
      <c r="T1017" s="3"/>
      <c r="U1017" s="3"/>
      <c r="V1017" s="3"/>
      <c r="W1017" s="3"/>
      <c r="X1017" s="3"/>
      <c r="Y1017" s="3"/>
      <c r="Z1017" s="3"/>
      <c r="AA1017" s="3"/>
      <c r="AB1017" s="3"/>
      <c r="AC1017" s="3"/>
      <c r="AD1017" s="3"/>
      <c r="AE1017" s="3"/>
      <c r="AF1017" s="3"/>
      <c r="AG1017" s="3"/>
      <c r="AH1017" s="3"/>
      <c r="AI1017" s="3"/>
      <c r="AJ1017" s="3"/>
      <c r="AK1017" s="3"/>
      <c r="AL1017" s="3"/>
      <c r="AM1017" s="3"/>
      <c r="AN1017" s="3"/>
      <c r="AO1017" s="3"/>
      <c r="AP1017" s="3"/>
      <c r="AQ1017" s="3"/>
      <c r="AR1017" s="3"/>
      <c r="AS1017" s="3"/>
      <c r="AT1017" s="3"/>
      <c r="AU1017" s="3"/>
      <c r="AV1017" s="3"/>
      <c r="AW1017" s="3"/>
      <c r="AX1017" s="3"/>
      <c r="AY1017" s="3"/>
      <c r="AZ1017" s="3"/>
      <c r="BA1017" s="3"/>
      <c r="BB1017" s="3"/>
      <c r="BC1017" s="3"/>
    </row>
    <row r="1018" spans="1:55">
      <c r="A1018" s="1" t="str">
        <f>'Population Definitions'!$A$10</f>
        <v>65+_males</v>
      </c>
      <c r="C1018" t="s">
        <v>34</v>
      </c>
      <c r="D1018" s="3"/>
      <c r="E1018" s="3">
        <v>0</v>
      </c>
      <c r="F1018" s="3"/>
      <c r="G1018" s="3"/>
      <c r="H1018" s="3"/>
      <c r="I1018" s="3"/>
      <c r="J1018" s="3"/>
      <c r="K1018" s="3"/>
      <c r="L1018" s="3"/>
      <c r="M1018" s="3"/>
      <c r="N1018" s="3"/>
      <c r="O1018" s="3"/>
      <c r="P1018" s="3"/>
      <c r="Q1018" s="3"/>
      <c r="R1018" s="3"/>
      <c r="S1018" s="3"/>
      <c r="T1018" s="3"/>
      <c r="U1018" s="3"/>
      <c r="V1018" s="3"/>
      <c r="W1018" s="3"/>
      <c r="X1018" s="3"/>
      <c r="Y1018" s="3"/>
      <c r="Z1018" s="3"/>
      <c r="AA1018" s="3"/>
      <c r="AB1018" s="3"/>
      <c r="AC1018" s="3"/>
      <c r="AD1018" s="3"/>
      <c r="AE1018" s="3"/>
      <c r="AF1018" s="3"/>
      <c r="AG1018" s="3"/>
      <c r="AH1018" s="3"/>
      <c r="AI1018" s="3"/>
      <c r="AJ1018" s="3"/>
      <c r="AK1018" s="3"/>
      <c r="AL1018" s="3"/>
      <c r="AM1018" s="3"/>
      <c r="AN1018" s="3"/>
      <c r="AO1018" s="3"/>
      <c r="AP1018" s="3"/>
      <c r="AQ1018" s="3"/>
      <c r="AR1018" s="3"/>
      <c r="AS1018" s="3"/>
      <c r="AT1018" s="3"/>
      <c r="AU1018" s="3"/>
      <c r="AV1018" s="3"/>
      <c r="AW1018" s="3"/>
      <c r="AX1018" s="3"/>
      <c r="AY1018" s="3"/>
      <c r="AZ1018" s="3"/>
      <c r="BA1018" s="3"/>
      <c r="BB1018" s="3"/>
      <c r="BC1018" s="3"/>
    </row>
    <row r="1019" spans="1:55">
      <c r="A1019" s="1" t="str">
        <f>'Population Definitions'!$A$11</f>
        <v>65+_females</v>
      </c>
      <c r="C1019" t="s">
        <v>34</v>
      </c>
      <c r="D1019" s="3"/>
      <c r="E1019" s="3">
        <v>0</v>
      </c>
      <c r="F1019" s="3"/>
      <c r="G1019" s="3"/>
      <c r="H1019" s="3"/>
      <c r="I1019" s="3"/>
      <c r="J1019" s="3"/>
      <c r="K1019" s="3"/>
      <c r="L1019" s="3"/>
      <c r="M1019" s="3"/>
      <c r="N1019" s="3"/>
      <c r="O1019" s="3"/>
      <c r="P1019" s="3"/>
      <c r="Q1019" s="3"/>
      <c r="R1019" s="3"/>
      <c r="S1019" s="3"/>
      <c r="T1019" s="3"/>
      <c r="U1019" s="3"/>
      <c r="V1019" s="3"/>
      <c r="W1019" s="3"/>
      <c r="X1019" s="3"/>
      <c r="Y1019" s="3"/>
      <c r="Z1019" s="3"/>
      <c r="AA1019" s="3"/>
      <c r="AB1019" s="3"/>
      <c r="AC1019" s="3"/>
      <c r="AD1019" s="3"/>
      <c r="AE1019" s="3"/>
      <c r="AF1019" s="3"/>
      <c r="AG1019" s="3"/>
      <c r="AH1019" s="3"/>
      <c r="AI1019" s="3"/>
      <c r="AJ1019" s="3"/>
      <c r="AK1019" s="3"/>
      <c r="AL1019" s="3"/>
      <c r="AM1019" s="3"/>
      <c r="AN1019" s="3"/>
      <c r="AO1019" s="3"/>
      <c r="AP1019" s="3"/>
      <c r="AQ1019" s="3"/>
      <c r="AR1019" s="3"/>
      <c r="AS1019" s="3"/>
      <c r="AT1019" s="3"/>
      <c r="AU1019" s="3"/>
      <c r="AV1019" s="3"/>
      <c r="AW1019" s="3"/>
      <c r="AX1019" s="3"/>
      <c r="AY1019" s="3"/>
      <c r="AZ1019" s="3"/>
      <c r="BA1019" s="3"/>
      <c r="BB1019" s="3"/>
      <c r="BC1019" s="3"/>
    </row>
    <row r="1020" spans="1:55">
      <c r="A1020" s="1" t="str">
        <f>'Population Definitions'!$A$12</f>
        <v>Prisoners_males</v>
      </c>
      <c r="C1020" t="s">
        <v>34</v>
      </c>
      <c r="D1020" s="3"/>
      <c r="E1020" s="3">
        <v>0</v>
      </c>
      <c r="F1020" s="3"/>
      <c r="G1020" s="3"/>
      <c r="H1020" s="3"/>
      <c r="I1020" s="3"/>
      <c r="J1020" s="3"/>
      <c r="K1020" s="3"/>
      <c r="L1020" s="3"/>
      <c r="M1020" s="3"/>
      <c r="N1020" s="3"/>
      <c r="O1020" s="3"/>
      <c r="P1020" s="3"/>
      <c r="Q1020" s="3"/>
      <c r="R1020" s="3"/>
      <c r="S1020" s="3"/>
      <c r="T1020" s="3"/>
      <c r="U1020" s="3"/>
      <c r="V1020" s="3"/>
      <c r="W1020" s="3"/>
      <c r="X1020" s="3"/>
      <c r="Y1020" s="3"/>
      <c r="Z1020" s="3"/>
      <c r="AA1020" s="3"/>
      <c r="AB1020" s="3"/>
      <c r="AC1020" s="3"/>
      <c r="AD1020" s="3"/>
      <c r="AE1020" s="3"/>
      <c r="AF1020" s="3"/>
      <c r="AG1020" s="3"/>
      <c r="AH1020" s="3"/>
      <c r="AI1020" s="3"/>
      <c r="AJ1020" s="3"/>
      <c r="AK1020" s="3"/>
      <c r="AL1020" s="3"/>
      <c r="AM1020" s="3"/>
      <c r="AN1020" s="3"/>
      <c r="AO1020" s="3"/>
      <c r="AP1020" s="3"/>
      <c r="AQ1020" s="3"/>
      <c r="AR1020" s="3"/>
      <c r="AS1020" s="3"/>
      <c r="AT1020" s="3"/>
      <c r="AU1020" s="3"/>
      <c r="AV1020" s="3"/>
      <c r="AW1020" s="3"/>
      <c r="AX1020" s="3"/>
      <c r="AY1020" s="3"/>
      <c r="AZ1020" s="3"/>
      <c r="BA1020" s="3"/>
      <c r="BB1020" s="3"/>
      <c r="BC1020" s="3"/>
    </row>
    <row r="1021" spans="1:55">
      <c r="A1021" s="1" t="str">
        <f>'Population Definitions'!$A$13</f>
        <v>Prisoners_females</v>
      </c>
      <c r="C1021" t="s">
        <v>34</v>
      </c>
      <c r="D1021" s="3"/>
      <c r="E1021" s="3">
        <v>0</v>
      </c>
      <c r="F1021" s="3"/>
      <c r="G1021" s="3"/>
      <c r="H1021" s="3"/>
      <c r="I1021" s="3"/>
      <c r="J1021" s="3"/>
      <c r="K1021" s="3"/>
      <c r="L1021" s="3"/>
      <c r="M1021" s="3"/>
      <c r="N1021" s="3"/>
      <c r="O1021" s="3"/>
      <c r="P1021" s="3"/>
      <c r="Q1021" s="3"/>
      <c r="R1021" s="3"/>
      <c r="S1021" s="3"/>
      <c r="T1021" s="3"/>
      <c r="U1021" s="3"/>
      <c r="V1021" s="3"/>
      <c r="W1021" s="3"/>
      <c r="X1021" s="3"/>
      <c r="Y1021" s="3"/>
      <c r="Z1021" s="3"/>
      <c r="AA1021" s="3"/>
      <c r="AB1021" s="3"/>
      <c r="AC1021" s="3"/>
      <c r="AD1021" s="3"/>
      <c r="AE1021" s="3"/>
      <c r="AF1021" s="3"/>
      <c r="AG1021" s="3"/>
      <c r="AH1021" s="3"/>
      <c r="AI1021" s="3"/>
      <c r="AJ1021" s="3"/>
      <c r="AK1021" s="3"/>
      <c r="AL1021" s="3"/>
      <c r="AM1021" s="3"/>
      <c r="AN1021" s="3"/>
      <c r="AO1021" s="3"/>
      <c r="AP1021" s="3"/>
      <c r="AQ1021" s="3"/>
      <c r="AR1021" s="3"/>
      <c r="AS1021" s="3"/>
      <c r="AT1021" s="3"/>
      <c r="AU1021" s="3"/>
      <c r="AV1021" s="3"/>
      <c r="AW1021" s="3"/>
      <c r="AX1021" s="3"/>
      <c r="AY1021" s="3"/>
      <c r="AZ1021" s="3"/>
      <c r="BA1021" s="3"/>
      <c r="BB1021" s="3"/>
      <c r="BC1021" s="3"/>
    </row>
    <row r="1022" spans="1:55">
      <c r="A1022" s="1" t="str">
        <f>'Population Definitions'!$A$14</f>
        <v>Prisoners_PWID_males</v>
      </c>
      <c r="C1022" t="s">
        <v>34</v>
      </c>
      <c r="D1022" s="3"/>
      <c r="E1022" s="3">
        <v>0</v>
      </c>
      <c r="F1022" s="3"/>
      <c r="G1022" s="3"/>
      <c r="H1022" s="3"/>
      <c r="I1022" s="3"/>
      <c r="J1022" s="3"/>
      <c r="K1022" s="3"/>
      <c r="L1022" s="3"/>
      <c r="M1022" s="3"/>
      <c r="N1022" s="3"/>
      <c r="O1022" s="3"/>
      <c r="P1022" s="3"/>
      <c r="Q1022" s="3"/>
      <c r="R1022" s="3"/>
      <c r="S1022" s="3"/>
      <c r="T1022" s="3"/>
      <c r="U1022" s="3"/>
      <c r="V1022" s="3"/>
      <c r="W1022" s="3"/>
      <c r="X1022" s="3"/>
      <c r="Y1022" s="3"/>
      <c r="Z1022" s="3"/>
      <c r="AA1022" s="3"/>
      <c r="AB1022" s="3"/>
      <c r="AC1022" s="3"/>
      <c r="AD1022" s="3"/>
      <c r="AE1022" s="3"/>
      <c r="AF1022" s="3"/>
      <c r="AG1022" s="3"/>
      <c r="AH1022" s="3"/>
      <c r="AI1022" s="3"/>
      <c r="AJ1022" s="3"/>
      <c r="AK1022" s="3"/>
      <c r="AL1022" s="3"/>
      <c r="AM1022" s="3"/>
      <c r="AN1022" s="3"/>
      <c r="AO1022" s="3"/>
      <c r="AP1022" s="3"/>
      <c r="AQ1022" s="3"/>
      <c r="AR1022" s="3"/>
      <c r="AS1022" s="3"/>
      <c r="AT1022" s="3"/>
      <c r="AU1022" s="3"/>
      <c r="AV1022" s="3"/>
      <c r="AW1022" s="3"/>
      <c r="AX1022" s="3"/>
      <c r="AY1022" s="3"/>
      <c r="AZ1022" s="3"/>
      <c r="BA1022" s="3"/>
      <c r="BB1022" s="3"/>
      <c r="BC1022" s="3"/>
    </row>
    <row r="1023" spans="1:55">
      <c r="A1023" s="1" t="str">
        <f>'Population Definitions'!$A$15</f>
        <v>Prisoners_PWID_females</v>
      </c>
      <c r="C1023" t="s">
        <v>34</v>
      </c>
      <c r="D1023" s="3"/>
      <c r="E1023" s="3">
        <v>0</v>
      </c>
      <c r="F1023" s="3"/>
      <c r="G1023" s="3"/>
      <c r="H1023" s="3"/>
      <c r="I1023" s="3"/>
      <c r="J1023" s="3"/>
      <c r="K1023" s="3"/>
      <c r="L1023" s="3"/>
      <c r="M1023" s="3"/>
      <c r="N1023" s="3"/>
      <c r="O1023" s="3"/>
      <c r="P1023" s="3"/>
      <c r="Q1023" s="3"/>
      <c r="R1023" s="3"/>
      <c r="S1023" s="3"/>
      <c r="T1023" s="3"/>
      <c r="U1023" s="3"/>
      <c r="V1023" s="3"/>
      <c r="W1023" s="3"/>
      <c r="X1023" s="3"/>
      <c r="Y1023" s="3"/>
      <c r="Z1023" s="3"/>
      <c r="AA1023" s="3"/>
      <c r="AB1023" s="3"/>
      <c r="AC1023" s="3"/>
      <c r="AD1023" s="3"/>
      <c r="AE1023" s="3"/>
      <c r="AF1023" s="3"/>
      <c r="AG1023" s="3"/>
      <c r="AH1023" s="3"/>
      <c r="AI1023" s="3"/>
      <c r="AJ1023" s="3"/>
      <c r="AK1023" s="3"/>
      <c r="AL1023" s="3"/>
      <c r="AM1023" s="3"/>
      <c r="AN1023" s="3"/>
      <c r="AO1023" s="3"/>
      <c r="AP1023" s="3"/>
      <c r="AQ1023" s="3"/>
      <c r="AR1023" s="3"/>
      <c r="AS1023" s="3"/>
      <c r="AT1023" s="3"/>
      <c r="AU1023" s="3"/>
      <c r="AV1023" s="3"/>
      <c r="AW1023" s="3"/>
      <c r="AX1023" s="3"/>
      <c r="AY1023" s="3"/>
      <c r="AZ1023" s="3"/>
      <c r="BA1023" s="3"/>
      <c r="BB1023" s="3"/>
      <c r="BC1023" s="3"/>
    </row>
    <row r="1025" spans="1:55">
      <c r="A1025" s="1" t="s">
        <v>191</v>
      </c>
      <c r="B1025" s="1" t="s">
        <v>31</v>
      </c>
      <c r="C1025" s="1" t="s">
        <v>32</v>
      </c>
      <c r="D1025" s="1" t="s">
        <v>33</v>
      </c>
      <c r="E1025" s="1">
        <v>2000</v>
      </c>
      <c r="F1025" s="1">
        <v>2001</v>
      </c>
      <c r="G1025" s="1">
        <v>2002</v>
      </c>
      <c r="H1025" s="1">
        <v>2003</v>
      </c>
      <c r="I1025" s="1">
        <v>2004</v>
      </c>
      <c r="J1025" s="1">
        <v>2005</v>
      </c>
      <c r="K1025" s="1">
        <v>2006</v>
      </c>
      <c r="L1025" s="1">
        <v>2007</v>
      </c>
      <c r="M1025" s="1">
        <v>2008</v>
      </c>
      <c r="N1025" s="1">
        <v>2009</v>
      </c>
      <c r="O1025" s="1">
        <v>2010</v>
      </c>
      <c r="P1025" s="1">
        <v>2011</v>
      </c>
      <c r="Q1025" s="1">
        <v>2012</v>
      </c>
      <c r="R1025" s="1">
        <v>2013</v>
      </c>
      <c r="S1025" s="1">
        <v>2014</v>
      </c>
      <c r="T1025" s="1">
        <v>2015</v>
      </c>
      <c r="U1025" s="1">
        <v>2016</v>
      </c>
      <c r="V1025" s="1">
        <v>2017</v>
      </c>
      <c r="W1025" s="1">
        <v>2018</v>
      </c>
      <c r="X1025" s="1">
        <v>2019</v>
      </c>
      <c r="Y1025" s="1">
        <v>2020</v>
      </c>
      <c r="Z1025" s="1">
        <v>2021</v>
      </c>
      <c r="AA1025" s="1">
        <v>2022</v>
      </c>
      <c r="AB1025" s="1">
        <v>2023</v>
      </c>
      <c r="AC1025" s="1">
        <v>2024</v>
      </c>
      <c r="AD1025" s="1">
        <v>2025</v>
      </c>
      <c r="AE1025" s="1">
        <v>2026</v>
      </c>
      <c r="AF1025" s="1">
        <v>2027</v>
      </c>
      <c r="AG1025" s="1">
        <v>2028</v>
      </c>
      <c r="AH1025" s="1">
        <v>2029</v>
      </c>
      <c r="AI1025" s="1">
        <v>2030</v>
      </c>
      <c r="AJ1025" s="1">
        <v>2031</v>
      </c>
      <c r="AK1025" s="1">
        <v>2032</v>
      </c>
      <c r="AL1025" s="1">
        <v>2033</v>
      </c>
      <c r="AM1025" s="1">
        <v>2034</v>
      </c>
      <c r="AN1025" s="1">
        <v>2035</v>
      </c>
      <c r="AO1025" s="1">
        <v>2036</v>
      </c>
      <c r="AP1025" s="1">
        <v>2037</v>
      </c>
      <c r="AQ1025" s="1">
        <v>2038</v>
      </c>
      <c r="AR1025" s="1">
        <v>2039</v>
      </c>
      <c r="AS1025" s="1">
        <v>2040</v>
      </c>
      <c r="AT1025" s="1">
        <v>2041</v>
      </c>
      <c r="AU1025" s="1">
        <v>2042</v>
      </c>
      <c r="AV1025" s="1">
        <v>2043</v>
      </c>
      <c r="AW1025" s="1">
        <v>2044</v>
      </c>
      <c r="AX1025" s="1">
        <v>2045</v>
      </c>
      <c r="AY1025" s="1">
        <v>2046</v>
      </c>
      <c r="AZ1025" s="1">
        <v>2047</v>
      </c>
      <c r="BA1025" s="1">
        <v>2048</v>
      </c>
      <c r="BB1025" s="1">
        <v>2049</v>
      </c>
      <c r="BC1025" s="1">
        <v>2050</v>
      </c>
    </row>
    <row r="1026" spans="1:55">
      <c r="A1026" s="1" t="str">
        <f>'Population Definitions'!$A$2</f>
        <v>PWID_males</v>
      </c>
      <c r="C1026" t="s">
        <v>34</v>
      </c>
      <c r="D1026" s="3"/>
      <c r="E1026" s="3">
        <v>0</v>
      </c>
      <c r="F1026" s="3"/>
      <c r="G1026" s="3"/>
      <c r="H1026" s="3"/>
      <c r="I1026" s="3"/>
      <c r="J1026" s="3"/>
      <c r="K1026" s="3"/>
      <c r="L1026" s="3"/>
      <c r="M1026" s="3"/>
      <c r="N1026" s="3"/>
      <c r="O1026" s="3"/>
      <c r="P1026" s="3"/>
      <c r="Q1026" s="3"/>
      <c r="R1026" s="3"/>
      <c r="S1026" s="3"/>
      <c r="T1026" s="3"/>
      <c r="U1026" s="3"/>
      <c r="V1026" s="3"/>
      <c r="W1026" s="3"/>
      <c r="X1026" s="3"/>
      <c r="Y1026" s="3"/>
      <c r="Z1026" s="3"/>
      <c r="AA1026" s="3"/>
      <c r="AB1026" s="3"/>
      <c r="AC1026" s="3"/>
      <c r="AD1026" s="3"/>
      <c r="AE1026" s="3"/>
      <c r="AF1026" s="3"/>
      <c r="AG1026" s="3"/>
      <c r="AH1026" s="3"/>
      <c r="AI1026" s="3"/>
      <c r="AJ1026" s="3"/>
      <c r="AK1026" s="3"/>
      <c r="AL1026" s="3"/>
      <c r="AM1026" s="3"/>
      <c r="AN1026" s="3"/>
      <c r="AO1026" s="3"/>
      <c r="AP1026" s="3"/>
      <c r="AQ1026" s="3"/>
      <c r="AR1026" s="3"/>
      <c r="AS1026" s="3"/>
      <c r="AT1026" s="3"/>
      <c r="AU1026" s="3"/>
      <c r="AV1026" s="3"/>
      <c r="AW1026" s="3"/>
      <c r="AX1026" s="3"/>
      <c r="AY1026" s="3"/>
      <c r="AZ1026" s="3"/>
      <c r="BA1026" s="3"/>
      <c r="BB1026" s="3"/>
      <c r="BC1026" s="3"/>
    </row>
    <row r="1027" spans="1:55">
      <c r="A1027" s="1" t="str">
        <f>'Population Definitions'!$A$3</f>
        <v>PWID_females</v>
      </c>
      <c r="C1027" t="s">
        <v>34</v>
      </c>
      <c r="D1027" s="3"/>
      <c r="E1027" s="3">
        <v>0</v>
      </c>
      <c r="F1027" s="3"/>
      <c r="G1027" s="3"/>
      <c r="H1027" s="3"/>
      <c r="I1027" s="3"/>
      <c r="J1027" s="3"/>
      <c r="K1027" s="3"/>
      <c r="L1027" s="3"/>
      <c r="M1027" s="3"/>
      <c r="N1027" s="3"/>
      <c r="O1027" s="3"/>
      <c r="P1027" s="3"/>
      <c r="Q1027" s="3"/>
      <c r="R1027" s="3"/>
      <c r="S1027" s="3"/>
      <c r="T1027" s="3"/>
      <c r="U1027" s="3"/>
      <c r="V1027" s="3"/>
      <c r="W1027" s="3"/>
      <c r="X1027" s="3"/>
      <c r="Y1027" s="3"/>
      <c r="Z1027" s="3"/>
      <c r="AA1027" s="3"/>
      <c r="AB1027" s="3"/>
      <c r="AC1027" s="3"/>
      <c r="AD1027" s="3"/>
      <c r="AE1027" s="3"/>
      <c r="AF1027" s="3"/>
      <c r="AG1027" s="3"/>
      <c r="AH1027" s="3"/>
      <c r="AI1027" s="3"/>
      <c r="AJ1027" s="3"/>
      <c r="AK1027" s="3"/>
      <c r="AL1027" s="3"/>
      <c r="AM1027" s="3"/>
      <c r="AN1027" s="3"/>
      <c r="AO1027" s="3"/>
      <c r="AP1027" s="3"/>
      <c r="AQ1027" s="3"/>
      <c r="AR1027" s="3"/>
      <c r="AS1027" s="3"/>
      <c r="AT1027" s="3"/>
      <c r="AU1027" s="3"/>
      <c r="AV1027" s="3"/>
      <c r="AW1027" s="3"/>
      <c r="AX1027" s="3"/>
      <c r="AY1027" s="3"/>
      <c r="AZ1027" s="3"/>
      <c r="BA1027" s="3"/>
      <c r="BB1027" s="3"/>
      <c r="BC1027" s="3"/>
    </row>
    <row r="1028" spans="1:55">
      <c r="A1028" s="1" t="str">
        <f>'Population Definitions'!$A$4</f>
        <v>0-9_males</v>
      </c>
      <c r="C1028" t="s">
        <v>34</v>
      </c>
      <c r="D1028" s="3"/>
      <c r="E1028" s="3">
        <v>0</v>
      </c>
      <c r="F1028" s="3"/>
      <c r="G1028" s="3"/>
      <c r="H1028" s="3"/>
      <c r="I1028" s="3"/>
      <c r="J1028" s="3"/>
      <c r="K1028" s="3"/>
      <c r="L1028" s="3"/>
      <c r="M1028" s="3"/>
      <c r="N1028" s="3"/>
      <c r="O1028" s="3"/>
      <c r="P1028" s="3"/>
      <c r="Q1028" s="3"/>
      <c r="R1028" s="3"/>
      <c r="S1028" s="3"/>
      <c r="T1028" s="3"/>
      <c r="U1028" s="3"/>
      <c r="V1028" s="3"/>
      <c r="W1028" s="3"/>
      <c r="X1028" s="3"/>
      <c r="Y1028" s="3"/>
      <c r="Z1028" s="3"/>
      <c r="AA1028" s="3"/>
      <c r="AB1028" s="3"/>
      <c r="AC1028" s="3"/>
      <c r="AD1028" s="3"/>
      <c r="AE1028" s="3"/>
      <c r="AF1028" s="3"/>
      <c r="AG1028" s="3"/>
      <c r="AH1028" s="3"/>
      <c r="AI1028" s="3"/>
      <c r="AJ1028" s="3"/>
      <c r="AK1028" s="3"/>
      <c r="AL1028" s="3"/>
      <c r="AM1028" s="3"/>
      <c r="AN1028" s="3"/>
      <c r="AO1028" s="3"/>
      <c r="AP1028" s="3"/>
      <c r="AQ1028" s="3"/>
      <c r="AR1028" s="3"/>
      <c r="AS1028" s="3"/>
      <c r="AT1028" s="3"/>
      <c r="AU1028" s="3"/>
      <c r="AV1028" s="3"/>
      <c r="AW1028" s="3"/>
      <c r="AX1028" s="3"/>
      <c r="AY1028" s="3"/>
      <c r="AZ1028" s="3"/>
      <c r="BA1028" s="3"/>
      <c r="BB1028" s="3"/>
      <c r="BC1028" s="3"/>
    </row>
    <row r="1029" spans="1:55">
      <c r="A1029" s="1" t="str">
        <f>'Population Definitions'!$A$5</f>
        <v>0-9_females</v>
      </c>
      <c r="C1029" t="s">
        <v>34</v>
      </c>
      <c r="D1029" s="3"/>
      <c r="E1029" s="3">
        <v>0</v>
      </c>
      <c r="F1029" s="3"/>
      <c r="G1029" s="3"/>
      <c r="H1029" s="3"/>
      <c r="I1029" s="3"/>
      <c r="J1029" s="3"/>
      <c r="K1029" s="3"/>
      <c r="L1029" s="3"/>
      <c r="M1029" s="3"/>
      <c r="N1029" s="3"/>
      <c r="O1029" s="3"/>
      <c r="P1029" s="3"/>
      <c r="Q1029" s="3"/>
      <c r="R1029" s="3"/>
      <c r="S1029" s="3"/>
      <c r="T1029" s="3"/>
      <c r="U1029" s="3"/>
      <c r="V1029" s="3"/>
      <c r="W1029" s="3"/>
      <c r="X1029" s="3"/>
      <c r="Y1029" s="3"/>
      <c r="Z1029" s="3"/>
      <c r="AA1029" s="3"/>
      <c r="AB1029" s="3"/>
      <c r="AC1029" s="3"/>
      <c r="AD1029" s="3"/>
      <c r="AE1029" s="3"/>
      <c r="AF1029" s="3"/>
      <c r="AG1029" s="3"/>
      <c r="AH1029" s="3"/>
      <c r="AI1029" s="3"/>
      <c r="AJ1029" s="3"/>
      <c r="AK1029" s="3"/>
      <c r="AL1029" s="3"/>
      <c r="AM1029" s="3"/>
      <c r="AN1029" s="3"/>
      <c r="AO1029" s="3"/>
      <c r="AP1029" s="3"/>
      <c r="AQ1029" s="3"/>
      <c r="AR1029" s="3"/>
      <c r="AS1029" s="3"/>
      <c r="AT1029" s="3"/>
      <c r="AU1029" s="3"/>
      <c r="AV1029" s="3"/>
      <c r="AW1029" s="3"/>
      <c r="AX1029" s="3"/>
      <c r="AY1029" s="3"/>
      <c r="AZ1029" s="3"/>
      <c r="BA1029" s="3"/>
      <c r="BB1029" s="3"/>
      <c r="BC1029" s="3"/>
    </row>
    <row r="1030" spans="1:55">
      <c r="A1030" s="1" t="str">
        <f>'Population Definitions'!$A$6</f>
        <v>10-17_males</v>
      </c>
      <c r="C1030" t="s">
        <v>34</v>
      </c>
      <c r="D1030" s="3"/>
      <c r="E1030" s="3">
        <v>0</v>
      </c>
      <c r="F1030" s="3"/>
      <c r="G1030" s="3"/>
      <c r="H1030" s="3"/>
      <c r="I1030" s="3"/>
      <c r="J1030" s="3"/>
      <c r="K1030" s="3"/>
      <c r="L1030" s="3"/>
      <c r="M1030" s="3"/>
      <c r="N1030" s="3"/>
      <c r="O1030" s="3"/>
      <c r="P1030" s="3"/>
      <c r="Q1030" s="3"/>
      <c r="R1030" s="3"/>
      <c r="S1030" s="3"/>
      <c r="T1030" s="3"/>
      <c r="U1030" s="3"/>
      <c r="V1030" s="3"/>
      <c r="W1030" s="3"/>
      <c r="X1030" s="3"/>
      <c r="Y1030" s="3"/>
      <c r="Z1030" s="3"/>
      <c r="AA1030" s="3"/>
      <c r="AB1030" s="3"/>
      <c r="AC1030" s="3"/>
      <c r="AD1030" s="3"/>
      <c r="AE1030" s="3"/>
      <c r="AF1030" s="3"/>
      <c r="AG1030" s="3"/>
      <c r="AH1030" s="3"/>
      <c r="AI1030" s="3"/>
      <c r="AJ1030" s="3"/>
      <c r="AK1030" s="3"/>
      <c r="AL1030" s="3"/>
      <c r="AM1030" s="3"/>
      <c r="AN1030" s="3"/>
      <c r="AO1030" s="3"/>
      <c r="AP1030" s="3"/>
      <c r="AQ1030" s="3"/>
      <c r="AR1030" s="3"/>
      <c r="AS1030" s="3"/>
      <c r="AT1030" s="3"/>
      <c r="AU1030" s="3"/>
      <c r="AV1030" s="3"/>
      <c r="AW1030" s="3"/>
      <c r="AX1030" s="3"/>
      <c r="AY1030" s="3"/>
      <c r="AZ1030" s="3"/>
      <c r="BA1030" s="3"/>
      <c r="BB1030" s="3"/>
      <c r="BC1030" s="3"/>
    </row>
    <row r="1031" spans="1:55">
      <c r="A1031" s="1" t="str">
        <f>'Population Definitions'!$A$7</f>
        <v>10-17_females</v>
      </c>
      <c r="C1031" t="s">
        <v>34</v>
      </c>
      <c r="D1031" s="3"/>
      <c r="E1031" s="3">
        <v>0</v>
      </c>
      <c r="F1031" s="3"/>
      <c r="G1031" s="3"/>
      <c r="H1031" s="3"/>
      <c r="I1031" s="3"/>
      <c r="J1031" s="3"/>
      <c r="K1031" s="3"/>
      <c r="L1031" s="3"/>
      <c r="M1031" s="3"/>
      <c r="N1031" s="3"/>
      <c r="O1031" s="3"/>
      <c r="P1031" s="3"/>
      <c r="Q1031" s="3"/>
      <c r="R1031" s="3"/>
      <c r="S1031" s="3"/>
      <c r="T1031" s="3"/>
      <c r="U1031" s="3"/>
      <c r="V1031" s="3"/>
      <c r="W1031" s="3"/>
      <c r="X1031" s="3"/>
      <c r="Y1031" s="3"/>
      <c r="Z1031" s="3"/>
      <c r="AA1031" s="3"/>
      <c r="AB1031" s="3"/>
      <c r="AC1031" s="3"/>
      <c r="AD1031" s="3"/>
      <c r="AE1031" s="3"/>
      <c r="AF1031" s="3"/>
      <c r="AG1031" s="3"/>
      <c r="AH1031" s="3"/>
      <c r="AI1031" s="3"/>
      <c r="AJ1031" s="3"/>
      <c r="AK1031" s="3"/>
      <c r="AL1031" s="3"/>
      <c r="AM1031" s="3"/>
      <c r="AN1031" s="3"/>
      <c r="AO1031" s="3"/>
      <c r="AP1031" s="3"/>
      <c r="AQ1031" s="3"/>
      <c r="AR1031" s="3"/>
      <c r="AS1031" s="3"/>
      <c r="AT1031" s="3"/>
      <c r="AU1031" s="3"/>
      <c r="AV1031" s="3"/>
      <c r="AW1031" s="3"/>
      <c r="AX1031" s="3"/>
      <c r="AY1031" s="3"/>
      <c r="AZ1031" s="3"/>
      <c r="BA1031" s="3"/>
      <c r="BB1031" s="3"/>
      <c r="BC1031" s="3"/>
    </row>
    <row r="1032" spans="1:55">
      <c r="A1032" s="1" t="str">
        <f>'Population Definitions'!$A$8</f>
        <v>18-64_males</v>
      </c>
      <c r="C1032" t="s">
        <v>34</v>
      </c>
      <c r="D1032" s="3"/>
      <c r="E1032" s="3">
        <v>0</v>
      </c>
      <c r="F1032" s="3"/>
      <c r="G1032" s="3"/>
      <c r="H1032" s="3"/>
      <c r="I1032" s="3"/>
      <c r="J1032" s="3"/>
      <c r="K1032" s="3"/>
      <c r="L1032" s="3"/>
      <c r="M1032" s="3"/>
      <c r="N1032" s="3"/>
      <c r="O1032" s="3"/>
      <c r="P1032" s="3"/>
      <c r="Q1032" s="3"/>
      <c r="R1032" s="3"/>
      <c r="S1032" s="3"/>
      <c r="T1032" s="3"/>
      <c r="U1032" s="3"/>
      <c r="V1032" s="3"/>
      <c r="W1032" s="3"/>
      <c r="X1032" s="3"/>
      <c r="Y1032" s="3"/>
      <c r="Z1032" s="3"/>
      <c r="AA1032" s="3"/>
      <c r="AB1032" s="3"/>
      <c r="AC1032" s="3"/>
      <c r="AD1032" s="3"/>
      <c r="AE1032" s="3"/>
      <c r="AF1032" s="3"/>
      <c r="AG1032" s="3"/>
      <c r="AH1032" s="3"/>
      <c r="AI1032" s="3"/>
      <c r="AJ1032" s="3"/>
      <c r="AK1032" s="3"/>
      <c r="AL1032" s="3"/>
      <c r="AM1032" s="3"/>
      <c r="AN1032" s="3"/>
      <c r="AO1032" s="3"/>
      <c r="AP1032" s="3"/>
      <c r="AQ1032" s="3"/>
      <c r="AR1032" s="3"/>
      <c r="AS1032" s="3"/>
      <c r="AT1032" s="3"/>
      <c r="AU1032" s="3"/>
      <c r="AV1032" s="3"/>
      <c r="AW1032" s="3"/>
      <c r="AX1032" s="3"/>
      <c r="AY1032" s="3"/>
      <c r="AZ1032" s="3"/>
      <c r="BA1032" s="3"/>
      <c r="BB1032" s="3"/>
      <c r="BC1032" s="3"/>
    </row>
    <row r="1033" spans="1:55">
      <c r="A1033" s="1" t="str">
        <f>'Population Definitions'!$A$9</f>
        <v>18-64_females</v>
      </c>
      <c r="C1033" t="s">
        <v>34</v>
      </c>
      <c r="D1033" s="3"/>
      <c r="E1033" s="3">
        <v>0</v>
      </c>
      <c r="F1033" s="3"/>
      <c r="G1033" s="3"/>
      <c r="H1033" s="3"/>
      <c r="I1033" s="3"/>
      <c r="J1033" s="3"/>
      <c r="K1033" s="3"/>
      <c r="L1033" s="3"/>
      <c r="M1033" s="3"/>
      <c r="N1033" s="3"/>
      <c r="O1033" s="3"/>
      <c r="P1033" s="3"/>
      <c r="Q1033" s="3"/>
      <c r="R1033" s="3"/>
      <c r="S1033" s="3"/>
      <c r="T1033" s="3"/>
      <c r="U1033" s="3"/>
      <c r="V1033" s="3"/>
      <c r="W1033" s="3"/>
      <c r="X1033" s="3"/>
      <c r="Y1033" s="3"/>
      <c r="Z1033" s="3"/>
      <c r="AA1033" s="3"/>
      <c r="AB1033" s="3"/>
      <c r="AC1033" s="3"/>
      <c r="AD1033" s="3"/>
      <c r="AE1033" s="3"/>
      <c r="AF1033" s="3"/>
      <c r="AG1033" s="3"/>
      <c r="AH1033" s="3"/>
      <c r="AI1033" s="3"/>
      <c r="AJ1033" s="3"/>
      <c r="AK1033" s="3"/>
      <c r="AL1033" s="3"/>
      <c r="AM1033" s="3"/>
      <c r="AN1033" s="3"/>
      <c r="AO1033" s="3"/>
      <c r="AP1033" s="3"/>
      <c r="AQ1033" s="3"/>
      <c r="AR1033" s="3"/>
      <c r="AS1033" s="3"/>
      <c r="AT1033" s="3"/>
      <c r="AU1033" s="3"/>
      <c r="AV1033" s="3"/>
      <c r="AW1033" s="3"/>
      <c r="AX1033" s="3"/>
      <c r="AY1033" s="3"/>
      <c r="AZ1033" s="3"/>
      <c r="BA1033" s="3"/>
      <c r="BB1033" s="3"/>
      <c r="BC1033" s="3"/>
    </row>
    <row r="1034" spans="1:55">
      <c r="A1034" s="1" t="str">
        <f>'Population Definitions'!$A$10</f>
        <v>65+_males</v>
      </c>
      <c r="C1034" t="s">
        <v>34</v>
      </c>
      <c r="D1034" s="3"/>
      <c r="E1034" s="3">
        <v>0</v>
      </c>
      <c r="F1034" s="3"/>
      <c r="G1034" s="3"/>
      <c r="H1034" s="3"/>
      <c r="I1034" s="3"/>
      <c r="J1034" s="3"/>
      <c r="K1034" s="3"/>
      <c r="L1034" s="3"/>
      <c r="M1034" s="3"/>
      <c r="N1034" s="3"/>
      <c r="O1034" s="3"/>
      <c r="P1034" s="3"/>
      <c r="Q1034" s="3"/>
      <c r="R1034" s="3"/>
      <c r="S1034" s="3"/>
      <c r="T1034" s="3"/>
      <c r="U1034" s="3"/>
      <c r="V1034" s="3"/>
      <c r="W1034" s="3"/>
      <c r="X1034" s="3"/>
      <c r="Y1034" s="3"/>
      <c r="Z1034" s="3"/>
      <c r="AA1034" s="3"/>
      <c r="AB1034" s="3"/>
      <c r="AC1034" s="3"/>
      <c r="AD1034" s="3"/>
      <c r="AE1034" s="3"/>
      <c r="AF1034" s="3"/>
      <c r="AG1034" s="3"/>
      <c r="AH1034" s="3"/>
      <c r="AI1034" s="3"/>
      <c r="AJ1034" s="3"/>
      <c r="AK1034" s="3"/>
      <c r="AL1034" s="3"/>
      <c r="AM1034" s="3"/>
      <c r="AN1034" s="3"/>
      <c r="AO1034" s="3"/>
      <c r="AP1034" s="3"/>
      <c r="AQ1034" s="3"/>
      <c r="AR1034" s="3"/>
      <c r="AS1034" s="3"/>
      <c r="AT1034" s="3"/>
      <c r="AU1034" s="3"/>
      <c r="AV1034" s="3"/>
      <c r="AW1034" s="3"/>
      <c r="AX1034" s="3"/>
      <c r="AY1034" s="3"/>
      <c r="AZ1034" s="3"/>
      <c r="BA1034" s="3"/>
      <c r="BB1034" s="3"/>
      <c r="BC1034" s="3"/>
    </row>
    <row r="1035" spans="1:55">
      <c r="A1035" s="1" t="str">
        <f>'Population Definitions'!$A$11</f>
        <v>65+_females</v>
      </c>
      <c r="C1035" t="s">
        <v>34</v>
      </c>
      <c r="D1035" s="3"/>
      <c r="E1035" s="3">
        <v>0</v>
      </c>
      <c r="F1035" s="3"/>
      <c r="G1035" s="3"/>
      <c r="H1035" s="3"/>
      <c r="I1035" s="3"/>
      <c r="J1035" s="3"/>
      <c r="K1035" s="3"/>
      <c r="L1035" s="3"/>
      <c r="M1035" s="3"/>
      <c r="N1035" s="3"/>
      <c r="O1035" s="3"/>
      <c r="P1035" s="3"/>
      <c r="Q1035" s="3"/>
      <c r="R1035" s="3"/>
      <c r="S1035" s="3"/>
      <c r="T1035" s="3"/>
      <c r="U1035" s="3"/>
      <c r="V1035" s="3"/>
      <c r="W1035" s="3"/>
      <c r="X1035" s="3"/>
      <c r="Y1035" s="3"/>
      <c r="Z1035" s="3"/>
      <c r="AA1035" s="3"/>
      <c r="AB1035" s="3"/>
      <c r="AC1035" s="3"/>
      <c r="AD1035" s="3"/>
      <c r="AE1035" s="3"/>
      <c r="AF1035" s="3"/>
      <c r="AG1035" s="3"/>
      <c r="AH1035" s="3"/>
      <c r="AI1035" s="3"/>
      <c r="AJ1035" s="3"/>
      <c r="AK1035" s="3"/>
      <c r="AL1035" s="3"/>
      <c r="AM1035" s="3"/>
      <c r="AN1035" s="3"/>
      <c r="AO1035" s="3"/>
      <c r="AP1035" s="3"/>
      <c r="AQ1035" s="3"/>
      <c r="AR1035" s="3"/>
      <c r="AS1035" s="3"/>
      <c r="AT1035" s="3"/>
      <c r="AU1035" s="3"/>
      <c r="AV1035" s="3"/>
      <c r="AW1035" s="3"/>
      <c r="AX1035" s="3"/>
      <c r="AY1035" s="3"/>
      <c r="AZ1035" s="3"/>
      <c r="BA1035" s="3"/>
      <c r="BB1035" s="3"/>
      <c r="BC1035" s="3"/>
    </row>
    <row r="1036" spans="1:55">
      <c r="A1036" s="1" t="str">
        <f>'Population Definitions'!$A$12</f>
        <v>Prisoners_males</v>
      </c>
      <c r="C1036" t="s">
        <v>34</v>
      </c>
      <c r="D1036" s="3"/>
      <c r="E1036" s="3">
        <v>0</v>
      </c>
      <c r="F1036" s="3"/>
      <c r="G1036" s="3"/>
      <c r="H1036" s="3"/>
      <c r="I1036" s="3"/>
      <c r="J1036" s="3"/>
      <c r="K1036" s="3"/>
      <c r="L1036" s="3"/>
      <c r="M1036" s="3"/>
      <c r="N1036" s="3"/>
      <c r="O1036" s="3"/>
      <c r="P1036" s="3"/>
      <c r="Q1036" s="3"/>
      <c r="R1036" s="3"/>
      <c r="S1036" s="3"/>
      <c r="T1036" s="3"/>
      <c r="U1036" s="3"/>
      <c r="V1036" s="3"/>
      <c r="W1036" s="3"/>
      <c r="X1036" s="3"/>
      <c r="Y1036" s="3"/>
      <c r="Z1036" s="3"/>
      <c r="AA1036" s="3"/>
      <c r="AB1036" s="3"/>
      <c r="AC1036" s="3"/>
      <c r="AD1036" s="3"/>
      <c r="AE1036" s="3"/>
      <c r="AF1036" s="3"/>
      <c r="AG1036" s="3"/>
      <c r="AH1036" s="3"/>
      <c r="AI1036" s="3"/>
      <c r="AJ1036" s="3"/>
      <c r="AK1036" s="3"/>
      <c r="AL1036" s="3"/>
      <c r="AM1036" s="3"/>
      <c r="AN1036" s="3"/>
      <c r="AO1036" s="3"/>
      <c r="AP1036" s="3"/>
      <c r="AQ1036" s="3"/>
      <c r="AR1036" s="3"/>
      <c r="AS1036" s="3"/>
      <c r="AT1036" s="3"/>
      <c r="AU1036" s="3"/>
      <c r="AV1036" s="3"/>
      <c r="AW1036" s="3"/>
      <c r="AX1036" s="3"/>
      <c r="AY1036" s="3"/>
      <c r="AZ1036" s="3"/>
      <c r="BA1036" s="3"/>
      <c r="BB1036" s="3"/>
      <c r="BC1036" s="3"/>
    </row>
    <row r="1037" spans="1:55">
      <c r="A1037" s="1" t="str">
        <f>'Population Definitions'!$A$13</f>
        <v>Prisoners_females</v>
      </c>
      <c r="C1037" t="s">
        <v>34</v>
      </c>
      <c r="D1037" s="3"/>
      <c r="E1037" s="3">
        <v>0</v>
      </c>
      <c r="F1037" s="3"/>
      <c r="G1037" s="3"/>
      <c r="H1037" s="3"/>
      <c r="I1037" s="3"/>
      <c r="J1037" s="3"/>
      <c r="K1037" s="3"/>
      <c r="L1037" s="3"/>
      <c r="M1037" s="3"/>
      <c r="N1037" s="3"/>
      <c r="O1037" s="3"/>
      <c r="P1037" s="3"/>
      <c r="Q1037" s="3"/>
      <c r="R1037" s="3"/>
      <c r="S1037" s="3"/>
      <c r="T1037" s="3"/>
      <c r="U1037" s="3"/>
      <c r="V1037" s="3"/>
      <c r="W1037" s="3"/>
      <c r="X1037" s="3"/>
      <c r="Y1037" s="3"/>
      <c r="Z1037" s="3"/>
      <c r="AA1037" s="3"/>
      <c r="AB1037" s="3"/>
      <c r="AC1037" s="3"/>
      <c r="AD1037" s="3"/>
      <c r="AE1037" s="3"/>
      <c r="AF1037" s="3"/>
      <c r="AG1037" s="3"/>
      <c r="AH1037" s="3"/>
      <c r="AI1037" s="3"/>
      <c r="AJ1037" s="3"/>
      <c r="AK1037" s="3"/>
      <c r="AL1037" s="3"/>
      <c r="AM1037" s="3"/>
      <c r="AN1037" s="3"/>
      <c r="AO1037" s="3"/>
      <c r="AP1037" s="3"/>
      <c r="AQ1037" s="3"/>
      <c r="AR1037" s="3"/>
      <c r="AS1037" s="3"/>
      <c r="AT1037" s="3"/>
      <c r="AU1037" s="3"/>
      <c r="AV1037" s="3"/>
      <c r="AW1037" s="3"/>
      <c r="AX1037" s="3"/>
      <c r="AY1037" s="3"/>
      <c r="AZ1037" s="3"/>
      <c r="BA1037" s="3"/>
      <c r="BB1037" s="3"/>
      <c r="BC1037" s="3"/>
    </row>
    <row r="1038" spans="1:55">
      <c r="A1038" s="1" t="str">
        <f>'Population Definitions'!$A$14</f>
        <v>Prisoners_PWID_males</v>
      </c>
      <c r="C1038" t="s">
        <v>34</v>
      </c>
      <c r="D1038" s="3"/>
      <c r="E1038" s="3">
        <v>0</v>
      </c>
      <c r="F1038" s="3"/>
      <c r="G1038" s="3"/>
      <c r="H1038" s="3"/>
      <c r="I1038" s="3"/>
      <c r="J1038" s="3"/>
      <c r="K1038" s="3"/>
      <c r="L1038" s="3"/>
      <c r="M1038" s="3"/>
      <c r="N1038" s="3"/>
      <c r="O1038" s="3"/>
      <c r="P1038" s="3"/>
      <c r="Q1038" s="3"/>
      <c r="R1038" s="3"/>
      <c r="S1038" s="3"/>
      <c r="T1038" s="3"/>
      <c r="U1038" s="3"/>
      <c r="V1038" s="3"/>
      <c r="W1038" s="3"/>
      <c r="X1038" s="3"/>
      <c r="Y1038" s="3"/>
      <c r="Z1038" s="3"/>
      <c r="AA1038" s="3"/>
      <c r="AB1038" s="3"/>
      <c r="AC1038" s="3"/>
      <c r="AD1038" s="3"/>
      <c r="AE1038" s="3"/>
      <c r="AF1038" s="3"/>
      <c r="AG1038" s="3"/>
      <c r="AH1038" s="3"/>
      <c r="AI1038" s="3"/>
      <c r="AJ1038" s="3"/>
      <c r="AK1038" s="3"/>
      <c r="AL1038" s="3"/>
      <c r="AM1038" s="3"/>
      <c r="AN1038" s="3"/>
      <c r="AO1038" s="3"/>
      <c r="AP1038" s="3"/>
      <c r="AQ1038" s="3"/>
      <c r="AR1038" s="3"/>
      <c r="AS1038" s="3"/>
      <c r="AT1038" s="3"/>
      <c r="AU1038" s="3"/>
      <c r="AV1038" s="3"/>
      <c r="AW1038" s="3"/>
      <c r="AX1038" s="3"/>
      <c r="AY1038" s="3"/>
      <c r="AZ1038" s="3"/>
      <c r="BA1038" s="3"/>
      <c r="BB1038" s="3"/>
      <c r="BC1038" s="3"/>
    </row>
    <row r="1039" spans="1:55">
      <c r="A1039" s="1" t="str">
        <f>'Population Definitions'!$A$15</f>
        <v>Prisoners_PWID_females</v>
      </c>
      <c r="C1039" t="s">
        <v>34</v>
      </c>
      <c r="D1039" s="3"/>
      <c r="E1039" s="3">
        <v>0</v>
      </c>
      <c r="F1039" s="3"/>
      <c r="G1039" s="3"/>
      <c r="H1039" s="3"/>
      <c r="I1039" s="3"/>
      <c r="J1039" s="3"/>
      <c r="K1039" s="3"/>
      <c r="L1039" s="3"/>
      <c r="M1039" s="3"/>
      <c r="N1039" s="3"/>
      <c r="O1039" s="3"/>
      <c r="P1039" s="3"/>
      <c r="Q1039" s="3"/>
      <c r="R1039" s="3"/>
      <c r="S1039" s="3"/>
      <c r="T1039" s="3"/>
      <c r="U1039" s="3"/>
      <c r="V1039" s="3"/>
      <c r="W1039" s="3"/>
      <c r="X1039" s="3"/>
      <c r="Y1039" s="3"/>
      <c r="Z1039" s="3"/>
      <c r="AA1039" s="3"/>
      <c r="AB1039" s="3"/>
      <c r="AC1039" s="3"/>
      <c r="AD1039" s="3"/>
      <c r="AE1039" s="3"/>
      <c r="AF1039" s="3"/>
      <c r="AG1039" s="3"/>
      <c r="AH1039" s="3"/>
      <c r="AI1039" s="3"/>
      <c r="AJ1039" s="3"/>
      <c r="AK1039" s="3"/>
      <c r="AL1039" s="3"/>
      <c r="AM1039" s="3"/>
      <c r="AN1039" s="3"/>
      <c r="AO1039" s="3"/>
      <c r="AP1039" s="3"/>
      <c r="AQ1039" s="3"/>
      <c r="AR1039" s="3"/>
      <c r="AS1039" s="3"/>
      <c r="AT1039" s="3"/>
      <c r="AU1039" s="3"/>
      <c r="AV1039" s="3"/>
      <c r="AW1039" s="3"/>
      <c r="AX1039" s="3"/>
      <c r="AY1039" s="3"/>
      <c r="AZ1039" s="3"/>
      <c r="BA1039" s="3"/>
      <c r="BB1039" s="3"/>
      <c r="BC1039" s="3"/>
    </row>
    <row r="1041" spans="1:55">
      <c r="A1041" s="1" t="s">
        <v>192</v>
      </c>
      <c r="B1041" s="1" t="s">
        <v>31</v>
      </c>
      <c r="C1041" s="1" t="s">
        <v>32</v>
      </c>
      <c r="D1041" s="1" t="s">
        <v>33</v>
      </c>
      <c r="E1041" s="1">
        <v>2000</v>
      </c>
      <c r="F1041" s="1">
        <v>2001</v>
      </c>
      <c r="G1041" s="1">
        <v>2002</v>
      </c>
      <c r="H1041" s="1">
        <v>2003</v>
      </c>
      <c r="I1041" s="1">
        <v>2004</v>
      </c>
      <c r="J1041" s="1">
        <v>2005</v>
      </c>
      <c r="K1041" s="1">
        <v>2006</v>
      </c>
      <c r="L1041" s="1">
        <v>2007</v>
      </c>
      <c r="M1041" s="1">
        <v>2008</v>
      </c>
      <c r="N1041" s="1">
        <v>2009</v>
      </c>
      <c r="O1041" s="1">
        <v>2010</v>
      </c>
      <c r="P1041" s="1">
        <v>2011</v>
      </c>
      <c r="Q1041" s="1">
        <v>2012</v>
      </c>
      <c r="R1041" s="1">
        <v>2013</v>
      </c>
      <c r="S1041" s="1">
        <v>2014</v>
      </c>
      <c r="T1041" s="1">
        <v>2015</v>
      </c>
      <c r="U1041" s="1">
        <v>2016</v>
      </c>
      <c r="V1041" s="1">
        <v>2017</v>
      </c>
      <c r="W1041" s="1">
        <v>2018</v>
      </c>
      <c r="X1041" s="1">
        <v>2019</v>
      </c>
      <c r="Y1041" s="1">
        <v>2020</v>
      </c>
      <c r="Z1041" s="1">
        <v>2021</v>
      </c>
      <c r="AA1041" s="1">
        <v>2022</v>
      </c>
      <c r="AB1041" s="1">
        <v>2023</v>
      </c>
      <c r="AC1041" s="1">
        <v>2024</v>
      </c>
      <c r="AD1041" s="1">
        <v>2025</v>
      </c>
      <c r="AE1041" s="1">
        <v>2026</v>
      </c>
      <c r="AF1041" s="1">
        <v>2027</v>
      </c>
      <c r="AG1041" s="1">
        <v>2028</v>
      </c>
      <c r="AH1041" s="1">
        <v>2029</v>
      </c>
      <c r="AI1041" s="1">
        <v>2030</v>
      </c>
      <c r="AJ1041" s="1">
        <v>2031</v>
      </c>
      <c r="AK1041" s="1">
        <v>2032</v>
      </c>
      <c r="AL1041" s="1">
        <v>2033</v>
      </c>
      <c r="AM1041" s="1">
        <v>2034</v>
      </c>
      <c r="AN1041" s="1">
        <v>2035</v>
      </c>
      <c r="AO1041" s="1">
        <v>2036</v>
      </c>
      <c r="AP1041" s="1">
        <v>2037</v>
      </c>
      <c r="AQ1041" s="1">
        <v>2038</v>
      </c>
      <c r="AR1041" s="1">
        <v>2039</v>
      </c>
      <c r="AS1041" s="1">
        <v>2040</v>
      </c>
      <c r="AT1041" s="1">
        <v>2041</v>
      </c>
      <c r="AU1041" s="1">
        <v>2042</v>
      </c>
      <c r="AV1041" s="1">
        <v>2043</v>
      </c>
      <c r="AW1041" s="1">
        <v>2044</v>
      </c>
      <c r="AX1041" s="1">
        <v>2045</v>
      </c>
      <c r="AY1041" s="1">
        <v>2046</v>
      </c>
      <c r="AZ1041" s="1">
        <v>2047</v>
      </c>
      <c r="BA1041" s="1">
        <v>2048</v>
      </c>
      <c r="BB1041" s="1">
        <v>2049</v>
      </c>
      <c r="BC1041" s="1">
        <v>2050</v>
      </c>
    </row>
    <row r="1042" spans="1:55">
      <c r="A1042" s="1" t="str">
        <f>'Population Definitions'!$A$2</f>
        <v>PWID_males</v>
      </c>
      <c r="C1042" t="s">
        <v>34</v>
      </c>
      <c r="D1042" s="3"/>
      <c r="E1042" s="3">
        <v>0</v>
      </c>
      <c r="F1042" s="3"/>
      <c r="G1042" s="3"/>
      <c r="H1042" s="3"/>
      <c r="I1042" s="3"/>
      <c r="J1042" s="3"/>
      <c r="K1042" s="3"/>
      <c r="L1042" s="3"/>
      <c r="M1042" s="3"/>
      <c r="N1042" s="3"/>
      <c r="O1042" s="3"/>
      <c r="P1042" s="3"/>
      <c r="Q1042" s="3"/>
      <c r="R1042" s="3"/>
      <c r="S1042" s="3"/>
      <c r="T1042" s="3"/>
      <c r="U1042" s="3"/>
      <c r="V1042" s="3"/>
      <c r="W1042" s="3"/>
      <c r="X1042" s="3"/>
      <c r="Y1042" s="3"/>
      <c r="Z1042" s="3"/>
      <c r="AA1042" s="3"/>
      <c r="AB1042" s="3"/>
      <c r="AC1042" s="3"/>
      <c r="AD1042" s="3"/>
      <c r="AE1042" s="3"/>
      <c r="AF1042" s="3"/>
      <c r="AG1042" s="3"/>
      <c r="AH1042" s="3"/>
      <c r="AI1042" s="3"/>
      <c r="AJ1042" s="3"/>
      <c r="AK1042" s="3"/>
      <c r="AL1042" s="3"/>
      <c r="AM1042" s="3"/>
      <c r="AN1042" s="3"/>
      <c r="AO1042" s="3"/>
      <c r="AP1042" s="3"/>
      <c r="AQ1042" s="3"/>
      <c r="AR1042" s="3"/>
      <c r="AS1042" s="3"/>
      <c r="AT1042" s="3"/>
      <c r="AU1042" s="3"/>
      <c r="AV1042" s="3"/>
      <c r="AW1042" s="3"/>
      <c r="AX1042" s="3"/>
      <c r="AY1042" s="3"/>
      <c r="AZ1042" s="3"/>
      <c r="BA1042" s="3"/>
      <c r="BB1042" s="3"/>
      <c r="BC1042" s="3"/>
    </row>
    <row r="1043" spans="1:55">
      <c r="A1043" s="1" t="str">
        <f>'Population Definitions'!$A$3</f>
        <v>PWID_females</v>
      </c>
      <c r="C1043" t="s">
        <v>34</v>
      </c>
      <c r="D1043" s="3"/>
      <c r="E1043" s="3">
        <v>0</v>
      </c>
      <c r="F1043" s="3"/>
      <c r="G1043" s="3"/>
      <c r="H1043" s="3"/>
      <c r="I1043" s="3"/>
      <c r="J1043" s="3"/>
      <c r="K1043" s="3"/>
      <c r="L1043" s="3"/>
      <c r="M1043" s="3"/>
      <c r="N1043" s="3"/>
      <c r="O1043" s="3"/>
      <c r="P1043" s="3"/>
      <c r="Q1043" s="3"/>
      <c r="R1043" s="3"/>
      <c r="S1043" s="3"/>
      <c r="T1043" s="3"/>
      <c r="U1043" s="3"/>
      <c r="V1043" s="3"/>
      <c r="W1043" s="3"/>
      <c r="X1043" s="3"/>
      <c r="Y1043" s="3"/>
      <c r="Z1043" s="3"/>
      <c r="AA1043" s="3"/>
      <c r="AB1043" s="3"/>
      <c r="AC1043" s="3"/>
      <c r="AD1043" s="3"/>
      <c r="AE1043" s="3"/>
      <c r="AF1043" s="3"/>
      <c r="AG1043" s="3"/>
      <c r="AH1043" s="3"/>
      <c r="AI1043" s="3"/>
      <c r="AJ1043" s="3"/>
      <c r="AK1043" s="3"/>
      <c r="AL1043" s="3"/>
      <c r="AM1043" s="3"/>
      <c r="AN1043" s="3"/>
      <c r="AO1043" s="3"/>
      <c r="AP1043" s="3"/>
      <c r="AQ1043" s="3"/>
      <c r="AR1043" s="3"/>
      <c r="AS1043" s="3"/>
      <c r="AT1043" s="3"/>
      <c r="AU1043" s="3"/>
      <c r="AV1043" s="3"/>
      <c r="AW1043" s="3"/>
      <c r="AX1043" s="3"/>
      <c r="AY1043" s="3"/>
      <c r="AZ1043" s="3"/>
      <c r="BA1043" s="3"/>
      <c r="BB1043" s="3"/>
      <c r="BC1043" s="3"/>
    </row>
    <row r="1044" spans="1:55">
      <c r="A1044" s="1" t="str">
        <f>'Population Definitions'!$A$4</f>
        <v>0-9_males</v>
      </c>
      <c r="C1044" t="s">
        <v>34</v>
      </c>
      <c r="D1044" s="3"/>
      <c r="E1044" s="3">
        <v>0</v>
      </c>
      <c r="F1044" s="3"/>
      <c r="G1044" s="3"/>
      <c r="H1044" s="3"/>
      <c r="I1044" s="3"/>
      <c r="J1044" s="3"/>
      <c r="K1044" s="3"/>
      <c r="L1044" s="3"/>
      <c r="M1044" s="3"/>
      <c r="N1044" s="3"/>
      <c r="O1044" s="3"/>
      <c r="P1044" s="3"/>
      <c r="Q1044" s="3"/>
      <c r="R1044" s="3"/>
      <c r="S1044" s="3"/>
      <c r="T1044" s="3"/>
      <c r="U1044" s="3"/>
      <c r="V1044" s="3"/>
      <c r="W1044" s="3"/>
      <c r="X1044" s="3"/>
      <c r="Y1044" s="3"/>
      <c r="Z1044" s="3"/>
      <c r="AA1044" s="3"/>
      <c r="AB1044" s="3"/>
      <c r="AC1044" s="3"/>
      <c r="AD1044" s="3"/>
      <c r="AE1044" s="3"/>
      <c r="AF1044" s="3"/>
      <c r="AG1044" s="3"/>
      <c r="AH1044" s="3"/>
      <c r="AI1044" s="3"/>
      <c r="AJ1044" s="3"/>
      <c r="AK1044" s="3"/>
      <c r="AL1044" s="3"/>
      <c r="AM1044" s="3"/>
      <c r="AN1044" s="3"/>
      <c r="AO1044" s="3"/>
      <c r="AP1044" s="3"/>
      <c r="AQ1044" s="3"/>
      <c r="AR1044" s="3"/>
      <c r="AS1044" s="3"/>
      <c r="AT1044" s="3"/>
      <c r="AU1044" s="3"/>
      <c r="AV1044" s="3"/>
      <c r="AW1044" s="3"/>
      <c r="AX1044" s="3"/>
      <c r="AY1044" s="3"/>
      <c r="AZ1044" s="3"/>
      <c r="BA1044" s="3"/>
      <c r="BB1044" s="3"/>
      <c r="BC1044" s="3"/>
    </row>
    <row r="1045" spans="1:55">
      <c r="A1045" s="1" t="str">
        <f>'Population Definitions'!$A$5</f>
        <v>0-9_females</v>
      </c>
      <c r="C1045" t="s">
        <v>34</v>
      </c>
      <c r="D1045" s="3"/>
      <c r="E1045" s="3">
        <v>0</v>
      </c>
      <c r="F1045" s="3"/>
      <c r="G1045" s="3"/>
      <c r="H1045" s="3"/>
      <c r="I1045" s="3"/>
      <c r="J1045" s="3"/>
      <c r="K1045" s="3"/>
      <c r="L1045" s="3"/>
      <c r="M1045" s="3"/>
      <c r="N1045" s="3"/>
      <c r="O1045" s="3"/>
      <c r="P1045" s="3"/>
      <c r="Q1045" s="3"/>
      <c r="R1045" s="3"/>
      <c r="S1045" s="3"/>
      <c r="T1045" s="3"/>
      <c r="U1045" s="3"/>
      <c r="V1045" s="3"/>
      <c r="W1045" s="3"/>
      <c r="X1045" s="3"/>
      <c r="Y1045" s="3"/>
      <c r="Z1045" s="3"/>
      <c r="AA1045" s="3"/>
      <c r="AB1045" s="3"/>
      <c r="AC1045" s="3"/>
      <c r="AD1045" s="3"/>
      <c r="AE1045" s="3"/>
      <c r="AF1045" s="3"/>
      <c r="AG1045" s="3"/>
      <c r="AH1045" s="3"/>
      <c r="AI1045" s="3"/>
      <c r="AJ1045" s="3"/>
      <c r="AK1045" s="3"/>
      <c r="AL1045" s="3"/>
      <c r="AM1045" s="3"/>
      <c r="AN1045" s="3"/>
      <c r="AO1045" s="3"/>
      <c r="AP1045" s="3"/>
      <c r="AQ1045" s="3"/>
      <c r="AR1045" s="3"/>
      <c r="AS1045" s="3"/>
      <c r="AT1045" s="3"/>
      <c r="AU1045" s="3"/>
      <c r="AV1045" s="3"/>
      <c r="AW1045" s="3"/>
      <c r="AX1045" s="3"/>
      <c r="AY1045" s="3"/>
      <c r="AZ1045" s="3"/>
      <c r="BA1045" s="3"/>
      <c r="BB1045" s="3"/>
      <c r="BC1045" s="3"/>
    </row>
    <row r="1046" spans="1:55">
      <c r="A1046" s="1" t="str">
        <f>'Population Definitions'!$A$6</f>
        <v>10-17_males</v>
      </c>
      <c r="C1046" t="s">
        <v>34</v>
      </c>
      <c r="D1046" s="3"/>
      <c r="E1046" s="3">
        <v>0</v>
      </c>
      <c r="F1046" s="3"/>
      <c r="G1046" s="3"/>
      <c r="H1046" s="3"/>
      <c r="I1046" s="3"/>
      <c r="J1046" s="3"/>
      <c r="K1046" s="3"/>
      <c r="L1046" s="3"/>
      <c r="M1046" s="3"/>
      <c r="N1046" s="3"/>
      <c r="O1046" s="3"/>
      <c r="P1046" s="3"/>
      <c r="Q1046" s="3"/>
      <c r="R1046" s="3"/>
      <c r="S1046" s="3"/>
      <c r="T1046" s="3"/>
      <c r="U1046" s="3"/>
      <c r="V1046" s="3"/>
      <c r="W1046" s="3"/>
      <c r="X1046" s="3"/>
      <c r="Y1046" s="3"/>
      <c r="Z1046" s="3"/>
      <c r="AA1046" s="3"/>
      <c r="AB1046" s="3"/>
      <c r="AC1046" s="3"/>
      <c r="AD1046" s="3"/>
      <c r="AE1046" s="3"/>
      <c r="AF1046" s="3"/>
      <c r="AG1046" s="3"/>
      <c r="AH1046" s="3"/>
      <c r="AI1046" s="3"/>
      <c r="AJ1046" s="3"/>
      <c r="AK1046" s="3"/>
      <c r="AL1046" s="3"/>
      <c r="AM1046" s="3"/>
      <c r="AN1046" s="3"/>
      <c r="AO1046" s="3"/>
      <c r="AP1046" s="3"/>
      <c r="AQ1046" s="3"/>
      <c r="AR1046" s="3"/>
      <c r="AS1046" s="3"/>
      <c r="AT1046" s="3"/>
      <c r="AU1046" s="3"/>
      <c r="AV1046" s="3"/>
      <c r="AW1046" s="3"/>
      <c r="AX1046" s="3"/>
      <c r="AY1046" s="3"/>
      <c r="AZ1046" s="3"/>
      <c r="BA1046" s="3"/>
      <c r="BB1046" s="3"/>
      <c r="BC1046" s="3"/>
    </row>
    <row r="1047" spans="1:55">
      <c r="A1047" s="1" t="str">
        <f>'Population Definitions'!$A$7</f>
        <v>10-17_females</v>
      </c>
      <c r="C1047" t="s">
        <v>34</v>
      </c>
      <c r="D1047" s="3"/>
      <c r="E1047" s="3">
        <v>0</v>
      </c>
      <c r="F1047" s="3"/>
      <c r="G1047" s="3"/>
      <c r="H1047" s="3"/>
      <c r="I1047" s="3"/>
      <c r="J1047" s="3"/>
      <c r="K1047" s="3"/>
      <c r="L1047" s="3"/>
      <c r="M1047" s="3"/>
      <c r="N1047" s="3"/>
      <c r="O1047" s="3"/>
      <c r="P1047" s="3"/>
      <c r="Q1047" s="3"/>
      <c r="R1047" s="3"/>
      <c r="S1047" s="3"/>
      <c r="T1047" s="3"/>
      <c r="U1047" s="3"/>
      <c r="V1047" s="3"/>
      <c r="W1047" s="3"/>
      <c r="X1047" s="3"/>
      <c r="Y1047" s="3"/>
      <c r="Z1047" s="3"/>
      <c r="AA1047" s="3"/>
      <c r="AB1047" s="3"/>
      <c r="AC1047" s="3"/>
      <c r="AD1047" s="3"/>
      <c r="AE1047" s="3"/>
      <c r="AF1047" s="3"/>
      <c r="AG1047" s="3"/>
      <c r="AH1047" s="3"/>
      <c r="AI1047" s="3"/>
      <c r="AJ1047" s="3"/>
      <c r="AK1047" s="3"/>
      <c r="AL1047" s="3"/>
      <c r="AM1047" s="3"/>
      <c r="AN1047" s="3"/>
      <c r="AO1047" s="3"/>
      <c r="AP1047" s="3"/>
      <c r="AQ1047" s="3"/>
      <c r="AR1047" s="3"/>
      <c r="AS1047" s="3"/>
      <c r="AT1047" s="3"/>
      <c r="AU1047" s="3"/>
      <c r="AV1047" s="3"/>
      <c r="AW1047" s="3"/>
      <c r="AX1047" s="3"/>
      <c r="AY1047" s="3"/>
      <c r="AZ1047" s="3"/>
      <c r="BA1047" s="3"/>
      <c r="BB1047" s="3"/>
      <c r="BC1047" s="3"/>
    </row>
    <row r="1048" spans="1:55">
      <c r="A1048" s="1" t="str">
        <f>'Population Definitions'!$A$8</f>
        <v>18-64_males</v>
      </c>
      <c r="C1048" t="s">
        <v>34</v>
      </c>
      <c r="D1048" s="3"/>
      <c r="E1048" s="3">
        <v>0</v>
      </c>
      <c r="F1048" s="3"/>
      <c r="G1048" s="3"/>
      <c r="H1048" s="3"/>
      <c r="I1048" s="3"/>
      <c r="J1048" s="3"/>
      <c r="K1048" s="3"/>
      <c r="L1048" s="3"/>
      <c r="M1048" s="3"/>
      <c r="N1048" s="3"/>
      <c r="O1048" s="3"/>
      <c r="P1048" s="3"/>
      <c r="Q1048" s="3"/>
      <c r="R1048" s="3"/>
      <c r="S1048" s="3"/>
      <c r="T1048" s="3"/>
      <c r="U1048" s="3"/>
      <c r="V1048" s="3"/>
      <c r="W1048" s="3"/>
      <c r="X1048" s="3"/>
      <c r="Y1048" s="3"/>
      <c r="Z1048" s="3"/>
      <c r="AA1048" s="3"/>
      <c r="AB1048" s="3"/>
      <c r="AC1048" s="3"/>
      <c r="AD1048" s="3"/>
      <c r="AE1048" s="3"/>
      <c r="AF1048" s="3"/>
      <c r="AG1048" s="3"/>
      <c r="AH1048" s="3"/>
      <c r="AI1048" s="3"/>
      <c r="AJ1048" s="3"/>
      <c r="AK1048" s="3"/>
      <c r="AL1048" s="3"/>
      <c r="AM1048" s="3"/>
      <c r="AN1048" s="3"/>
      <c r="AO1048" s="3"/>
      <c r="AP1048" s="3"/>
      <c r="AQ1048" s="3"/>
      <c r="AR1048" s="3"/>
      <c r="AS1048" s="3"/>
      <c r="AT1048" s="3"/>
      <c r="AU1048" s="3"/>
      <c r="AV1048" s="3"/>
      <c r="AW1048" s="3"/>
      <c r="AX1048" s="3"/>
      <c r="AY1048" s="3"/>
      <c r="AZ1048" s="3"/>
      <c r="BA1048" s="3"/>
      <c r="BB1048" s="3"/>
      <c r="BC1048" s="3"/>
    </row>
    <row r="1049" spans="1:55">
      <c r="A1049" s="1" t="str">
        <f>'Population Definitions'!$A$9</f>
        <v>18-64_females</v>
      </c>
      <c r="C1049" t="s">
        <v>34</v>
      </c>
      <c r="D1049" s="3"/>
      <c r="E1049" s="3">
        <v>0</v>
      </c>
      <c r="F1049" s="3"/>
      <c r="G1049" s="3"/>
      <c r="H1049" s="3"/>
      <c r="I1049" s="3"/>
      <c r="J1049" s="3"/>
      <c r="K1049" s="3"/>
      <c r="L1049" s="3"/>
      <c r="M1049" s="3"/>
      <c r="N1049" s="3"/>
      <c r="O1049" s="3"/>
      <c r="P1049" s="3"/>
      <c r="Q1049" s="3"/>
      <c r="R1049" s="3"/>
      <c r="S1049" s="3"/>
      <c r="T1049" s="3"/>
      <c r="U1049" s="3"/>
      <c r="V1049" s="3"/>
      <c r="W1049" s="3"/>
      <c r="X1049" s="3"/>
      <c r="Y1049" s="3"/>
      <c r="Z1049" s="3"/>
      <c r="AA1049" s="3"/>
      <c r="AB1049" s="3"/>
      <c r="AC1049" s="3"/>
      <c r="AD1049" s="3"/>
      <c r="AE1049" s="3"/>
      <c r="AF1049" s="3"/>
      <c r="AG1049" s="3"/>
      <c r="AH1049" s="3"/>
      <c r="AI1049" s="3"/>
      <c r="AJ1049" s="3"/>
      <c r="AK1049" s="3"/>
      <c r="AL1049" s="3"/>
      <c r="AM1049" s="3"/>
      <c r="AN1049" s="3"/>
      <c r="AO1049" s="3"/>
      <c r="AP1049" s="3"/>
      <c r="AQ1049" s="3"/>
      <c r="AR1049" s="3"/>
      <c r="AS1049" s="3"/>
      <c r="AT1049" s="3"/>
      <c r="AU1049" s="3"/>
      <c r="AV1049" s="3"/>
      <c r="AW1049" s="3"/>
      <c r="AX1049" s="3"/>
      <c r="AY1049" s="3"/>
      <c r="AZ1049" s="3"/>
      <c r="BA1049" s="3"/>
      <c r="BB1049" s="3"/>
      <c r="BC1049" s="3"/>
    </row>
    <row r="1050" spans="1:55">
      <c r="A1050" s="1" t="str">
        <f>'Population Definitions'!$A$10</f>
        <v>65+_males</v>
      </c>
      <c r="C1050" t="s">
        <v>34</v>
      </c>
      <c r="D1050" s="3"/>
      <c r="E1050" s="3">
        <v>0</v>
      </c>
      <c r="F1050" s="3"/>
      <c r="G1050" s="3"/>
      <c r="H1050" s="3"/>
      <c r="I1050" s="3"/>
      <c r="J1050" s="3"/>
      <c r="K1050" s="3"/>
      <c r="L1050" s="3"/>
      <c r="M1050" s="3"/>
      <c r="N1050" s="3"/>
      <c r="O1050" s="3"/>
      <c r="P1050" s="3"/>
      <c r="Q1050" s="3"/>
      <c r="R1050" s="3"/>
      <c r="S1050" s="3"/>
      <c r="T1050" s="3"/>
      <c r="U1050" s="3"/>
      <c r="V1050" s="3"/>
      <c r="W1050" s="3"/>
      <c r="X1050" s="3"/>
      <c r="Y1050" s="3"/>
      <c r="Z1050" s="3"/>
      <c r="AA1050" s="3"/>
      <c r="AB1050" s="3"/>
      <c r="AC1050" s="3"/>
      <c r="AD1050" s="3"/>
      <c r="AE1050" s="3"/>
      <c r="AF1050" s="3"/>
      <c r="AG1050" s="3"/>
      <c r="AH1050" s="3"/>
      <c r="AI1050" s="3"/>
      <c r="AJ1050" s="3"/>
      <c r="AK1050" s="3"/>
      <c r="AL1050" s="3"/>
      <c r="AM1050" s="3"/>
      <c r="AN1050" s="3"/>
      <c r="AO1050" s="3"/>
      <c r="AP1050" s="3"/>
      <c r="AQ1050" s="3"/>
      <c r="AR1050" s="3"/>
      <c r="AS1050" s="3"/>
      <c r="AT1050" s="3"/>
      <c r="AU1050" s="3"/>
      <c r="AV1050" s="3"/>
      <c r="AW1050" s="3"/>
      <c r="AX1050" s="3"/>
      <c r="AY1050" s="3"/>
      <c r="AZ1050" s="3"/>
      <c r="BA1050" s="3"/>
      <c r="BB1050" s="3"/>
      <c r="BC1050" s="3"/>
    </row>
    <row r="1051" spans="1:55">
      <c r="A1051" s="1" t="str">
        <f>'Population Definitions'!$A$11</f>
        <v>65+_females</v>
      </c>
      <c r="C1051" t="s">
        <v>34</v>
      </c>
      <c r="D1051" s="3"/>
      <c r="E1051" s="3">
        <v>0</v>
      </c>
      <c r="F1051" s="3"/>
      <c r="G1051" s="3"/>
      <c r="H1051" s="3"/>
      <c r="I1051" s="3"/>
      <c r="J1051" s="3"/>
      <c r="K1051" s="3"/>
      <c r="L1051" s="3"/>
      <c r="M1051" s="3"/>
      <c r="N1051" s="3"/>
      <c r="O1051" s="3"/>
      <c r="P1051" s="3"/>
      <c r="Q1051" s="3"/>
      <c r="R1051" s="3"/>
      <c r="S1051" s="3"/>
      <c r="T1051" s="3"/>
      <c r="U1051" s="3"/>
      <c r="V1051" s="3"/>
      <c r="W1051" s="3"/>
      <c r="X1051" s="3"/>
      <c r="Y1051" s="3"/>
      <c r="Z1051" s="3"/>
      <c r="AA1051" s="3"/>
      <c r="AB1051" s="3"/>
      <c r="AC1051" s="3"/>
      <c r="AD1051" s="3"/>
      <c r="AE1051" s="3"/>
      <c r="AF1051" s="3"/>
      <c r="AG1051" s="3"/>
      <c r="AH1051" s="3"/>
      <c r="AI1051" s="3"/>
      <c r="AJ1051" s="3"/>
      <c r="AK1051" s="3"/>
      <c r="AL1051" s="3"/>
      <c r="AM1051" s="3"/>
      <c r="AN1051" s="3"/>
      <c r="AO1051" s="3"/>
      <c r="AP1051" s="3"/>
      <c r="AQ1051" s="3"/>
      <c r="AR1051" s="3"/>
      <c r="AS1051" s="3"/>
      <c r="AT1051" s="3"/>
      <c r="AU1051" s="3"/>
      <c r="AV1051" s="3"/>
      <c r="AW1051" s="3"/>
      <c r="AX1051" s="3"/>
      <c r="AY1051" s="3"/>
      <c r="AZ1051" s="3"/>
      <c r="BA1051" s="3"/>
      <c r="BB1051" s="3"/>
      <c r="BC1051" s="3"/>
    </row>
    <row r="1052" spans="1:55">
      <c r="A1052" s="1" t="str">
        <f>'Population Definitions'!$A$12</f>
        <v>Prisoners_males</v>
      </c>
      <c r="C1052" t="s">
        <v>34</v>
      </c>
      <c r="D1052" s="3"/>
      <c r="E1052" s="3">
        <v>0</v>
      </c>
      <c r="F1052" s="3"/>
      <c r="G1052" s="3"/>
      <c r="H1052" s="3"/>
      <c r="I1052" s="3"/>
      <c r="J1052" s="3"/>
      <c r="K1052" s="3"/>
      <c r="L1052" s="3"/>
      <c r="M1052" s="3"/>
      <c r="N1052" s="3"/>
      <c r="O1052" s="3"/>
      <c r="P1052" s="3"/>
      <c r="Q1052" s="3"/>
      <c r="R1052" s="3"/>
      <c r="S1052" s="3"/>
      <c r="T1052" s="3"/>
      <c r="U1052" s="3"/>
      <c r="V1052" s="3"/>
      <c r="W1052" s="3"/>
      <c r="X1052" s="3"/>
      <c r="Y1052" s="3"/>
      <c r="Z1052" s="3"/>
      <c r="AA1052" s="3"/>
      <c r="AB1052" s="3"/>
      <c r="AC1052" s="3"/>
      <c r="AD1052" s="3"/>
      <c r="AE1052" s="3"/>
      <c r="AF1052" s="3"/>
      <c r="AG1052" s="3"/>
      <c r="AH1052" s="3"/>
      <c r="AI1052" s="3"/>
      <c r="AJ1052" s="3"/>
      <c r="AK1052" s="3"/>
      <c r="AL1052" s="3"/>
      <c r="AM1052" s="3"/>
      <c r="AN1052" s="3"/>
      <c r="AO1052" s="3"/>
      <c r="AP1052" s="3"/>
      <c r="AQ1052" s="3"/>
      <c r="AR1052" s="3"/>
      <c r="AS1052" s="3"/>
      <c r="AT1052" s="3"/>
      <c r="AU1052" s="3"/>
      <c r="AV1052" s="3"/>
      <c r="AW1052" s="3"/>
      <c r="AX1052" s="3"/>
      <c r="AY1052" s="3"/>
      <c r="AZ1052" s="3"/>
      <c r="BA1052" s="3"/>
      <c r="BB1052" s="3"/>
      <c r="BC1052" s="3"/>
    </row>
    <row r="1053" spans="1:55">
      <c r="A1053" s="1" t="str">
        <f>'Population Definitions'!$A$13</f>
        <v>Prisoners_females</v>
      </c>
      <c r="C1053" t="s">
        <v>34</v>
      </c>
      <c r="D1053" s="3"/>
      <c r="E1053" s="3">
        <v>0</v>
      </c>
      <c r="F1053" s="3"/>
      <c r="G1053" s="3"/>
      <c r="H1053" s="3"/>
      <c r="I1053" s="3"/>
      <c r="J1053" s="3"/>
      <c r="K1053" s="3"/>
      <c r="L1053" s="3"/>
      <c r="M1053" s="3"/>
      <c r="N1053" s="3"/>
      <c r="O1053" s="3"/>
      <c r="P1053" s="3"/>
      <c r="Q1053" s="3"/>
      <c r="R1053" s="3"/>
      <c r="S1053" s="3"/>
      <c r="T1053" s="3"/>
      <c r="U1053" s="3"/>
      <c r="V1053" s="3"/>
      <c r="W1053" s="3"/>
      <c r="X1053" s="3"/>
      <c r="Y1053" s="3"/>
      <c r="Z1053" s="3"/>
      <c r="AA1053" s="3"/>
      <c r="AB1053" s="3"/>
      <c r="AC1053" s="3"/>
      <c r="AD1053" s="3"/>
      <c r="AE1053" s="3"/>
      <c r="AF1053" s="3"/>
      <c r="AG1053" s="3"/>
      <c r="AH1053" s="3"/>
      <c r="AI1053" s="3"/>
      <c r="AJ1053" s="3"/>
      <c r="AK1053" s="3"/>
      <c r="AL1053" s="3"/>
      <c r="AM1053" s="3"/>
      <c r="AN1053" s="3"/>
      <c r="AO1053" s="3"/>
      <c r="AP1053" s="3"/>
      <c r="AQ1053" s="3"/>
      <c r="AR1053" s="3"/>
      <c r="AS1053" s="3"/>
      <c r="AT1053" s="3"/>
      <c r="AU1053" s="3"/>
      <c r="AV1053" s="3"/>
      <c r="AW1053" s="3"/>
      <c r="AX1053" s="3"/>
      <c r="AY1053" s="3"/>
      <c r="AZ1053" s="3"/>
      <c r="BA1053" s="3"/>
      <c r="BB1053" s="3"/>
      <c r="BC1053" s="3"/>
    </row>
    <row r="1054" spans="1:55">
      <c r="A1054" s="1" t="str">
        <f>'Population Definitions'!$A$14</f>
        <v>Prisoners_PWID_males</v>
      </c>
      <c r="C1054" t="s">
        <v>34</v>
      </c>
      <c r="D1054" s="3"/>
      <c r="E1054" s="3">
        <v>0</v>
      </c>
      <c r="F1054" s="3"/>
      <c r="G1054" s="3"/>
      <c r="H1054" s="3"/>
      <c r="I1054" s="3"/>
      <c r="J1054" s="3"/>
      <c r="K1054" s="3"/>
      <c r="L1054" s="3"/>
      <c r="M1054" s="3"/>
      <c r="N1054" s="3"/>
      <c r="O1054" s="3"/>
      <c r="P1054" s="3"/>
      <c r="Q1054" s="3"/>
      <c r="R1054" s="3"/>
      <c r="S1054" s="3"/>
      <c r="T1054" s="3"/>
      <c r="U1054" s="3"/>
      <c r="V1054" s="3"/>
      <c r="W1054" s="3"/>
      <c r="X1054" s="3"/>
      <c r="Y1054" s="3"/>
      <c r="Z1054" s="3"/>
      <c r="AA1054" s="3"/>
      <c r="AB1054" s="3"/>
      <c r="AC1054" s="3"/>
      <c r="AD1054" s="3"/>
      <c r="AE1054" s="3"/>
      <c r="AF1054" s="3"/>
      <c r="AG1054" s="3"/>
      <c r="AH1054" s="3"/>
      <c r="AI1054" s="3"/>
      <c r="AJ1054" s="3"/>
      <c r="AK1054" s="3"/>
      <c r="AL1054" s="3"/>
      <c r="AM1054" s="3"/>
      <c r="AN1054" s="3"/>
      <c r="AO1054" s="3"/>
      <c r="AP1054" s="3"/>
      <c r="AQ1054" s="3"/>
      <c r="AR1054" s="3"/>
      <c r="AS1054" s="3"/>
      <c r="AT1054" s="3"/>
      <c r="AU1054" s="3"/>
      <c r="AV1054" s="3"/>
      <c r="AW1054" s="3"/>
      <c r="AX1054" s="3"/>
      <c r="AY1054" s="3"/>
      <c r="AZ1054" s="3"/>
      <c r="BA1054" s="3"/>
      <c r="BB1054" s="3"/>
      <c r="BC1054" s="3"/>
    </row>
    <row r="1055" spans="1:55">
      <c r="A1055" s="1" t="str">
        <f>'Population Definitions'!$A$15</f>
        <v>Prisoners_PWID_females</v>
      </c>
      <c r="C1055" t="s">
        <v>34</v>
      </c>
      <c r="D1055" s="3"/>
      <c r="E1055" s="3">
        <v>0</v>
      </c>
      <c r="F1055" s="3"/>
      <c r="G1055" s="3"/>
      <c r="H1055" s="3"/>
      <c r="I1055" s="3"/>
      <c r="J1055" s="3"/>
      <c r="K1055" s="3"/>
      <c r="L1055" s="3"/>
      <c r="M1055" s="3"/>
      <c r="N1055" s="3"/>
      <c r="O1055" s="3"/>
      <c r="P1055" s="3"/>
      <c r="Q1055" s="3"/>
      <c r="R1055" s="3"/>
      <c r="S1055" s="3"/>
      <c r="T1055" s="3"/>
      <c r="U1055" s="3"/>
      <c r="V1055" s="3"/>
      <c r="W1055" s="3"/>
      <c r="X1055" s="3"/>
      <c r="Y1055" s="3"/>
      <c r="Z1055" s="3"/>
      <c r="AA1055" s="3"/>
      <c r="AB1055" s="3"/>
      <c r="AC1055" s="3"/>
      <c r="AD1055" s="3"/>
      <c r="AE1055" s="3"/>
      <c r="AF1055" s="3"/>
      <c r="AG1055" s="3"/>
      <c r="AH1055" s="3"/>
      <c r="AI1055" s="3"/>
      <c r="AJ1055" s="3"/>
      <c r="AK1055" s="3"/>
      <c r="AL1055" s="3"/>
      <c r="AM1055" s="3"/>
      <c r="AN1055" s="3"/>
      <c r="AO1055" s="3"/>
      <c r="AP1055" s="3"/>
      <c r="AQ1055" s="3"/>
      <c r="AR1055" s="3"/>
      <c r="AS1055" s="3"/>
      <c r="AT1055" s="3"/>
      <c r="AU1055" s="3"/>
      <c r="AV1055" s="3"/>
      <c r="AW1055" s="3"/>
      <c r="AX1055" s="3"/>
      <c r="AY1055" s="3"/>
      <c r="AZ1055" s="3"/>
      <c r="BA1055" s="3"/>
      <c r="BB1055" s="3"/>
      <c r="BC1055" s="3"/>
    </row>
    <row r="1057" spans="1:55">
      <c r="A1057" s="1" t="s">
        <v>193</v>
      </c>
      <c r="B1057" s="1" t="s">
        <v>31</v>
      </c>
      <c r="C1057" s="1" t="s">
        <v>32</v>
      </c>
      <c r="D1057" s="1" t="s">
        <v>33</v>
      </c>
      <c r="E1057" s="1">
        <v>2000</v>
      </c>
      <c r="F1057" s="1">
        <v>2001</v>
      </c>
      <c r="G1057" s="1">
        <v>2002</v>
      </c>
      <c r="H1057" s="1">
        <v>2003</v>
      </c>
      <c r="I1057" s="1">
        <v>2004</v>
      </c>
      <c r="J1057" s="1">
        <v>2005</v>
      </c>
      <c r="K1057" s="1">
        <v>2006</v>
      </c>
      <c r="L1057" s="1">
        <v>2007</v>
      </c>
      <c r="M1057" s="1">
        <v>2008</v>
      </c>
      <c r="N1057" s="1">
        <v>2009</v>
      </c>
      <c r="O1057" s="1">
        <v>2010</v>
      </c>
      <c r="P1057" s="1">
        <v>2011</v>
      </c>
      <c r="Q1057" s="1">
        <v>2012</v>
      </c>
      <c r="R1057" s="1">
        <v>2013</v>
      </c>
      <c r="S1057" s="1">
        <v>2014</v>
      </c>
      <c r="T1057" s="1">
        <v>2015</v>
      </c>
      <c r="U1057" s="1">
        <v>2016</v>
      </c>
      <c r="V1057" s="1">
        <v>2017</v>
      </c>
      <c r="W1057" s="1">
        <v>2018</v>
      </c>
      <c r="X1057" s="1">
        <v>2019</v>
      </c>
      <c r="Y1057" s="1">
        <v>2020</v>
      </c>
      <c r="Z1057" s="1">
        <v>2021</v>
      </c>
      <c r="AA1057" s="1">
        <v>2022</v>
      </c>
      <c r="AB1057" s="1">
        <v>2023</v>
      </c>
      <c r="AC1057" s="1">
        <v>2024</v>
      </c>
      <c r="AD1057" s="1">
        <v>2025</v>
      </c>
      <c r="AE1057" s="1">
        <v>2026</v>
      </c>
      <c r="AF1057" s="1">
        <v>2027</v>
      </c>
      <c r="AG1057" s="1">
        <v>2028</v>
      </c>
      <c r="AH1057" s="1">
        <v>2029</v>
      </c>
      <c r="AI1057" s="1">
        <v>2030</v>
      </c>
      <c r="AJ1057" s="1">
        <v>2031</v>
      </c>
      <c r="AK1057" s="1">
        <v>2032</v>
      </c>
      <c r="AL1057" s="1">
        <v>2033</v>
      </c>
      <c r="AM1057" s="1">
        <v>2034</v>
      </c>
      <c r="AN1057" s="1">
        <v>2035</v>
      </c>
      <c r="AO1057" s="1">
        <v>2036</v>
      </c>
      <c r="AP1057" s="1">
        <v>2037</v>
      </c>
      <c r="AQ1057" s="1">
        <v>2038</v>
      </c>
      <c r="AR1057" s="1">
        <v>2039</v>
      </c>
      <c r="AS1057" s="1">
        <v>2040</v>
      </c>
      <c r="AT1057" s="1">
        <v>2041</v>
      </c>
      <c r="AU1057" s="1">
        <v>2042</v>
      </c>
      <c r="AV1057" s="1">
        <v>2043</v>
      </c>
      <c r="AW1057" s="1">
        <v>2044</v>
      </c>
      <c r="AX1057" s="1">
        <v>2045</v>
      </c>
      <c r="AY1057" s="1">
        <v>2046</v>
      </c>
      <c r="AZ1057" s="1">
        <v>2047</v>
      </c>
      <c r="BA1057" s="1">
        <v>2048</v>
      </c>
      <c r="BB1057" s="1">
        <v>2049</v>
      </c>
      <c r="BC1057" s="1">
        <v>2050</v>
      </c>
    </row>
    <row r="1058" spans="1:55">
      <c r="A1058" s="1" t="str">
        <f>'Population Definitions'!$A$2</f>
        <v>PWID_males</v>
      </c>
      <c r="C1058" t="s">
        <v>34</v>
      </c>
      <c r="D1058" s="3"/>
      <c r="E1058" s="3">
        <v>0</v>
      </c>
      <c r="F1058" s="3"/>
      <c r="G1058" s="3"/>
      <c r="H1058" s="3"/>
      <c r="I1058" s="3"/>
      <c r="J1058" s="3"/>
      <c r="K1058" s="3"/>
      <c r="L1058" s="3"/>
      <c r="M1058" s="3"/>
      <c r="N1058" s="3"/>
      <c r="O1058" s="3"/>
      <c r="P1058" s="3"/>
      <c r="Q1058" s="3"/>
      <c r="R1058" s="3"/>
      <c r="S1058" s="3"/>
      <c r="T1058" s="3"/>
      <c r="U1058" s="3"/>
      <c r="V1058" s="3"/>
      <c r="W1058" s="3"/>
      <c r="X1058" s="3"/>
      <c r="Y1058" s="3"/>
      <c r="Z1058" s="3"/>
      <c r="AA1058" s="3"/>
      <c r="AB1058" s="3"/>
      <c r="AC1058" s="3"/>
      <c r="AD1058" s="3"/>
      <c r="AE1058" s="3"/>
      <c r="AF1058" s="3"/>
      <c r="AG1058" s="3"/>
      <c r="AH1058" s="3"/>
      <c r="AI1058" s="3"/>
      <c r="AJ1058" s="3"/>
      <c r="AK1058" s="3"/>
      <c r="AL1058" s="3"/>
      <c r="AM1058" s="3"/>
      <c r="AN1058" s="3"/>
      <c r="AO1058" s="3"/>
      <c r="AP1058" s="3"/>
      <c r="AQ1058" s="3"/>
      <c r="AR1058" s="3"/>
      <c r="AS1058" s="3"/>
      <c r="AT1058" s="3"/>
      <c r="AU1058" s="3"/>
      <c r="AV1058" s="3"/>
      <c r="AW1058" s="3"/>
      <c r="AX1058" s="3"/>
      <c r="AY1058" s="3"/>
      <c r="AZ1058" s="3"/>
      <c r="BA1058" s="3"/>
      <c r="BB1058" s="3"/>
      <c r="BC1058" s="3"/>
    </row>
    <row r="1059" spans="1:55">
      <c r="A1059" s="1" t="str">
        <f>'Population Definitions'!$A$3</f>
        <v>PWID_females</v>
      </c>
      <c r="C1059" t="s">
        <v>34</v>
      </c>
      <c r="D1059" s="3"/>
      <c r="E1059" s="3">
        <v>0</v>
      </c>
      <c r="F1059" s="3"/>
      <c r="G1059" s="3"/>
      <c r="H1059" s="3"/>
      <c r="I1059" s="3"/>
      <c r="J1059" s="3"/>
      <c r="K1059" s="3"/>
      <c r="L1059" s="3"/>
      <c r="M1059" s="3"/>
      <c r="N1059" s="3"/>
      <c r="O1059" s="3"/>
      <c r="P1059" s="3"/>
      <c r="Q1059" s="3"/>
      <c r="R1059" s="3"/>
      <c r="S1059" s="3"/>
      <c r="T1059" s="3"/>
      <c r="U1059" s="3"/>
      <c r="V1059" s="3"/>
      <c r="W1059" s="3"/>
      <c r="X1059" s="3"/>
      <c r="Y1059" s="3"/>
      <c r="Z1059" s="3"/>
      <c r="AA1059" s="3"/>
      <c r="AB1059" s="3"/>
      <c r="AC1059" s="3"/>
      <c r="AD1059" s="3"/>
      <c r="AE1059" s="3"/>
      <c r="AF1059" s="3"/>
      <c r="AG1059" s="3"/>
      <c r="AH1059" s="3"/>
      <c r="AI1059" s="3"/>
      <c r="AJ1059" s="3"/>
      <c r="AK1059" s="3"/>
      <c r="AL1059" s="3"/>
      <c r="AM1059" s="3"/>
      <c r="AN1059" s="3"/>
      <c r="AO1059" s="3"/>
      <c r="AP1059" s="3"/>
      <c r="AQ1059" s="3"/>
      <c r="AR1059" s="3"/>
      <c r="AS1059" s="3"/>
      <c r="AT1059" s="3"/>
      <c r="AU1059" s="3"/>
      <c r="AV1059" s="3"/>
      <c r="AW1059" s="3"/>
      <c r="AX1059" s="3"/>
      <c r="AY1059" s="3"/>
      <c r="AZ1059" s="3"/>
      <c r="BA1059" s="3"/>
      <c r="BB1059" s="3"/>
      <c r="BC1059" s="3"/>
    </row>
    <row r="1060" spans="1:55">
      <c r="A1060" s="1" t="str">
        <f>'Population Definitions'!$A$4</f>
        <v>0-9_males</v>
      </c>
      <c r="C1060" t="s">
        <v>34</v>
      </c>
      <c r="D1060" s="3"/>
      <c r="E1060" s="3">
        <v>0</v>
      </c>
      <c r="F1060" s="3"/>
      <c r="G1060" s="3"/>
      <c r="H1060" s="3"/>
      <c r="I1060" s="3"/>
      <c r="J1060" s="3"/>
      <c r="K1060" s="3"/>
      <c r="L1060" s="3"/>
      <c r="M1060" s="3"/>
      <c r="N1060" s="3"/>
      <c r="O1060" s="3"/>
      <c r="P1060" s="3"/>
      <c r="Q1060" s="3"/>
      <c r="R1060" s="3"/>
      <c r="S1060" s="3"/>
      <c r="T1060" s="3"/>
      <c r="U1060" s="3"/>
      <c r="V1060" s="3"/>
      <c r="W1060" s="3"/>
      <c r="X1060" s="3"/>
      <c r="Y1060" s="3"/>
      <c r="Z1060" s="3"/>
      <c r="AA1060" s="3"/>
      <c r="AB1060" s="3"/>
      <c r="AC1060" s="3"/>
      <c r="AD1060" s="3"/>
      <c r="AE1060" s="3"/>
      <c r="AF1060" s="3"/>
      <c r="AG1060" s="3"/>
      <c r="AH1060" s="3"/>
      <c r="AI1060" s="3"/>
      <c r="AJ1060" s="3"/>
      <c r="AK1060" s="3"/>
      <c r="AL1060" s="3"/>
      <c r="AM1060" s="3"/>
      <c r="AN1060" s="3"/>
      <c r="AO1060" s="3"/>
      <c r="AP1060" s="3"/>
      <c r="AQ1060" s="3"/>
      <c r="AR1060" s="3"/>
      <c r="AS1060" s="3"/>
      <c r="AT1060" s="3"/>
      <c r="AU1060" s="3"/>
      <c r="AV1060" s="3"/>
      <c r="AW1060" s="3"/>
      <c r="AX1060" s="3"/>
      <c r="AY1060" s="3"/>
      <c r="AZ1060" s="3"/>
      <c r="BA1060" s="3"/>
      <c r="BB1060" s="3"/>
      <c r="BC1060" s="3"/>
    </row>
    <row r="1061" spans="1:55">
      <c r="A1061" s="1" t="str">
        <f>'Population Definitions'!$A$5</f>
        <v>0-9_females</v>
      </c>
      <c r="C1061" t="s">
        <v>34</v>
      </c>
      <c r="D1061" s="3"/>
      <c r="E1061" s="3">
        <v>0</v>
      </c>
      <c r="F1061" s="3"/>
      <c r="G1061" s="3"/>
      <c r="H1061" s="3"/>
      <c r="I1061" s="3"/>
      <c r="J1061" s="3"/>
      <c r="K1061" s="3"/>
      <c r="L1061" s="3"/>
      <c r="M1061" s="3"/>
      <c r="N1061" s="3"/>
      <c r="O1061" s="3"/>
      <c r="P1061" s="3"/>
      <c r="Q1061" s="3"/>
      <c r="R1061" s="3"/>
      <c r="S1061" s="3"/>
      <c r="T1061" s="3"/>
      <c r="U1061" s="3"/>
      <c r="V1061" s="3"/>
      <c r="W1061" s="3"/>
      <c r="X1061" s="3"/>
      <c r="Y1061" s="3"/>
      <c r="Z1061" s="3"/>
      <c r="AA1061" s="3"/>
      <c r="AB1061" s="3"/>
      <c r="AC1061" s="3"/>
      <c r="AD1061" s="3"/>
      <c r="AE1061" s="3"/>
      <c r="AF1061" s="3"/>
      <c r="AG1061" s="3"/>
      <c r="AH1061" s="3"/>
      <c r="AI1061" s="3"/>
      <c r="AJ1061" s="3"/>
      <c r="AK1061" s="3"/>
      <c r="AL1061" s="3"/>
      <c r="AM1061" s="3"/>
      <c r="AN1061" s="3"/>
      <c r="AO1061" s="3"/>
      <c r="AP1061" s="3"/>
      <c r="AQ1061" s="3"/>
      <c r="AR1061" s="3"/>
      <c r="AS1061" s="3"/>
      <c r="AT1061" s="3"/>
      <c r="AU1061" s="3"/>
      <c r="AV1061" s="3"/>
      <c r="AW1061" s="3"/>
      <c r="AX1061" s="3"/>
      <c r="AY1061" s="3"/>
      <c r="AZ1061" s="3"/>
      <c r="BA1061" s="3"/>
      <c r="BB1061" s="3"/>
      <c r="BC1061" s="3"/>
    </row>
    <row r="1062" spans="1:55">
      <c r="A1062" s="1" t="str">
        <f>'Population Definitions'!$A$6</f>
        <v>10-17_males</v>
      </c>
      <c r="C1062" t="s">
        <v>34</v>
      </c>
      <c r="D1062" s="3"/>
      <c r="E1062" s="3">
        <v>0</v>
      </c>
      <c r="F1062" s="3"/>
      <c r="G1062" s="3"/>
      <c r="H1062" s="3"/>
      <c r="I1062" s="3"/>
      <c r="J1062" s="3"/>
      <c r="K1062" s="3"/>
      <c r="L1062" s="3"/>
      <c r="M1062" s="3"/>
      <c r="N1062" s="3"/>
      <c r="O1062" s="3"/>
      <c r="P1062" s="3"/>
      <c r="Q1062" s="3"/>
      <c r="R1062" s="3"/>
      <c r="S1062" s="3"/>
      <c r="T1062" s="3"/>
      <c r="U1062" s="3"/>
      <c r="V1062" s="3"/>
      <c r="W1062" s="3"/>
      <c r="X1062" s="3"/>
      <c r="Y1062" s="3"/>
      <c r="Z1062" s="3"/>
      <c r="AA1062" s="3"/>
      <c r="AB1062" s="3"/>
      <c r="AC1062" s="3"/>
      <c r="AD1062" s="3"/>
      <c r="AE1062" s="3"/>
      <c r="AF1062" s="3"/>
      <c r="AG1062" s="3"/>
      <c r="AH1062" s="3"/>
      <c r="AI1062" s="3"/>
      <c r="AJ1062" s="3"/>
      <c r="AK1062" s="3"/>
      <c r="AL1062" s="3"/>
      <c r="AM1062" s="3"/>
      <c r="AN1062" s="3"/>
      <c r="AO1062" s="3"/>
      <c r="AP1062" s="3"/>
      <c r="AQ1062" s="3"/>
      <c r="AR1062" s="3"/>
      <c r="AS1062" s="3"/>
      <c r="AT1062" s="3"/>
      <c r="AU1062" s="3"/>
      <c r="AV1062" s="3"/>
      <c r="AW1062" s="3"/>
      <c r="AX1062" s="3"/>
      <c r="AY1062" s="3"/>
      <c r="AZ1062" s="3"/>
      <c r="BA1062" s="3"/>
      <c r="BB1062" s="3"/>
      <c r="BC1062" s="3"/>
    </row>
    <row r="1063" spans="1:55">
      <c r="A1063" s="1" t="str">
        <f>'Population Definitions'!$A$7</f>
        <v>10-17_females</v>
      </c>
      <c r="C1063" t="s">
        <v>34</v>
      </c>
      <c r="D1063" s="3"/>
      <c r="E1063" s="3">
        <v>0</v>
      </c>
      <c r="F1063" s="3"/>
      <c r="G1063" s="3"/>
      <c r="H1063" s="3"/>
      <c r="I1063" s="3"/>
      <c r="J1063" s="3"/>
      <c r="K1063" s="3"/>
      <c r="L1063" s="3"/>
      <c r="M1063" s="3"/>
      <c r="N1063" s="3"/>
      <c r="O1063" s="3"/>
      <c r="P1063" s="3"/>
      <c r="Q1063" s="3"/>
      <c r="R1063" s="3"/>
      <c r="S1063" s="3"/>
      <c r="T1063" s="3"/>
      <c r="U1063" s="3"/>
      <c r="V1063" s="3"/>
      <c r="W1063" s="3"/>
      <c r="X1063" s="3"/>
      <c r="Y1063" s="3"/>
      <c r="Z1063" s="3"/>
      <c r="AA1063" s="3"/>
      <c r="AB1063" s="3"/>
      <c r="AC1063" s="3"/>
      <c r="AD1063" s="3"/>
      <c r="AE1063" s="3"/>
      <c r="AF1063" s="3"/>
      <c r="AG1063" s="3"/>
      <c r="AH1063" s="3"/>
      <c r="AI1063" s="3"/>
      <c r="AJ1063" s="3"/>
      <c r="AK1063" s="3"/>
      <c r="AL1063" s="3"/>
      <c r="AM1063" s="3"/>
      <c r="AN1063" s="3"/>
      <c r="AO1063" s="3"/>
      <c r="AP1063" s="3"/>
      <c r="AQ1063" s="3"/>
      <c r="AR1063" s="3"/>
      <c r="AS1063" s="3"/>
      <c r="AT1063" s="3"/>
      <c r="AU1063" s="3"/>
      <c r="AV1063" s="3"/>
      <c r="AW1063" s="3"/>
      <c r="AX1063" s="3"/>
      <c r="AY1063" s="3"/>
      <c r="AZ1063" s="3"/>
      <c r="BA1063" s="3"/>
      <c r="BB1063" s="3"/>
      <c r="BC1063" s="3"/>
    </row>
    <row r="1064" spans="1:55">
      <c r="A1064" s="1" t="str">
        <f>'Population Definitions'!$A$8</f>
        <v>18-64_males</v>
      </c>
      <c r="C1064" t="s">
        <v>34</v>
      </c>
      <c r="D1064" s="3"/>
      <c r="E1064" s="3">
        <v>0</v>
      </c>
      <c r="F1064" s="3"/>
      <c r="G1064" s="3"/>
      <c r="H1064" s="3"/>
      <c r="I1064" s="3"/>
      <c r="J1064" s="3"/>
      <c r="K1064" s="3"/>
      <c r="L1064" s="3"/>
      <c r="M1064" s="3"/>
      <c r="N1064" s="3"/>
      <c r="O1064" s="3"/>
      <c r="P1064" s="3"/>
      <c r="Q1064" s="3"/>
      <c r="R1064" s="3"/>
      <c r="S1064" s="3"/>
      <c r="T1064" s="3"/>
      <c r="U1064" s="3"/>
      <c r="V1064" s="3"/>
      <c r="W1064" s="3"/>
      <c r="X1064" s="3"/>
      <c r="Y1064" s="3"/>
      <c r="Z1064" s="3"/>
      <c r="AA1064" s="3"/>
      <c r="AB1064" s="3"/>
      <c r="AC1064" s="3"/>
      <c r="AD1064" s="3"/>
      <c r="AE1064" s="3"/>
      <c r="AF1064" s="3"/>
      <c r="AG1064" s="3"/>
      <c r="AH1064" s="3"/>
      <c r="AI1064" s="3"/>
      <c r="AJ1064" s="3"/>
      <c r="AK1064" s="3"/>
      <c r="AL1064" s="3"/>
      <c r="AM1064" s="3"/>
      <c r="AN1064" s="3"/>
      <c r="AO1064" s="3"/>
      <c r="AP1064" s="3"/>
      <c r="AQ1064" s="3"/>
      <c r="AR1064" s="3"/>
      <c r="AS1064" s="3"/>
      <c r="AT1064" s="3"/>
      <c r="AU1064" s="3"/>
      <c r="AV1064" s="3"/>
      <c r="AW1064" s="3"/>
      <c r="AX1064" s="3"/>
      <c r="AY1064" s="3"/>
      <c r="AZ1064" s="3"/>
      <c r="BA1064" s="3"/>
      <c r="BB1064" s="3"/>
      <c r="BC1064" s="3"/>
    </row>
    <row r="1065" spans="1:55">
      <c r="A1065" s="1" t="str">
        <f>'Population Definitions'!$A$9</f>
        <v>18-64_females</v>
      </c>
      <c r="C1065" t="s">
        <v>34</v>
      </c>
      <c r="D1065" s="3"/>
      <c r="E1065" s="3">
        <v>0</v>
      </c>
      <c r="F1065" s="3"/>
      <c r="G1065" s="3"/>
      <c r="H1065" s="3"/>
      <c r="I1065" s="3"/>
      <c r="J1065" s="3"/>
      <c r="K1065" s="3"/>
      <c r="L1065" s="3"/>
      <c r="M1065" s="3"/>
      <c r="N1065" s="3"/>
      <c r="O1065" s="3"/>
      <c r="P1065" s="3"/>
      <c r="Q1065" s="3"/>
      <c r="R1065" s="3"/>
      <c r="S1065" s="3"/>
      <c r="T1065" s="3"/>
      <c r="U1065" s="3"/>
      <c r="V1065" s="3"/>
      <c r="W1065" s="3"/>
      <c r="X1065" s="3"/>
      <c r="Y1065" s="3"/>
      <c r="Z1065" s="3"/>
      <c r="AA1065" s="3"/>
      <c r="AB1065" s="3"/>
      <c r="AC1065" s="3"/>
      <c r="AD1065" s="3"/>
      <c r="AE1065" s="3"/>
      <c r="AF1065" s="3"/>
      <c r="AG1065" s="3"/>
      <c r="AH1065" s="3"/>
      <c r="AI1065" s="3"/>
      <c r="AJ1065" s="3"/>
      <c r="AK1065" s="3"/>
      <c r="AL1065" s="3"/>
      <c r="AM1065" s="3"/>
      <c r="AN1065" s="3"/>
      <c r="AO1065" s="3"/>
      <c r="AP1065" s="3"/>
      <c r="AQ1065" s="3"/>
      <c r="AR1065" s="3"/>
      <c r="AS1065" s="3"/>
      <c r="AT1065" s="3"/>
      <c r="AU1065" s="3"/>
      <c r="AV1065" s="3"/>
      <c r="AW1065" s="3"/>
      <c r="AX1065" s="3"/>
      <c r="AY1065" s="3"/>
      <c r="AZ1065" s="3"/>
      <c r="BA1065" s="3"/>
      <c r="BB1065" s="3"/>
      <c r="BC1065" s="3"/>
    </row>
    <row r="1066" spans="1:55">
      <c r="A1066" s="1" t="str">
        <f>'Population Definitions'!$A$10</f>
        <v>65+_males</v>
      </c>
      <c r="C1066" t="s">
        <v>34</v>
      </c>
      <c r="D1066" s="3"/>
      <c r="E1066" s="3">
        <v>0</v>
      </c>
      <c r="F1066" s="3"/>
      <c r="G1066" s="3"/>
      <c r="H1066" s="3"/>
      <c r="I1066" s="3"/>
      <c r="J1066" s="3"/>
      <c r="K1066" s="3"/>
      <c r="L1066" s="3"/>
      <c r="M1066" s="3"/>
      <c r="N1066" s="3"/>
      <c r="O1066" s="3"/>
      <c r="P1066" s="3"/>
      <c r="Q1066" s="3"/>
      <c r="R1066" s="3"/>
      <c r="S1066" s="3"/>
      <c r="T1066" s="3"/>
      <c r="U1066" s="3"/>
      <c r="V1066" s="3"/>
      <c r="W1066" s="3"/>
      <c r="X1066" s="3"/>
      <c r="Y1066" s="3"/>
      <c r="Z1066" s="3"/>
      <c r="AA1066" s="3"/>
      <c r="AB1066" s="3"/>
      <c r="AC1066" s="3"/>
      <c r="AD1066" s="3"/>
      <c r="AE1066" s="3"/>
      <c r="AF1066" s="3"/>
      <c r="AG1066" s="3"/>
      <c r="AH1066" s="3"/>
      <c r="AI1066" s="3"/>
      <c r="AJ1066" s="3"/>
      <c r="AK1066" s="3"/>
      <c r="AL1066" s="3"/>
      <c r="AM1066" s="3"/>
      <c r="AN1066" s="3"/>
      <c r="AO1066" s="3"/>
      <c r="AP1066" s="3"/>
      <c r="AQ1066" s="3"/>
      <c r="AR1066" s="3"/>
      <c r="AS1066" s="3"/>
      <c r="AT1066" s="3"/>
      <c r="AU1066" s="3"/>
      <c r="AV1066" s="3"/>
      <c r="AW1066" s="3"/>
      <c r="AX1066" s="3"/>
      <c r="AY1066" s="3"/>
      <c r="AZ1066" s="3"/>
      <c r="BA1066" s="3"/>
      <c r="BB1066" s="3"/>
      <c r="BC1066" s="3"/>
    </row>
    <row r="1067" spans="1:55">
      <c r="A1067" s="1" t="str">
        <f>'Population Definitions'!$A$11</f>
        <v>65+_females</v>
      </c>
      <c r="C1067" t="s">
        <v>34</v>
      </c>
      <c r="D1067" s="3"/>
      <c r="E1067" s="3">
        <v>0</v>
      </c>
      <c r="F1067" s="3"/>
      <c r="G1067" s="3"/>
      <c r="H1067" s="3"/>
      <c r="I1067" s="3"/>
      <c r="J1067" s="3"/>
      <c r="K1067" s="3"/>
      <c r="L1067" s="3"/>
      <c r="M1067" s="3"/>
      <c r="N1067" s="3"/>
      <c r="O1067" s="3"/>
      <c r="P1067" s="3"/>
      <c r="Q1067" s="3"/>
      <c r="R1067" s="3"/>
      <c r="S1067" s="3"/>
      <c r="T1067" s="3"/>
      <c r="U1067" s="3"/>
      <c r="V1067" s="3"/>
      <c r="W1067" s="3"/>
      <c r="X1067" s="3"/>
      <c r="Y1067" s="3"/>
      <c r="Z1067" s="3"/>
      <c r="AA1067" s="3"/>
      <c r="AB1067" s="3"/>
      <c r="AC1067" s="3"/>
      <c r="AD1067" s="3"/>
      <c r="AE1067" s="3"/>
      <c r="AF1067" s="3"/>
      <c r="AG1067" s="3"/>
      <c r="AH1067" s="3"/>
      <c r="AI1067" s="3"/>
      <c r="AJ1067" s="3"/>
      <c r="AK1067" s="3"/>
      <c r="AL1067" s="3"/>
      <c r="AM1067" s="3"/>
      <c r="AN1067" s="3"/>
      <c r="AO1067" s="3"/>
      <c r="AP1067" s="3"/>
      <c r="AQ1067" s="3"/>
      <c r="AR1067" s="3"/>
      <c r="AS1067" s="3"/>
      <c r="AT1067" s="3"/>
      <c r="AU1067" s="3"/>
      <c r="AV1067" s="3"/>
      <c r="AW1067" s="3"/>
      <c r="AX1067" s="3"/>
      <c r="AY1067" s="3"/>
      <c r="AZ1067" s="3"/>
      <c r="BA1067" s="3"/>
      <c r="BB1067" s="3"/>
      <c r="BC1067" s="3"/>
    </row>
    <row r="1068" spans="1:55">
      <c r="A1068" s="1" t="str">
        <f>'Population Definitions'!$A$12</f>
        <v>Prisoners_males</v>
      </c>
      <c r="C1068" t="s">
        <v>34</v>
      </c>
      <c r="D1068" s="3"/>
      <c r="E1068" s="3">
        <v>0</v>
      </c>
      <c r="F1068" s="3"/>
      <c r="G1068" s="3"/>
      <c r="H1068" s="3"/>
      <c r="I1068" s="3"/>
      <c r="J1068" s="3"/>
      <c r="K1068" s="3"/>
      <c r="L1068" s="3"/>
      <c r="M1068" s="3"/>
      <c r="N1068" s="3"/>
      <c r="O1068" s="3"/>
      <c r="P1068" s="3"/>
      <c r="Q1068" s="3"/>
      <c r="R1068" s="3"/>
      <c r="S1068" s="3"/>
      <c r="T1068" s="3"/>
      <c r="U1068" s="3"/>
      <c r="V1068" s="3"/>
      <c r="W1068" s="3"/>
      <c r="X1068" s="3"/>
      <c r="Y1068" s="3"/>
      <c r="Z1068" s="3"/>
      <c r="AA1068" s="3"/>
      <c r="AB1068" s="3"/>
      <c r="AC1068" s="3"/>
      <c r="AD1068" s="3"/>
      <c r="AE1068" s="3"/>
      <c r="AF1068" s="3"/>
      <c r="AG1068" s="3"/>
      <c r="AH1068" s="3"/>
      <c r="AI1068" s="3"/>
      <c r="AJ1068" s="3"/>
      <c r="AK1068" s="3"/>
      <c r="AL1068" s="3"/>
      <c r="AM1068" s="3"/>
      <c r="AN1068" s="3"/>
      <c r="AO1068" s="3"/>
      <c r="AP1068" s="3"/>
      <c r="AQ1068" s="3"/>
      <c r="AR1068" s="3"/>
      <c r="AS1068" s="3"/>
      <c r="AT1068" s="3"/>
      <c r="AU1068" s="3"/>
      <c r="AV1068" s="3"/>
      <c r="AW1068" s="3"/>
      <c r="AX1068" s="3"/>
      <c r="AY1068" s="3"/>
      <c r="AZ1068" s="3"/>
      <c r="BA1068" s="3"/>
      <c r="BB1068" s="3"/>
      <c r="BC1068" s="3"/>
    </row>
    <row r="1069" spans="1:55">
      <c r="A1069" s="1" t="str">
        <f>'Population Definitions'!$A$13</f>
        <v>Prisoners_females</v>
      </c>
      <c r="C1069" t="s">
        <v>34</v>
      </c>
      <c r="D1069" s="3"/>
      <c r="E1069" s="3">
        <v>0</v>
      </c>
      <c r="F1069" s="3"/>
      <c r="G1069" s="3"/>
      <c r="H1069" s="3"/>
      <c r="I1069" s="3"/>
      <c r="J1069" s="3"/>
      <c r="K1069" s="3"/>
      <c r="L1069" s="3"/>
      <c r="M1069" s="3"/>
      <c r="N1069" s="3"/>
      <c r="O1069" s="3"/>
      <c r="P1069" s="3"/>
      <c r="Q1069" s="3"/>
      <c r="R1069" s="3"/>
      <c r="S1069" s="3"/>
      <c r="T1069" s="3"/>
      <c r="U1069" s="3"/>
      <c r="V1069" s="3"/>
      <c r="W1069" s="3"/>
      <c r="X1069" s="3"/>
      <c r="Y1069" s="3"/>
      <c r="Z1069" s="3"/>
      <c r="AA1069" s="3"/>
      <c r="AB1069" s="3"/>
      <c r="AC1069" s="3"/>
      <c r="AD1069" s="3"/>
      <c r="AE1069" s="3"/>
      <c r="AF1069" s="3"/>
      <c r="AG1069" s="3"/>
      <c r="AH1069" s="3"/>
      <c r="AI1069" s="3"/>
      <c r="AJ1069" s="3"/>
      <c r="AK1069" s="3"/>
      <c r="AL1069" s="3"/>
      <c r="AM1069" s="3"/>
      <c r="AN1069" s="3"/>
      <c r="AO1069" s="3"/>
      <c r="AP1069" s="3"/>
      <c r="AQ1069" s="3"/>
      <c r="AR1069" s="3"/>
      <c r="AS1069" s="3"/>
      <c r="AT1069" s="3"/>
      <c r="AU1069" s="3"/>
      <c r="AV1069" s="3"/>
      <c r="AW1069" s="3"/>
      <c r="AX1069" s="3"/>
      <c r="AY1069" s="3"/>
      <c r="AZ1069" s="3"/>
      <c r="BA1069" s="3"/>
      <c r="BB1069" s="3"/>
      <c r="BC1069" s="3"/>
    </row>
    <row r="1070" spans="1:55">
      <c r="A1070" s="1" t="str">
        <f>'Population Definitions'!$A$14</f>
        <v>Prisoners_PWID_males</v>
      </c>
      <c r="C1070" t="s">
        <v>34</v>
      </c>
      <c r="D1070" s="3"/>
      <c r="E1070" s="3">
        <v>0</v>
      </c>
      <c r="F1070" s="3"/>
      <c r="G1070" s="3"/>
      <c r="H1070" s="3"/>
      <c r="I1070" s="3"/>
      <c r="J1070" s="3"/>
      <c r="K1070" s="3"/>
      <c r="L1070" s="3"/>
      <c r="M1070" s="3"/>
      <c r="N1070" s="3"/>
      <c r="O1070" s="3"/>
      <c r="P1070" s="3"/>
      <c r="Q1070" s="3"/>
      <c r="R1070" s="3"/>
      <c r="S1070" s="3"/>
      <c r="T1070" s="3"/>
      <c r="U1070" s="3"/>
      <c r="V1070" s="3"/>
      <c r="W1070" s="3"/>
      <c r="X1070" s="3"/>
      <c r="Y1070" s="3"/>
      <c r="Z1070" s="3"/>
      <c r="AA1070" s="3"/>
      <c r="AB1070" s="3"/>
      <c r="AC1070" s="3"/>
      <c r="AD1070" s="3"/>
      <c r="AE1070" s="3"/>
      <c r="AF1070" s="3"/>
      <c r="AG1070" s="3"/>
      <c r="AH1070" s="3"/>
      <c r="AI1070" s="3"/>
      <c r="AJ1070" s="3"/>
      <c r="AK1070" s="3"/>
      <c r="AL1070" s="3"/>
      <c r="AM1070" s="3"/>
      <c r="AN1070" s="3"/>
      <c r="AO1070" s="3"/>
      <c r="AP1070" s="3"/>
      <c r="AQ1070" s="3"/>
      <c r="AR1070" s="3"/>
      <c r="AS1070" s="3"/>
      <c r="AT1070" s="3"/>
      <c r="AU1070" s="3"/>
      <c r="AV1070" s="3"/>
      <c r="AW1070" s="3"/>
      <c r="AX1070" s="3"/>
      <c r="AY1070" s="3"/>
      <c r="AZ1070" s="3"/>
      <c r="BA1070" s="3"/>
      <c r="BB1070" s="3"/>
      <c r="BC1070" s="3"/>
    </row>
    <row r="1071" spans="1:55">
      <c r="A1071" s="1" t="str">
        <f>'Population Definitions'!$A$15</f>
        <v>Prisoners_PWID_females</v>
      </c>
      <c r="C1071" t="s">
        <v>34</v>
      </c>
      <c r="D1071" s="3"/>
      <c r="E1071" s="3">
        <v>0</v>
      </c>
      <c r="F1071" s="3"/>
      <c r="G1071" s="3"/>
      <c r="H1071" s="3"/>
      <c r="I1071" s="3"/>
      <c r="J1071" s="3"/>
      <c r="K1071" s="3"/>
      <c r="L1071" s="3"/>
      <c r="M1071" s="3"/>
      <c r="N1071" s="3"/>
      <c r="O1071" s="3"/>
      <c r="P1071" s="3"/>
      <c r="Q1071" s="3"/>
      <c r="R1071" s="3"/>
      <c r="S1071" s="3"/>
      <c r="T1071" s="3"/>
      <c r="U1071" s="3"/>
      <c r="V1071" s="3"/>
      <c r="W1071" s="3"/>
      <c r="X1071" s="3"/>
      <c r="Y1071" s="3"/>
      <c r="Z1071" s="3"/>
      <c r="AA1071" s="3"/>
      <c r="AB1071" s="3"/>
      <c r="AC1071" s="3"/>
      <c r="AD1071" s="3"/>
      <c r="AE1071" s="3"/>
      <c r="AF1071" s="3"/>
      <c r="AG1071" s="3"/>
      <c r="AH1071" s="3"/>
      <c r="AI1071" s="3"/>
      <c r="AJ1071" s="3"/>
      <c r="AK1071" s="3"/>
      <c r="AL1071" s="3"/>
      <c r="AM1071" s="3"/>
      <c r="AN1071" s="3"/>
      <c r="AO1071" s="3"/>
      <c r="AP1071" s="3"/>
      <c r="AQ1071" s="3"/>
      <c r="AR1071" s="3"/>
      <c r="AS1071" s="3"/>
      <c r="AT1071" s="3"/>
      <c r="AU1071" s="3"/>
      <c r="AV1071" s="3"/>
      <c r="AW1071" s="3"/>
      <c r="AX1071" s="3"/>
      <c r="AY1071" s="3"/>
      <c r="AZ1071" s="3"/>
      <c r="BA1071" s="3"/>
      <c r="BB1071" s="3"/>
      <c r="BC1071" s="3"/>
    </row>
    <row r="1073" spans="1:55">
      <c r="A1073" s="1" t="s">
        <v>194</v>
      </c>
      <c r="B1073" s="1" t="s">
        <v>31</v>
      </c>
      <c r="C1073" s="1" t="s">
        <v>32</v>
      </c>
      <c r="D1073" s="1" t="s">
        <v>33</v>
      </c>
      <c r="E1073" s="1">
        <v>2000</v>
      </c>
      <c r="F1073" s="1">
        <v>2001</v>
      </c>
      <c r="G1073" s="1">
        <v>2002</v>
      </c>
      <c r="H1073" s="1">
        <v>2003</v>
      </c>
      <c r="I1073" s="1">
        <v>2004</v>
      </c>
      <c r="J1073" s="1">
        <v>2005</v>
      </c>
      <c r="K1073" s="1">
        <v>2006</v>
      </c>
      <c r="L1073" s="1">
        <v>2007</v>
      </c>
      <c r="M1073" s="1">
        <v>2008</v>
      </c>
      <c r="N1073" s="1">
        <v>2009</v>
      </c>
      <c r="O1073" s="1">
        <v>2010</v>
      </c>
      <c r="P1073" s="1">
        <v>2011</v>
      </c>
      <c r="Q1073" s="1">
        <v>2012</v>
      </c>
      <c r="R1073" s="1">
        <v>2013</v>
      </c>
      <c r="S1073" s="1">
        <v>2014</v>
      </c>
      <c r="T1073" s="1">
        <v>2015</v>
      </c>
      <c r="U1073" s="1">
        <v>2016</v>
      </c>
      <c r="V1073" s="1">
        <v>2017</v>
      </c>
      <c r="W1073" s="1">
        <v>2018</v>
      </c>
      <c r="X1073" s="1">
        <v>2019</v>
      </c>
      <c r="Y1073" s="1">
        <v>2020</v>
      </c>
      <c r="Z1073" s="1">
        <v>2021</v>
      </c>
      <c r="AA1073" s="1">
        <v>2022</v>
      </c>
      <c r="AB1073" s="1">
        <v>2023</v>
      </c>
      <c r="AC1073" s="1">
        <v>2024</v>
      </c>
      <c r="AD1073" s="1">
        <v>2025</v>
      </c>
      <c r="AE1073" s="1">
        <v>2026</v>
      </c>
      <c r="AF1073" s="1">
        <v>2027</v>
      </c>
      <c r="AG1073" s="1">
        <v>2028</v>
      </c>
      <c r="AH1073" s="1">
        <v>2029</v>
      </c>
      <c r="AI1073" s="1">
        <v>2030</v>
      </c>
      <c r="AJ1073" s="1">
        <v>2031</v>
      </c>
      <c r="AK1073" s="1">
        <v>2032</v>
      </c>
      <c r="AL1073" s="1">
        <v>2033</v>
      </c>
      <c r="AM1073" s="1">
        <v>2034</v>
      </c>
      <c r="AN1073" s="1">
        <v>2035</v>
      </c>
      <c r="AO1073" s="1">
        <v>2036</v>
      </c>
      <c r="AP1073" s="1">
        <v>2037</v>
      </c>
      <c r="AQ1073" s="1">
        <v>2038</v>
      </c>
      <c r="AR1073" s="1">
        <v>2039</v>
      </c>
      <c r="AS1073" s="1">
        <v>2040</v>
      </c>
      <c r="AT1073" s="1">
        <v>2041</v>
      </c>
      <c r="AU1073" s="1">
        <v>2042</v>
      </c>
      <c r="AV1073" s="1">
        <v>2043</v>
      </c>
      <c r="AW1073" s="1">
        <v>2044</v>
      </c>
      <c r="AX1073" s="1">
        <v>2045</v>
      </c>
      <c r="AY1073" s="1">
        <v>2046</v>
      </c>
      <c r="AZ1073" s="1">
        <v>2047</v>
      </c>
      <c r="BA1073" s="1">
        <v>2048</v>
      </c>
      <c r="BB1073" s="1">
        <v>2049</v>
      </c>
      <c r="BC1073" s="1">
        <v>2050</v>
      </c>
    </row>
    <row r="1074" spans="1:55">
      <c r="A1074" s="1" t="str">
        <f>'Population Definitions'!$A$2</f>
        <v>PWID_males</v>
      </c>
      <c r="C1074" t="s">
        <v>34</v>
      </c>
      <c r="D1074" s="3"/>
      <c r="E1074" s="3">
        <v>0</v>
      </c>
      <c r="F1074" s="3"/>
      <c r="G1074" s="3"/>
      <c r="H1074" s="3"/>
      <c r="I1074" s="3"/>
      <c r="J1074" s="3"/>
      <c r="K1074" s="3"/>
      <c r="L1074" s="3"/>
      <c r="M1074" s="3"/>
      <c r="N1074" s="3"/>
      <c r="O1074" s="3"/>
      <c r="P1074" s="3"/>
      <c r="Q1074" s="3"/>
      <c r="R1074" s="3"/>
      <c r="S1074" s="3"/>
      <c r="T1074" s="3"/>
      <c r="U1074" s="3"/>
      <c r="V1074" s="3"/>
      <c r="W1074" s="3"/>
      <c r="X1074" s="3"/>
      <c r="Y1074" s="3"/>
      <c r="Z1074" s="3"/>
      <c r="AA1074" s="3"/>
      <c r="AB1074" s="3"/>
      <c r="AC1074" s="3"/>
      <c r="AD1074" s="3"/>
      <c r="AE1074" s="3"/>
      <c r="AF1074" s="3"/>
      <c r="AG1074" s="3"/>
      <c r="AH1074" s="3"/>
      <c r="AI1074" s="3"/>
      <c r="AJ1074" s="3"/>
      <c r="AK1074" s="3"/>
      <c r="AL1074" s="3"/>
      <c r="AM1074" s="3"/>
      <c r="AN1074" s="3"/>
      <c r="AO1074" s="3"/>
      <c r="AP1074" s="3"/>
      <c r="AQ1074" s="3"/>
      <c r="AR1074" s="3"/>
      <c r="AS1074" s="3"/>
      <c r="AT1074" s="3"/>
      <c r="AU1074" s="3"/>
      <c r="AV1074" s="3"/>
      <c r="AW1074" s="3"/>
      <c r="AX1074" s="3"/>
      <c r="AY1074" s="3"/>
      <c r="AZ1074" s="3"/>
      <c r="BA1074" s="3"/>
      <c r="BB1074" s="3"/>
      <c r="BC1074" s="3"/>
    </row>
    <row r="1075" spans="1:55">
      <c r="A1075" s="1" t="str">
        <f>'Population Definitions'!$A$3</f>
        <v>PWID_females</v>
      </c>
      <c r="C1075" t="s">
        <v>34</v>
      </c>
      <c r="D1075" s="3"/>
      <c r="E1075" s="3">
        <v>0</v>
      </c>
      <c r="F1075" s="3"/>
      <c r="G1075" s="3"/>
      <c r="H1075" s="3"/>
      <c r="I1075" s="3"/>
      <c r="J1075" s="3"/>
      <c r="K1075" s="3"/>
      <c r="L1075" s="3"/>
      <c r="M1075" s="3"/>
      <c r="N1075" s="3"/>
      <c r="O1075" s="3"/>
      <c r="P1075" s="3"/>
      <c r="Q1075" s="3"/>
      <c r="R1075" s="3"/>
      <c r="S1075" s="3"/>
      <c r="T1075" s="3"/>
      <c r="U1075" s="3"/>
      <c r="V1075" s="3"/>
      <c r="W1075" s="3"/>
      <c r="X1075" s="3"/>
      <c r="Y1075" s="3"/>
      <c r="Z1075" s="3"/>
      <c r="AA1075" s="3"/>
      <c r="AB1075" s="3"/>
      <c r="AC1075" s="3"/>
      <c r="AD1075" s="3"/>
      <c r="AE1075" s="3"/>
      <c r="AF1075" s="3"/>
      <c r="AG1075" s="3"/>
      <c r="AH1075" s="3"/>
      <c r="AI1075" s="3"/>
      <c r="AJ1075" s="3"/>
      <c r="AK1075" s="3"/>
      <c r="AL1075" s="3"/>
      <c r="AM1075" s="3"/>
      <c r="AN1075" s="3"/>
      <c r="AO1075" s="3"/>
      <c r="AP1075" s="3"/>
      <c r="AQ1075" s="3"/>
      <c r="AR1075" s="3"/>
      <c r="AS1075" s="3"/>
      <c r="AT1075" s="3"/>
      <c r="AU1075" s="3"/>
      <c r="AV1075" s="3"/>
      <c r="AW1075" s="3"/>
      <c r="AX1075" s="3"/>
      <c r="AY1075" s="3"/>
      <c r="AZ1075" s="3"/>
      <c r="BA1075" s="3"/>
      <c r="BB1075" s="3"/>
      <c r="BC1075" s="3"/>
    </row>
    <row r="1076" spans="1:55">
      <c r="A1076" s="1" t="str">
        <f>'Population Definitions'!$A$4</f>
        <v>0-9_males</v>
      </c>
      <c r="C1076" t="s">
        <v>34</v>
      </c>
      <c r="D1076" s="3"/>
      <c r="E1076" s="3">
        <v>0</v>
      </c>
      <c r="F1076" s="3"/>
      <c r="G1076" s="3"/>
      <c r="H1076" s="3"/>
      <c r="I1076" s="3"/>
      <c r="J1076" s="3"/>
      <c r="K1076" s="3"/>
      <c r="L1076" s="3"/>
      <c r="M1076" s="3"/>
      <c r="N1076" s="3"/>
      <c r="O1076" s="3"/>
      <c r="P1076" s="3"/>
      <c r="Q1076" s="3"/>
      <c r="R1076" s="3"/>
      <c r="S1076" s="3"/>
      <c r="T1076" s="3"/>
      <c r="U1076" s="3"/>
      <c r="V1076" s="3"/>
      <c r="W1076" s="3"/>
      <c r="X1076" s="3"/>
      <c r="Y1076" s="3"/>
      <c r="Z1076" s="3"/>
      <c r="AA1076" s="3"/>
      <c r="AB1076" s="3"/>
      <c r="AC1076" s="3"/>
      <c r="AD1076" s="3"/>
      <c r="AE1076" s="3"/>
      <c r="AF1076" s="3"/>
      <c r="AG1076" s="3"/>
      <c r="AH1076" s="3"/>
      <c r="AI1076" s="3"/>
      <c r="AJ1076" s="3"/>
      <c r="AK1076" s="3"/>
      <c r="AL1076" s="3"/>
      <c r="AM1076" s="3"/>
      <c r="AN1076" s="3"/>
      <c r="AO1076" s="3"/>
      <c r="AP1076" s="3"/>
      <c r="AQ1076" s="3"/>
      <c r="AR1076" s="3"/>
      <c r="AS1076" s="3"/>
      <c r="AT1076" s="3"/>
      <c r="AU1076" s="3"/>
      <c r="AV1076" s="3"/>
      <c r="AW1076" s="3"/>
      <c r="AX1076" s="3"/>
      <c r="AY1076" s="3"/>
      <c r="AZ1076" s="3"/>
      <c r="BA1076" s="3"/>
      <c r="BB1076" s="3"/>
      <c r="BC1076" s="3"/>
    </row>
    <row r="1077" spans="1:55">
      <c r="A1077" s="1" t="str">
        <f>'Population Definitions'!$A$5</f>
        <v>0-9_females</v>
      </c>
      <c r="C1077" t="s">
        <v>34</v>
      </c>
      <c r="D1077" s="3"/>
      <c r="E1077" s="3">
        <v>0</v>
      </c>
      <c r="F1077" s="3"/>
      <c r="G1077" s="3"/>
      <c r="H1077" s="3"/>
      <c r="I1077" s="3"/>
      <c r="J1077" s="3"/>
      <c r="K1077" s="3"/>
      <c r="L1077" s="3"/>
      <c r="M1077" s="3"/>
      <c r="N1077" s="3"/>
      <c r="O1077" s="3"/>
      <c r="P1077" s="3"/>
      <c r="Q1077" s="3"/>
      <c r="R1077" s="3"/>
      <c r="S1077" s="3"/>
      <c r="T1077" s="3"/>
      <c r="U1077" s="3"/>
      <c r="V1077" s="3"/>
      <c r="W1077" s="3"/>
      <c r="X1077" s="3"/>
      <c r="Y1077" s="3"/>
      <c r="Z1077" s="3"/>
      <c r="AA1077" s="3"/>
      <c r="AB1077" s="3"/>
      <c r="AC1077" s="3"/>
      <c r="AD1077" s="3"/>
      <c r="AE1077" s="3"/>
      <c r="AF1077" s="3"/>
      <c r="AG1077" s="3"/>
      <c r="AH1077" s="3"/>
      <c r="AI1077" s="3"/>
      <c r="AJ1077" s="3"/>
      <c r="AK1077" s="3"/>
      <c r="AL1077" s="3"/>
      <c r="AM1077" s="3"/>
      <c r="AN1077" s="3"/>
      <c r="AO1077" s="3"/>
      <c r="AP1077" s="3"/>
      <c r="AQ1077" s="3"/>
      <c r="AR1077" s="3"/>
      <c r="AS1077" s="3"/>
      <c r="AT1077" s="3"/>
      <c r="AU1077" s="3"/>
      <c r="AV1077" s="3"/>
      <c r="AW1077" s="3"/>
      <c r="AX1077" s="3"/>
      <c r="AY1077" s="3"/>
      <c r="AZ1077" s="3"/>
      <c r="BA1077" s="3"/>
      <c r="BB1077" s="3"/>
      <c r="BC1077" s="3"/>
    </row>
    <row r="1078" spans="1:55">
      <c r="A1078" s="1" t="str">
        <f>'Population Definitions'!$A$6</f>
        <v>10-17_males</v>
      </c>
      <c r="C1078" t="s">
        <v>34</v>
      </c>
      <c r="D1078" s="3"/>
      <c r="E1078" s="3">
        <v>0</v>
      </c>
      <c r="F1078" s="3"/>
      <c r="G1078" s="3"/>
      <c r="H1078" s="3"/>
      <c r="I1078" s="3"/>
      <c r="J1078" s="3"/>
      <c r="K1078" s="3"/>
      <c r="L1078" s="3"/>
      <c r="M1078" s="3"/>
      <c r="N1078" s="3"/>
      <c r="O1078" s="3"/>
      <c r="P1078" s="3"/>
      <c r="Q1078" s="3"/>
      <c r="R1078" s="3"/>
      <c r="S1078" s="3"/>
      <c r="T1078" s="3"/>
      <c r="U1078" s="3"/>
      <c r="V1078" s="3"/>
      <c r="W1078" s="3"/>
      <c r="X1078" s="3"/>
      <c r="Y1078" s="3"/>
      <c r="Z1078" s="3"/>
      <c r="AA1078" s="3"/>
      <c r="AB1078" s="3"/>
      <c r="AC1078" s="3"/>
      <c r="AD1078" s="3"/>
      <c r="AE1078" s="3"/>
      <c r="AF1078" s="3"/>
      <c r="AG1078" s="3"/>
      <c r="AH1078" s="3"/>
      <c r="AI1078" s="3"/>
      <c r="AJ1078" s="3"/>
      <c r="AK1078" s="3"/>
      <c r="AL1078" s="3"/>
      <c r="AM1078" s="3"/>
      <c r="AN1078" s="3"/>
      <c r="AO1078" s="3"/>
      <c r="AP1078" s="3"/>
      <c r="AQ1078" s="3"/>
      <c r="AR1078" s="3"/>
      <c r="AS1078" s="3"/>
      <c r="AT1078" s="3"/>
      <c r="AU1078" s="3"/>
      <c r="AV1078" s="3"/>
      <c r="AW1078" s="3"/>
      <c r="AX1078" s="3"/>
      <c r="AY1078" s="3"/>
      <c r="AZ1078" s="3"/>
      <c r="BA1078" s="3"/>
      <c r="BB1078" s="3"/>
      <c r="BC1078" s="3"/>
    </row>
    <row r="1079" spans="1:55">
      <c r="A1079" s="1" t="str">
        <f>'Population Definitions'!$A$7</f>
        <v>10-17_females</v>
      </c>
      <c r="C1079" t="s">
        <v>34</v>
      </c>
      <c r="D1079" s="3"/>
      <c r="E1079" s="3">
        <v>0</v>
      </c>
      <c r="F1079" s="3"/>
      <c r="G1079" s="3"/>
      <c r="H1079" s="3"/>
      <c r="I1079" s="3"/>
      <c r="J1079" s="3"/>
      <c r="K1079" s="3"/>
      <c r="L1079" s="3"/>
      <c r="M1079" s="3"/>
      <c r="N1079" s="3"/>
      <c r="O1079" s="3"/>
      <c r="P1079" s="3"/>
      <c r="Q1079" s="3"/>
      <c r="R1079" s="3"/>
      <c r="S1079" s="3"/>
      <c r="T1079" s="3"/>
      <c r="U1079" s="3"/>
      <c r="V1079" s="3"/>
      <c r="W1079" s="3"/>
      <c r="X1079" s="3"/>
      <c r="Y1079" s="3"/>
      <c r="Z1079" s="3"/>
      <c r="AA1079" s="3"/>
      <c r="AB1079" s="3"/>
      <c r="AC1079" s="3"/>
      <c r="AD1079" s="3"/>
      <c r="AE1079" s="3"/>
      <c r="AF1079" s="3"/>
      <c r="AG1079" s="3"/>
      <c r="AH1079" s="3"/>
      <c r="AI1079" s="3"/>
      <c r="AJ1079" s="3"/>
      <c r="AK1079" s="3"/>
      <c r="AL1079" s="3"/>
      <c r="AM1079" s="3"/>
      <c r="AN1079" s="3"/>
      <c r="AO1079" s="3"/>
      <c r="AP1079" s="3"/>
      <c r="AQ1079" s="3"/>
      <c r="AR1079" s="3"/>
      <c r="AS1079" s="3"/>
      <c r="AT1079" s="3"/>
      <c r="AU1079" s="3"/>
      <c r="AV1079" s="3"/>
      <c r="AW1079" s="3"/>
      <c r="AX1079" s="3"/>
      <c r="AY1079" s="3"/>
      <c r="AZ1079" s="3"/>
      <c r="BA1079" s="3"/>
      <c r="BB1079" s="3"/>
      <c r="BC1079" s="3"/>
    </row>
    <row r="1080" spans="1:55">
      <c r="A1080" s="1" t="str">
        <f>'Population Definitions'!$A$8</f>
        <v>18-64_males</v>
      </c>
      <c r="C1080" t="s">
        <v>34</v>
      </c>
      <c r="D1080" s="3"/>
      <c r="E1080" s="3">
        <v>0</v>
      </c>
      <c r="F1080" s="3"/>
      <c r="G1080" s="3"/>
      <c r="H1080" s="3"/>
      <c r="I1080" s="3"/>
      <c r="J1080" s="3"/>
      <c r="K1080" s="3"/>
      <c r="L1080" s="3"/>
      <c r="M1080" s="3"/>
      <c r="N1080" s="3"/>
      <c r="O1080" s="3"/>
      <c r="P1080" s="3"/>
      <c r="Q1080" s="3"/>
      <c r="R1080" s="3"/>
      <c r="S1080" s="3"/>
      <c r="T1080" s="3"/>
      <c r="U1080" s="3"/>
      <c r="V1080" s="3"/>
      <c r="W1080" s="3"/>
      <c r="X1080" s="3"/>
      <c r="Y1080" s="3"/>
      <c r="Z1080" s="3"/>
      <c r="AA1080" s="3"/>
      <c r="AB1080" s="3"/>
      <c r="AC1080" s="3"/>
      <c r="AD1080" s="3"/>
      <c r="AE1080" s="3"/>
      <c r="AF1080" s="3"/>
      <c r="AG1080" s="3"/>
      <c r="AH1080" s="3"/>
      <c r="AI1080" s="3"/>
      <c r="AJ1080" s="3"/>
      <c r="AK1080" s="3"/>
      <c r="AL1080" s="3"/>
      <c r="AM1080" s="3"/>
      <c r="AN1080" s="3"/>
      <c r="AO1080" s="3"/>
      <c r="AP1080" s="3"/>
      <c r="AQ1080" s="3"/>
      <c r="AR1080" s="3"/>
      <c r="AS1080" s="3"/>
      <c r="AT1080" s="3"/>
      <c r="AU1080" s="3"/>
      <c r="AV1080" s="3"/>
      <c r="AW1080" s="3"/>
      <c r="AX1080" s="3"/>
      <c r="AY1080" s="3"/>
      <c r="AZ1080" s="3"/>
      <c r="BA1080" s="3"/>
      <c r="BB1080" s="3"/>
      <c r="BC1080" s="3"/>
    </row>
    <row r="1081" spans="1:55">
      <c r="A1081" s="1" t="str">
        <f>'Population Definitions'!$A$9</f>
        <v>18-64_females</v>
      </c>
      <c r="C1081" t="s">
        <v>34</v>
      </c>
      <c r="D1081" s="3"/>
      <c r="E1081" s="3">
        <v>0</v>
      </c>
      <c r="F1081" s="3"/>
      <c r="G1081" s="3"/>
      <c r="H1081" s="3"/>
      <c r="I1081" s="3"/>
      <c r="J1081" s="3"/>
      <c r="K1081" s="3"/>
      <c r="L1081" s="3"/>
      <c r="M1081" s="3"/>
      <c r="N1081" s="3"/>
      <c r="O1081" s="3"/>
      <c r="P1081" s="3"/>
      <c r="Q1081" s="3"/>
      <c r="R1081" s="3"/>
      <c r="S1081" s="3"/>
      <c r="T1081" s="3"/>
      <c r="U1081" s="3"/>
      <c r="V1081" s="3"/>
      <c r="W1081" s="3"/>
      <c r="X1081" s="3"/>
      <c r="Y1081" s="3"/>
      <c r="Z1081" s="3"/>
      <c r="AA1081" s="3"/>
      <c r="AB1081" s="3"/>
      <c r="AC1081" s="3"/>
      <c r="AD1081" s="3"/>
      <c r="AE1081" s="3"/>
      <c r="AF1081" s="3"/>
      <c r="AG1081" s="3"/>
      <c r="AH1081" s="3"/>
      <c r="AI1081" s="3"/>
      <c r="AJ1081" s="3"/>
      <c r="AK1081" s="3"/>
      <c r="AL1081" s="3"/>
      <c r="AM1081" s="3"/>
      <c r="AN1081" s="3"/>
      <c r="AO1081" s="3"/>
      <c r="AP1081" s="3"/>
      <c r="AQ1081" s="3"/>
      <c r="AR1081" s="3"/>
      <c r="AS1081" s="3"/>
      <c r="AT1081" s="3"/>
      <c r="AU1081" s="3"/>
      <c r="AV1081" s="3"/>
      <c r="AW1081" s="3"/>
      <c r="AX1081" s="3"/>
      <c r="AY1081" s="3"/>
      <c r="AZ1081" s="3"/>
      <c r="BA1081" s="3"/>
      <c r="BB1081" s="3"/>
      <c r="BC1081" s="3"/>
    </row>
    <row r="1082" spans="1:55">
      <c r="A1082" s="1" t="str">
        <f>'Population Definitions'!$A$10</f>
        <v>65+_males</v>
      </c>
      <c r="C1082" t="s">
        <v>34</v>
      </c>
      <c r="D1082" s="3"/>
      <c r="E1082" s="3">
        <v>0</v>
      </c>
      <c r="F1082" s="3"/>
      <c r="G1082" s="3"/>
      <c r="H1082" s="3"/>
      <c r="I1082" s="3"/>
      <c r="J1082" s="3"/>
      <c r="K1082" s="3"/>
      <c r="L1082" s="3"/>
      <c r="M1082" s="3"/>
      <c r="N1082" s="3"/>
      <c r="O1082" s="3"/>
      <c r="P1082" s="3"/>
      <c r="Q1082" s="3"/>
      <c r="R1082" s="3"/>
      <c r="S1082" s="3"/>
      <c r="T1082" s="3"/>
      <c r="U1082" s="3"/>
      <c r="V1082" s="3"/>
      <c r="W1082" s="3"/>
      <c r="X1082" s="3"/>
      <c r="Y1082" s="3"/>
      <c r="Z1082" s="3"/>
      <c r="AA1082" s="3"/>
      <c r="AB1082" s="3"/>
      <c r="AC1082" s="3"/>
      <c r="AD1082" s="3"/>
      <c r="AE1082" s="3"/>
      <c r="AF1082" s="3"/>
      <c r="AG1082" s="3"/>
      <c r="AH1082" s="3"/>
      <c r="AI1082" s="3"/>
      <c r="AJ1082" s="3"/>
      <c r="AK1082" s="3"/>
      <c r="AL1082" s="3"/>
      <c r="AM1082" s="3"/>
      <c r="AN1082" s="3"/>
      <c r="AO1082" s="3"/>
      <c r="AP1082" s="3"/>
      <c r="AQ1082" s="3"/>
      <c r="AR1082" s="3"/>
      <c r="AS1082" s="3"/>
      <c r="AT1082" s="3"/>
      <c r="AU1082" s="3"/>
      <c r="AV1082" s="3"/>
      <c r="AW1082" s="3"/>
      <c r="AX1082" s="3"/>
      <c r="AY1082" s="3"/>
      <c r="AZ1082" s="3"/>
      <c r="BA1082" s="3"/>
      <c r="BB1082" s="3"/>
      <c r="BC1082" s="3"/>
    </row>
    <row r="1083" spans="1:55">
      <c r="A1083" s="1" t="str">
        <f>'Population Definitions'!$A$11</f>
        <v>65+_females</v>
      </c>
      <c r="C1083" t="s">
        <v>34</v>
      </c>
      <c r="D1083" s="3"/>
      <c r="E1083" s="3">
        <v>0</v>
      </c>
      <c r="F1083" s="3"/>
      <c r="G1083" s="3"/>
      <c r="H1083" s="3"/>
      <c r="I1083" s="3"/>
      <c r="J1083" s="3"/>
      <c r="K1083" s="3"/>
      <c r="L1083" s="3"/>
      <c r="M1083" s="3"/>
      <c r="N1083" s="3"/>
      <c r="O1083" s="3"/>
      <c r="P1083" s="3"/>
      <c r="Q1083" s="3"/>
      <c r="R1083" s="3"/>
      <c r="S1083" s="3"/>
      <c r="T1083" s="3"/>
      <c r="U1083" s="3"/>
      <c r="V1083" s="3"/>
      <c r="W1083" s="3"/>
      <c r="X1083" s="3"/>
      <c r="Y1083" s="3"/>
      <c r="Z1083" s="3"/>
      <c r="AA1083" s="3"/>
      <c r="AB1083" s="3"/>
      <c r="AC1083" s="3"/>
      <c r="AD1083" s="3"/>
      <c r="AE1083" s="3"/>
      <c r="AF1083" s="3"/>
      <c r="AG1083" s="3"/>
      <c r="AH1083" s="3"/>
      <c r="AI1083" s="3"/>
      <c r="AJ1083" s="3"/>
      <c r="AK1083" s="3"/>
      <c r="AL1083" s="3"/>
      <c r="AM1083" s="3"/>
      <c r="AN1083" s="3"/>
      <c r="AO1083" s="3"/>
      <c r="AP1083" s="3"/>
      <c r="AQ1083" s="3"/>
      <c r="AR1083" s="3"/>
      <c r="AS1083" s="3"/>
      <c r="AT1083" s="3"/>
      <c r="AU1083" s="3"/>
      <c r="AV1083" s="3"/>
      <c r="AW1083" s="3"/>
      <c r="AX1083" s="3"/>
      <c r="AY1083" s="3"/>
      <c r="AZ1083" s="3"/>
      <c r="BA1083" s="3"/>
      <c r="BB1083" s="3"/>
      <c r="BC1083" s="3"/>
    </row>
    <row r="1084" spans="1:55">
      <c r="A1084" s="1" t="str">
        <f>'Population Definitions'!$A$12</f>
        <v>Prisoners_males</v>
      </c>
      <c r="C1084" t="s">
        <v>34</v>
      </c>
      <c r="D1084" s="3"/>
      <c r="E1084" s="3">
        <v>0</v>
      </c>
      <c r="F1084" s="3"/>
      <c r="G1084" s="3"/>
      <c r="H1084" s="3"/>
      <c r="I1084" s="3"/>
      <c r="J1084" s="3"/>
      <c r="K1084" s="3"/>
      <c r="L1084" s="3"/>
      <c r="M1084" s="3"/>
      <c r="N1084" s="3"/>
      <c r="O1084" s="3"/>
      <c r="P1084" s="3"/>
      <c r="Q1084" s="3"/>
      <c r="R1084" s="3"/>
      <c r="S1084" s="3"/>
      <c r="T1084" s="3"/>
      <c r="U1084" s="3"/>
      <c r="V1084" s="3"/>
      <c r="W1084" s="3"/>
      <c r="X1084" s="3"/>
      <c r="Y1084" s="3"/>
      <c r="Z1084" s="3"/>
      <c r="AA1084" s="3"/>
      <c r="AB1084" s="3"/>
      <c r="AC1084" s="3"/>
      <c r="AD1084" s="3"/>
      <c r="AE1084" s="3"/>
      <c r="AF1084" s="3"/>
      <c r="AG1084" s="3"/>
      <c r="AH1084" s="3"/>
      <c r="AI1084" s="3"/>
      <c r="AJ1084" s="3"/>
      <c r="AK1084" s="3"/>
      <c r="AL1084" s="3"/>
      <c r="AM1084" s="3"/>
      <c r="AN1084" s="3"/>
      <c r="AO1084" s="3"/>
      <c r="AP1084" s="3"/>
      <c r="AQ1084" s="3"/>
      <c r="AR1084" s="3"/>
      <c r="AS1084" s="3"/>
      <c r="AT1084" s="3"/>
      <c r="AU1084" s="3"/>
      <c r="AV1084" s="3"/>
      <c r="AW1084" s="3"/>
      <c r="AX1084" s="3"/>
      <c r="AY1084" s="3"/>
      <c r="AZ1084" s="3"/>
      <c r="BA1084" s="3"/>
      <c r="BB1084" s="3"/>
      <c r="BC1084" s="3"/>
    </row>
    <row r="1085" spans="1:55">
      <c r="A1085" s="1" t="str">
        <f>'Population Definitions'!$A$13</f>
        <v>Prisoners_females</v>
      </c>
      <c r="C1085" t="s">
        <v>34</v>
      </c>
      <c r="D1085" s="3"/>
      <c r="E1085" s="3">
        <v>0</v>
      </c>
      <c r="F1085" s="3"/>
      <c r="G1085" s="3"/>
      <c r="H1085" s="3"/>
      <c r="I1085" s="3"/>
      <c r="J1085" s="3"/>
      <c r="K1085" s="3"/>
      <c r="L1085" s="3"/>
      <c r="M1085" s="3"/>
      <c r="N1085" s="3"/>
      <c r="O1085" s="3"/>
      <c r="P1085" s="3"/>
      <c r="Q1085" s="3"/>
      <c r="R1085" s="3"/>
      <c r="S1085" s="3"/>
      <c r="T1085" s="3"/>
      <c r="U1085" s="3"/>
      <c r="V1085" s="3"/>
      <c r="W1085" s="3"/>
      <c r="X1085" s="3"/>
      <c r="Y1085" s="3"/>
      <c r="Z1085" s="3"/>
      <c r="AA1085" s="3"/>
      <c r="AB1085" s="3"/>
      <c r="AC1085" s="3"/>
      <c r="AD1085" s="3"/>
      <c r="AE1085" s="3"/>
      <c r="AF1085" s="3"/>
      <c r="AG1085" s="3"/>
      <c r="AH1085" s="3"/>
      <c r="AI1085" s="3"/>
      <c r="AJ1085" s="3"/>
      <c r="AK1085" s="3"/>
      <c r="AL1085" s="3"/>
      <c r="AM1085" s="3"/>
      <c r="AN1085" s="3"/>
      <c r="AO1085" s="3"/>
      <c r="AP1085" s="3"/>
      <c r="AQ1085" s="3"/>
      <c r="AR1085" s="3"/>
      <c r="AS1085" s="3"/>
      <c r="AT1085" s="3"/>
      <c r="AU1085" s="3"/>
      <c r="AV1085" s="3"/>
      <c r="AW1085" s="3"/>
      <c r="AX1085" s="3"/>
      <c r="AY1085" s="3"/>
      <c r="AZ1085" s="3"/>
      <c r="BA1085" s="3"/>
      <c r="BB1085" s="3"/>
      <c r="BC1085" s="3"/>
    </row>
    <row r="1086" spans="1:55">
      <c r="A1086" s="1" t="str">
        <f>'Population Definitions'!$A$14</f>
        <v>Prisoners_PWID_males</v>
      </c>
      <c r="C1086" t="s">
        <v>34</v>
      </c>
      <c r="D1086" s="3"/>
      <c r="E1086" s="3">
        <v>0</v>
      </c>
      <c r="F1086" s="3"/>
      <c r="G1086" s="3"/>
      <c r="H1086" s="3"/>
      <c r="I1086" s="3"/>
      <c r="J1086" s="3"/>
      <c r="K1086" s="3"/>
      <c r="L1086" s="3"/>
      <c r="M1086" s="3"/>
      <c r="N1086" s="3"/>
      <c r="O1086" s="3"/>
      <c r="P1086" s="3"/>
      <c r="Q1086" s="3"/>
      <c r="R1086" s="3"/>
      <c r="S1086" s="3"/>
      <c r="T1086" s="3"/>
      <c r="U1086" s="3"/>
      <c r="V1086" s="3"/>
      <c r="W1086" s="3"/>
      <c r="X1086" s="3"/>
      <c r="Y1086" s="3"/>
      <c r="Z1086" s="3"/>
      <c r="AA1086" s="3"/>
      <c r="AB1086" s="3"/>
      <c r="AC1086" s="3"/>
      <c r="AD1086" s="3"/>
      <c r="AE1086" s="3"/>
      <c r="AF1086" s="3"/>
      <c r="AG1086" s="3"/>
      <c r="AH1086" s="3"/>
      <c r="AI1086" s="3"/>
      <c r="AJ1086" s="3"/>
      <c r="AK1086" s="3"/>
      <c r="AL1086" s="3"/>
      <c r="AM1086" s="3"/>
      <c r="AN1086" s="3"/>
      <c r="AO1086" s="3"/>
      <c r="AP1086" s="3"/>
      <c r="AQ1086" s="3"/>
      <c r="AR1086" s="3"/>
      <c r="AS1086" s="3"/>
      <c r="AT1086" s="3"/>
      <c r="AU1086" s="3"/>
      <c r="AV1086" s="3"/>
      <c r="AW1086" s="3"/>
      <c r="AX1086" s="3"/>
      <c r="AY1086" s="3"/>
      <c r="AZ1086" s="3"/>
      <c r="BA1086" s="3"/>
      <c r="BB1086" s="3"/>
      <c r="BC1086" s="3"/>
    </row>
    <row r="1087" spans="1:55">
      <c r="A1087" s="1" t="str">
        <f>'Population Definitions'!$A$15</f>
        <v>Prisoners_PWID_females</v>
      </c>
      <c r="C1087" t="s">
        <v>34</v>
      </c>
      <c r="D1087" s="3"/>
      <c r="E1087" s="3">
        <v>0</v>
      </c>
      <c r="F1087" s="3"/>
      <c r="G1087" s="3"/>
      <c r="H1087" s="3"/>
      <c r="I1087" s="3"/>
      <c r="J1087" s="3"/>
      <c r="K1087" s="3"/>
      <c r="L1087" s="3"/>
      <c r="M1087" s="3"/>
      <c r="N1087" s="3"/>
      <c r="O1087" s="3"/>
      <c r="P1087" s="3"/>
      <c r="Q1087" s="3"/>
      <c r="R1087" s="3"/>
      <c r="S1087" s="3"/>
      <c r="T1087" s="3"/>
      <c r="U1087" s="3"/>
      <c r="V1087" s="3"/>
      <c r="W1087" s="3"/>
      <c r="X1087" s="3"/>
      <c r="Y1087" s="3"/>
      <c r="Z1087" s="3"/>
      <c r="AA1087" s="3"/>
      <c r="AB1087" s="3"/>
      <c r="AC1087" s="3"/>
      <c r="AD1087" s="3"/>
      <c r="AE1087" s="3"/>
      <c r="AF1087" s="3"/>
      <c r="AG1087" s="3"/>
      <c r="AH1087" s="3"/>
      <c r="AI1087" s="3"/>
      <c r="AJ1087" s="3"/>
      <c r="AK1087" s="3"/>
      <c r="AL1087" s="3"/>
      <c r="AM1087" s="3"/>
      <c r="AN1087" s="3"/>
      <c r="AO1087" s="3"/>
      <c r="AP1087" s="3"/>
      <c r="AQ1087" s="3"/>
      <c r="AR1087" s="3"/>
      <c r="AS1087" s="3"/>
      <c r="AT1087" s="3"/>
      <c r="AU1087" s="3"/>
      <c r="AV1087" s="3"/>
      <c r="AW1087" s="3"/>
      <c r="AX1087" s="3"/>
      <c r="AY1087" s="3"/>
      <c r="AZ1087" s="3"/>
      <c r="BA1087" s="3"/>
      <c r="BB1087" s="3"/>
      <c r="BC1087" s="3"/>
    </row>
    <row r="1089" spans="1:55">
      <c r="A1089" s="1" t="s">
        <v>195</v>
      </c>
      <c r="B1089" s="1" t="s">
        <v>31</v>
      </c>
      <c r="C1089" s="1" t="s">
        <v>32</v>
      </c>
      <c r="D1089" s="1" t="s">
        <v>33</v>
      </c>
      <c r="E1089" s="1">
        <v>2000</v>
      </c>
      <c r="F1089" s="1">
        <v>2001</v>
      </c>
      <c r="G1089" s="1">
        <v>2002</v>
      </c>
      <c r="H1089" s="1">
        <v>2003</v>
      </c>
      <c r="I1089" s="1">
        <v>2004</v>
      </c>
      <c r="J1089" s="1">
        <v>2005</v>
      </c>
      <c r="K1089" s="1">
        <v>2006</v>
      </c>
      <c r="L1089" s="1">
        <v>2007</v>
      </c>
      <c r="M1089" s="1">
        <v>2008</v>
      </c>
      <c r="N1089" s="1">
        <v>2009</v>
      </c>
      <c r="O1089" s="1">
        <v>2010</v>
      </c>
      <c r="P1089" s="1">
        <v>2011</v>
      </c>
      <c r="Q1089" s="1">
        <v>2012</v>
      </c>
      <c r="R1089" s="1">
        <v>2013</v>
      </c>
      <c r="S1089" s="1">
        <v>2014</v>
      </c>
      <c r="T1089" s="1">
        <v>2015</v>
      </c>
      <c r="U1089" s="1">
        <v>2016</v>
      </c>
      <c r="V1089" s="1">
        <v>2017</v>
      </c>
      <c r="W1089" s="1">
        <v>2018</v>
      </c>
      <c r="X1089" s="1">
        <v>2019</v>
      </c>
      <c r="Y1089" s="1">
        <v>2020</v>
      </c>
      <c r="Z1089" s="1">
        <v>2021</v>
      </c>
      <c r="AA1089" s="1">
        <v>2022</v>
      </c>
      <c r="AB1089" s="1">
        <v>2023</v>
      </c>
      <c r="AC1089" s="1">
        <v>2024</v>
      </c>
      <c r="AD1089" s="1">
        <v>2025</v>
      </c>
      <c r="AE1089" s="1">
        <v>2026</v>
      </c>
      <c r="AF1089" s="1">
        <v>2027</v>
      </c>
      <c r="AG1089" s="1">
        <v>2028</v>
      </c>
      <c r="AH1089" s="1">
        <v>2029</v>
      </c>
      <c r="AI1089" s="1">
        <v>2030</v>
      </c>
      <c r="AJ1089" s="1">
        <v>2031</v>
      </c>
      <c r="AK1089" s="1">
        <v>2032</v>
      </c>
      <c r="AL1089" s="1">
        <v>2033</v>
      </c>
      <c r="AM1089" s="1">
        <v>2034</v>
      </c>
      <c r="AN1089" s="1">
        <v>2035</v>
      </c>
      <c r="AO1089" s="1">
        <v>2036</v>
      </c>
      <c r="AP1089" s="1">
        <v>2037</v>
      </c>
      <c r="AQ1089" s="1">
        <v>2038</v>
      </c>
      <c r="AR1089" s="1">
        <v>2039</v>
      </c>
      <c r="AS1089" s="1">
        <v>2040</v>
      </c>
      <c r="AT1089" s="1">
        <v>2041</v>
      </c>
      <c r="AU1089" s="1">
        <v>2042</v>
      </c>
      <c r="AV1089" s="1">
        <v>2043</v>
      </c>
      <c r="AW1089" s="1">
        <v>2044</v>
      </c>
      <c r="AX1089" s="1">
        <v>2045</v>
      </c>
      <c r="AY1089" s="1">
        <v>2046</v>
      </c>
      <c r="AZ1089" s="1">
        <v>2047</v>
      </c>
      <c r="BA1089" s="1">
        <v>2048</v>
      </c>
      <c r="BB1089" s="1">
        <v>2049</v>
      </c>
      <c r="BC1089" s="1">
        <v>2050</v>
      </c>
    </row>
    <row r="1090" spans="1:55">
      <c r="A1090" s="1" t="str">
        <f>'Population Definitions'!$A$2</f>
        <v>PWID_males</v>
      </c>
      <c r="C1090" t="s">
        <v>34</v>
      </c>
      <c r="D1090" s="3"/>
      <c r="E1090" s="3">
        <v>0</v>
      </c>
      <c r="F1090" s="3"/>
      <c r="G1090" s="3"/>
      <c r="H1090" s="3"/>
      <c r="I1090" s="3"/>
      <c r="J1090" s="3"/>
      <c r="K1090" s="3"/>
      <c r="L1090" s="3"/>
      <c r="M1090" s="3"/>
      <c r="N1090" s="3"/>
      <c r="O1090" s="3"/>
      <c r="P1090" s="3"/>
      <c r="Q1090" s="3"/>
      <c r="R1090" s="3"/>
      <c r="S1090" s="3"/>
      <c r="T1090" s="3"/>
      <c r="U1090" s="3"/>
      <c r="V1090" s="3"/>
      <c r="W1090" s="3"/>
      <c r="X1090" s="3"/>
      <c r="Y1090" s="3"/>
      <c r="Z1090" s="3"/>
      <c r="AA1090" s="3"/>
      <c r="AB1090" s="3"/>
      <c r="AC1090" s="3"/>
      <c r="AD1090" s="3"/>
      <c r="AE1090" s="3"/>
      <c r="AF1090" s="3"/>
      <c r="AG1090" s="3"/>
      <c r="AH1090" s="3"/>
      <c r="AI1090" s="3"/>
      <c r="AJ1090" s="3"/>
      <c r="AK1090" s="3"/>
      <c r="AL1090" s="3"/>
      <c r="AM1090" s="3"/>
      <c r="AN1090" s="3"/>
      <c r="AO1090" s="3"/>
      <c r="AP1090" s="3"/>
      <c r="AQ1090" s="3"/>
      <c r="AR1090" s="3"/>
      <c r="AS1090" s="3"/>
      <c r="AT1090" s="3"/>
      <c r="AU1090" s="3"/>
      <c r="AV1090" s="3"/>
      <c r="AW1090" s="3"/>
      <c r="AX1090" s="3"/>
      <c r="AY1090" s="3"/>
      <c r="AZ1090" s="3"/>
      <c r="BA1090" s="3"/>
      <c r="BB1090" s="3"/>
      <c r="BC1090" s="3"/>
    </row>
    <row r="1091" spans="1:55">
      <c r="A1091" s="1" t="str">
        <f>'Population Definitions'!$A$3</f>
        <v>PWID_females</v>
      </c>
      <c r="C1091" t="s">
        <v>34</v>
      </c>
      <c r="D1091" s="3"/>
      <c r="E1091" s="3">
        <v>0</v>
      </c>
      <c r="F1091" s="3"/>
      <c r="G1091" s="3"/>
      <c r="H1091" s="3"/>
      <c r="I1091" s="3"/>
      <c r="J1091" s="3"/>
      <c r="K1091" s="3"/>
      <c r="L1091" s="3"/>
      <c r="M1091" s="3"/>
      <c r="N1091" s="3"/>
      <c r="O1091" s="3"/>
      <c r="P1091" s="3"/>
      <c r="Q1091" s="3"/>
      <c r="R1091" s="3"/>
      <c r="S1091" s="3"/>
      <c r="T1091" s="3"/>
      <c r="U1091" s="3"/>
      <c r="V1091" s="3"/>
      <c r="W1091" s="3"/>
      <c r="X1091" s="3"/>
      <c r="Y1091" s="3"/>
      <c r="Z1091" s="3"/>
      <c r="AA1091" s="3"/>
      <c r="AB1091" s="3"/>
      <c r="AC1091" s="3"/>
      <c r="AD1091" s="3"/>
      <c r="AE1091" s="3"/>
      <c r="AF1091" s="3"/>
      <c r="AG1091" s="3"/>
      <c r="AH1091" s="3"/>
      <c r="AI1091" s="3"/>
      <c r="AJ1091" s="3"/>
      <c r="AK1091" s="3"/>
      <c r="AL1091" s="3"/>
      <c r="AM1091" s="3"/>
      <c r="AN1091" s="3"/>
      <c r="AO1091" s="3"/>
      <c r="AP1091" s="3"/>
      <c r="AQ1091" s="3"/>
      <c r="AR1091" s="3"/>
      <c r="AS1091" s="3"/>
      <c r="AT1091" s="3"/>
      <c r="AU1091" s="3"/>
      <c r="AV1091" s="3"/>
      <c r="AW1091" s="3"/>
      <c r="AX1091" s="3"/>
      <c r="AY1091" s="3"/>
      <c r="AZ1091" s="3"/>
      <c r="BA1091" s="3"/>
      <c r="BB1091" s="3"/>
      <c r="BC1091" s="3"/>
    </row>
    <row r="1092" spans="1:55">
      <c r="A1092" s="1" t="str">
        <f>'Population Definitions'!$A$4</f>
        <v>0-9_males</v>
      </c>
      <c r="C1092" t="s">
        <v>34</v>
      </c>
      <c r="D1092" s="3"/>
      <c r="E1092" s="3">
        <v>0</v>
      </c>
      <c r="F1092" s="3"/>
      <c r="G1092" s="3"/>
      <c r="H1092" s="3"/>
      <c r="I1092" s="3"/>
      <c r="J1092" s="3"/>
      <c r="K1092" s="3"/>
      <c r="L1092" s="3"/>
      <c r="M1092" s="3"/>
      <c r="N1092" s="3"/>
      <c r="O1092" s="3"/>
      <c r="P1092" s="3"/>
      <c r="Q1092" s="3"/>
      <c r="R1092" s="3"/>
      <c r="S1092" s="3"/>
      <c r="T1092" s="3"/>
      <c r="U1092" s="3"/>
      <c r="V1092" s="3"/>
      <c r="W1092" s="3"/>
      <c r="X1092" s="3"/>
      <c r="Y1092" s="3"/>
      <c r="Z1092" s="3"/>
      <c r="AA1092" s="3"/>
      <c r="AB1092" s="3"/>
      <c r="AC1092" s="3"/>
      <c r="AD1092" s="3"/>
      <c r="AE1092" s="3"/>
      <c r="AF1092" s="3"/>
      <c r="AG1092" s="3"/>
      <c r="AH1092" s="3"/>
      <c r="AI1092" s="3"/>
      <c r="AJ1092" s="3"/>
      <c r="AK1092" s="3"/>
      <c r="AL1092" s="3"/>
      <c r="AM1092" s="3"/>
      <c r="AN1092" s="3"/>
      <c r="AO1092" s="3"/>
      <c r="AP1092" s="3"/>
      <c r="AQ1092" s="3"/>
      <c r="AR1092" s="3"/>
      <c r="AS1092" s="3"/>
      <c r="AT1092" s="3"/>
      <c r="AU1092" s="3"/>
      <c r="AV1092" s="3"/>
      <c r="AW1092" s="3"/>
      <c r="AX1092" s="3"/>
      <c r="AY1092" s="3"/>
      <c r="AZ1092" s="3"/>
      <c r="BA1092" s="3"/>
      <c r="BB1092" s="3"/>
      <c r="BC1092" s="3"/>
    </row>
    <row r="1093" spans="1:55">
      <c r="A1093" s="1" t="str">
        <f>'Population Definitions'!$A$5</f>
        <v>0-9_females</v>
      </c>
      <c r="C1093" t="s">
        <v>34</v>
      </c>
      <c r="D1093" s="3"/>
      <c r="E1093" s="3">
        <v>0</v>
      </c>
      <c r="F1093" s="3"/>
      <c r="G1093" s="3"/>
      <c r="H1093" s="3"/>
      <c r="I1093" s="3"/>
      <c r="J1093" s="3"/>
      <c r="K1093" s="3"/>
      <c r="L1093" s="3"/>
      <c r="M1093" s="3"/>
      <c r="N1093" s="3"/>
      <c r="O1093" s="3"/>
      <c r="P1093" s="3"/>
      <c r="Q1093" s="3"/>
      <c r="R1093" s="3"/>
      <c r="S1093" s="3"/>
      <c r="T1093" s="3"/>
      <c r="U1093" s="3"/>
      <c r="V1093" s="3"/>
      <c r="W1093" s="3"/>
      <c r="X1093" s="3"/>
      <c r="Y1093" s="3"/>
      <c r="Z1093" s="3"/>
      <c r="AA1093" s="3"/>
      <c r="AB1093" s="3"/>
      <c r="AC1093" s="3"/>
      <c r="AD1093" s="3"/>
      <c r="AE1093" s="3"/>
      <c r="AF1093" s="3"/>
      <c r="AG1093" s="3"/>
      <c r="AH1093" s="3"/>
      <c r="AI1093" s="3"/>
      <c r="AJ1093" s="3"/>
      <c r="AK1093" s="3"/>
      <c r="AL1093" s="3"/>
      <c r="AM1093" s="3"/>
      <c r="AN1093" s="3"/>
      <c r="AO1093" s="3"/>
      <c r="AP1093" s="3"/>
      <c r="AQ1093" s="3"/>
      <c r="AR1093" s="3"/>
      <c r="AS1093" s="3"/>
      <c r="AT1093" s="3"/>
      <c r="AU1093" s="3"/>
      <c r="AV1093" s="3"/>
      <c r="AW1093" s="3"/>
      <c r="AX1093" s="3"/>
      <c r="AY1093" s="3"/>
      <c r="AZ1093" s="3"/>
      <c r="BA1093" s="3"/>
      <c r="BB1093" s="3"/>
      <c r="BC1093" s="3"/>
    </row>
    <row r="1094" spans="1:55">
      <c r="A1094" s="1" t="str">
        <f>'Population Definitions'!$A$6</f>
        <v>10-17_males</v>
      </c>
      <c r="C1094" t="s">
        <v>34</v>
      </c>
      <c r="D1094" s="3"/>
      <c r="E1094" s="3">
        <v>0</v>
      </c>
      <c r="F1094" s="3"/>
      <c r="G1094" s="3"/>
      <c r="H1094" s="3"/>
      <c r="I1094" s="3"/>
      <c r="J1094" s="3"/>
      <c r="K1094" s="3"/>
      <c r="L1094" s="3"/>
      <c r="M1094" s="3"/>
      <c r="N1094" s="3"/>
      <c r="O1094" s="3"/>
      <c r="P1094" s="3"/>
      <c r="Q1094" s="3"/>
      <c r="R1094" s="3"/>
      <c r="S1094" s="3"/>
      <c r="T1094" s="3"/>
      <c r="U1094" s="3"/>
      <c r="V1094" s="3"/>
      <c r="W1094" s="3"/>
      <c r="X1094" s="3"/>
      <c r="Y1094" s="3"/>
      <c r="Z1094" s="3"/>
      <c r="AA1094" s="3"/>
      <c r="AB1094" s="3"/>
      <c r="AC1094" s="3"/>
      <c r="AD1094" s="3"/>
      <c r="AE1094" s="3"/>
      <c r="AF1094" s="3"/>
      <c r="AG1094" s="3"/>
      <c r="AH1094" s="3"/>
      <c r="AI1094" s="3"/>
      <c r="AJ1094" s="3"/>
      <c r="AK1094" s="3"/>
      <c r="AL1094" s="3"/>
      <c r="AM1094" s="3"/>
      <c r="AN1094" s="3"/>
      <c r="AO1094" s="3"/>
      <c r="AP1094" s="3"/>
      <c r="AQ1094" s="3"/>
      <c r="AR1094" s="3"/>
      <c r="AS1094" s="3"/>
      <c r="AT1094" s="3"/>
      <c r="AU1094" s="3"/>
      <c r="AV1094" s="3"/>
      <c r="AW1094" s="3"/>
      <c r="AX1094" s="3"/>
      <c r="AY1094" s="3"/>
      <c r="AZ1094" s="3"/>
      <c r="BA1094" s="3"/>
      <c r="BB1094" s="3"/>
      <c r="BC1094" s="3"/>
    </row>
    <row r="1095" spans="1:55">
      <c r="A1095" s="1" t="str">
        <f>'Population Definitions'!$A$7</f>
        <v>10-17_females</v>
      </c>
      <c r="C1095" t="s">
        <v>34</v>
      </c>
      <c r="D1095" s="3"/>
      <c r="E1095" s="3">
        <v>0</v>
      </c>
      <c r="F1095" s="3"/>
      <c r="G1095" s="3"/>
      <c r="H1095" s="3"/>
      <c r="I1095" s="3"/>
      <c r="J1095" s="3"/>
      <c r="K1095" s="3"/>
      <c r="L1095" s="3"/>
      <c r="M1095" s="3"/>
      <c r="N1095" s="3"/>
      <c r="O1095" s="3"/>
      <c r="P1095" s="3"/>
      <c r="Q1095" s="3"/>
      <c r="R1095" s="3"/>
      <c r="S1095" s="3"/>
      <c r="T1095" s="3"/>
      <c r="U1095" s="3"/>
      <c r="V1095" s="3"/>
      <c r="W1095" s="3"/>
      <c r="X1095" s="3"/>
      <c r="Y1095" s="3"/>
      <c r="Z1095" s="3"/>
      <c r="AA1095" s="3"/>
      <c r="AB1095" s="3"/>
      <c r="AC1095" s="3"/>
      <c r="AD1095" s="3"/>
      <c r="AE1095" s="3"/>
      <c r="AF1095" s="3"/>
      <c r="AG1095" s="3"/>
      <c r="AH1095" s="3"/>
      <c r="AI1095" s="3"/>
      <c r="AJ1095" s="3"/>
      <c r="AK1095" s="3"/>
      <c r="AL1095" s="3"/>
      <c r="AM1095" s="3"/>
      <c r="AN1095" s="3"/>
      <c r="AO1095" s="3"/>
      <c r="AP1095" s="3"/>
      <c r="AQ1095" s="3"/>
      <c r="AR1095" s="3"/>
      <c r="AS1095" s="3"/>
      <c r="AT1095" s="3"/>
      <c r="AU1095" s="3"/>
      <c r="AV1095" s="3"/>
      <c r="AW1095" s="3"/>
      <c r="AX1095" s="3"/>
      <c r="AY1095" s="3"/>
      <c r="AZ1095" s="3"/>
      <c r="BA1095" s="3"/>
      <c r="BB1095" s="3"/>
      <c r="BC1095" s="3"/>
    </row>
    <row r="1096" spans="1:55">
      <c r="A1096" s="1" t="str">
        <f>'Population Definitions'!$A$8</f>
        <v>18-64_males</v>
      </c>
      <c r="C1096" t="s">
        <v>34</v>
      </c>
      <c r="D1096" s="3"/>
      <c r="E1096" s="3">
        <v>0</v>
      </c>
      <c r="F1096" s="3"/>
      <c r="G1096" s="3"/>
      <c r="H1096" s="3"/>
      <c r="I1096" s="3"/>
      <c r="J1096" s="3"/>
      <c r="K1096" s="3"/>
      <c r="L1096" s="3"/>
      <c r="M1096" s="3"/>
      <c r="N1096" s="3"/>
      <c r="O1096" s="3"/>
      <c r="P1096" s="3"/>
      <c r="Q1096" s="3"/>
      <c r="R1096" s="3"/>
      <c r="S1096" s="3"/>
      <c r="T1096" s="3"/>
      <c r="U1096" s="3"/>
      <c r="V1096" s="3"/>
      <c r="W1096" s="3"/>
      <c r="X1096" s="3"/>
      <c r="Y1096" s="3"/>
      <c r="Z1096" s="3"/>
      <c r="AA1096" s="3"/>
      <c r="AB1096" s="3"/>
      <c r="AC1096" s="3"/>
      <c r="AD1096" s="3"/>
      <c r="AE1096" s="3"/>
      <c r="AF1096" s="3"/>
      <c r="AG1096" s="3"/>
      <c r="AH1096" s="3"/>
      <c r="AI1096" s="3"/>
      <c r="AJ1096" s="3"/>
      <c r="AK1096" s="3"/>
      <c r="AL1096" s="3"/>
      <c r="AM1096" s="3"/>
      <c r="AN1096" s="3"/>
      <c r="AO1096" s="3"/>
      <c r="AP1096" s="3"/>
      <c r="AQ1096" s="3"/>
      <c r="AR1096" s="3"/>
      <c r="AS1096" s="3"/>
      <c r="AT1096" s="3"/>
      <c r="AU1096" s="3"/>
      <c r="AV1096" s="3"/>
      <c r="AW1096" s="3"/>
      <c r="AX1096" s="3"/>
      <c r="AY1096" s="3"/>
      <c r="AZ1096" s="3"/>
      <c r="BA1096" s="3"/>
      <c r="BB1096" s="3"/>
      <c r="BC1096" s="3"/>
    </row>
    <row r="1097" spans="1:55">
      <c r="A1097" s="1" t="str">
        <f>'Population Definitions'!$A$9</f>
        <v>18-64_females</v>
      </c>
      <c r="C1097" t="s">
        <v>34</v>
      </c>
      <c r="D1097" s="3"/>
      <c r="E1097" s="3">
        <v>0</v>
      </c>
      <c r="F1097" s="3"/>
      <c r="G1097" s="3"/>
      <c r="H1097" s="3"/>
      <c r="I1097" s="3"/>
      <c r="J1097" s="3"/>
      <c r="K1097" s="3"/>
      <c r="L1097" s="3"/>
      <c r="M1097" s="3"/>
      <c r="N1097" s="3"/>
      <c r="O1097" s="3"/>
      <c r="P1097" s="3"/>
      <c r="Q1097" s="3"/>
      <c r="R1097" s="3"/>
      <c r="S1097" s="3"/>
      <c r="T1097" s="3"/>
      <c r="U1097" s="3"/>
      <c r="V1097" s="3"/>
      <c r="W1097" s="3"/>
      <c r="X1097" s="3"/>
      <c r="Y1097" s="3"/>
      <c r="Z1097" s="3"/>
      <c r="AA1097" s="3"/>
      <c r="AB1097" s="3"/>
      <c r="AC1097" s="3"/>
      <c r="AD1097" s="3"/>
      <c r="AE1097" s="3"/>
      <c r="AF1097" s="3"/>
      <c r="AG1097" s="3"/>
      <c r="AH1097" s="3"/>
      <c r="AI1097" s="3"/>
      <c r="AJ1097" s="3"/>
      <c r="AK1097" s="3"/>
      <c r="AL1097" s="3"/>
      <c r="AM1097" s="3"/>
      <c r="AN1097" s="3"/>
      <c r="AO1097" s="3"/>
      <c r="AP1097" s="3"/>
      <c r="AQ1097" s="3"/>
      <c r="AR1097" s="3"/>
      <c r="AS1097" s="3"/>
      <c r="AT1097" s="3"/>
      <c r="AU1097" s="3"/>
      <c r="AV1097" s="3"/>
      <c r="AW1097" s="3"/>
      <c r="AX1097" s="3"/>
      <c r="AY1097" s="3"/>
      <c r="AZ1097" s="3"/>
      <c r="BA1097" s="3"/>
      <c r="BB1097" s="3"/>
      <c r="BC1097" s="3"/>
    </row>
    <row r="1098" spans="1:55">
      <c r="A1098" s="1" t="str">
        <f>'Population Definitions'!$A$10</f>
        <v>65+_males</v>
      </c>
      <c r="C1098" t="s">
        <v>34</v>
      </c>
      <c r="D1098" s="3"/>
      <c r="E1098" s="3">
        <v>0</v>
      </c>
      <c r="F1098" s="3"/>
      <c r="G1098" s="3"/>
      <c r="H1098" s="3"/>
      <c r="I1098" s="3"/>
      <c r="J1098" s="3"/>
      <c r="K1098" s="3"/>
      <c r="L1098" s="3"/>
      <c r="M1098" s="3"/>
      <c r="N1098" s="3"/>
      <c r="O1098" s="3"/>
      <c r="P1098" s="3"/>
      <c r="Q1098" s="3"/>
      <c r="R1098" s="3"/>
      <c r="S1098" s="3"/>
      <c r="T1098" s="3"/>
      <c r="U1098" s="3"/>
      <c r="V1098" s="3"/>
      <c r="W1098" s="3"/>
      <c r="X1098" s="3"/>
      <c r="Y1098" s="3"/>
      <c r="Z1098" s="3"/>
      <c r="AA1098" s="3"/>
      <c r="AB1098" s="3"/>
      <c r="AC1098" s="3"/>
      <c r="AD1098" s="3"/>
      <c r="AE1098" s="3"/>
      <c r="AF1098" s="3"/>
      <c r="AG1098" s="3"/>
      <c r="AH1098" s="3"/>
      <c r="AI1098" s="3"/>
      <c r="AJ1098" s="3"/>
      <c r="AK1098" s="3"/>
      <c r="AL1098" s="3"/>
      <c r="AM1098" s="3"/>
      <c r="AN1098" s="3"/>
      <c r="AO1098" s="3"/>
      <c r="AP1098" s="3"/>
      <c r="AQ1098" s="3"/>
      <c r="AR1098" s="3"/>
      <c r="AS1098" s="3"/>
      <c r="AT1098" s="3"/>
      <c r="AU1098" s="3"/>
      <c r="AV1098" s="3"/>
      <c r="AW1098" s="3"/>
      <c r="AX1098" s="3"/>
      <c r="AY1098" s="3"/>
      <c r="AZ1098" s="3"/>
      <c r="BA1098" s="3"/>
      <c r="BB1098" s="3"/>
      <c r="BC1098" s="3"/>
    </row>
    <row r="1099" spans="1:55">
      <c r="A1099" s="1" t="str">
        <f>'Population Definitions'!$A$11</f>
        <v>65+_females</v>
      </c>
      <c r="C1099" t="s">
        <v>34</v>
      </c>
      <c r="D1099" s="3"/>
      <c r="E1099" s="3">
        <v>0</v>
      </c>
      <c r="F1099" s="3"/>
      <c r="G1099" s="3"/>
      <c r="H1099" s="3"/>
      <c r="I1099" s="3"/>
      <c r="J1099" s="3"/>
      <c r="K1099" s="3"/>
      <c r="L1099" s="3"/>
      <c r="M1099" s="3"/>
      <c r="N1099" s="3"/>
      <c r="O1099" s="3"/>
      <c r="P1099" s="3"/>
      <c r="Q1099" s="3"/>
      <c r="R1099" s="3"/>
      <c r="S1099" s="3"/>
      <c r="T1099" s="3"/>
      <c r="U1099" s="3"/>
      <c r="V1099" s="3"/>
      <c r="W1099" s="3"/>
      <c r="X1099" s="3"/>
      <c r="Y1099" s="3"/>
      <c r="Z1099" s="3"/>
      <c r="AA1099" s="3"/>
      <c r="AB1099" s="3"/>
      <c r="AC1099" s="3"/>
      <c r="AD1099" s="3"/>
      <c r="AE1099" s="3"/>
      <c r="AF1099" s="3"/>
      <c r="AG1099" s="3"/>
      <c r="AH1099" s="3"/>
      <c r="AI1099" s="3"/>
      <c r="AJ1099" s="3"/>
      <c r="AK1099" s="3"/>
      <c r="AL1099" s="3"/>
      <c r="AM1099" s="3"/>
      <c r="AN1099" s="3"/>
      <c r="AO1099" s="3"/>
      <c r="AP1099" s="3"/>
      <c r="AQ1099" s="3"/>
      <c r="AR1099" s="3"/>
      <c r="AS1099" s="3"/>
      <c r="AT1099" s="3"/>
      <c r="AU1099" s="3"/>
      <c r="AV1099" s="3"/>
      <c r="AW1099" s="3"/>
      <c r="AX1099" s="3"/>
      <c r="AY1099" s="3"/>
      <c r="AZ1099" s="3"/>
      <c r="BA1099" s="3"/>
      <c r="BB1099" s="3"/>
      <c r="BC1099" s="3"/>
    </row>
    <row r="1100" spans="1:55">
      <c r="A1100" s="1" t="str">
        <f>'Population Definitions'!$A$12</f>
        <v>Prisoners_males</v>
      </c>
      <c r="C1100" t="s">
        <v>34</v>
      </c>
      <c r="D1100" s="3"/>
      <c r="E1100" s="3">
        <v>0</v>
      </c>
      <c r="F1100" s="3"/>
      <c r="G1100" s="3"/>
      <c r="H1100" s="3"/>
      <c r="I1100" s="3"/>
      <c r="J1100" s="3"/>
      <c r="K1100" s="3"/>
      <c r="L1100" s="3"/>
      <c r="M1100" s="3"/>
      <c r="N1100" s="3"/>
      <c r="O1100" s="3"/>
      <c r="P1100" s="3"/>
      <c r="Q1100" s="3"/>
      <c r="R1100" s="3"/>
      <c r="S1100" s="3"/>
      <c r="T1100" s="3"/>
      <c r="U1100" s="3"/>
      <c r="V1100" s="3"/>
      <c r="W1100" s="3"/>
      <c r="X1100" s="3"/>
      <c r="Y1100" s="3"/>
      <c r="Z1100" s="3"/>
      <c r="AA1100" s="3"/>
      <c r="AB1100" s="3"/>
      <c r="AC1100" s="3"/>
      <c r="AD1100" s="3"/>
      <c r="AE1100" s="3"/>
      <c r="AF1100" s="3"/>
      <c r="AG1100" s="3"/>
      <c r="AH1100" s="3"/>
      <c r="AI1100" s="3"/>
      <c r="AJ1100" s="3"/>
      <c r="AK1100" s="3"/>
      <c r="AL1100" s="3"/>
      <c r="AM1100" s="3"/>
      <c r="AN1100" s="3"/>
      <c r="AO1100" s="3"/>
      <c r="AP1100" s="3"/>
      <c r="AQ1100" s="3"/>
      <c r="AR1100" s="3"/>
      <c r="AS1100" s="3"/>
      <c r="AT1100" s="3"/>
      <c r="AU1100" s="3"/>
      <c r="AV1100" s="3"/>
      <c r="AW1100" s="3"/>
      <c r="AX1100" s="3"/>
      <c r="AY1100" s="3"/>
      <c r="AZ1100" s="3"/>
      <c r="BA1100" s="3"/>
      <c r="BB1100" s="3"/>
      <c r="BC1100" s="3"/>
    </row>
    <row r="1101" spans="1:55">
      <c r="A1101" s="1" t="str">
        <f>'Population Definitions'!$A$13</f>
        <v>Prisoners_females</v>
      </c>
      <c r="C1101" t="s">
        <v>34</v>
      </c>
      <c r="D1101" s="3"/>
      <c r="E1101" s="3">
        <v>0</v>
      </c>
      <c r="F1101" s="3"/>
      <c r="G1101" s="3"/>
      <c r="H1101" s="3"/>
      <c r="I1101" s="3"/>
      <c r="J1101" s="3"/>
      <c r="K1101" s="3"/>
      <c r="L1101" s="3"/>
      <c r="M1101" s="3"/>
      <c r="N1101" s="3"/>
      <c r="O1101" s="3"/>
      <c r="P1101" s="3"/>
      <c r="Q1101" s="3"/>
      <c r="R1101" s="3"/>
      <c r="S1101" s="3"/>
      <c r="T1101" s="3"/>
      <c r="U1101" s="3"/>
      <c r="V1101" s="3"/>
      <c r="W1101" s="3"/>
      <c r="X1101" s="3"/>
      <c r="Y1101" s="3"/>
      <c r="Z1101" s="3"/>
      <c r="AA1101" s="3"/>
      <c r="AB1101" s="3"/>
      <c r="AC1101" s="3"/>
      <c r="AD1101" s="3"/>
      <c r="AE1101" s="3"/>
      <c r="AF1101" s="3"/>
      <c r="AG1101" s="3"/>
      <c r="AH1101" s="3"/>
      <c r="AI1101" s="3"/>
      <c r="AJ1101" s="3"/>
      <c r="AK1101" s="3"/>
      <c r="AL1101" s="3"/>
      <c r="AM1101" s="3"/>
      <c r="AN1101" s="3"/>
      <c r="AO1101" s="3"/>
      <c r="AP1101" s="3"/>
      <c r="AQ1101" s="3"/>
      <c r="AR1101" s="3"/>
      <c r="AS1101" s="3"/>
      <c r="AT1101" s="3"/>
      <c r="AU1101" s="3"/>
      <c r="AV1101" s="3"/>
      <c r="AW1101" s="3"/>
      <c r="AX1101" s="3"/>
      <c r="AY1101" s="3"/>
      <c r="AZ1101" s="3"/>
      <c r="BA1101" s="3"/>
      <c r="BB1101" s="3"/>
      <c r="BC1101" s="3"/>
    </row>
    <row r="1102" spans="1:55">
      <c r="A1102" s="1" t="str">
        <f>'Population Definitions'!$A$14</f>
        <v>Prisoners_PWID_males</v>
      </c>
      <c r="C1102" t="s">
        <v>34</v>
      </c>
      <c r="D1102" s="3"/>
      <c r="E1102" s="3">
        <v>0</v>
      </c>
      <c r="F1102" s="3"/>
      <c r="G1102" s="3"/>
      <c r="H1102" s="3"/>
      <c r="I1102" s="3"/>
      <c r="J1102" s="3"/>
      <c r="K1102" s="3"/>
      <c r="L1102" s="3"/>
      <c r="M1102" s="3"/>
      <c r="N1102" s="3"/>
      <c r="O1102" s="3"/>
      <c r="P1102" s="3"/>
      <c r="Q1102" s="3"/>
      <c r="R1102" s="3"/>
      <c r="S1102" s="3"/>
      <c r="T1102" s="3"/>
      <c r="U1102" s="3"/>
      <c r="V1102" s="3"/>
      <c r="W1102" s="3"/>
      <c r="X1102" s="3"/>
      <c r="Y1102" s="3"/>
      <c r="Z1102" s="3"/>
      <c r="AA1102" s="3"/>
      <c r="AB1102" s="3"/>
      <c r="AC1102" s="3"/>
      <c r="AD1102" s="3"/>
      <c r="AE1102" s="3"/>
      <c r="AF1102" s="3"/>
      <c r="AG1102" s="3"/>
      <c r="AH1102" s="3"/>
      <c r="AI1102" s="3"/>
      <c r="AJ1102" s="3"/>
      <c r="AK1102" s="3"/>
      <c r="AL1102" s="3"/>
      <c r="AM1102" s="3"/>
      <c r="AN1102" s="3"/>
      <c r="AO1102" s="3"/>
      <c r="AP1102" s="3"/>
      <c r="AQ1102" s="3"/>
      <c r="AR1102" s="3"/>
      <c r="AS1102" s="3"/>
      <c r="AT1102" s="3"/>
      <c r="AU1102" s="3"/>
      <c r="AV1102" s="3"/>
      <c r="AW1102" s="3"/>
      <c r="AX1102" s="3"/>
      <c r="AY1102" s="3"/>
      <c r="AZ1102" s="3"/>
      <c r="BA1102" s="3"/>
      <c r="BB1102" s="3"/>
      <c r="BC1102" s="3"/>
    </row>
    <row r="1103" spans="1:55">
      <c r="A1103" s="1" t="str">
        <f>'Population Definitions'!$A$15</f>
        <v>Prisoners_PWID_females</v>
      </c>
      <c r="C1103" t="s">
        <v>34</v>
      </c>
      <c r="D1103" s="3"/>
      <c r="E1103" s="3">
        <v>0</v>
      </c>
      <c r="F1103" s="3"/>
      <c r="G1103" s="3"/>
      <c r="H1103" s="3"/>
      <c r="I1103" s="3"/>
      <c r="J1103" s="3"/>
      <c r="K1103" s="3"/>
      <c r="L1103" s="3"/>
      <c r="M1103" s="3"/>
      <c r="N1103" s="3"/>
      <c r="O1103" s="3"/>
      <c r="P1103" s="3"/>
      <c r="Q1103" s="3"/>
      <c r="R1103" s="3"/>
      <c r="S1103" s="3"/>
      <c r="T1103" s="3"/>
      <c r="U1103" s="3"/>
      <c r="V1103" s="3"/>
      <c r="W1103" s="3"/>
      <c r="X1103" s="3"/>
      <c r="Y1103" s="3"/>
      <c r="Z1103" s="3"/>
      <c r="AA1103" s="3"/>
      <c r="AB1103" s="3"/>
      <c r="AC1103" s="3"/>
      <c r="AD1103" s="3"/>
      <c r="AE1103" s="3"/>
      <c r="AF1103" s="3"/>
      <c r="AG1103" s="3"/>
      <c r="AH1103" s="3"/>
      <c r="AI1103" s="3"/>
      <c r="AJ1103" s="3"/>
      <c r="AK1103" s="3"/>
      <c r="AL1103" s="3"/>
      <c r="AM1103" s="3"/>
      <c r="AN1103" s="3"/>
      <c r="AO1103" s="3"/>
      <c r="AP1103" s="3"/>
      <c r="AQ1103" s="3"/>
      <c r="AR1103" s="3"/>
      <c r="AS1103" s="3"/>
      <c r="AT1103" s="3"/>
      <c r="AU1103" s="3"/>
      <c r="AV1103" s="3"/>
      <c r="AW1103" s="3"/>
      <c r="AX1103" s="3"/>
      <c r="AY1103" s="3"/>
      <c r="AZ1103" s="3"/>
      <c r="BA1103" s="3"/>
      <c r="BB1103" s="3"/>
      <c r="BC1103" s="3"/>
    </row>
    <row r="1105" spans="1:55">
      <c r="A1105" s="1" t="s">
        <v>196</v>
      </c>
      <c r="B1105" s="1" t="s">
        <v>31</v>
      </c>
      <c r="C1105" s="1" t="s">
        <v>32</v>
      </c>
      <c r="D1105" s="1" t="s">
        <v>33</v>
      </c>
      <c r="E1105" s="1">
        <v>2000</v>
      </c>
      <c r="F1105" s="1">
        <v>2001</v>
      </c>
      <c r="G1105" s="1">
        <v>2002</v>
      </c>
      <c r="H1105" s="1">
        <v>2003</v>
      </c>
      <c r="I1105" s="1">
        <v>2004</v>
      </c>
      <c r="J1105" s="1">
        <v>2005</v>
      </c>
      <c r="K1105" s="1">
        <v>2006</v>
      </c>
      <c r="L1105" s="1">
        <v>2007</v>
      </c>
      <c r="M1105" s="1">
        <v>2008</v>
      </c>
      <c r="N1105" s="1">
        <v>2009</v>
      </c>
      <c r="O1105" s="1">
        <v>2010</v>
      </c>
      <c r="P1105" s="1">
        <v>2011</v>
      </c>
      <c r="Q1105" s="1">
        <v>2012</v>
      </c>
      <c r="R1105" s="1">
        <v>2013</v>
      </c>
      <c r="S1105" s="1">
        <v>2014</v>
      </c>
      <c r="T1105" s="1">
        <v>2015</v>
      </c>
      <c r="U1105" s="1">
        <v>2016</v>
      </c>
      <c r="V1105" s="1">
        <v>2017</v>
      </c>
      <c r="W1105" s="1">
        <v>2018</v>
      </c>
      <c r="X1105" s="1">
        <v>2019</v>
      </c>
      <c r="Y1105" s="1">
        <v>2020</v>
      </c>
      <c r="Z1105" s="1">
        <v>2021</v>
      </c>
      <c r="AA1105" s="1">
        <v>2022</v>
      </c>
      <c r="AB1105" s="1">
        <v>2023</v>
      </c>
      <c r="AC1105" s="1">
        <v>2024</v>
      </c>
      <c r="AD1105" s="1">
        <v>2025</v>
      </c>
      <c r="AE1105" s="1">
        <v>2026</v>
      </c>
      <c r="AF1105" s="1">
        <v>2027</v>
      </c>
      <c r="AG1105" s="1">
        <v>2028</v>
      </c>
      <c r="AH1105" s="1">
        <v>2029</v>
      </c>
      <c r="AI1105" s="1">
        <v>2030</v>
      </c>
      <c r="AJ1105" s="1">
        <v>2031</v>
      </c>
      <c r="AK1105" s="1">
        <v>2032</v>
      </c>
      <c r="AL1105" s="1">
        <v>2033</v>
      </c>
      <c r="AM1105" s="1">
        <v>2034</v>
      </c>
      <c r="AN1105" s="1">
        <v>2035</v>
      </c>
      <c r="AO1105" s="1">
        <v>2036</v>
      </c>
      <c r="AP1105" s="1">
        <v>2037</v>
      </c>
      <c r="AQ1105" s="1">
        <v>2038</v>
      </c>
      <c r="AR1105" s="1">
        <v>2039</v>
      </c>
      <c r="AS1105" s="1">
        <v>2040</v>
      </c>
      <c r="AT1105" s="1">
        <v>2041</v>
      </c>
      <c r="AU1105" s="1">
        <v>2042</v>
      </c>
      <c r="AV1105" s="1">
        <v>2043</v>
      </c>
      <c r="AW1105" s="1">
        <v>2044</v>
      </c>
      <c r="AX1105" s="1">
        <v>2045</v>
      </c>
      <c r="AY1105" s="1">
        <v>2046</v>
      </c>
      <c r="AZ1105" s="1">
        <v>2047</v>
      </c>
      <c r="BA1105" s="1">
        <v>2048</v>
      </c>
      <c r="BB1105" s="1">
        <v>2049</v>
      </c>
      <c r="BC1105" s="1">
        <v>2050</v>
      </c>
    </row>
    <row r="1106" spans="1:55">
      <c r="A1106" s="1" t="str">
        <f>'Population Definitions'!$A$2</f>
        <v>PWID_males</v>
      </c>
      <c r="C1106" t="s">
        <v>34</v>
      </c>
      <c r="D1106" s="3"/>
      <c r="E1106" s="3">
        <v>0</v>
      </c>
      <c r="F1106" s="3"/>
      <c r="G1106" s="3"/>
      <c r="H1106" s="3"/>
      <c r="I1106" s="3"/>
      <c r="J1106" s="3"/>
      <c r="K1106" s="3"/>
      <c r="L1106" s="3"/>
      <c r="M1106" s="3"/>
      <c r="N1106" s="3"/>
      <c r="O1106" s="3"/>
      <c r="P1106" s="3"/>
      <c r="Q1106" s="3"/>
      <c r="R1106" s="3"/>
      <c r="S1106" s="3"/>
      <c r="T1106" s="3"/>
      <c r="U1106" s="3"/>
      <c r="V1106" s="3"/>
      <c r="W1106" s="3"/>
      <c r="X1106" s="3"/>
      <c r="Y1106" s="3"/>
      <c r="Z1106" s="3"/>
      <c r="AA1106" s="3"/>
      <c r="AB1106" s="3"/>
      <c r="AC1106" s="3"/>
      <c r="AD1106" s="3"/>
      <c r="AE1106" s="3"/>
      <c r="AF1106" s="3"/>
      <c r="AG1106" s="3"/>
      <c r="AH1106" s="3"/>
      <c r="AI1106" s="3"/>
      <c r="AJ1106" s="3"/>
      <c r="AK1106" s="3"/>
      <c r="AL1106" s="3"/>
      <c r="AM1106" s="3"/>
      <c r="AN1106" s="3"/>
      <c r="AO1106" s="3"/>
      <c r="AP1106" s="3"/>
      <c r="AQ1106" s="3"/>
      <c r="AR1106" s="3"/>
      <c r="AS1106" s="3"/>
      <c r="AT1106" s="3"/>
      <c r="AU1106" s="3"/>
      <c r="AV1106" s="3"/>
      <c r="AW1106" s="3"/>
      <c r="AX1106" s="3"/>
      <c r="AY1106" s="3"/>
      <c r="AZ1106" s="3"/>
      <c r="BA1106" s="3"/>
      <c r="BB1106" s="3"/>
      <c r="BC1106" s="3"/>
    </row>
    <row r="1107" spans="1:55">
      <c r="A1107" s="1" t="str">
        <f>'Population Definitions'!$A$3</f>
        <v>PWID_females</v>
      </c>
      <c r="C1107" t="s">
        <v>34</v>
      </c>
      <c r="D1107" s="3"/>
      <c r="E1107" s="3">
        <v>0</v>
      </c>
      <c r="F1107" s="3"/>
      <c r="G1107" s="3"/>
      <c r="H1107" s="3"/>
      <c r="I1107" s="3"/>
      <c r="J1107" s="3"/>
      <c r="K1107" s="3"/>
      <c r="L1107" s="3"/>
      <c r="M1107" s="3"/>
      <c r="N1107" s="3"/>
      <c r="O1107" s="3"/>
      <c r="P1107" s="3"/>
      <c r="Q1107" s="3"/>
      <c r="R1107" s="3"/>
      <c r="S1107" s="3"/>
      <c r="T1107" s="3"/>
      <c r="U1107" s="3"/>
      <c r="V1107" s="3"/>
      <c r="W1107" s="3"/>
      <c r="X1107" s="3"/>
      <c r="Y1107" s="3"/>
      <c r="Z1107" s="3"/>
      <c r="AA1107" s="3"/>
      <c r="AB1107" s="3"/>
      <c r="AC1107" s="3"/>
      <c r="AD1107" s="3"/>
      <c r="AE1107" s="3"/>
      <c r="AF1107" s="3"/>
      <c r="AG1107" s="3"/>
      <c r="AH1107" s="3"/>
      <c r="AI1107" s="3"/>
      <c r="AJ1107" s="3"/>
      <c r="AK1107" s="3"/>
      <c r="AL1107" s="3"/>
      <c r="AM1107" s="3"/>
      <c r="AN1107" s="3"/>
      <c r="AO1107" s="3"/>
      <c r="AP1107" s="3"/>
      <c r="AQ1107" s="3"/>
      <c r="AR1107" s="3"/>
      <c r="AS1107" s="3"/>
      <c r="AT1107" s="3"/>
      <c r="AU1107" s="3"/>
      <c r="AV1107" s="3"/>
      <c r="AW1107" s="3"/>
      <c r="AX1107" s="3"/>
      <c r="AY1107" s="3"/>
      <c r="AZ1107" s="3"/>
      <c r="BA1107" s="3"/>
      <c r="BB1107" s="3"/>
      <c r="BC1107" s="3"/>
    </row>
    <row r="1108" spans="1:55">
      <c r="A1108" s="1" t="str">
        <f>'Population Definitions'!$A$4</f>
        <v>0-9_males</v>
      </c>
      <c r="C1108" t="s">
        <v>34</v>
      </c>
      <c r="D1108" s="3"/>
      <c r="E1108" s="3">
        <v>0</v>
      </c>
      <c r="F1108" s="3"/>
      <c r="G1108" s="3"/>
      <c r="H1108" s="3"/>
      <c r="I1108" s="3"/>
      <c r="J1108" s="3"/>
      <c r="K1108" s="3"/>
      <c r="L1108" s="3"/>
      <c r="M1108" s="3"/>
      <c r="N1108" s="3"/>
      <c r="O1108" s="3"/>
      <c r="P1108" s="3"/>
      <c r="Q1108" s="3"/>
      <c r="R1108" s="3"/>
      <c r="S1108" s="3"/>
      <c r="T1108" s="3"/>
      <c r="U1108" s="3"/>
      <c r="V1108" s="3"/>
      <c r="W1108" s="3"/>
      <c r="X1108" s="3"/>
      <c r="Y1108" s="3"/>
      <c r="Z1108" s="3"/>
      <c r="AA1108" s="3"/>
      <c r="AB1108" s="3"/>
      <c r="AC1108" s="3"/>
      <c r="AD1108" s="3"/>
      <c r="AE1108" s="3"/>
      <c r="AF1108" s="3"/>
      <c r="AG1108" s="3"/>
      <c r="AH1108" s="3"/>
      <c r="AI1108" s="3"/>
      <c r="AJ1108" s="3"/>
      <c r="AK1108" s="3"/>
      <c r="AL1108" s="3"/>
      <c r="AM1108" s="3"/>
      <c r="AN1108" s="3"/>
      <c r="AO1108" s="3"/>
      <c r="AP1108" s="3"/>
      <c r="AQ1108" s="3"/>
      <c r="AR1108" s="3"/>
      <c r="AS1108" s="3"/>
      <c r="AT1108" s="3"/>
      <c r="AU1108" s="3"/>
      <c r="AV1108" s="3"/>
      <c r="AW1108" s="3"/>
      <c r="AX1108" s="3"/>
      <c r="AY1108" s="3"/>
      <c r="AZ1108" s="3"/>
      <c r="BA1108" s="3"/>
      <c r="BB1108" s="3"/>
      <c r="BC1108" s="3"/>
    </row>
    <row r="1109" spans="1:55">
      <c r="A1109" s="1" t="str">
        <f>'Population Definitions'!$A$5</f>
        <v>0-9_females</v>
      </c>
      <c r="C1109" t="s">
        <v>34</v>
      </c>
      <c r="D1109" s="3"/>
      <c r="E1109" s="3">
        <v>0</v>
      </c>
      <c r="F1109" s="3"/>
      <c r="G1109" s="3"/>
      <c r="H1109" s="3"/>
      <c r="I1109" s="3"/>
      <c r="J1109" s="3"/>
      <c r="K1109" s="3"/>
      <c r="L1109" s="3"/>
      <c r="M1109" s="3"/>
      <c r="N1109" s="3"/>
      <c r="O1109" s="3"/>
      <c r="P1109" s="3"/>
      <c r="Q1109" s="3"/>
      <c r="R1109" s="3"/>
      <c r="S1109" s="3"/>
      <c r="T1109" s="3"/>
      <c r="U1109" s="3"/>
      <c r="V1109" s="3"/>
      <c r="W1109" s="3"/>
      <c r="X1109" s="3"/>
      <c r="Y1109" s="3"/>
      <c r="Z1109" s="3"/>
      <c r="AA1109" s="3"/>
      <c r="AB1109" s="3"/>
      <c r="AC1109" s="3"/>
      <c r="AD1109" s="3"/>
      <c r="AE1109" s="3"/>
      <c r="AF1109" s="3"/>
      <c r="AG1109" s="3"/>
      <c r="AH1109" s="3"/>
      <c r="AI1109" s="3"/>
      <c r="AJ1109" s="3"/>
      <c r="AK1109" s="3"/>
      <c r="AL1109" s="3"/>
      <c r="AM1109" s="3"/>
      <c r="AN1109" s="3"/>
      <c r="AO1109" s="3"/>
      <c r="AP1109" s="3"/>
      <c r="AQ1109" s="3"/>
      <c r="AR1109" s="3"/>
      <c r="AS1109" s="3"/>
      <c r="AT1109" s="3"/>
      <c r="AU1109" s="3"/>
      <c r="AV1109" s="3"/>
      <c r="AW1109" s="3"/>
      <c r="AX1109" s="3"/>
      <c r="AY1109" s="3"/>
      <c r="AZ1109" s="3"/>
      <c r="BA1109" s="3"/>
      <c r="BB1109" s="3"/>
      <c r="BC1109" s="3"/>
    </row>
    <row r="1110" spans="1:55">
      <c r="A1110" s="1" t="str">
        <f>'Population Definitions'!$A$6</f>
        <v>10-17_males</v>
      </c>
      <c r="C1110" t="s">
        <v>34</v>
      </c>
      <c r="D1110" s="3"/>
      <c r="E1110" s="3">
        <v>0</v>
      </c>
      <c r="F1110" s="3"/>
      <c r="G1110" s="3"/>
      <c r="H1110" s="3"/>
      <c r="I1110" s="3"/>
      <c r="J1110" s="3"/>
      <c r="K1110" s="3"/>
      <c r="L1110" s="3"/>
      <c r="M1110" s="3"/>
      <c r="N1110" s="3"/>
      <c r="O1110" s="3"/>
      <c r="P1110" s="3"/>
      <c r="Q1110" s="3"/>
      <c r="R1110" s="3"/>
      <c r="S1110" s="3"/>
      <c r="T1110" s="3"/>
      <c r="U1110" s="3"/>
      <c r="V1110" s="3"/>
      <c r="W1110" s="3"/>
      <c r="X1110" s="3"/>
      <c r="Y1110" s="3"/>
      <c r="Z1110" s="3"/>
      <c r="AA1110" s="3"/>
      <c r="AB1110" s="3"/>
      <c r="AC1110" s="3"/>
      <c r="AD1110" s="3"/>
      <c r="AE1110" s="3"/>
      <c r="AF1110" s="3"/>
      <c r="AG1110" s="3"/>
      <c r="AH1110" s="3"/>
      <c r="AI1110" s="3"/>
      <c r="AJ1110" s="3"/>
      <c r="AK1110" s="3"/>
      <c r="AL1110" s="3"/>
      <c r="AM1110" s="3"/>
      <c r="AN1110" s="3"/>
      <c r="AO1110" s="3"/>
      <c r="AP1110" s="3"/>
      <c r="AQ1110" s="3"/>
      <c r="AR1110" s="3"/>
      <c r="AS1110" s="3"/>
      <c r="AT1110" s="3"/>
      <c r="AU1110" s="3"/>
      <c r="AV1110" s="3"/>
      <c r="AW1110" s="3"/>
      <c r="AX1110" s="3"/>
      <c r="AY1110" s="3"/>
      <c r="AZ1110" s="3"/>
      <c r="BA1110" s="3"/>
      <c r="BB1110" s="3"/>
      <c r="BC1110" s="3"/>
    </row>
    <row r="1111" spans="1:55">
      <c r="A1111" s="1" t="str">
        <f>'Population Definitions'!$A$7</f>
        <v>10-17_females</v>
      </c>
      <c r="C1111" t="s">
        <v>34</v>
      </c>
      <c r="D1111" s="3"/>
      <c r="E1111" s="3">
        <v>0</v>
      </c>
      <c r="F1111" s="3"/>
      <c r="G1111" s="3"/>
      <c r="H1111" s="3"/>
      <c r="I1111" s="3"/>
      <c r="J1111" s="3"/>
      <c r="K1111" s="3"/>
      <c r="L1111" s="3"/>
      <c r="M1111" s="3"/>
      <c r="N1111" s="3"/>
      <c r="O1111" s="3"/>
      <c r="P1111" s="3"/>
      <c r="Q1111" s="3"/>
      <c r="R1111" s="3"/>
      <c r="S1111" s="3"/>
      <c r="T1111" s="3"/>
      <c r="U1111" s="3"/>
      <c r="V1111" s="3"/>
      <c r="W1111" s="3"/>
      <c r="X1111" s="3"/>
      <c r="Y1111" s="3"/>
      <c r="Z1111" s="3"/>
      <c r="AA1111" s="3"/>
      <c r="AB1111" s="3"/>
      <c r="AC1111" s="3"/>
      <c r="AD1111" s="3"/>
      <c r="AE1111" s="3"/>
      <c r="AF1111" s="3"/>
      <c r="AG1111" s="3"/>
      <c r="AH1111" s="3"/>
      <c r="AI1111" s="3"/>
      <c r="AJ1111" s="3"/>
      <c r="AK1111" s="3"/>
      <c r="AL1111" s="3"/>
      <c r="AM1111" s="3"/>
      <c r="AN1111" s="3"/>
      <c r="AO1111" s="3"/>
      <c r="AP1111" s="3"/>
      <c r="AQ1111" s="3"/>
      <c r="AR1111" s="3"/>
      <c r="AS1111" s="3"/>
      <c r="AT1111" s="3"/>
      <c r="AU1111" s="3"/>
      <c r="AV1111" s="3"/>
      <c r="AW1111" s="3"/>
      <c r="AX1111" s="3"/>
      <c r="AY1111" s="3"/>
      <c r="AZ1111" s="3"/>
      <c r="BA1111" s="3"/>
      <c r="BB1111" s="3"/>
      <c r="BC1111" s="3"/>
    </row>
    <row r="1112" spans="1:55">
      <c r="A1112" s="1" t="str">
        <f>'Population Definitions'!$A$8</f>
        <v>18-64_males</v>
      </c>
      <c r="C1112" t="s">
        <v>34</v>
      </c>
      <c r="D1112" s="3"/>
      <c r="E1112" s="3">
        <v>0</v>
      </c>
      <c r="F1112" s="3"/>
      <c r="G1112" s="3"/>
      <c r="H1112" s="3"/>
      <c r="I1112" s="3"/>
      <c r="J1112" s="3"/>
      <c r="K1112" s="3"/>
      <c r="L1112" s="3"/>
      <c r="M1112" s="3"/>
      <c r="N1112" s="3"/>
      <c r="O1112" s="3"/>
      <c r="P1112" s="3"/>
      <c r="Q1112" s="3"/>
      <c r="R1112" s="3"/>
      <c r="S1112" s="3"/>
      <c r="T1112" s="3"/>
      <c r="U1112" s="3"/>
      <c r="V1112" s="3"/>
      <c r="W1112" s="3"/>
      <c r="X1112" s="3"/>
      <c r="Y1112" s="3"/>
      <c r="Z1112" s="3"/>
      <c r="AA1112" s="3"/>
      <c r="AB1112" s="3"/>
      <c r="AC1112" s="3"/>
      <c r="AD1112" s="3"/>
      <c r="AE1112" s="3"/>
      <c r="AF1112" s="3"/>
      <c r="AG1112" s="3"/>
      <c r="AH1112" s="3"/>
      <c r="AI1112" s="3"/>
      <c r="AJ1112" s="3"/>
      <c r="AK1112" s="3"/>
      <c r="AL1112" s="3"/>
      <c r="AM1112" s="3"/>
      <c r="AN1112" s="3"/>
      <c r="AO1112" s="3"/>
      <c r="AP1112" s="3"/>
      <c r="AQ1112" s="3"/>
      <c r="AR1112" s="3"/>
      <c r="AS1112" s="3"/>
      <c r="AT1112" s="3"/>
      <c r="AU1112" s="3"/>
      <c r="AV1112" s="3"/>
      <c r="AW1112" s="3"/>
      <c r="AX1112" s="3"/>
      <c r="AY1112" s="3"/>
      <c r="AZ1112" s="3"/>
      <c r="BA1112" s="3"/>
      <c r="BB1112" s="3"/>
      <c r="BC1112" s="3"/>
    </row>
    <row r="1113" spans="1:55">
      <c r="A1113" s="1" t="str">
        <f>'Population Definitions'!$A$9</f>
        <v>18-64_females</v>
      </c>
      <c r="C1113" t="s">
        <v>34</v>
      </c>
      <c r="D1113" s="3"/>
      <c r="E1113" s="3">
        <v>0</v>
      </c>
      <c r="F1113" s="3"/>
      <c r="G1113" s="3"/>
      <c r="H1113" s="3"/>
      <c r="I1113" s="3"/>
      <c r="J1113" s="3"/>
      <c r="K1113" s="3"/>
      <c r="L1113" s="3"/>
      <c r="M1113" s="3"/>
      <c r="N1113" s="3"/>
      <c r="O1113" s="3"/>
      <c r="P1113" s="3"/>
      <c r="Q1113" s="3"/>
      <c r="R1113" s="3"/>
      <c r="S1113" s="3"/>
      <c r="T1113" s="3"/>
      <c r="U1113" s="3"/>
      <c r="V1113" s="3"/>
      <c r="W1113" s="3"/>
      <c r="X1113" s="3"/>
      <c r="Y1113" s="3"/>
      <c r="Z1113" s="3"/>
      <c r="AA1113" s="3"/>
      <c r="AB1113" s="3"/>
      <c r="AC1113" s="3"/>
      <c r="AD1113" s="3"/>
      <c r="AE1113" s="3"/>
      <c r="AF1113" s="3"/>
      <c r="AG1113" s="3"/>
      <c r="AH1113" s="3"/>
      <c r="AI1113" s="3"/>
      <c r="AJ1113" s="3"/>
      <c r="AK1113" s="3"/>
      <c r="AL1113" s="3"/>
      <c r="AM1113" s="3"/>
      <c r="AN1113" s="3"/>
      <c r="AO1113" s="3"/>
      <c r="AP1113" s="3"/>
      <c r="AQ1113" s="3"/>
      <c r="AR1113" s="3"/>
      <c r="AS1113" s="3"/>
      <c r="AT1113" s="3"/>
      <c r="AU1113" s="3"/>
      <c r="AV1113" s="3"/>
      <c r="AW1113" s="3"/>
      <c r="AX1113" s="3"/>
      <c r="AY1113" s="3"/>
      <c r="AZ1113" s="3"/>
      <c r="BA1113" s="3"/>
      <c r="BB1113" s="3"/>
      <c r="BC1113" s="3"/>
    </row>
    <row r="1114" spans="1:55">
      <c r="A1114" s="1" t="str">
        <f>'Population Definitions'!$A$10</f>
        <v>65+_males</v>
      </c>
      <c r="C1114" t="s">
        <v>34</v>
      </c>
      <c r="D1114" s="3"/>
      <c r="E1114" s="3">
        <v>0</v>
      </c>
      <c r="F1114" s="3"/>
      <c r="G1114" s="3"/>
      <c r="H1114" s="3"/>
      <c r="I1114" s="3"/>
      <c r="J1114" s="3"/>
      <c r="K1114" s="3"/>
      <c r="L1114" s="3"/>
      <c r="M1114" s="3"/>
      <c r="N1114" s="3"/>
      <c r="O1114" s="3"/>
      <c r="P1114" s="3"/>
      <c r="Q1114" s="3"/>
      <c r="R1114" s="3"/>
      <c r="S1114" s="3"/>
      <c r="T1114" s="3"/>
      <c r="U1114" s="3"/>
      <c r="V1114" s="3"/>
      <c r="W1114" s="3"/>
      <c r="X1114" s="3"/>
      <c r="Y1114" s="3"/>
      <c r="Z1114" s="3"/>
      <c r="AA1114" s="3"/>
      <c r="AB1114" s="3"/>
      <c r="AC1114" s="3"/>
      <c r="AD1114" s="3"/>
      <c r="AE1114" s="3"/>
      <c r="AF1114" s="3"/>
      <c r="AG1114" s="3"/>
      <c r="AH1114" s="3"/>
      <c r="AI1114" s="3"/>
      <c r="AJ1114" s="3"/>
      <c r="AK1114" s="3"/>
      <c r="AL1114" s="3"/>
      <c r="AM1114" s="3"/>
      <c r="AN1114" s="3"/>
      <c r="AO1114" s="3"/>
      <c r="AP1114" s="3"/>
      <c r="AQ1114" s="3"/>
      <c r="AR1114" s="3"/>
      <c r="AS1114" s="3"/>
      <c r="AT1114" s="3"/>
      <c r="AU1114" s="3"/>
      <c r="AV1114" s="3"/>
      <c r="AW1114" s="3"/>
      <c r="AX1114" s="3"/>
      <c r="AY1114" s="3"/>
      <c r="AZ1114" s="3"/>
      <c r="BA1114" s="3"/>
      <c r="BB1114" s="3"/>
      <c r="BC1114" s="3"/>
    </row>
    <row r="1115" spans="1:55">
      <c r="A1115" s="1" t="str">
        <f>'Population Definitions'!$A$11</f>
        <v>65+_females</v>
      </c>
      <c r="C1115" t="s">
        <v>34</v>
      </c>
      <c r="D1115" s="3"/>
      <c r="E1115" s="3">
        <v>0</v>
      </c>
      <c r="F1115" s="3"/>
      <c r="G1115" s="3"/>
      <c r="H1115" s="3"/>
      <c r="I1115" s="3"/>
      <c r="J1115" s="3"/>
      <c r="K1115" s="3"/>
      <c r="L1115" s="3"/>
      <c r="M1115" s="3"/>
      <c r="N1115" s="3"/>
      <c r="O1115" s="3"/>
      <c r="P1115" s="3"/>
      <c r="Q1115" s="3"/>
      <c r="R1115" s="3"/>
      <c r="S1115" s="3"/>
      <c r="T1115" s="3"/>
      <c r="U1115" s="3"/>
      <c r="V1115" s="3"/>
      <c r="W1115" s="3"/>
      <c r="X1115" s="3"/>
      <c r="Y1115" s="3"/>
      <c r="Z1115" s="3"/>
      <c r="AA1115" s="3"/>
      <c r="AB1115" s="3"/>
      <c r="AC1115" s="3"/>
      <c r="AD1115" s="3"/>
      <c r="AE1115" s="3"/>
      <c r="AF1115" s="3"/>
      <c r="AG1115" s="3"/>
      <c r="AH1115" s="3"/>
      <c r="AI1115" s="3"/>
      <c r="AJ1115" s="3"/>
      <c r="AK1115" s="3"/>
      <c r="AL1115" s="3"/>
      <c r="AM1115" s="3"/>
      <c r="AN1115" s="3"/>
      <c r="AO1115" s="3"/>
      <c r="AP1115" s="3"/>
      <c r="AQ1115" s="3"/>
      <c r="AR1115" s="3"/>
      <c r="AS1115" s="3"/>
      <c r="AT1115" s="3"/>
      <c r="AU1115" s="3"/>
      <c r="AV1115" s="3"/>
      <c r="AW1115" s="3"/>
      <c r="AX1115" s="3"/>
      <c r="AY1115" s="3"/>
      <c r="AZ1115" s="3"/>
      <c r="BA1115" s="3"/>
      <c r="BB1115" s="3"/>
      <c r="BC1115" s="3"/>
    </row>
    <row r="1116" spans="1:55">
      <c r="A1116" s="1" t="str">
        <f>'Population Definitions'!$A$12</f>
        <v>Prisoners_males</v>
      </c>
      <c r="C1116" t="s">
        <v>34</v>
      </c>
      <c r="D1116" s="3"/>
      <c r="E1116" s="3">
        <v>0</v>
      </c>
      <c r="F1116" s="3"/>
      <c r="G1116" s="3"/>
      <c r="H1116" s="3"/>
      <c r="I1116" s="3"/>
      <c r="J1116" s="3"/>
      <c r="K1116" s="3"/>
      <c r="L1116" s="3"/>
      <c r="M1116" s="3"/>
      <c r="N1116" s="3"/>
      <c r="O1116" s="3"/>
      <c r="P1116" s="3"/>
      <c r="Q1116" s="3"/>
      <c r="R1116" s="3"/>
      <c r="S1116" s="3"/>
      <c r="T1116" s="3"/>
      <c r="U1116" s="3"/>
      <c r="V1116" s="3"/>
      <c r="W1116" s="3"/>
      <c r="X1116" s="3"/>
      <c r="Y1116" s="3"/>
      <c r="Z1116" s="3"/>
      <c r="AA1116" s="3"/>
      <c r="AB1116" s="3"/>
      <c r="AC1116" s="3"/>
      <c r="AD1116" s="3"/>
      <c r="AE1116" s="3"/>
      <c r="AF1116" s="3"/>
      <c r="AG1116" s="3"/>
      <c r="AH1116" s="3"/>
      <c r="AI1116" s="3"/>
      <c r="AJ1116" s="3"/>
      <c r="AK1116" s="3"/>
      <c r="AL1116" s="3"/>
      <c r="AM1116" s="3"/>
      <c r="AN1116" s="3"/>
      <c r="AO1116" s="3"/>
      <c r="AP1116" s="3"/>
      <c r="AQ1116" s="3"/>
      <c r="AR1116" s="3"/>
      <c r="AS1116" s="3"/>
      <c r="AT1116" s="3"/>
      <c r="AU1116" s="3"/>
      <c r="AV1116" s="3"/>
      <c r="AW1116" s="3"/>
      <c r="AX1116" s="3"/>
      <c r="AY1116" s="3"/>
      <c r="AZ1116" s="3"/>
      <c r="BA1116" s="3"/>
      <c r="BB1116" s="3"/>
      <c r="BC1116" s="3"/>
    </row>
    <row r="1117" spans="1:55">
      <c r="A1117" s="1" t="str">
        <f>'Population Definitions'!$A$13</f>
        <v>Prisoners_females</v>
      </c>
      <c r="C1117" t="s">
        <v>34</v>
      </c>
      <c r="D1117" s="3"/>
      <c r="E1117" s="3">
        <v>0</v>
      </c>
      <c r="F1117" s="3"/>
      <c r="G1117" s="3"/>
      <c r="H1117" s="3"/>
      <c r="I1117" s="3"/>
      <c r="J1117" s="3"/>
      <c r="K1117" s="3"/>
      <c r="L1117" s="3"/>
      <c r="M1117" s="3"/>
      <c r="N1117" s="3"/>
      <c r="O1117" s="3"/>
      <c r="P1117" s="3"/>
      <c r="Q1117" s="3"/>
      <c r="R1117" s="3"/>
      <c r="S1117" s="3"/>
      <c r="T1117" s="3"/>
      <c r="U1117" s="3"/>
      <c r="V1117" s="3"/>
      <c r="W1117" s="3"/>
      <c r="X1117" s="3"/>
      <c r="Y1117" s="3"/>
      <c r="Z1117" s="3"/>
      <c r="AA1117" s="3"/>
      <c r="AB1117" s="3"/>
      <c r="AC1117" s="3"/>
      <c r="AD1117" s="3"/>
      <c r="AE1117" s="3"/>
      <c r="AF1117" s="3"/>
      <c r="AG1117" s="3"/>
      <c r="AH1117" s="3"/>
      <c r="AI1117" s="3"/>
      <c r="AJ1117" s="3"/>
      <c r="AK1117" s="3"/>
      <c r="AL1117" s="3"/>
      <c r="AM1117" s="3"/>
      <c r="AN1117" s="3"/>
      <c r="AO1117" s="3"/>
      <c r="AP1117" s="3"/>
      <c r="AQ1117" s="3"/>
      <c r="AR1117" s="3"/>
      <c r="AS1117" s="3"/>
      <c r="AT1117" s="3"/>
      <c r="AU1117" s="3"/>
      <c r="AV1117" s="3"/>
      <c r="AW1117" s="3"/>
      <c r="AX1117" s="3"/>
      <c r="AY1117" s="3"/>
      <c r="AZ1117" s="3"/>
      <c r="BA1117" s="3"/>
      <c r="BB1117" s="3"/>
      <c r="BC1117" s="3"/>
    </row>
    <row r="1118" spans="1:55">
      <c r="A1118" s="1" t="str">
        <f>'Population Definitions'!$A$14</f>
        <v>Prisoners_PWID_males</v>
      </c>
      <c r="C1118" t="s">
        <v>34</v>
      </c>
      <c r="D1118" s="3"/>
      <c r="E1118" s="3">
        <v>0</v>
      </c>
      <c r="F1118" s="3"/>
      <c r="G1118" s="3"/>
      <c r="H1118" s="3"/>
      <c r="I1118" s="3"/>
      <c r="J1118" s="3"/>
      <c r="K1118" s="3"/>
      <c r="L1118" s="3"/>
      <c r="M1118" s="3"/>
      <c r="N1118" s="3"/>
      <c r="O1118" s="3"/>
      <c r="P1118" s="3"/>
      <c r="Q1118" s="3"/>
      <c r="R1118" s="3"/>
      <c r="S1118" s="3"/>
      <c r="T1118" s="3"/>
      <c r="U1118" s="3"/>
      <c r="V1118" s="3"/>
      <c r="W1118" s="3"/>
      <c r="X1118" s="3"/>
      <c r="Y1118" s="3"/>
      <c r="Z1118" s="3"/>
      <c r="AA1118" s="3"/>
      <c r="AB1118" s="3"/>
      <c r="AC1118" s="3"/>
      <c r="AD1118" s="3"/>
      <c r="AE1118" s="3"/>
      <c r="AF1118" s="3"/>
      <c r="AG1118" s="3"/>
      <c r="AH1118" s="3"/>
      <c r="AI1118" s="3"/>
      <c r="AJ1118" s="3"/>
      <c r="AK1118" s="3"/>
      <c r="AL1118" s="3"/>
      <c r="AM1118" s="3"/>
      <c r="AN1118" s="3"/>
      <c r="AO1118" s="3"/>
      <c r="AP1118" s="3"/>
      <c r="AQ1118" s="3"/>
      <c r="AR1118" s="3"/>
      <c r="AS1118" s="3"/>
      <c r="AT1118" s="3"/>
      <c r="AU1118" s="3"/>
      <c r="AV1118" s="3"/>
      <c r="AW1118" s="3"/>
      <c r="AX1118" s="3"/>
      <c r="AY1118" s="3"/>
      <c r="AZ1118" s="3"/>
      <c r="BA1118" s="3"/>
      <c r="BB1118" s="3"/>
      <c r="BC1118" s="3"/>
    </row>
    <row r="1119" spans="1:55">
      <c r="A1119" s="1" t="str">
        <f>'Population Definitions'!$A$15</f>
        <v>Prisoners_PWID_females</v>
      </c>
      <c r="C1119" t="s">
        <v>34</v>
      </c>
      <c r="D1119" s="3"/>
      <c r="E1119" s="3">
        <v>0</v>
      </c>
      <c r="F1119" s="3"/>
      <c r="G1119" s="3"/>
      <c r="H1119" s="3"/>
      <c r="I1119" s="3"/>
      <c r="J1119" s="3"/>
      <c r="K1119" s="3"/>
      <c r="L1119" s="3"/>
      <c r="M1119" s="3"/>
      <c r="N1119" s="3"/>
      <c r="O1119" s="3"/>
      <c r="P1119" s="3"/>
      <c r="Q1119" s="3"/>
      <c r="R1119" s="3"/>
      <c r="S1119" s="3"/>
      <c r="T1119" s="3"/>
      <c r="U1119" s="3"/>
      <c r="V1119" s="3"/>
      <c r="W1119" s="3"/>
      <c r="X1119" s="3"/>
      <c r="Y1119" s="3"/>
      <c r="Z1119" s="3"/>
      <c r="AA1119" s="3"/>
      <c r="AB1119" s="3"/>
      <c r="AC1119" s="3"/>
      <c r="AD1119" s="3"/>
      <c r="AE1119" s="3"/>
      <c r="AF1119" s="3"/>
      <c r="AG1119" s="3"/>
      <c r="AH1119" s="3"/>
      <c r="AI1119" s="3"/>
      <c r="AJ1119" s="3"/>
      <c r="AK1119" s="3"/>
      <c r="AL1119" s="3"/>
      <c r="AM1119" s="3"/>
      <c r="AN1119" s="3"/>
      <c r="AO1119" s="3"/>
      <c r="AP1119" s="3"/>
      <c r="AQ1119" s="3"/>
      <c r="AR1119" s="3"/>
      <c r="AS1119" s="3"/>
      <c r="AT1119" s="3"/>
      <c r="AU1119" s="3"/>
      <c r="AV1119" s="3"/>
      <c r="AW1119" s="3"/>
      <c r="AX1119" s="3"/>
      <c r="AY1119" s="3"/>
      <c r="AZ1119" s="3"/>
      <c r="BA1119" s="3"/>
      <c r="BB1119" s="3"/>
      <c r="BC1119" s="3"/>
    </row>
    <row r="1121" spans="1:55">
      <c r="A1121" s="1" t="s">
        <v>197</v>
      </c>
      <c r="B1121" s="1" t="s">
        <v>31</v>
      </c>
      <c r="C1121" s="1" t="s">
        <v>32</v>
      </c>
      <c r="D1121" s="1" t="s">
        <v>33</v>
      </c>
      <c r="E1121" s="1">
        <v>2000</v>
      </c>
      <c r="F1121" s="1">
        <v>2001</v>
      </c>
      <c r="G1121" s="1">
        <v>2002</v>
      </c>
      <c r="H1121" s="1">
        <v>2003</v>
      </c>
      <c r="I1121" s="1">
        <v>2004</v>
      </c>
      <c r="J1121" s="1">
        <v>2005</v>
      </c>
      <c r="K1121" s="1">
        <v>2006</v>
      </c>
      <c r="L1121" s="1">
        <v>2007</v>
      </c>
      <c r="M1121" s="1">
        <v>2008</v>
      </c>
      <c r="N1121" s="1">
        <v>2009</v>
      </c>
      <c r="O1121" s="1">
        <v>2010</v>
      </c>
      <c r="P1121" s="1">
        <v>2011</v>
      </c>
      <c r="Q1121" s="1">
        <v>2012</v>
      </c>
      <c r="R1121" s="1">
        <v>2013</v>
      </c>
      <c r="S1121" s="1">
        <v>2014</v>
      </c>
      <c r="T1121" s="1">
        <v>2015</v>
      </c>
      <c r="U1121" s="1">
        <v>2016</v>
      </c>
      <c r="V1121" s="1">
        <v>2017</v>
      </c>
      <c r="W1121" s="1">
        <v>2018</v>
      </c>
      <c r="X1121" s="1">
        <v>2019</v>
      </c>
      <c r="Y1121" s="1">
        <v>2020</v>
      </c>
      <c r="Z1121" s="1">
        <v>2021</v>
      </c>
      <c r="AA1121" s="1">
        <v>2022</v>
      </c>
      <c r="AB1121" s="1">
        <v>2023</v>
      </c>
      <c r="AC1121" s="1">
        <v>2024</v>
      </c>
      <c r="AD1121" s="1">
        <v>2025</v>
      </c>
      <c r="AE1121" s="1">
        <v>2026</v>
      </c>
      <c r="AF1121" s="1">
        <v>2027</v>
      </c>
      <c r="AG1121" s="1">
        <v>2028</v>
      </c>
      <c r="AH1121" s="1">
        <v>2029</v>
      </c>
      <c r="AI1121" s="1">
        <v>2030</v>
      </c>
      <c r="AJ1121" s="1">
        <v>2031</v>
      </c>
      <c r="AK1121" s="1">
        <v>2032</v>
      </c>
      <c r="AL1121" s="1">
        <v>2033</v>
      </c>
      <c r="AM1121" s="1">
        <v>2034</v>
      </c>
      <c r="AN1121" s="1">
        <v>2035</v>
      </c>
      <c r="AO1121" s="1">
        <v>2036</v>
      </c>
      <c r="AP1121" s="1">
        <v>2037</v>
      </c>
      <c r="AQ1121" s="1">
        <v>2038</v>
      </c>
      <c r="AR1121" s="1">
        <v>2039</v>
      </c>
      <c r="AS1121" s="1">
        <v>2040</v>
      </c>
      <c r="AT1121" s="1">
        <v>2041</v>
      </c>
      <c r="AU1121" s="1">
        <v>2042</v>
      </c>
      <c r="AV1121" s="1">
        <v>2043</v>
      </c>
      <c r="AW1121" s="1">
        <v>2044</v>
      </c>
      <c r="AX1121" s="1">
        <v>2045</v>
      </c>
      <c r="AY1121" s="1">
        <v>2046</v>
      </c>
      <c r="AZ1121" s="1">
        <v>2047</v>
      </c>
      <c r="BA1121" s="1">
        <v>2048</v>
      </c>
      <c r="BB1121" s="1">
        <v>2049</v>
      </c>
      <c r="BC1121" s="1">
        <v>2050</v>
      </c>
    </row>
    <row r="1122" spans="1:55">
      <c r="A1122" s="1" t="str">
        <f>'Population Definitions'!$A$2</f>
        <v>PWID_males</v>
      </c>
      <c r="C1122" t="s">
        <v>34</v>
      </c>
      <c r="D1122" s="3"/>
      <c r="E1122" s="3">
        <v>0</v>
      </c>
      <c r="F1122" s="3"/>
      <c r="G1122" s="3"/>
      <c r="H1122" s="3"/>
      <c r="I1122" s="3"/>
      <c r="J1122" s="3"/>
      <c r="K1122" s="3"/>
      <c r="L1122" s="3"/>
      <c r="M1122" s="3"/>
      <c r="N1122" s="3"/>
      <c r="O1122" s="3"/>
      <c r="P1122" s="3"/>
      <c r="Q1122" s="3"/>
      <c r="R1122" s="3"/>
      <c r="S1122" s="3"/>
      <c r="T1122" s="3"/>
      <c r="U1122" s="3"/>
      <c r="V1122" s="3"/>
      <c r="W1122" s="3"/>
      <c r="X1122" s="3"/>
      <c r="Y1122" s="3"/>
      <c r="Z1122" s="3"/>
      <c r="AA1122" s="3"/>
      <c r="AB1122" s="3"/>
      <c r="AC1122" s="3"/>
      <c r="AD1122" s="3"/>
      <c r="AE1122" s="3"/>
      <c r="AF1122" s="3"/>
      <c r="AG1122" s="3"/>
      <c r="AH1122" s="3"/>
      <c r="AI1122" s="3"/>
      <c r="AJ1122" s="3"/>
      <c r="AK1122" s="3"/>
      <c r="AL1122" s="3"/>
      <c r="AM1122" s="3"/>
      <c r="AN1122" s="3"/>
      <c r="AO1122" s="3"/>
      <c r="AP1122" s="3"/>
      <c r="AQ1122" s="3"/>
      <c r="AR1122" s="3"/>
      <c r="AS1122" s="3"/>
      <c r="AT1122" s="3"/>
      <c r="AU1122" s="3"/>
      <c r="AV1122" s="3"/>
      <c r="AW1122" s="3"/>
      <c r="AX1122" s="3"/>
      <c r="AY1122" s="3"/>
      <c r="AZ1122" s="3"/>
      <c r="BA1122" s="3"/>
      <c r="BB1122" s="3"/>
      <c r="BC1122" s="3"/>
    </row>
    <row r="1123" spans="1:55">
      <c r="A1123" s="1" t="str">
        <f>'Population Definitions'!$A$3</f>
        <v>PWID_females</v>
      </c>
      <c r="C1123" t="s">
        <v>34</v>
      </c>
      <c r="D1123" s="3"/>
      <c r="E1123" s="3">
        <v>0</v>
      </c>
      <c r="F1123" s="3"/>
      <c r="G1123" s="3"/>
      <c r="H1123" s="3"/>
      <c r="I1123" s="3"/>
      <c r="J1123" s="3"/>
      <c r="K1123" s="3"/>
      <c r="L1123" s="3"/>
      <c r="M1123" s="3"/>
      <c r="N1123" s="3"/>
      <c r="O1123" s="3"/>
      <c r="P1123" s="3"/>
      <c r="Q1123" s="3"/>
      <c r="R1123" s="3"/>
      <c r="S1123" s="3"/>
      <c r="T1123" s="3"/>
      <c r="U1123" s="3"/>
      <c r="V1123" s="3"/>
      <c r="W1123" s="3"/>
      <c r="X1123" s="3"/>
      <c r="Y1123" s="3"/>
      <c r="Z1123" s="3"/>
      <c r="AA1123" s="3"/>
      <c r="AB1123" s="3"/>
      <c r="AC1123" s="3"/>
      <c r="AD1123" s="3"/>
      <c r="AE1123" s="3"/>
      <c r="AF1123" s="3"/>
      <c r="AG1123" s="3"/>
      <c r="AH1123" s="3"/>
      <c r="AI1123" s="3"/>
      <c r="AJ1123" s="3"/>
      <c r="AK1123" s="3"/>
      <c r="AL1123" s="3"/>
      <c r="AM1123" s="3"/>
      <c r="AN1123" s="3"/>
      <c r="AO1123" s="3"/>
      <c r="AP1123" s="3"/>
      <c r="AQ1123" s="3"/>
      <c r="AR1123" s="3"/>
      <c r="AS1123" s="3"/>
      <c r="AT1123" s="3"/>
      <c r="AU1123" s="3"/>
      <c r="AV1123" s="3"/>
      <c r="AW1123" s="3"/>
      <c r="AX1123" s="3"/>
      <c r="AY1123" s="3"/>
      <c r="AZ1123" s="3"/>
      <c r="BA1123" s="3"/>
      <c r="BB1123" s="3"/>
      <c r="BC1123" s="3"/>
    </row>
    <row r="1124" spans="1:55">
      <c r="A1124" s="1" t="str">
        <f>'Population Definitions'!$A$4</f>
        <v>0-9_males</v>
      </c>
      <c r="C1124" t="s">
        <v>34</v>
      </c>
      <c r="D1124" s="3"/>
      <c r="E1124" s="3">
        <v>0</v>
      </c>
      <c r="F1124" s="3"/>
      <c r="G1124" s="3"/>
      <c r="H1124" s="3"/>
      <c r="I1124" s="3"/>
      <c r="J1124" s="3"/>
      <c r="K1124" s="3"/>
      <c r="L1124" s="3"/>
      <c r="M1124" s="3"/>
      <c r="N1124" s="3"/>
      <c r="O1124" s="3"/>
      <c r="P1124" s="3"/>
      <c r="Q1124" s="3"/>
      <c r="R1124" s="3"/>
      <c r="S1124" s="3"/>
      <c r="T1124" s="3"/>
      <c r="U1124" s="3"/>
      <c r="V1124" s="3"/>
      <c r="W1124" s="3"/>
      <c r="X1124" s="3"/>
      <c r="Y1124" s="3"/>
      <c r="Z1124" s="3"/>
      <c r="AA1124" s="3"/>
      <c r="AB1124" s="3"/>
      <c r="AC1124" s="3"/>
      <c r="AD1124" s="3"/>
      <c r="AE1124" s="3"/>
      <c r="AF1124" s="3"/>
      <c r="AG1124" s="3"/>
      <c r="AH1124" s="3"/>
      <c r="AI1124" s="3"/>
      <c r="AJ1124" s="3"/>
      <c r="AK1124" s="3"/>
      <c r="AL1124" s="3"/>
      <c r="AM1124" s="3"/>
      <c r="AN1124" s="3"/>
      <c r="AO1124" s="3"/>
      <c r="AP1124" s="3"/>
      <c r="AQ1124" s="3"/>
      <c r="AR1124" s="3"/>
      <c r="AS1124" s="3"/>
      <c r="AT1124" s="3"/>
      <c r="AU1124" s="3"/>
      <c r="AV1124" s="3"/>
      <c r="AW1124" s="3"/>
      <c r="AX1124" s="3"/>
      <c r="AY1124" s="3"/>
      <c r="AZ1124" s="3"/>
      <c r="BA1124" s="3"/>
      <c r="BB1124" s="3"/>
      <c r="BC1124" s="3"/>
    </row>
    <row r="1125" spans="1:55">
      <c r="A1125" s="1" t="str">
        <f>'Population Definitions'!$A$5</f>
        <v>0-9_females</v>
      </c>
      <c r="C1125" t="s">
        <v>34</v>
      </c>
      <c r="D1125" s="3"/>
      <c r="E1125" s="3">
        <v>0</v>
      </c>
      <c r="F1125" s="3"/>
      <c r="G1125" s="3"/>
      <c r="H1125" s="3"/>
      <c r="I1125" s="3"/>
      <c r="J1125" s="3"/>
      <c r="K1125" s="3"/>
      <c r="L1125" s="3"/>
      <c r="M1125" s="3"/>
      <c r="N1125" s="3"/>
      <c r="O1125" s="3"/>
      <c r="P1125" s="3"/>
      <c r="Q1125" s="3"/>
      <c r="R1125" s="3"/>
      <c r="S1125" s="3"/>
      <c r="T1125" s="3"/>
      <c r="U1125" s="3"/>
      <c r="V1125" s="3"/>
      <c r="W1125" s="3"/>
      <c r="X1125" s="3"/>
      <c r="Y1125" s="3"/>
      <c r="Z1125" s="3"/>
      <c r="AA1125" s="3"/>
      <c r="AB1125" s="3"/>
      <c r="AC1125" s="3"/>
      <c r="AD1125" s="3"/>
      <c r="AE1125" s="3"/>
      <c r="AF1125" s="3"/>
      <c r="AG1125" s="3"/>
      <c r="AH1125" s="3"/>
      <c r="AI1125" s="3"/>
      <c r="AJ1125" s="3"/>
      <c r="AK1125" s="3"/>
      <c r="AL1125" s="3"/>
      <c r="AM1125" s="3"/>
      <c r="AN1125" s="3"/>
      <c r="AO1125" s="3"/>
      <c r="AP1125" s="3"/>
      <c r="AQ1125" s="3"/>
      <c r="AR1125" s="3"/>
      <c r="AS1125" s="3"/>
      <c r="AT1125" s="3"/>
      <c r="AU1125" s="3"/>
      <c r="AV1125" s="3"/>
      <c r="AW1125" s="3"/>
      <c r="AX1125" s="3"/>
      <c r="AY1125" s="3"/>
      <c r="AZ1125" s="3"/>
      <c r="BA1125" s="3"/>
      <c r="BB1125" s="3"/>
      <c r="BC1125" s="3"/>
    </row>
    <row r="1126" spans="1:55">
      <c r="A1126" s="1" t="str">
        <f>'Population Definitions'!$A$6</f>
        <v>10-17_males</v>
      </c>
      <c r="C1126" t="s">
        <v>34</v>
      </c>
      <c r="D1126" s="3"/>
      <c r="E1126" s="3">
        <v>0</v>
      </c>
      <c r="F1126" s="3"/>
      <c r="G1126" s="3"/>
      <c r="H1126" s="3"/>
      <c r="I1126" s="3"/>
      <c r="J1126" s="3"/>
      <c r="K1126" s="3"/>
      <c r="L1126" s="3"/>
      <c r="M1126" s="3"/>
      <c r="N1126" s="3"/>
      <c r="O1126" s="3"/>
      <c r="P1126" s="3"/>
      <c r="Q1126" s="3"/>
      <c r="R1126" s="3"/>
      <c r="S1126" s="3"/>
      <c r="T1126" s="3"/>
      <c r="U1126" s="3"/>
      <c r="V1126" s="3"/>
      <c r="W1126" s="3"/>
      <c r="X1126" s="3"/>
      <c r="Y1126" s="3"/>
      <c r="Z1126" s="3"/>
      <c r="AA1126" s="3"/>
      <c r="AB1126" s="3"/>
      <c r="AC1126" s="3"/>
      <c r="AD1126" s="3"/>
      <c r="AE1126" s="3"/>
      <c r="AF1126" s="3"/>
      <c r="AG1126" s="3"/>
      <c r="AH1126" s="3"/>
      <c r="AI1126" s="3"/>
      <c r="AJ1126" s="3"/>
      <c r="AK1126" s="3"/>
      <c r="AL1126" s="3"/>
      <c r="AM1126" s="3"/>
      <c r="AN1126" s="3"/>
      <c r="AO1126" s="3"/>
      <c r="AP1126" s="3"/>
      <c r="AQ1126" s="3"/>
      <c r="AR1126" s="3"/>
      <c r="AS1126" s="3"/>
      <c r="AT1126" s="3"/>
      <c r="AU1126" s="3"/>
      <c r="AV1126" s="3"/>
      <c r="AW1126" s="3"/>
      <c r="AX1126" s="3"/>
      <c r="AY1126" s="3"/>
      <c r="AZ1126" s="3"/>
      <c r="BA1126" s="3"/>
      <c r="BB1126" s="3"/>
      <c r="BC1126" s="3"/>
    </row>
    <row r="1127" spans="1:55">
      <c r="A1127" s="1" t="str">
        <f>'Population Definitions'!$A$7</f>
        <v>10-17_females</v>
      </c>
      <c r="C1127" t="s">
        <v>34</v>
      </c>
      <c r="D1127" s="3"/>
      <c r="E1127" s="3">
        <v>0</v>
      </c>
      <c r="F1127" s="3"/>
      <c r="G1127" s="3"/>
      <c r="H1127" s="3"/>
      <c r="I1127" s="3"/>
      <c r="J1127" s="3"/>
      <c r="K1127" s="3"/>
      <c r="L1127" s="3"/>
      <c r="M1127" s="3"/>
      <c r="N1127" s="3"/>
      <c r="O1127" s="3"/>
      <c r="P1127" s="3"/>
      <c r="Q1127" s="3"/>
      <c r="R1127" s="3"/>
      <c r="S1127" s="3"/>
      <c r="T1127" s="3"/>
      <c r="U1127" s="3"/>
      <c r="V1127" s="3"/>
      <c r="W1127" s="3"/>
      <c r="X1127" s="3"/>
      <c r="Y1127" s="3"/>
      <c r="Z1127" s="3"/>
      <c r="AA1127" s="3"/>
      <c r="AB1127" s="3"/>
      <c r="AC1127" s="3"/>
      <c r="AD1127" s="3"/>
      <c r="AE1127" s="3"/>
      <c r="AF1127" s="3"/>
      <c r="AG1127" s="3"/>
      <c r="AH1127" s="3"/>
      <c r="AI1127" s="3"/>
      <c r="AJ1127" s="3"/>
      <c r="AK1127" s="3"/>
      <c r="AL1127" s="3"/>
      <c r="AM1127" s="3"/>
      <c r="AN1127" s="3"/>
      <c r="AO1127" s="3"/>
      <c r="AP1127" s="3"/>
      <c r="AQ1127" s="3"/>
      <c r="AR1127" s="3"/>
      <c r="AS1127" s="3"/>
      <c r="AT1127" s="3"/>
      <c r="AU1127" s="3"/>
      <c r="AV1127" s="3"/>
      <c r="AW1127" s="3"/>
      <c r="AX1127" s="3"/>
      <c r="AY1127" s="3"/>
      <c r="AZ1127" s="3"/>
      <c r="BA1127" s="3"/>
      <c r="BB1127" s="3"/>
      <c r="BC1127" s="3"/>
    </row>
    <row r="1128" spans="1:55">
      <c r="A1128" s="1" t="str">
        <f>'Population Definitions'!$A$8</f>
        <v>18-64_males</v>
      </c>
      <c r="C1128" t="s">
        <v>34</v>
      </c>
      <c r="D1128" s="3"/>
      <c r="E1128" s="3">
        <v>0</v>
      </c>
      <c r="F1128" s="3"/>
      <c r="G1128" s="3"/>
      <c r="H1128" s="3"/>
      <c r="I1128" s="3"/>
      <c r="J1128" s="3"/>
      <c r="K1128" s="3"/>
      <c r="L1128" s="3"/>
      <c r="M1128" s="3"/>
      <c r="N1128" s="3"/>
      <c r="O1128" s="3"/>
      <c r="P1128" s="3"/>
      <c r="Q1128" s="3"/>
      <c r="R1128" s="3"/>
      <c r="S1128" s="3"/>
      <c r="T1128" s="3"/>
      <c r="U1128" s="3"/>
      <c r="V1128" s="3"/>
      <c r="W1128" s="3"/>
      <c r="X1128" s="3"/>
      <c r="Y1128" s="3"/>
      <c r="Z1128" s="3"/>
      <c r="AA1128" s="3"/>
      <c r="AB1128" s="3"/>
      <c r="AC1128" s="3"/>
      <c r="AD1128" s="3"/>
      <c r="AE1128" s="3"/>
      <c r="AF1128" s="3"/>
      <c r="AG1128" s="3"/>
      <c r="AH1128" s="3"/>
      <c r="AI1128" s="3"/>
      <c r="AJ1128" s="3"/>
      <c r="AK1128" s="3"/>
      <c r="AL1128" s="3"/>
      <c r="AM1128" s="3"/>
      <c r="AN1128" s="3"/>
      <c r="AO1128" s="3"/>
      <c r="AP1128" s="3"/>
      <c r="AQ1128" s="3"/>
      <c r="AR1128" s="3"/>
      <c r="AS1128" s="3"/>
      <c r="AT1128" s="3"/>
      <c r="AU1128" s="3"/>
      <c r="AV1128" s="3"/>
      <c r="AW1128" s="3"/>
      <c r="AX1128" s="3"/>
      <c r="AY1128" s="3"/>
      <c r="AZ1128" s="3"/>
      <c r="BA1128" s="3"/>
      <c r="BB1128" s="3"/>
      <c r="BC1128" s="3"/>
    </row>
    <row r="1129" spans="1:55">
      <c r="A1129" s="1" t="str">
        <f>'Population Definitions'!$A$9</f>
        <v>18-64_females</v>
      </c>
      <c r="C1129" t="s">
        <v>34</v>
      </c>
      <c r="D1129" s="3"/>
      <c r="E1129" s="3">
        <v>0</v>
      </c>
      <c r="F1129" s="3"/>
      <c r="G1129" s="3"/>
      <c r="H1129" s="3"/>
      <c r="I1129" s="3"/>
      <c r="J1129" s="3"/>
      <c r="K1129" s="3"/>
      <c r="L1129" s="3"/>
      <c r="M1129" s="3"/>
      <c r="N1129" s="3"/>
      <c r="O1129" s="3"/>
      <c r="P1129" s="3"/>
      <c r="Q1129" s="3"/>
      <c r="R1129" s="3"/>
      <c r="S1129" s="3"/>
      <c r="T1129" s="3"/>
      <c r="U1129" s="3"/>
      <c r="V1129" s="3"/>
      <c r="W1129" s="3"/>
      <c r="X1129" s="3"/>
      <c r="Y1129" s="3"/>
      <c r="Z1129" s="3"/>
      <c r="AA1129" s="3"/>
      <c r="AB1129" s="3"/>
      <c r="AC1129" s="3"/>
      <c r="AD1129" s="3"/>
      <c r="AE1129" s="3"/>
      <c r="AF1129" s="3"/>
      <c r="AG1129" s="3"/>
      <c r="AH1129" s="3"/>
      <c r="AI1129" s="3"/>
      <c r="AJ1129" s="3"/>
      <c r="AK1129" s="3"/>
      <c r="AL1129" s="3"/>
      <c r="AM1129" s="3"/>
      <c r="AN1129" s="3"/>
      <c r="AO1129" s="3"/>
      <c r="AP1129" s="3"/>
      <c r="AQ1129" s="3"/>
      <c r="AR1129" s="3"/>
      <c r="AS1129" s="3"/>
      <c r="AT1129" s="3"/>
      <c r="AU1129" s="3"/>
      <c r="AV1129" s="3"/>
      <c r="AW1129" s="3"/>
      <c r="AX1129" s="3"/>
      <c r="AY1129" s="3"/>
      <c r="AZ1129" s="3"/>
      <c r="BA1129" s="3"/>
      <c r="BB1129" s="3"/>
      <c r="BC1129" s="3"/>
    </row>
    <row r="1130" spans="1:55">
      <c r="A1130" s="1" t="str">
        <f>'Population Definitions'!$A$10</f>
        <v>65+_males</v>
      </c>
      <c r="C1130" t="s">
        <v>34</v>
      </c>
      <c r="D1130" s="3"/>
      <c r="E1130" s="3">
        <v>0</v>
      </c>
      <c r="F1130" s="3"/>
      <c r="G1130" s="3"/>
      <c r="H1130" s="3"/>
      <c r="I1130" s="3"/>
      <c r="J1130" s="3"/>
      <c r="K1130" s="3"/>
      <c r="L1130" s="3"/>
      <c r="M1130" s="3"/>
      <c r="N1130" s="3"/>
      <c r="O1130" s="3"/>
      <c r="P1130" s="3"/>
      <c r="Q1130" s="3"/>
      <c r="R1130" s="3"/>
      <c r="S1130" s="3"/>
      <c r="T1130" s="3"/>
      <c r="U1130" s="3"/>
      <c r="V1130" s="3"/>
      <c r="W1130" s="3"/>
      <c r="X1130" s="3"/>
      <c r="Y1130" s="3"/>
      <c r="Z1130" s="3"/>
      <c r="AA1130" s="3"/>
      <c r="AB1130" s="3"/>
      <c r="AC1130" s="3"/>
      <c r="AD1130" s="3"/>
      <c r="AE1130" s="3"/>
      <c r="AF1130" s="3"/>
      <c r="AG1130" s="3"/>
      <c r="AH1130" s="3"/>
      <c r="AI1130" s="3"/>
      <c r="AJ1130" s="3"/>
      <c r="AK1130" s="3"/>
      <c r="AL1130" s="3"/>
      <c r="AM1130" s="3"/>
      <c r="AN1130" s="3"/>
      <c r="AO1130" s="3"/>
      <c r="AP1130" s="3"/>
      <c r="AQ1130" s="3"/>
      <c r="AR1130" s="3"/>
      <c r="AS1130" s="3"/>
      <c r="AT1130" s="3"/>
      <c r="AU1130" s="3"/>
      <c r="AV1130" s="3"/>
      <c r="AW1130" s="3"/>
      <c r="AX1130" s="3"/>
      <c r="AY1130" s="3"/>
      <c r="AZ1130" s="3"/>
      <c r="BA1130" s="3"/>
      <c r="BB1130" s="3"/>
      <c r="BC1130" s="3"/>
    </row>
    <row r="1131" spans="1:55">
      <c r="A1131" s="1" t="str">
        <f>'Population Definitions'!$A$11</f>
        <v>65+_females</v>
      </c>
      <c r="C1131" t="s">
        <v>34</v>
      </c>
      <c r="D1131" s="3"/>
      <c r="E1131" s="3">
        <v>0</v>
      </c>
      <c r="F1131" s="3"/>
      <c r="G1131" s="3"/>
      <c r="H1131" s="3"/>
      <c r="I1131" s="3"/>
      <c r="J1131" s="3"/>
      <c r="K1131" s="3"/>
      <c r="L1131" s="3"/>
      <c r="M1131" s="3"/>
      <c r="N1131" s="3"/>
      <c r="O1131" s="3"/>
      <c r="P1131" s="3"/>
      <c r="Q1131" s="3"/>
      <c r="R1131" s="3"/>
      <c r="S1131" s="3"/>
      <c r="T1131" s="3"/>
      <c r="U1131" s="3"/>
      <c r="V1131" s="3"/>
      <c r="W1131" s="3"/>
      <c r="X1131" s="3"/>
      <c r="Y1131" s="3"/>
      <c r="Z1131" s="3"/>
      <c r="AA1131" s="3"/>
      <c r="AB1131" s="3"/>
      <c r="AC1131" s="3"/>
      <c r="AD1131" s="3"/>
      <c r="AE1131" s="3"/>
      <c r="AF1131" s="3"/>
      <c r="AG1131" s="3"/>
      <c r="AH1131" s="3"/>
      <c r="AI1131" s="3"/>
      <c r="AJ1131" s="3"/>
      <c r="AK1131" s="3"/>
      <c r="AL1131" s="3"/>
      <c r="AM1131" s="3"/>
      <c r="AN1131" s="3"/>
      <c r="AO1131" s="3"/>
      <c r="AP1131" s="3"/>
      <c r="AQ1131" s="3"/>
      <c r="AR1131" s="3"/>
      <c r="AS1131" s="3"/>
      <c r="AT1131" s="3"/>
      <c r="AU1131" s="3"/>
      <c r="AV1131" s="3"/>
      <c r="AW1131" s="3"/>
      <c r="AX1131" s="3"/>
      <c r="AY1131" s="3"/>
      <c r="AZ1131" s="3"/>
      <c r="BA1131" s="3"/>
      <c r="BB1131" s="3"/>
      <c r="BC1131" s="3"/>
    </row>
    <row r="1132" spans="1:55">
      <c r="A1132" s="1" t="str">
        <f>'Population Definitions'!$A$12</f>
        <v>Prisoners_males</v>
      </c>
      <c r="C1132" t="s">
        <v>34</v>
      </c>
      <c r="D1132" s="3"/>
      <c r="E1132" s="3">
        <v>0</v>
      </c>
      <c r="F1132" s="3"/>
      <c r="G1132" s="3"/>
      <c r="H1132" s="3"/>
      <c r="I1132" s="3"/>
      <c r="J1132" s="3"/>
      <c r="K1132" s="3"/>
      <c r="L1132" s="3"/>
      <c r="M1132" s="3"/>
      <c r="N1132" s="3"/>
      <c r="O1132" s="3"/>
      <c r="P1132" s="3"/>
      <c r="Q1132" s="3"/>
      <c r="R1132" s="3"/>
      <c r="S1132" s="3"/>
      <c r="T1132" s="3"/>
      <c r="U1132" s="3"/>
      <c r="V1132" s="3"/>
      <c r="W1132" s="3"/>
      <c r="X1132" s="3"/>
      <c r="Y1132" s="3"/>
      <c r="Z1132" s="3"/>
      <c r="AA1132" s="3"/>
      <c r="AB1132" s="3"/>
      <c r="AC1132" s="3"/>
      <c r="AD1132" s="3"/>
      <c r="AE1132" s="3"/>
      <c r="AF1132" s="3"/>
      <c r="AG1132" s="3"/>
      <c r="AH1132" s="3"/>
      <c r="AI1132" s="3"/>
      <c r="AJ1132" s="3"/>
      <c r="AK1132" s="3"/>
      <c r="AL1132" s="3"/>
      <c r="AM1132" s="3"/>
      <c r="AN1132" s="3"/>
      <c r="AO1132" s="3"/>
      <c r="AP1132" s="3"/>
      <c r="AQ1132" s="3"/>
      <c r="AR1132" s="3"/>
      <c r="AS1132" s="3"/>
      <c r="AT1132" s="3"/>
      <c r="AU1132" s="3"/>
      <c r="AV1132" s="3"/>
      <c r="AW1132" s="3"/>
      <c r="AX1132" s="3"/>
      <c r="AY1132" s="3"/>
      <c r="AZ1132" s="3"/>
      <c r="BA1132" s="3"/>
      <c r="BB1132" s="3"/>
      <c r="BC1132" s="3"/>
    </row>
    <row r="1133" spans="1:55">
      <c r="A1133" s="1" t="str">
        <f>'Population Definitions'!$A$13</f>
        <v>Prisoners_females</v>
      </c>
      <c r="C1133" t="s">
        <v>34</v>
      </c>
      <c r="D1133" s="3"/>
      <c r="E1133" s="3">
        <v>0</v>
      </c>
      <c r="F1133" s="3"/>
      <c r="G1133" s="3"/>
      <c r="H1133" s="3"/>
      <c r="I1133" s="3"/>
      <c r="J1133" s="3"/>
      <c r="K1133" s="3"/>
      <c r="L1133" s="3"/>
      <c r="M1133" s="3"/>
      <c r="N1133" s="3"/>
      <c r="O1133" s="3"/>
      <c r="P1133" s="3"/>
      <c r="Q1133" s="3"/>
      <c r="R1133" s="3"/>
      <c r="S1133" s="3"/>
      <c r="T1133" s="3"/>
      <c r="U1133" s="3"/>
      <c r="V1133" s="3"/>
      <c r="W1133" s="3"/>
      <c r="X1133" s="3"/>
      <c r="Y1133" s="3"/>
      <c r="Z1133" s="3"/>
      <c r="AA1133" s="3"/>
      <c r="AB1133" s="3"/>
      <c r="AC1133" s="3"/>
      <c r="AD1133" s="3"/>
      <c r="AE1133" s="3"/>
      <c r="AF1133" s="3"/>
      <c r="AG1133" s="3"/>
      <c r="AH1133" s="3"/>
      <c r="AI1133" s="3"/>
      <c r="AJ1133" s="3"/>
      <c r="AK1133" s="3"/>
      <c r="AL1133" s="3"/>
      <c r="AM1133" s="3"/>
      <c r="AN1133" s="3"/>
      <c r="AO1133" s="3"/>
      <c r="AP1133" s="3"/>
      <c r="AQ1133" s="3"/>
      <c r="AR1133" s="3"/>
      <c r="AS1133" s="3"/>
      <c r="AT1133" s="3"/>
      <c r="AU1133" s="3"/>
      <c r="AV1133" s="3"/>
      <c r="AW1133" s="3"/>
      <c r="AX1133" s="3"/>
      <c r="AY1133" s="3"/>
      <c r="AZ1133" s="3"/>
      <c r="BA1133" s="3"/>
      <c r="BB1133" s="3"/>
      <c r="BC1133" s="3"/>
    </row>
    <row r="1134" spans="1:55">
      <c r="A1134" s="1" t="str">
        <f>'Population Definitions'!$A$14</f>
        <v>Prisoners_PWID_males</v>
      </c>
      <c r="C1134" t="s">
        <v>34</v>
      </c>
      <c r="D1134" s="3"/>
      <c r="E1134" s="3">
        <v>0</v>
      </c>
      <c r="F1134" s="3"/>
      <c r="G1134" s="3"/>
      <c r="H1134" s="3"/>
      <c r="I1134" s="3"/>
      <c r="J1134" s="3"/>
      <c r="K1134" s="3"/>
      <c r="L1134" s="3"/>
      <c r="M1134" s="3"/>
      <c r="N1134" s="3"/>
      <c r="O1134" s="3"/>
      <c r="P1134" s="3"/>
      <c r="Q1134" s="3"/>
      <c r="R1134" s="3"/>
      <c r="S1134" s="3"/>
      <c r="T1134" s="3"/>
      <c r="U1134" s="3"/>
      <c r="V1134" s="3"/>
      <c r="W1134" s="3"/>
      <c r="X1134" s="3"/>
      <c r="Y1134" s="3"/>
      <c r="Z1134" s="3"/>
      <c r="AA1134" s="3"/>
      <c r="AB1134" s="3"/>
      <c r="AC1134" s="3"/>
      <c r="AD1134" s="3"/>
      <c r="AE1134" s="3"/>
      <c r="AF1134" s="3"/>
      <c r="AG1134" s="3"/>
      <c r="AH1134" s="3"/>
      <c r="AI1134" s="3"/>
      <c r="AJ1134" s="3"/>
      <c r="AK1134" s="3"/>
      <c r="AL1134" s="3"/>
      <c r="AM1134" s="3"/>
      <c r="AN1134" s="3"/>
      <c r="AO1134" s="3"/>
      <c r="AP1134" s="3"/>
      <c r="AQ1134" s="3"/>
      <c r="AR1134" s="3"/>
      <c r="AS1134" s="3"/>
      <c r="AT1134" s="3"/>
      <c r="AU1134" s="3"/>
      <c r="AV1134" s="3"/>
      <c r="AW1134" s="3"/>
      <c r="AX1134" s="3"/>
      <c r="AY1134" s="3"/>
      <c r="AZ1134" s="3"/>
      <c r="BA1134" s="3"/>
      <c r="BB1134" s="3"/>
      <c r="BC1134" s="3"/>
    </row>
    <row r="1135" spans="1:55">
      <c r="A1135" s="1" t="str">
        <f>'Population Definitions'!$A$15</f>
        <v>Prisoners_PWID_females</v>
      </c>
      <c r="C1135" t="s">
        <v>34</v>
      </c>
      <c r="D1135" s="3"/>
      <c r="E1135" s="3">
        <v>0</v>
      </c>
      <c r="F1135" s="3"/>
      <c r="G1135" s="3"/>
      <c r="H1135" s="3"/>
      <c r="I1135" s="3"/>
      <c r="J1135" s="3"/>
      <c r="K1135" s="3"/>
      <c r="L1135" s="3"/>
      <c r="M1135" s="3"/>
      <c r="N1135" s="3"/>
      <c r="O1135" s="3"/>
      <c r="P1135" s="3"/>
      <c r="Q1135" s="3"/>
      <c r="R1135" s="3"/>
      <c r="S1135" s="3"/>
      <c r="T1135" s="3"/>
      <c r="U1135" s="3"/>
      <c r="V1135" s="3"/>
      <c r="W1135" s="3"/>
      <c r="X1135" s="3"/>
      <c r="Y1135" s="3"/>
      <c r="Z1135" s="3"/>
      <c r="AA1135" s="3"/>
      <c r="AB1135" s="3"/>
      <c r="AC1135" s="3"/>
      <c r="AD1135" s="3"/>
      <c r="AE1135" s="3"/>
      <c r="AF1135" s="3"/>
      <c r="AG1135" s="3"/>
      <c r="AH1135" s="3"/>
      <c r="AI1135" s="3"/>
      <c r="AJ1135" s="3"/>
      <c r="AK1135" s="3"/>
      <c r="AL1135" s="3"/>
      <c r="AM1135" s="3"/>
      <c r="AN1135" s="3"/>
      <c r="AO1135" s="3"/>
      <c r="AP1135" s="3"/>
      <c r="AQ1135" s="3"/>
      <c r="AR1135" s="3"/>
      <c r="AS1135" s="3"/>
      <c r="AT1135" s="3"/>
      <c r="AU1135" s="3"/>
      <c r="AV1135" s="3"/>
      <c r="AW1135" s="3"/>
      <c r="AX1135" s="3"/>
      <c r="AY1135" s="3"/>
      <c r="AZ1135" s="3"/>
      <c r="BA1135" s="3"/>
      <c r="BB1135" s="3"/>
      <c r="BC1135" s="3"/>
    </row>
    <row r="1137" spans="1:55">
      <c r="A1137" s="1" t="s">
        <v>198</v>
      </c>
      <c r="B1137" s="1" t="s">
        <v>31</v>
      </c>
      <c r="C1137" s="1" t="s">
        <v>32</v>
      </c>
      <c r="D1137" s="1" t="s">
        <v>33</v>
      </c>
      <c r="E1137" s="1">
        <v>2000</v>
      </c>
      <c r="F1137" s="1">
        <v>2001</v>
      </c>
      <c r="G1137" s="1">
        <v>2002</v>
      </c>
      <c r="H1137" s="1">
        <v>2003</v>
      </c>
      <c r="I1137" s="1">
        <v>2004</v>
      </c>
      <c r="J1137" s="1">
        <v>2005</v>
      </c>
      <c r="K1137" s="1">
        <v>2006</v>
      </c>
      <c r="L1137" s="1">
        <v>2007</v>
      </c>
      <c r="M1137" s="1">
        <v>2008</v>
      </c>
      <c r="N1137" s="1">
        <v>2009</v>
      </c>
      <c r="O1137" s="1">
        <v>2010</v>
      </c>
      <c r="P1137" s="1">
        <v>2011</v>
      </c>
      <c r="Q1137" s="1">
        <v>2012</v>
      </c>
      <c r="R1137" s="1">
        <v>2013</v>
      </c>
      <c r="S1137" s="1">
        <v>2014</v>
      </c>
      <c r="T1137" s="1">
        <v>2015</v>
      </c>
      <c r="U1137" s="1">
        <v>2016</v>
      </c>
      <c r="V1137" s="1">
        <v>2017</v>
      </c>
      <c r="W1137" s="1">
        <v>2018</v>
      </c>
      <c r="X1137" s="1">
        <v>2019</v>
      </c>
      <c r="Y1137" s="1">
        <v>2020</v>
      </c>
      <c r="Z1137" s="1">
        <v>2021</v>
      </c>
      <c r="AA1137" s="1">
        <v>2022</v>
      </c>
      <c r="AB1137" s="1">
        <v>2023</v>
      </c>
      <c r="AC1137" s="1">
        <v>2024</v>
      </c>
      <c r="AD1137" s="1">
        <v>2025</v>
      </c>
      <c r="AE1137" s="1">
        <v>2026</v>
      </c>
      <c r="AF1137" s="1">
        <v>2027</v>
      </c>
      <c r="AG1137" s="1">
        <v>2028</v>
      </c>
      <c r="AH1137" s="1">
        <v>2029</v>
      </c>
      <c r="AI1137" s="1">
        <v>2030</v>
      </c>
      <c r="AJ1137" s="1">
        <v>2031</v>
      </c>
      <c r="AK1137" s="1">
        <v>2032</v>
      </c>
      <c r="AL1137" s="1">
        <v>2033</v>
      </c>
      <c r="AM1137" s="1">
        <v>2034</v>
      </c>
      <c r="AN1137" s="1">
        <v>2035</v>
      </c>
      <c r="AO1137" s="1">
        <v>2036</v>
      </c>
      <c r="AP1137" s="1">
        <v>2037</v>
      </c>
      <c r="AQ1137" s="1">
        <v>2038</v>
      </c>
      <c r="AR1137" s="1">
        <v>2039</v>
      </c>
      <c r="AS1137" s="1">
        <v>2040</v>
      </c>
      <c r="AT1137" s="1">
        <v>2041</v>
      </c>
      <c r="AU1137" s="1">
        <v>2042</v>
      </c>
      <c r="AV1137" s="1">
        <v>2043</v>
      </c>
      <c r="AW1137" s="1">
        <v>2044</v>
      </c>
      <c r="AX1137" s="1">
        <v>2045</v>
      </c>
      <c r="AY1137" s="1">
        <v>2046</v>
      </c>
      <c r="AZ1137" s="1">
        <v>2047</v>
      </c>
      <c r="BA1137" s="1">
        <v>2048</v>
      </c>
      <c r="BB1137" s="1">
        <v>2049</v>
      </c>
      <c r="BC1137" s="1">
        <v>2050</v>
      </c>
    </row>
    <row r="1138" spans="1:55">
      <c r="A1138" s="1" t="str">
        <f>'Population Definitions'!$A$2</f>
        <v>PWID_males</v>
      </c>
      <c r="C1138" t="s">
        <v>34</v>
      </c>
      <c r="D1138" s="3"/>
      <c r="E1138" s="3">
        <v>0</v>
      </c>
      <c r="F1138" s="3"/>
      <c r="G1138" s="3"/>
      <c r="H1138" s="3"/>
      <c r="I1138" s="3"/>
      <c r="J1138" s="3"/>
      <c r="K1138" s="3"/>
      <c r="L1138" s="3"/>
      <c r="M1138" s="3"/>
      <c r="N1138" s="3"/>
      <c r="O1138" s="3"/>
      <c r="P1138" s="3"/>
      <c r="Q1138" s="3"/>
      <c r="R1138" s="3"/>
      <c r="S1138" s="3"/>
      <c r="T1138" s="3"/>
      <c r="U1138" s="3"/>
      <c r="V1138" s="3"/>
      <c r="W1138" s="3"/>
      <c r="X1138" s="3"/>
      <c r="Y1138" s="3"/>
      <c r="Z1138" s="3"/>
      <c r="AA1138" s="3"/>
      <c r="AB1138" s="3"/>
      <c r="AC1138" s="3"/>
      <c r="AD1138" s="3"/>
      <c r="AE1138" s="3"/>
      <c r="AF1138" s="3"/>
      <c r="AG1138" s="3"/>
      <c r="AH1138" s="3"/>
      <c r="AI1138" s="3"/>
      <c r="AJ1138" s="3"/>
      <c r="AK1138" s="3"/>
      <c r="AL1138" s="3"/>
      <c r="AM1138" s="3"/>
      <c r="AN1138" s="3"/>
      <c r="AO1138" s="3"/>
      <c r="AP1138" s="3"/>
      <c r="AQ1138" s="3"/>
      <c r="AR1138" s="3"/>
      <c r="AS1138" s="3"/>
      <c r="AT1138" s="3"/>
      <c r="AU1138" s="3"/>
      <c r="AV1138" s="3"/>
      <c r="AW1138" s="3"/>
      <c r="AX1138" s="3"/>
      <c r="AY1138" s="3"/>
      <c r="AZ1138" s="3"/>
      <c r="BA1138" s="3"/>
      <c r="BB1138" s="3"/>
      <c r="BC1138" s="3"/>
    </row>
    <row r="1139" spans="1:55">
      <c r="A1139" s="1" t="str">
        <f>'Population Definitions'!$A$3</f>
        <v>PWID_females</v>
      </c>
      <c r="C1139" t="s">
        <v>34</v>
      </c>
      <c r="D1139" s="3"/>
      <c r="E1139" s="3">
        <v>0</v>
      </c>
      <c r="F1139" s="3"/>
      <c r="G1139" s="3"/>
      <c r="H1139" s="3"/>
      <c r="I1139" s="3"/>
      <c r="J1139" s="3"/>
      <c r="K1139" s="3"/>
      <c r="L1139" s="3"/>
      <c r="M1139" s="3"/>
      <c r="N1139" s="3"/>
      <c r="O1139" s="3"/>
      <c r="P1139" s="3"/>
      <c r="Q1139" s="3"/>
      <c r="R1139" s="3"/>
      <c r="S1139" s="3"/>
      <c r="T1139" s="3"/>
      <c r="U1139" s="3"/>
      <c r="V1139" s="3"/>
      <c r="W1139" s="3"/>
      <c r="X1139" s="3"/>
      <c r="Y1139" s="3"/>
      <c r="Z1139" s="3"/>
      <c r="AA1139" s="3"/>
      <c r="AB1139" s="3"/>
      <c r="AC1139" s="3"/>
      <c r="AD1139" s="3"/>
      <c r="AE1139" s="3"/>
      <c r="AF1139" s="3"/>
      <c r="AG1139" s="3"/>
      <c r="AH1139" s="3"/>
      <c r="AI1139" s="3"/>
      <c r="AJ1139" s="3"/>
      <c r="AK1139" s="3"/>
      <c r="AL1139" s="3"/>
      <c r="AM1139" s="3"/>
      <c r="AN1139" s="3"/>
      <c r="AO1139" s="3"/>
      <c r="AP1139" s="3"/>
      <c r="AQ1139" s="3"/>
      <c r="AR1139" s="3"/>
      <c r="AS1139" s="3"/>
      <c r="AT1139" s="3"/>
      <c r="AU1139" s="3"/>
      <c r="AV1139" s="3"/>
      <c r="AW1139" s="3"/>
      <c r="AX1139" s="3"/>
      <c r="AY1139" s="3"/>
      <c r="AZ1139" s="3"/>
      <c r="BA1139" s="3"/>
      <c r="BB1139" s="3"/>
      <c r="BC1139" s="3"/>
    </row>
    <row r="1140" spans="1:55">
      <c r="A1140" s="1" t="str">
        <f>'Population Definitions'!$A$4</f>
        <v>0-9_males</v>
      </c>
      <c r="C1140" t="s">
        <v>34</v>
      </c>
      <c r="D1140" s="3"/>
      <c r="E1140" s="3">
        <v>0</v>
      </c>
      <c r="F1140" s="3"/>
      <c r="G1140" s="3"/>
      <c r="H1140" s="3"/>
      <c r="I1140" s="3"/>
      <c r="J1140" s="3"/>
      <c r="K1140" s="3"/>
      <c r="L1140" s="3"/>
      <c r="M1140" s="3"/>
      <c r="N1140" s="3"/>
      <c r="O1140" s="3"/>
      <c r="P1140" s="3"/>
      <c r="Q1140" s="3"/>
      <c r="R1140" s="3"/>
      <c r="S1140" s="3"/>
      <c r="T1140" s="3"/>
      <c r="U1140" s="3"/>
      <c r="V1140" s="3"/>
      <c r="W1140" s="3"/>
      <c r="X1140" s="3"/>
      <c r="Y1140" s="3"/>
      <c r="Z1140" s="3"/>
      <c r="AA1140" s="3"/>
      <c r="AB1140" s="3"/>
      <c r="AC1140" s="3"/>
      <c r="AD1140" s="3"/>
      <c r="AE1140" s="3"/>
      <c r="AF1140" s="3"/>
      <c r="AG1140" s="3"/>
      <c r="AH1140" s="3"/>
      <c r="AI1140" s="3"/>
      <c r="AJ1140" s="3"/>
      <c r="AK1140" s="3"/>
      <c r="AL1140" s="3"/>
      <c r="AM1140" s="3"/>
      <c r="AN1140" s="3"/>
      <c r="AO1140" s="3"/>
      <c r="AP1140" s="3"/>
      <c r="AQ1140" s="3"/>
      <c r="AR1140" s="3"/>
      <c r="AS1140" s="3"/>
      <c r="AT1140" s="3"/>
      <c r="AU1140" s="3"/>
      <c r="AV1140" s="3"/>
      <c r="AW1140" s="3"/>
      <c r="AX1140" s="3"/>
      <c r="AY1140" s="3"/>
      <c r="AZ1140" s="3"/>
      <c r="BA1140" s="3"/>
      <c r="BB1140" s="3"/>
      <c r="BC1140" s="3"/>
    </row>
    <row r="1141" spans="1:55">
      <c r="A1141" s="1" t="str">
        <f>'Population Definitions'!$A$5</f>
        <v>0-9_females</v>
      </c>
      <c r="C1141" t="s">
        <v>34</v>
      </c>
      <c r="D1141" s="3"/>
      <c r="E1141" s="3">
        <v>0</v>
      </c>
      <c r="F1141" s="3"/>
      <c r="G1141" s="3"/>
      <c r="H1141" s="3"/>
      <c r="I1141" s="3"/>
      <c r="J1141" s="3"/>
      <c r="K1141" s="3"/>
      <c r="L1141" s="3"/>
      <c r="M1141" s="3"/>
      <c r="N1141" s="3"/>
      <c r="O1141" s="3"/>
      <c r="P1141" s="3"/>
      <c r="Q1141" s="3"/>
      <c r="R1141" s="3"/>
      <c r="S1141" s="3"/>
      <c r="T1141" s="3"/>
      <c r="U1141" s="3"/>
      <c r="V1141" s="3"/>
      <c r="W1141" s="3"/>
      <c r="X1141" s="3"/>
      <c r="Y1141" s="3"/>
      <c r="Z1141" s="3"/>
      <c r="AA1141" s="3"/>
      <c r="AB1141" s="3"/>
      <c r="AC1141" s="3"/>
      <c r="AD1141" s="3"/>
      <c r="AE1141" s="3"/>
      <c r="AF1141" s="3"/>
      <c r="AG1141" s="3"/>
      <c r="AH1141" s="3"/>
      <c r="AI1141" s="3"/>
      <c r="AJ1141" s="3"/>
      <c r="AK1141" s="3"/>
      <c r="AL1141" s="3"/>
      <c r="AM1141" s="3"/>
      <c r="AN1141" s="3"/>
      <c r="AO1141" s="3"/>
      <c r="AP1141" s="3"/>
      <c r="AQ1141" s="3"/>
      <c r="AR1141" s="3"/>
      <c r="AS1141" s="3"/>
      <c r="AT1141" s="3"/>
      <c r="AU1141" s="3"/>
      <c r="AV1141" s="3"/>
      <c r="AW1141" s="3"/>
      <c r="AX1141" s="3"/>
      <c r="AY1141" s="3"/>
      <c r="AZ1141" s="3"/>
      <c r="BA1141" s="3"/>
      <c r="BB1141" s="3"/>
      <c r="BC1141" s="3"/>
    </row>
    <row r="1142" spans="1:55">
      <c r="A1142" s="1" t="str">
        <f>'Population Definitions'!$A$6</f>
        <v>10-17_males</v>
      </c>
      <c r="C1142" t="s">
        <v>34</v>
      </c>
      <c r="D1142" s="3"/>
      <c r="E1142" s="3">
        <v>0</v>
      </c>
      <c r="F1142" s="3"/>
      <c r="G1142" s="3"/>
      <c r="H1142" s="3"/>
      <c r="I1142" s="3"/>
      <c r="J1142" s="3"/>
      <c r="K1142" s="3"/>
      <c r="L1142" s="3"/>
      <c r="M1142" s="3"/>
      <c r="N1142" s="3"/>
      <c r="O1142" s="3"/>
      <c r="P1142" s="3"/>
      <c r="Q1142" s="3"/>
      <c r="R1142" s="3"/>
      <c r="S1142" s="3"/>
      <c r="T1142" s="3"/>
      <c r="U1142" s="3"/>
      <c r="V1142" s="3"/>
      <c r="W1142" s="3"/>
      <c r="X1142" s="3"/>
      <c r="Y1142" s="3"/>
      <c r="Z1142" s="3"/>
      <c r="AA1142" s="3"/>
      <c r="AB1142" s="3"/>
      <c r="AC1142" s="3"/>
      <c r="AD1142" s="3"/>
      <c r="AE1142" s="3"/>
      <c r="AF1142" s="3"/>
      <c r="AG1142" s="3"/>
      <c r="AH1142" s="3"/>
      <c r="AI1142" s="3"/>
      <c r="AJ1142" s="3"/>
      <c r="AK1142" s="3"/>
      <c r="AL1142" s="3"/>
      <c r="AM1142" s="3"/>
      <c r="AN1142" s="3"/>
      <c r="AO1142" s="3"/>
      <c r="AP1142" s="3"/>
      <c r="AQ1142" s="3"/>
      <c r="AR1142" s="3"/>
      <c r="AS1142" s="3"/>
      <c r="AT1142" s="3"/>
      <c r="AU1142" s="3"/>
      <c r="AV1142" s="3"/>
      <c r="AW1142" s="3"/>
      <c r="AX1142" s="3"/>
      <c r="AY1142" s="3"/>
      <c r="AZ1142" s="3"/>
      <c r="BA1142" s="3"/>
      <c r="BB1142" s="3"/>
      <c r="BC1142" s="3"/>
    </row>
    <row r="1143" spans="1:55">
      <c r="A1143" s="1" t="str">
        <f>'Population Definitions'!$A$7</f>
        <v>10-17_females</v>
      </c>
      <c r="C1143" t="s">
        <v>34</v>
      </c>
      <c r="D1143" s="3"/>
      <c r="E1143" s="3">
        <v>0</v>
      </c>
      <c r="F1143" s="3"/>
      <c r="G1143" s="3"/>
      <c r="H1143" s="3"/>
      <c r="I1143" s="3"/>
      <c r="J1143" s="3"/>
      <c r="K1143" s="3"/>
      <c r="L1143" s="3"/>
      <c r="M1143" s="3"/>
      <c r="N1143" s="3"/>
      <c r="O1143" s="3"/>
      <c r="P1143" s="3"/>
      <c r="Q1143" s="3"/>
      <c r="R1143" s="3"/>
      <c r="S1143" s="3"/>
      <c r="T1143" s="3"/>
      <c r="U1143" s="3"/>
      <c r="V1143" s="3"/>
      <c r="W1143" s="3"/>
      <c r="X1143" s="3"/>
      <c r="Y1143" s="3"/>
      <c r="Z1143" s="3"/>
      <c r="AA1143" s="3"/>
      <c r="AB1143" s="3"/>
      <c r="AC1143" s="3"/>
      <c r="AD1143" s="3"/>
      <c r="AE1143" s="3"/>
      <c r="AF1143" s="3"/>
      <c r="AG1143" s="3"/>
      <c r="AH1143" s="3"/>
      <c r="AI1143" s="3"/>
      <c r="AJ1143" s="3"/>
      <c r="AK1143" s="3"/>
      <c r="AL1143" s="3"/>
      <c r="AM1143" s="3"/>
      <c r="AN1143" s="3"/>
      <c r="AO1143" s="3"/>
      <c r="AP1143" s="3"/>
      <c r="AQ1143" s="3"/>
      <c r="AR1143" s="3"/>
      <c r="AS1143" s="3"/>
      <c r="AT1143" s="3"/>
      <c r="AU1143" s="3"/>
      <c r="AV1143" s="3"/>
      <c r="AW1143" s="3"/>
      <c r="AX1143" s="3"/>
      <c r="AY1143" s="3"/>
      <c r="AZ1143" s="3"/>
      <c r="BA1143" s="3"/>
      <c r="BB1143" s="3"/>
      <c r="BC1143" s="3"/>
    </row>
    <row r="1144" spans="1:55">
      <c r="A1144" s="1" t="str">
        <f>'Population Definitions'!$A$8</f>
        <v>18-64_males</v>
      </c>
      <c r="C1144" t="s">
        <v>34</v>
      </c>
      <c r="D1144" s="3"/>
      <c r="E1144" s="3">
        <v>0</v>
      </c>
      <c r="F1144" s="3"/>
      <c r="G1144" s="3"/>
      <c r="H1144" s="3"/>
      <c r="I1144" s="3"/>
      <c r="J1144" s="3"/>
      <c r="K1144" s="3"/>
      <c r="L1144" s="3"/>
      <c r="M1144" s="3"/>
      <c r="N1144" s="3"/>
      <c r="O1144" s="3"/>
      <c r="P1144" s="3"/>
      <c r="Q1144" s="3"/>
      <c r="R1144" s="3"/>
      <c r="S1144" s="3"/>
      <c r="T1144" s="3"/>
      <c r="U1144" s="3"/>
      <c r="V1144" s="3"/>
      <c r="W1144" s="3"/>
      <c r="X1144" s="3"/>
      <c r="Y1144" s="3"/>
      <c r="Z1144" s="3"/>
      <c r="AA1144" s="3"/>
      <c r="AB1144" s="3"/>
      <c r="AC1144" s="3"/>
      <c r="AD1144" s="3"/>
      <c r="AE1144" s="3"/>
      <c r="AF1144" s="3"/>
      <c r="AG1144" s="3"/>
      <c r="AH1144" s="3"/>
      <c r="AI1144" s="3"/>
      <c r="AJ1144" s="3"/>
      <c r="AK1144" s="3"/>
      <c r="AL1144" s="3"/>
      <c r="AM1144" s="3"/>
      <c r="AN1144" s="3"/>
      <c r="AO1144" s="3"/>
      <c r="AP1144" s="3"/>
      <c r="AQ1144" s="3"/>
      <c r="AR1144" s="3"/>
      <c r="AS1144" s="3"/>
      <c r="AT1144" s="3"/>
      <c r="AU1144" s="3"/>
      <c r="AV1144" s="3"/>
      <c r="AW1144" s="3"/>
      <c r="AX1144" s="3"/>
      <c r="AY1144" s="3"/>
      <c r="AZ1144" s="3"/>
      <c r="BA1144" s="3"/>
      <c r="BB1144" s="3"/>
      <c r="BC1144" s="3"/>
    </row>
    <row r="1145" spans="1:55">
      <c r="A1145" s="1" t="str">
        <f>'Population Definitions'!$A$9</f>
        <v>18-64_females</v>
      </c>
      <c r="C1145" t="s">
        <v>34</v>
      </c>
      <c r="D1145" s="3"/>
      <c r="E1145" s="3">
        <v>0</v>
      </c>
      <c r="F1145" s="3"/>
      <c r="G1145" s="3"/>
      <c r="H1145" s="3"/>
      <c r="I1145" s="3"/>
      <c r="J1145" s="3"/>
      <c r="K1145" s="3"/>
      <c r="L1145" s="3"/>
      <c r="M1145" s="3"/>
      <c r="N1145" s="3"/>
      <c r="O1145" s="3"/>
      <c r="P1145" s="3"/>
      <c r="Q1145" s="3"/>
      <c r="R1145" s="3"/>
      <c r="S1145" s="3"/>
      <c r="T1145" s="3"/>
      <c r="U1145" s="3"/>
      <c r="V1145" s="3"/>
      <c r="W1145" s="3"/>
      <c r="X1145" s="3"/>
      <c r="Y1145" s="3"/>
      <c r="Z1145" s="3"/>
      <c r="AA1145" s="3"/>
      <c r="AB1145" s="3"/>
      <c r="AC1145" s="3"/>
      <c r="AD1145" s="3"/>
      <c r="AE1145" s="3"/>
      <c r="AF1145" s="3"/>
      <c r="AG1145" s="3"/>
      <c r="AH1145" s="3"/>
      <c r="AI1145" s="3"/>
      <c r="AJ1145" s="3"/>
      <c r="AK1145" s="3"/>
      <c r="AL1145" s="3"/>
      <c r="AM1145" s="3"/>
      <c r="AN1145" s="3"/>
      <c r="AO1145" s="3"/>
      <c r="AP1145" s="3"/>
      <c r="AQ1145" s="3"/>
      <c r="AR1145" s="3"/>
      <c r="AS1145" s="3"/>
      <c r="AT1145" s="3"/>
      <c r="AU1145" s="3"/>
      <c r="AV1145" s="3"/>
      <c r="AW1145" s="3"/>
      <c r="AX1145" s="3"/>
      <c r="AY1145" s="3"/>
      <c r="AZ1145" s="3"/>
      <c r="BA1145" s="3"/>
      <c r="BB1145" s="3"/>
      <c r="BC1145" s="3"/>
    </row>
    <row r="1146" spans="1:55">
      <c r="A1146" s="1" t="str">
        <f>'Population Definitions'!$A$10</f>
        <v>65+_males</v>
      </c>
      <c r="C1146" t="s">
        <v>34</v>
      </c>
      <c r="D1146" s="3"/>
      <c r="E1146" s="3">
        <v>0</v>
      </c>
      <c r="F1146" s="3"/>
      <c r="G1146" s="3"/>
      <c r="H1146" s="3"/>
      <c r="I1146" s="3"/>
      <c r="J1146" s="3"/>
      <c r="K1146" s="3"/>
      <c r="L1146" s="3"/>
      <c r="M1146" s="3"/>
      <c r="N1146" s="3"/>
      <c r="O1146" s="3"/>
      <c r="P1146" s="3"/>
      <c r="Q1146" s="3"/>
      <c r="R1146" s="3"/>
      <c r="S1146" s="3"/>
      <c r="T1146" s="3"/>
      <c r="U1146" s="3"/>
      <c r="V1146" s="3"/>
      <c r="W1146" s="3"/>
      <c r="X1146" s="3"/>
      <c r="Y1146" s="3"/>
      <c r="Z1146" s="3"/>
      <c r="AA1146" s="3"/>
      <c r="AB1146" s="3"/>
      <c r="AC1146" s="3"/>
      <c r="AD1146" s="3"/>
      <c r="AE1146" s="3"/>
      <c r="AF1146" s="3"/>
      <c r="AG1146" s="3"/>
      <c r="AH1146" s="3"/>
      <c r="AI1146" s="3"/>
      <c r="AJ1146" s="3"/>
      <c r="AK1146" s="3"/>
      <c r="AL1146" s="3"/>
      <c r="AM1146" s="3"/>
      <c r="AN1146" s="3"/>
      <c r="AO1146" s="3"/>
      <c r="AP1146" s="3"/>
      <c r="AQ1146" s="3"/>
      <c r="AR1146" s="3"/>
      <c r="AS1146" s="3"/>
      <c r="AT1146" s="3"/>
      <c r="AU1146" s="3"/>
      <c r="AV1146" s="3"/>
      <c r="AW1146" s="3"/>
      <c r="AX1146" s="3"/>
      <c r="AY1146" s="3"/>
      <c r="AZ1146" s="3"/>
      <c r="BA1146" s="3"/>
      <c r="BB1146" s="3"/>
      <c r="BC1146" s="3"/>
    </row>
    <row r="1147" spans="1:55">
      <c r="A1147" s="1" t="str">
        <f>'Population Definitions'!$A$11</f>
        <v>65+_females</v>
      </c>
      <c r="C1147" t="s">
        <v>34</v>
      </c>
      <c r="D1147" s="3"/>
      <c r="E1147" s="3">
        <v>0</v>
      </c>
      <c r="F1147" s="3"/>
      <c r="G1147" s="3"/>
      <c r="H1147" s="3"/>
      <c r="I1147" s="3"/>
      <c r="J1147" s="3"/>
      <c r="K1147" s="3"/>
      <c r="L1147" s="3"/>
      <c r="M1147" s="3"/>
      <c r="N1147" s="3"/>
      <c r="O1147" s="3"/>
      <c r="P1147" s="3"/>
      <c r="Q1147" s="3"/>
      <c r="R1147" s="3"/>
      <c r="S1147" s="3"/>
      <c r="T1147" s="3"/>
      <c r="U1147" s="3"/>
      <c r="V1147" s="3"/>
      <c r="W1147" s="3"/>
      <c r="X1147" s="3"/>
      <c r="Y1147" s="3"/>
      <c r="Z1147" s="3"/>
      <c r="AA1147" s="3"/>
      <c r="AB1147" s="3"/>
      <c r="AC1147" s="3"/>
      <c r="AD1147" s="3"/>
      <c r="AE1147" s="3"/>
      <c r="AF1147" s="3"/>
      <c r="AG1147" s="3"/>
      <c r="AH1147" s="3"/>
      <c r="AI1147" s="3"/>
      <c r="AJ1147" s="3"/>
      <c r="AK1147" s="3"/>
      <c r="AL1147" s="3"/>
      <c r="AM1147" s="3"/>
      <c r="AN1147" s="3"/>
      <c r="AO1147" s="3"/>
      <c r="AP1147" s="3"/>
      <c r="AQ1147" s="3"/>
      <c r="AR1147" s="3"/>
      <c r="AS1147" s="3"/>
      <c r="AT1147" s="3"/>
      <c r="AU1147" s="3"/>
      <c r="AV1147" s="3"/>
      <c r="AW1147" s="3"/>
      <c r="AX1147" s="3"/>
      <c r="AY1147" s="3"/>
      <c r="AZ1147" s="3"/>
      <c r="BA1147" s="3"/>
      <c r="BB1147" s="3"/>
      <c r="BC1147" s="3"/>
    </row>
    <row r="1148" spans="1:55">
      <c r="A1148" s="1" t="str">
        <f>'Population Definitions'!$A$12</f>
        <v>Prisoners_males</v>
      </c>
      <c r="C1148" t="s">
        <v>34</v>
      </c>
      <c r="D1148" s="3"/>
      <c r="E1148" s="3">
        <v>0</v>
      </c>
      <c r="F1148" s="3"/>
      <c r="G1148" s="3"/>
      <c r="H1148" s="3"/>
      <c r="I1148" s="3"/>
      <c r="J1148" s="3"/>
      <c r="K1148" s="3"/>
      <c r="L1148" s="3"/>
      <c r="M1148" s="3"/>
      <c r="N1148" s="3"/>
      <c r="O1148" s="3"/>
      <c r="P1148" s="3"/>
      <c r="Q1148" s="3"/>
      <c r="R1148" s="3"/>
      <c r="S1148" s="3"/>
      <c r="T1148" s="3"/>
      <c r="U1148" s="3"/>
      <c r="V1148" s="3"/>
      <c r="W1148" s="3"/>
      <c r="X1148" s="3"/>
      <c r="Y1148" s="3"/>
      <c r="Z1148" s="3"/>
      <c r="AA1148" s="3"/>
      <c r="AB1148" s="3"/>
      <c r="AC1148" s="3"/>
      <c r="AD1148" s="3"/>
      <c r="AE1148" s="3"/>
      <c r="AF1148" s="3"/>
      <c r="AG1148" s="3"/>
      <c r="AH1148" s="3"/>
      <c r="AI1148" s="3"/>
      <c r="AJ1148" s="3"/>
      <c r="AK1148" s="3"/>
      <c r="AL1148" s="3"/>
      <c r="AM1148" s="3"/>
      <c r="AN1148" s="3"/>
      <c r="AO1148" s="3"/>
      <c r="AP1148" s="3"/>
      <c r="AQ1148" s="3"/>
      <c r="AR1148" s="3"/>
      <c r="AS1148" s="3"/>
      <c r="AT1148" s="3"/>
      <c r="AU1148" s="3"/>
      <c r="AV1148" s="3"/>
      <c r="AW1148" s="3"/>
      <c r="AX1148" s="3"/>
      <c r="AY1148" s="3"/>
      <c r="AZ1148" s="3"/>
      <c r="BA1148" s="3"/>
      <c r="BB1148" s="3"/>
      <c r="BC1148" s="3"/>
    </row>
    <row r="1149" spans="1:55">
      <c r="A1149" s="1" t="str">
        <f>'Population Definitions'!$A$13</f>
        <v>Prisoners_females</v>
      </c>
      <c r="C1149" t="s">
        <v>34</v>
      </c>
      <c r="D1149" s="3"/>
      <c r="E1149" s="3">
        <v>0</v>
      </c>
      <c r="F1149" s="3"/>
      <c r="G1149" s="3"/>
      <c r="H1149" s="3"/>
      <c r="I1149" s="3"/>
      <c r="J1149" s="3"/>
      <c r="K1149" s="3"/>
      <c r="L1149" s="3"/>
      <c r="M1149" s="3"/>
      <c r="N1149" s="3"/>
      <c r="O1149" s="3"/>
      <c r="P1149" s="3"/>
      <c r="Q1149" s="3"/>
      <c r="R1149" s="3"/>
      <c r="S1149" s="3"/>
      <c r="T1149" s="3"/>
      <c r="U1149" s="3"/>
      <c r="V1149" s="3"/>
      <c r="W1149" s="3"/>
      <c r="X1149" s="3"/>
      <c r="Y1149" s="3"/>
      <c r="Z1149" s="3"/>
      <c r="AA1149" s="3"/>
      <c r="AB1149" s="3"/>
      <c r="AC1149" s="3"/>
      <c r="AD1149" s="3"/>
      <c r="AE1149" s="3"/>
      <c r="AF1149" s="3"/>
      <c r="AG1149" s="3"/>
      <c r="AH1149" s="3"/>
      <c r="AI1149" s="3"/>
      <c r="AJ1149" s="3"/>
      <c r="AK1149" s="3"/>
      <c r="AL1149" s="3"/>
      <c r="AM1149" s="3"/>
      <c r="AN1149" s="3"/>
      <c r="AO1149" s="3"/>
      <c r="AP1149" s="3"/>
      <c r="AQ1149" s="3"/>
      <c r="AR1149" s="3"/>
      <c r="AS1149" s="3"/>
      <c r="AT1149" s="3"/>
      <c r="AU1149" s="3"/>
      <c r="AV1149" s="3"/>
      <c r="AW1149" s="3"/>
      <c r="AX1149" s="3"/>
      <c r="AY1149" s="3"/>
      <c r="AZ1149" s="3"/>
      <c r="BA1149" s="3"/>
      <c r="BB1149" s="3"/>
      <c r="BC1149" s="3"/>
    </row>
    <row r="1150" spans="1:55">
      <c r="A1150" s="1" t="str">
        <f>'Population Definitions'!$A$14</f>
        <v>Prisoners_PWID_males</v>
      </c>
      <c r="C1150" t="s">
        <v>34</v>
      </c>
      <c r="D1150" s="3"/>
      <c r="E1150" s="3">
        <v>0</v>
      </c>
      <c r="F1150" s="3"/>
      <c r="G1150" s="3"/>
      <c r="H1150" s="3"/>
      <c r="I1150" s="3"/>
      <c r="J1150" s="3"/>
      <c r="K1150" s="3"/>
      <c r="L1150" s="3"/>
      <c r="M1150" s="3"/>
      <c r="N1150" s="3"/>
      <c r="O1150" s="3"/>
      <c r="P1150" s="3"/>
      <c r="Q1150" s="3"/>
      <c r="R1150" s="3"/>
      <c r="S1150" s="3"/>
      <c r="T1150" s="3"/>
      <c r="U1150" s="3"/>
      <c r="V1150" s="3"/>
      <c r="W1150" s="3"/>
      <c r="X1150" s="3"/>
      <c r="Y1150" s="3"/>
      <c r="Z1150" s="3"/>
      <c r="AA1150" s="3"/>
      <c r="AB1150" s="3"/>
      <c r="AC1150" s="3"/>
      <c r="AD1150" s="3"/>
      <c r="AE1150" s="3"/>
      <c r="AF1150" s="3"/>
      <c r="AG1150" s="3"/>
      <c r="AH1150" s="3"/>
      <c r="AI1150" s="3"/>
      <c r="AJ1150" s="3"/>
      <c r="AK1150" s="3"/>
      <c r="AL1150" s="3"/>
      <c r="AM1150" s="3"/>
      <c r="AN1150" s="3"/>
      <c r="AO1150" s="3"/>
      <c r="AP1150" s="3"/>
      <c r="AQ1150" s="3"/>
      <c r="AR1150" s="3"/>
      <c r="AS1150" s="3"/>
      <c r="AT1150" s="3"/>
      <c r="AU1150" s="3"/>
      <c r="AV1150" s="3"/>
      <c r="AW1150" s="3"/>
      <c r="AX1150" s="3"/>
      <c r="AY1150" s="3"/>
      <c r="AZ1150" s="3"/>
      <c r="BA1150" s="3"/>
      <c r="BB1150" s="3"/>
      <c r="BC1150" s="3"/>
    </row>
    <row r="1151" spans="1:55">
      <c r="A1151" s="1" t="str">
        <f>'Population Definitions'!$A$15</f>
        <v>Prisoners_PWID_females</v>
      </c>
      <c r="C1151" t="s">
        <v>34</v>
      </c>
      <c r="D1151" s="3"/>
      <c r="E1151" s="3">
        <v>0</v>
      </c>
      <c r="F1151" s="3"/>
      <c r="G1151" s="3"/>
      <c r="H1151" s="3"/>
      <c r="I1151" s="3"/>
      <c r="J1151" s="3"/>
      <c r="K1151" s="3"/>
      <c r="L1151" s="3"/>
      <c r="M1151" s="3"/>
      <c r="N1151" s="3"/>
      <c r="O1151" s="3"/>
      <c r="P1151" s="3"/>
      <c r="Q1151" s="3"/>
      <c r="R1151" s="3"/>
      <c r="S1151" s="3"/>
      <c r="T1151" s="3"/>
      <c r="U1151" s="3"/>
      <c r="V1151" s="3"/>
      <c r="W1151" s="3"/>
      <c r="X1151" s="3"/>
      <c r="Y1151" s="3"/>
      <c r="Z1151" s="3"/>
      <c r="AA1151" s="3"/>
      <c r="AB1151" s="3"/>
      <c r="AC1151" s="3"/>
      <c r="AD1151" s="3"/>
      <c r="AE1151" s="3"/>
      <c r="AF1151" s="3"/>
      <c r="AG1151" s="3"/>
      <c r="AH1151" s="3"/>
      <c r="AI1151" s="3"/>
      <c r="AJ1151" s="3"/>
      <c r="AK1151" s="3"/>
      <c r="AL1151" s="3"/>
      <c r="AM1151" s="3"/>
      <c r="AN1151" s="3"/>
      <c r="AO1151" s="3"/>
      <c r="AP1151" s="3"/>
      <c r="AQ1151" s="3"/>
      <c r="AR1151" s="3"/>
      <c r="AS1151" s="3"/>
      <c r="AT1151" s="3"/>
      <c r="AU1151" s="3"/>
      <c r="AV1151" s="3"/>
      <c r="AW1151" s="3"/>
      <c r="AX1151" s="3"/>
      <c r="AY1151" s="3"/>
      <c r="AZ1151" s="3"/>
      <c r="BA1151" s="3"/>
      <c r="BB1151" s="3"/>
      <c r="BC1151" s="3"/>
    </row>
    <row r="1153" spans="1:55">
      <c r="A1153" s="1" t="s">
        <v>199</v>
      </c>
      <c r="B1153" s="1" t="s">
        <v>31</v>
      </c>
      <c r="C1153" s="1" t="s">
        <v>32</v>
      </c>
      <c r="D1153" s="1" t="s">
        <v>33</v>
      </c>
      <c r="E1153" s="1">
        <v>2000</v>
      </c>
      <c r="F1153" s="1">
        <v>2001</v>
      </c>
      <c r="G1153" s="1">
        <v>2002</v>
      </c>
      <c r="H1153" s="1">
        <v>2003</v>
      </c>
      <c r="I1153" s="1">
        <v>2004</v>
      </c>
      <c r="J1153" s="1">
        <v>2005</v>
      </c>
      <c r="K1153" s="1">
        <v>2006</v>
      </c>
      <c r="L1153" s="1">
        <v>2007</v>
      </c>
      <c r="M1153" s="1">
        <v>2008</v>
      </c>
      <c r="N1153" s="1">
        <v>2009</v>
      </c>
      <c r="O1153" s="1">
        <v>2010</v>
      </c>
      <c r="P1153" s="1">
        <v>2011</v>
      </c>
      <c r="Q1153" s="1">
        <v>2012</v>
      </c>
      <c r="R1153" s="1">
        <v>2013</v>
      </c>
      <c r="S1153" s="1">
        <v>2014</v>
      </c>
      <c r="T1153" s="1">
        <v>2015</v>
      </c>
      <c r="U1153" s="1">
        <v>2016</v>
      </c>
      <c r="V1153" s="1">
        <v>2017</v>
      </c>
      <c r="W1153" s="1">
        <v>2018</v>
      </c>
      <c r="X1153" s="1">
        <v>2019</v>
      </c>
      <c r="Y1153" s="1">
        <v>2020</v>
      </c>
      <c r="Z1153" s="1">
        <v>2021</v>
      </c>
      <c r="AA1153" s="1">
        <v>2022</v>
      </c>
      <c r="AB1153" s="1">
        <v>2023</v>
      </c>
      <c r="AC1153" s="1">
        <v>2024</v>
      </c>
      <c r="AD1153" s="1">
        <v>2025</v>
      </c>
      <c r="AE1153" s="1">
        <v>2026</v>
      </c>
      <c r="AF1153" s="1">
        <v>2027</v>
      </c>
      <c r="AG1153" s="1">
        <v>2028</v>
      </c>
      <c r="AH1153" s="1">
        <v>2029</v>
      </c>
      <c r="AI1153" s="1">
        <v>2030</v>
      </c>
      <c r="AJ1153" s="1">
        <v>2031</v>
      </c>
      <c r="AK1153" s="1">
        <v>2032</v>
      </c>
      <c r="AL1153" s="1">
        <v>2033</v>
      </c>
      <c r="AM1153" s="1">
        <v>2034</v>
      </c>
      <c r="AN1153" s="1">
        <v>2035</v>
      </c>
      <c r="AO1153" s="1">
        <v>2036</v>
      </c>
      <c r="AP1153" s="1">
        <v>2037</v>
      </c>
      <c r="AQ1153" s="1">
        <v>2038</v>
      </c>
      <c r="AR1153" s="1">
        <v>2039</v>
      </c>
      <c r="AS1153" s="1">
        <v>2040</v>
      </c>
      <c r="AT1153" s="1">
        <v>2041</v>
      </c>
      <c r="AU1153" s="1">
        <v>2042</v>
      </c>
      <c r="AV1153" s="1">
        <v>2043</v>
      </c>
      <c r="AW1153" s="1">
        <v>2044</v>
      </c>
      <c r="AX1153" s="1">
        <v>2045</v>
      </c>
      <c r="AY1153" s="1">
        <v>2046</v>
      </c>
      <c r="AZ1153" s="1">
        <v>2047</v>
      </c>
      <c r="BA1153" s="1">
        <v>2048</v>
      </c>
      <c r="BB1153" s="1">
        <v>2049</v>
      </c>
      <c r="BC1153" s="1">
        <v>2050</v>
      </c>
    </row>
    <row r="1154" spans="1:55">
      <c r="A1154" s="1" t="str">
        <f>'Population Definitions'!$A$2</f>
        <v>PWID_males</v>
      </c>
      <c r="C1154" t="s">
        <v>34</v>
      </c>
      <c r="D1154" s="3"/>
      <c r="E1154" s="3">
        <v>0</v>
      </c>
      <c r="F1154" s="3"/>
      <c r="G1154" s="3"/>
      <c r="H1154" s="3"/>
      <c r="I1154" s="3"/>
      <c r="J1154" s="3"/>
      <c r="K1154" s="3"/>
      <c r="L1154" s="3"/>
      <c r="M1154" s="3"/>
      <c r="N1154" s="3"/>
      <c r="O1154" s="3"/>
      <c r="P1154" s="3"/>
      <c r="Q1154" s="3"/>
      <c r="R1154" s="3"/>
      <c r="S1154" s="3"/>
      <c r="T1154" s="3"/>
      <c r="U1154" s="3"/>
      <c r="V1154" s="3"/>
      <c r="W1154" s="3"/>
      <c r="X1154" s="3"/>
      <c r="Y1154" s="3"/>
      <c r="Z1154" s="3"/>
      <c r="AA1154" s="3"/>
      <c r="AB1154" s="3"/>
      <c r="AC1154" s="3"/>
      <c r="AD1154" s="3"/>
      <c r="AE1154" s="3"/>
      <c r="AF1154" s="3"/>
      <c r="AG1154" s="3"/>
      <c r="AH1154" s="3"/>
      <c r="AI1154" s="3"/>
      <c r="AJ1154" s="3"/>
      <c r="AK1154" s="3"/>
      <c r="AL1154" s="3"/>
      <c r="AM1154" s="3"/>
      <c r="AN1154" s="3"/>
      <c r="AO1154" s="3"/>
      <c r="AP1154" s="3"/>
      <c r="AQ1154" s="3"/>
      <c r="AR1154" s="3"/>
      <c r="AS1154" s="3"/>
      <c r="AT1154" s="3"/>
      <c r="AU1154" s="3"/>
      <c r="AV1154" s="3"/>
      <c r="AW1154" s="3"/>
      <c r="AX1154" s="3"/>
      <c r="AY1154" s="3"/>
      <c r="AZ1154" s="3"/>
      <c r="BA1154" s="3"/>
      <c r="BB1154" s="3"/>
      <c r="BC1154" s="3"/>
    </row>
    <row r="1155" spans="1:55">
      <c r="A1155" s="1" t="str">
        <f>'Population Definitions'!$A$3</f>
        <v>PWID_females</v>
      </c>
      <c r="C1155" t="s">
        <v>34</v>
      </c>
      <c r="D1155" s="3"/>
      <c r="E1155" s="3">
        <v>0</v>
      </c>
      <c r="F1155" s="3"/>
      <c r="G1155" s="3"/>
      <c r="H1155" s="3"/>
      <c r="I1155" s="3"/>
      <c r="J1155" s="3"/>
      <c r="K1155" s="3"/>
      <c r="L1155" s="3"/>
      <c r="M1155" s="3"/>
      <c r="N1155" s="3"/>
      <c r="O1155" s="3"/>
      <c r="P1155" s="3"/>
      <c r="Q1155" s="3"/>
      <c r="R1155" s="3"/>
      <c r="S1155" s="3"/>
      <c r="T1155" s="3"/>
      <c r="U1155" s="3"/>
      <c r="V1155" s="3"/>
      <c r="W1155" s="3"/>
      <c r="X1155" s="3"/>
      <c r="Y1155" s="3"/>
      <c r="Z1155" s="3"/>
      <c r="AA1155" s="3"/>
      <c r="AB1155" s="3"/>
      <c r="AC1155" s="3"/>
      <c r="AD1155" s="3"/>
      <c r="AE1155" s="3"/>
      <c r="AF1155" s="3"/>
      <c r="AG1155" s="3"/>
      <c r="AH1155" s="3"/>
      <c r="AI1155" s="3"/>
      <c r="AJ1155" s="3"/>
      <c r="AK1155" s="3"/>
      <c r="AL1155" s="3"/>
      <c r="AM1155" s="3"/>
      <c r="AN1155" s="3"/>
      <c r="AO1155" s="3"/>
      <c r="AP1155" s="3"/>
      <c r="AQ1155" s="3"/>
      <c r="AR1155" s="3"/>
      <c r="AS1155" s="3"/>
      <c r="AT1155" s="3"/>
      <c r="AU1155" s="3"/>
      <c r="AV1155" s="3"/>
      <c r="AW1155" s="3"/>
      <c r="AX1155" s="3"/>
      <c r="AY1155" s="3"/>
      <c r="AZ1155" s="3"/>
      <c r="BA1155" s="3"/>
      <c r="BB1155" s="3"/>
      <c r="BC1155" s="3"/>
    </row>
    <row r="1156" spans="1:55">
      <c r="A1156" s="1" t="str">
        <f>'Population Definitions'!$A$4</f>
        <v>0-9_males</v>
      </c>
      <c r="C1156" t="s">
        <v>34</v>
      </c>
      <c r="D1156" s="3"/>
      <c r="E1156" s="3">
        <v>0</v>
      </c>
      <c r="F1156" s="3"/>
      <c r="G1156" s="3"/>
      <c r="H1156" s="3"/>
      <c r="I1156" s="3"/>
      <c r="J1156" s="3"/>
      <c r="K1156" s="3"/>
      <c r="L1156" s="3"/>
      <c r="M1156" s="3"/>
      <c r="N1156" s="3"/>
      <c r="O1156" s="3"/>
      <c r="P1156" s="3"/>
      <c r="Q1156" s="3"/>
      <c r="R1156" s="3"/>
      <c r="S1156" s="3"/>
      <c r="T1156" s="3"/>
      <c r="U1156" s="3"/>
      <c r="V1156" s="3"/>
      <c r="W1156" s="3"/>
      <c r="X1156" s="3"/>
      <c r="Y1156" s="3"/>
      <c r="Z1156" s="3"/>
      <c r="AA1156" s="3"/>
      <c r="AB1156" s="3"/>
      <c r="AC1156" s="3"/>
      <c r="AD1156" s="3"/>
      <c r="AE1156" s="3"/>
      <c r="AF1156" s="3"/>
      <c r="AG1156" s="3"/>
      <c r="AH1156" s="3"/>
      <c r="AI1156" s="3"/>
      <c r="AJ1156" s="3"/>
      <c r="AK1156" s="3"/>
      <c r="AL1156" s="3"/>
      <c r="AM1156" s="3"/>
      <c r="AN1156" s="3"/>
      <c r="AO1156" s="3"/>
      <c r="AP1156" s="3"/>
      <c r="AQ1156" s="3"/>
      <c r="AR1156" s="3"/>
      <c r="AS1156" s="3"/>
      <c r="AT1156" s="3"/>
      <c r="AU1156" s="3"/>
      <c r="AV1156" s="3"/>
      <c r="AW1156" s="3"/>
      <c r="AX1156" s="3"/>
      <c r="AY1156" s="3"/>
      <c r="AZ1156" s="3"/>
      <c r="BA1156" s="3"/>
      <c r="BB1156" s="3"/>
      <c r="BC1156" s="3"/>
    </row>
    <row r="1157" spans="1:55">
      <c r="A1157" s="1" t="str">
        <f>'Population Definitions'!$A$5</f>
        <v>0-9_females</v>
      </c>
      <c r="C1157" t="s">
        <v>34</v>
      </c>
      <c r="D1157" s="3"/>
      <c r="E1157" s="3">
        <v>0</v>
      </c>
      <c r="F1157" s="3"/>
      <c r="G1157" s="3"/>
      <c r="H1157" s="3"/>
      <c r="I1157" s="3"/>
      <c r="J1157" s="3"/>
      <c r="K1157" s="3"/>
      <c r="L1157" s="3"/>
      <c r="M1157" s="3"/>
      <c r="N1157" s="3"/>
      <c r="O1157" s="3"/>
      <c r="P1157" s="3"/>
      <c r="Q1157" s="3"/>
      <c r="R1157" s="3"/>
      <c r="S1157" s="3"/>
      <c r="T1157" s="3"/>
      <c r="U1157" s="3"/>
      <c r="V1157" s="3"/>
      <c r="W1157" s="3"/>
      <c r="X1157" s="3"/>
      <c r="Y1157" s="3"/>
      <c r="Z1157" s="3"/>
      <c r="AA1157" s="3"/>
      <c r="AB1157" s="3"/>
      <c r="AC1157" s="3"/>
      <c r="AD1157" s="3"/>
      <c r="AE1157" s="3"/>
      <c r="AF1157" s="3"/>
      <c r="AG1157" s="3"/>
      <c r="AH1157" s="3"/>
      <c r="AI1157" s="3"/>
      <c r="AJ1157" s="3"/>
      <c r="AK1157" s="3"/>
      <c r="AL1157" s="3"/>
      <c r="AM1157" s="3"/>
      <c r="AN1157" s="3"/>
      <c r="AO1157" s="3"/>
      <c r="AP1157" s="3"/>
      <c r="AQ1157" s="3"/>
      <c r="AR1157" s="3"/>
      <c r="AS1157" s="3"/>
      <c r="AT1157" s="3"/>
      <c r="AU1157" s="3"/>
      <c r="AV1157" s="3"/>
      <c r="AW1157" s="3"/>
      <c r="AX1157" s="3"/>
      <c r="AY1157" s="3"/>
      <c r="AZ1157" s="3"/>
      <c r="BA1157" s="3"/>
      <c r="BB1157" s="3"/>
      <c r="BC1157" s="3"/>
    </row>
    <row r="1158" spans="1:55">
      <c r="A1158" s="1" t="str">
        <f>'Population Definitions'!$A$6</f>
        <v>10-17_males</v>
      </c>
      <c r="C1158" t="s">
        <v>34</v>
      </c>
      <c r="D1158" s="3"/>
      <c r="E1158" s="3">
        <v>0</v>
      </c>
      <c r="F1158" s="3"/>
      <c r="G1158" s="3"/>
      <c r="H1158" s="3"/>
      <c r="I1158" s="3"/>
      <c r="J1158" s="3"/>
      <c r="K1158" s="3"/>
      <c r="L1158" s="3"/>
      <c r="M1158" s="3"/>
      <c r="N1158" s="3"/>
      <c r="O1158" s="3"/>
      <c r="P1158" s="3"/>
      <c r="Q1158" s="3"/>
      <c r="R1158" s="3"/>
      <c r="S1158" s="3"/>
      <c r="T1158" s="3"/>
      <c r="U1158" s="3"/>
      <c r="V1158" s="3"/>
      <c r="W1158" s="3"/>
      <c r="X1158" s="3"/>
      <c r="Y1158" s="3"/>
      <c r="Z1158" s="3"/>
      <c r="AA1158" s="3"/>
      <c r="AB1158" s="3"/>
      <c r="AC1158" s="3"/>
      <c r="AD1158" s="3"/>
      <c r="AE1158" s="3"/>
      <c r="AF1158" s="3"/>
      <c r="AG1158" s="3"/>
      <c r="AH1158" s="3"/>
      <c r="AI1158" s="3"/>
      <c r="AJ1158" s="3"/>
      <c r="AK1158" s="3"/>
      <c r="AL1158" s="3"/>
      <c r="AM1158" s="3"/>
      <c r="AN1158" s="3"/>
      <c r="AO1158" s="3"/>
      <c r="AP1158" s="3"/>
      <c r="AQ1158" s="3"/>
      <c r="AR1158" s="3"/>
      <c r="AS1158" s="3"/>
      <c r="AT1158" s="3"/>
      <c r="AU1158" s="3"/>
      <c r="AV1158" s="3"/>
      <c r="AW1158" s="3"/>
      <c r="AX1158" s="3"/>
      <c r="AY1158" s="3"/>
      <c r="AZ1158" s="3"/>
      <c r="BA1158" s="3"/>
      <c r="BB1158" s="3"/>
      <c r="BC1158" s="3"/>
    </row>
    <row r="1159" spans="1:55">
      <c r="A1159" s="1" t="str">
        <f>'Population Definitions'!$A$7</f>
        <v>10-17_females</v>
      </c>
      <c r="C1159" t="s">
        <v>34</v>
      </c>
      <c r="D1159" s="3"/>
      <c r="E1159" s="3">
        <v>0</v>
      </c>
      <c r="F1159" s="3"/>
      <c r="G1159" s="3"/>
      <c r="H1159" s="3"/>
      <c r="I1159" s="3"/>
      <c r="J1159" s="3"/>
      <c r="K1159" s="3"/>
      <c r="L1159" s="3"/>
      <c r="M1159" s="3"/>
      <c r="N1159" s="3"/>
      <c r="O1159" s="3"/>
      <c r="P1159" s="3"/>
      <c r="Q1159" s="3"/>
      <c r="R1159" s="3"/>
      <c r="S1159" s="3"/>
      <c r="T1159" s="3"/>
      <c r="U1159" s="3"/>
      <c r="V1159" s="3"/>
      <c r="W1159" s="3"/>
      <c r="X1159" s="3"/>
      <c r="Y1159" s="3"/>
      <c r="Z1159" s="3"/>
      <c r="AA1159" s="3"/>
      <c r="AB1159" s="3"/>
      <c r="AC1159" s="3"/>
      <c r="AD1159" s="3"/>
      <c r="AE1159" s="3"/>
      <c r="AF1159" s="3"/>
      <c r="AG1159" s="3"/>
      <c r="AH1159" s="3"/>
      <c r="AI1159" s="3"/>
      <c r="AJ1159" s="3"/>
      <c r="AK1159" s="3"/>
      <c r="AL1159" s="3"/>
      <c r="AM1159" s="3"/>
      <c r="AN1159" s="3"/>
      <c r="AO1159" s="3"/>
      <c r="AP1159" s="3"/>
      <c r="AQ1159" s="3"/>
      <c r="AR1159" s="3"/>
      <c r="AS1159" s="3"/>
      <c r="AT1159" s="3"/>
      <c r="AU1159" s="3"/>
      <c r="AV1159" s="3"/>
      <c r="AW1159" s="3"/>
      <c r="AX1159" s="3"/>
      <c r="AY1159" s="3"/>
      <c r="AZ1159" s="3"/>
      <c r="BA1159" s="3"/>
      <c r="BB1159" s="3"/>
      <c r="BC1159" s="3"/>
    </row>
    <row r="1160" spans="1:55">
      <c r="A1160" s="1" t="str">
        <f>'Population Definitions'!$A$8</f>
        <v>18-64_males</v>
      </c>
      <c r="C1160" t="s">
        <v>34</v>
      </c>
      <c r="D1160" s="3"/>
      <c r="E1160" s="3">
        <v>0</v>
      </c>
      <c r="F1160" s="3"/>
      <c r="G1160" s="3"/>
      <c r="H1160" s="3"/>
      <c r="I1160" s="3"/>
      <c r="J1160" s="3"/>
      <c r="K1160" s="3"/>
      <c r="L1160" s="3"/>
      <c r="M1160" s="3"/>
      <c r="N1160" s="3"/>
      <c r="O1160" s="3"/>
      <c r="P1160" s="3"/>
      <c r="Q1160" s="3"/>
      <c r="R1160" s="3"/>
      <c r="S1160" s="3"/>
      <c r="T1160" s="3"/>
      <c r="U1160" s="3"/>
      <c r="V1160" s="3"/>
      <c r="W1160" s="3"/>
      <c r="X1160" s="3"/>
      <c r="Y1160" s="3"/>
      <c r="Z1160" s="3"/>
      <c r="AA1160" s="3"/>
      <c r="AB1160" s="3"/>
      <c r="AC1160" s="3"/>
      <c r="AD1160" s="3"/>
      <c r="AE1160" s="3"/>
      <c r="AF1160" s="3"/>
      <c r="AG1160" s="3"/>
      <c r="AH1160" s="3"/>
      <c r="AI1160" s="3"/>
      <c r="AJ1160" s="3"/>
      <c r="AK1160" s="3"/>
      <c r="AL1160" s="3"/>
      <c r="AM1160" s="3"/>
      <c r="AN1160" s="3"/>
      <c r="AO1160" s="3"/>
      <c r="AP1160" s="3"/>
      <c r="AQ1160" s="3"/>
      <c r="AR1160" s="3"/>
      <c r="AS1160" s="3"/>
      <c r="AT1160" s="3"/>
      <c r="AU1160" s="3"/>
      <c r="AV1160" s="3"/>
      <c r="AW1160" s="3"/>
      <c r="AX1160" s="3"/>
      <c r="AY1160" s="3"/>
      <c r="AZ1160" s="3"/>
      <c r="BA1160" s="3"/>
      <c r="BB1160" s="3"/>
      <c r="BC1160" s="3"/>
    </row>
    <row r="1161" spans="1:55">
      <c r="A1161" s="1" t="str">
        <f>'Population Definitions'!$A$9</f>
        <v>18-64_females</v>
      </c>
      <c r="C1161" t="s">
        <v>34</v>
      </c>
      <c r="D1161" s="3"/>
      <c r="E1161" s="3">
        <v>0</v>
      </c>
      <c r="F1161" s="3"/>
      <c r="G1161" s="3"/>
      <c r="H1161" s="3"/>
      <c r="I1161" s="3"/>
      <c r="J1161" s="3"/>
      <c r="K1161" s="3"/>
      <c r="L1161" s="3"/>
      <c r="M1161" s="3"/>
      <c r="N1161" s="3"/>
      <c r="O1161" s="3"/>
      <c r="P1161" s="3"/>
      <c r="Q1161" s="3"/>
      <c r="R1161" s="3"/>
      <c r="S1161" s="3"/>
      <c r="T1161" s="3"/>
      <c r="U1161" s="3"/>
      <c r="V1161" s="3"/>
      <c r="W1161" s="3"/>
      <c r="X1161" s="3"/>
      <c r="Y1161" s="3"/>
      <c r="Z1161" s="3"/>
      <c r="AA1161" s="3"/>
      <c r="AB1161" s="3"/>
      <c r="AC1161" s="3"/>
      <c r="AD1161" s="3"/>
      <c r="AE1161" s="3"/>
      <c r="AF1161" s="3"/>
      <c r="AG1161" s="3"/>
      <c r="AH1161" s="3"/>
      <c r="AI1161" s="3"/>
      <c r="AJ1161" s="3"/>
      <c r="AK1161" s="3"/>
      <c r="AL1161" s="3"/>
      <c r="AM1161" s="3"/>
      <c r="AN1161" s="3"/>
      <c r="AO1161" s="3"/>
      <c r="AP1161" s="3"/>
      <c r="AQ1161" s="3"/>
      <c r="AR1161" s="3"/>
      <c r="AS1161" s="3"/>
      <c r="AT1161" s="3"/>
      <c r="AU1161" s="3"/>
      <c r="AV1161" s="3"/>
      <c r="AW1161" s="3"/>
      <c r="AX1161" s="3"/>
      <c r="AY1161" s="3"/>
      <c r="AZ1161" s="3"/>
      <c r="BA1161" s="3"/>
      <c r="BB1161" s="3"/>
      <c r="BC1161" s="3"/>
    </row>
    <row r="1162" spans="1:55">
      <c r="A1162" s="1" t="str">
        <f>'Population Definitions'!$A$10</f>
        <v>65+_males</v>
      </c>
      <c r="C1162" t="s">
        <v>34</v>
      </c>
      <c r="D1162" s="3"/>
      <c r="E1162" s="3">
        <v>0</v>
      </c>
      <c r="F1162" s="3"/>
      <c r="G1162" s="3"/>
      <c r="H1162" s="3"/>
      <c r="I1162" s="3"/>
      <c r="J1162" s="3"/>
      <c r="K1162" s="3"/>
      <c r="L1162" s="3"/>
      <c r="M1162" s="3"/>
      <c r="N1162" s="3"/>
      <c r="O1162" s="3"/>
      <c r="P1162" s="3"/>
      <c r="Q1162" s="3"/>
      <c r="R1162" s="3"/>
      <c r="S1162" s="3"/>
      <c r="T1162" s="3"/>
      <c r="U1162" s="3"/>
      <c r="V1162" s="3"/>
      <c r="W1162" s="3"/>
      <c r="X1162" s="3"/>
      <c r="Y1162" s="3"/>
      <c r="Z1162" s="3"/>
      <c r="AA1162" s="3"/>
      <c r="AB1162" s="3"/>
      <c r="AC1162" s="3"/>
      <c r="AD1162" s="3"/>
      <c r="AE1162" s="3"/>
      <c r="AF1162" s="3"/>
      <c r="AG1162" s="3"/>
      <c r="AH1162" s="3"/>
      <c r="AI1162" s="3"/>
      <c r="AJ1162" s="3"/>
      <c r="AK1162" s="3"/>
      <c r="AL1162" s="3"/>
      <c r="AM1162" s="3"/>
      <c r="AN1162" s="3"/>
      <c r="AO1162" s="3"/>
      <c r="AP1162" s="3"/>
      <c r="AQ1162" s="3"/>
      <c r="AR1162" s="3"/>
      <c r="AS1162" s="3"/>
      <c r="AT1162" s="3"/>
      <c r="AU1162" s="3"/>
      <c r="AV1162" s="3"/>
      <c r="AW1162" s="3"/>
      <c r="AX1162" s="3"/>
      <c r="AY1162" s="3"/>
      <c r="AZ1162" s="3"/>
      <c r="BA1162" s="3"/>
      <c r="BB1162" s="3"/>
      <c r="BC1162" s="3"/>
    </row>
    <row r="1163" spans="1:55">
      <c r="A1163" s="1" t="str">
        <f>'Population Definitions'!$A$11</f>
        <v>65+_females</v>
      </c>
      <c r="C1163" t="s">
        <v>34</v>
      </c>
      <c r="D1163" s="3"/>
      <c r="E1163" s="3">
        <v>0</v>
      </c>
      <c r="F1163" s="3"/>
      <c r="G1163" s="3"/>
      <c r="H1163" s="3"/>
      <c r="I1163" s="3"/>
      <c r="J1163" s="3"/>
      <c r="K1163" s="3"/>
      <c r="L1163" s="3"/>
      <c r="M1163" s="3"/>
      <c r="N1163" s="3"/>
      <c r="O1163" s="3"/>
      <c r="P1163" s="3"/>
      <c r="Q1163" s="3"/>
      <c r="R1163" s="3"/>
      <c r="S1163" s="3"/>
      <c r="T1163" s="3"/>
      <c r="U1163" s="3"/>
      <c r="V1163" s="3"/>
      <c r="W1163" s="3"/>
      <c r="X1163" s="3"/>
      <c r="Y1163" s="3"/>
      <c r="Z1163" s="3"/>
      <c r="AA1163" s="3"/>
      <c r="AB1163" s="3"/>
      <c r="AC1163" s="3"/>
      <c r="AD1163" s="3"/>
      <c r="AE1163" s="3"/>
      <c r="AF1163" s="3"/>
      <c r="AG1163" s="3"/>
      <c r="AH1163" s="3"/>
      <c r="AI1163" s="3"/>
      <c r="AJ1163" s="3"/>
      <c r="AK1163" s="3"/>
      <c r="AL1163" s="3"/>
      <c r="AM1163" s="3"/>
      <c r="AN1163" s="3"/>
      <c r="AO1163" s="3"/>
      <c r="AP1163" s="3"/>
      <c r="AQ1163" s="3"/>
      <c r="AR1163" s="3"/>
      <c r="AS1163" s="3"/>
      <c r="AT1163" s="3"/>
      <c r="AU1163" s="3"/>
      <c r="AV1163" s="3"/>
      <c r="AW1163" s="3"/>
      <c r="AX1163" s="3"/>
      <c r="AY1163" s="3"/>
      <c r="AZ1163" s="3"/>
      <c r="BA1163" s="3"/>
      <c r="BB1163" s="3"/>
      <c r="BC1163" s="3"/>
    </row>
    <row r="1164" spans="1:55">
      <c r="A1164" s="1" t="str">
        <f>'Population Definitions'!$A$12</f>
        <v>Prisoners_males</v>
      </c>
      <c r="C1164" t="s">
        <v>34</v>
      </c>
      <c r="D1164" s="3"/>
      <c r="E1164" s="3">
        <v>0</v>
      </c>
      <c r="F1164" s="3"/>
      <c r="G1164" s="3"/>
      <c r="H1164" s="3"/>
      <c r="I1164" s="3"/>
      <c r="J1164" s="3"/>
      <c r="K1164" s="3"/>
      <c r="L1164" s="3"/>
      <c r="M1164" s="3"/>
      <c r="N1164" s="3"/>
      <c r="O1164" s="3"/>
      <c r="P1164" s="3"/>
      <c r="Q1164" s="3"/>
      <c r="R1164" s="3"/>
      <c r="S1164" s="3"/>
      <c r="T1164" s="3"/>
      <c r="U1164" s="3"/>
      <c r="V1164" s="3"/>
      <c r="W1164" s="3"/>
      <c r="X1164" s="3"/>
      <c r="Y1164" s="3"/>
      <c r="Z1164" s="3"/>
      <c r="AA1164" s="3"/>
      <c r="AB1164" s="3"/>
      <c r="AC1164" s="3"/>
      <c r="AD1164" s="3"/>
      <c r="AE1164" s="3"/>
      <c r="AF1164" s="3"/>
      <c r="AG1164" s="3"/>
      <c r="AH1164" s="3"/>
      <c r="AI1164" s="3"/>
      <c r="AJ1164" s="3"/>
      <c r="AK1164" s="3"/>
      <c r="AL1164" s="3"/>
      <c r="AM1164" s="3"/>
      <c r="AN1164" s="3"/>
      <c r="AO1164" s="3"/>
      <c r="AP1164" s="3"/>
      <c r="AQ1164" s="3"/>
      <c r="AR1164" s="3"/>
      <c r="AS1164" s="3"/>
      <c r="AT1164" s="3"/>
      <c r="AU1164" s="3"/>
      <c r="AV1164" s="3"/>
      <c r="AW1164" s="3"/>
      <c r="AX1164" s="3"/>
      <c r="AY1164" s="3"/>
      <c r="AZ1164" s="3"/>
      <c r="BA1164" s="3"/>
      <c r="BB1164" s="3"/>
      <c r="BC1164" s="3"/>
    </row>
    <row r="1165" spans="1:55">
      <c r="A1165" s="1" t="str">
        <f>'Population Definitions'!$A$13</f>
        <v>Prisoners_females</v>
      </c>
      <c r="C1165" t="s">
        <v>34</v>
      </c>
      <c r="D1165" s="3"/>
      <c r="E1165" s="3">
        <v>0</v>
      </c>
      <c r="F1165" s="3"/>
      <c r="G1165" s="3"/>
      <c r="H1165" s="3"/>
      <c r="I1165" s="3"/>
      <c r="J1165" s="3"/>
      <c r="K1165" s="3"/>
      <c r="L1165" s="3"/>
      <c r="M1165" s="3"/>
      <c r="N1165" s="3"/>
      <c r="O1165" s="3"/>
      <c r="P1165" s="3"/>
      <c r="Q1165" s="3"/>
      <c r="R1165" s="3"/>
      <c r="S1165" s="3"/>
      <c r="T1165" s="3"/>
      <c r="U1165" s="3"/>
      <c r="V1165" s="3"/>
      <c r="W1165" s="3"/>
      <c r="X1165" s="3"/>
      <c r="Y1165" s="3"/>
      <c r="Z1165" s="3"/>
      <c r="AA1165" s="3"/>
      <c r="AB1165" s="3"/>
      <c r="AC1165" s="3"/>
      <c r="AD1165" s="3"/>
      <c r="AE1165" s="3"/>
      <c r="AF1165" s="3"/>
      <c r="AG1165" s="3"/>
      <c r="AH1165" s="3"/>
      <c r="AI1165" s="3"/>
      <c r="AJ1165" s="3"/>
      <c r="AK1165" s="3"/>
      <c r="AL1165" s="3"/>
      <c r="AM1165" s="3"/>
      <c r="AN1165" s="3"/>
      <c r="AO1165" s="3"/>
      <c r="AP1165" s="3"/>
      <c r="AQ1165" s="3"/>
      <c r="AR1165" s="3"/>
      <c r="AS1165" s="3"/>
      <c r="AT1165" s="3"/>
      <c r="AU1165" s="3"/>
      <c r="AV1165" s="3"/>
      <c r="AW1165" s="3"/>
      <c r="AX1165" s="3"/>
      <c r="AY1165" s="3"/>
      <c r="AZ1165" s="3"/>
      <c r="BA1165" s="3"/>
      <c r="BB1165" s="3"/>
      <c r="BC1165" s="3"/>
    </row>
    <row r="1166" spans="1:55">
      <c r="A1166" s="1" t="str">
        <f>'Population Definitions'!$A$14</f>
        <v>Prisoners_PWID_males</v>
      </c>
      <c r="C1166" t="s">
        <v>34</v>
      </c>
      <c r="D1166" s="3"/>
      <c r="E1166" s="3">
        <v>0</v>
      </c>
      <c r="F1166" s="3"/>
      <c r="G1166" s="3"/>
      <c r="H1166" s="3"/>
      <c r="I1166" s="3"/>
      <c r="J1166" s="3"/>
      <c r="K1166" s="3"/>
      <c r="L1166" s="3"/>
      <c r="M1166" s="3"/>
      <c r="N1166" s="3"/>
      <c r="O1166" s="3"/>
      <c r="P1166" s="3"/>
      <c r="Q1166" s="3"/>
      <c r="R1166" s="3"/>
      <c r="S1166" s="3"/>
      <c r="T1166" s="3"/>
      <c r="U1166" s="3"/>
      <c r="V1166" s="3"/>
      <c r="W1166" s="3"/>
      <c r="X1166" s="3"/>
      <c r="Y1166" s="3"/>
      <c r="Z1166" s="3"/>
      <c r="AA1166" s="3"/>
      <c r="AB1166" s="3"/>
      <c r="AC1166" s="3"/>
      <c r="AD1166" s="3"/>
      <c r="AE1166" s="3"/>
      <c r="AF1166" s="3"/>
      <c r="AG1166" s="3"/>
      <c r="AH1166" s="3"/>
      <c r="AI1166" s="3"/>
      <c r="AJ1166" s="3"/>
      <c r="AK1166" s="3"/>
      <c r="AL1166" s="3"/>
      <c r="AM1166" s="3"/>
      <c r="AN1166" s="3"/>
      <c r="AO1166" s="3"/>
      <c r="AP1166" s="3"/>
      <c r="AQ1166" s="3"/>
      <c r="AR1166" s="3"/>
      <c r="AS1166" s="3"/>
      <c r="AT1166" s="3"/>
      <c r="AU1166" s="3"/>
      <c r="AV1166" s="3"/>
      <c r="AW1166" s="3"/>
      <c r="AX1166" s="3"/>
      <c r="AY1166" s="3"/>
      <c r="AZ1166" s="3"/>
      <c r="BA1166" s="3"/>
      <c r="BB1166" s="3"/>
      <c r="BC1166" s="3"/>
    </row>
    <row r="1167" spans="1:55">
      <c r="A1167" s="1" t="str">
        <f>'Population Definitions'!$A$15</f>
        <v>Prisoners_PWID_females</v>
      </c>
      <c r="C1167" t="s">
        <v>34</v>
      </c>
      <c r="D1167" s="3"/>
      <c r="E1167" s="3">
        <v>0</v>
      </c>
      <c r="F1167" s="3"/>
      <c r="G1167" s="3"/>
      <c r="H1167" s="3"/>
      <c r="I1167" s="3"/>
      <c r="J1167" s="3"/>
      <c r="K1167" s="3"/>
      <c r="L1167" s="3"/>
      <c r="M1167" s="3"/>
      <c r="N1167" s="3"/>
      <c r="O1167" s="3"/>
      <c r="P1167" s="3"/>
      <c r="Q1167" s="3"/>
      <c r="R1167" s="3"/>
      <c r="S1167" s="3"/>
      <c r="T1167" s="3"/>
      <c r="U1167" s="3"/>
      <c r="V1167" s="3"/>
      <c r="W1167" s="3"/>
      <c r="X1167" s="3"/>
      <c r="Y1167" s="3"/>
      <c r="Z1167" s="3"/>
      <c r="AA1167" s="3"/>
      <c r="AB1167" s="3"/>
      <c r="AC1167" s="3"/>
      <c r="AD1167" s="3"/>
      <c r="AE1167" s="3"/>
      <c r="AF1167" s="3"/>
      <c r="AG1167" s="3"/>
      <c r="AH1167" s="3"/>
      <c r="AI1167" s="3"/>
      <c r="AJ1167" s="3"/>
      <c r="AK1167" s="3"/>
      <c r="AL1167" s="3"/>
      <c r="AM1167" s="3"/>
      <c r="AN1167" s="3"/>
      <c r="AO1167" s="3"/>
      <c r="AP1167" s="3"/>
      <c r="AQ1167" s="3"/>
      <c r="AR1167" s="3"/>
      <c r="AS1167" s="3"/>
      <c r="AT1167" s="3"/>
      <c r="AU1167" s="3"/>
      <c r="AV1167" s="3"/>
      <c r="AW1167" s="3"/>
      <c r="AX1167" s="3"/>
      <c r="AY1167" s="3"/>
      <c r="AZ1167" s="3"/>
      <c r="BA1167" s="3"/>
      <c r="BB1167" s="3"/>
      <c r="BC1167" s="3"/>
    </row>
    <row r="1169" spans="1:55">
      <c r="A1169" s="1" t="s">
        <v>200</v>
      </c>
      <c r="B1169" s="1" t="s">
        <v>31</v>
      </c>
      <c r="C1169" s="1" t="s">
        <v>32</v>
      </c>
      <c r="D1169" s="1" t="s">
        <v>33</v>
      </c>
      <c r="E1169" s="1">
        <v>2000</v>
      </c>
      <c r="F1169" s="1">
        <v>2001</v>
      </c>
      <c r="G1169" s="1">
        <v>2002</v>
      </c>
      <c r="H1169" s="1">
        <v>2003</v>
      </c>
      <c r="I1169" s="1">
        <v>2004</v>
      </c>
      <c r="J1169" s="1">
        <v>2005</v>
      </c>
      <c r="K1169" s="1">
        <v>2006</v>
      </c>
      <c r="L1169" s="1">
        <v>2007</v>
      </c>
      <c r="M1169" s="1">
        <v>2008</v>
      </c>
      <c r="N1169" s="1">
        <v>2009</v>
      </c>
      <c r="O1169" s="1">
        <v>2010</v>
      </c>
      <c r="P1169" s="1">
        <v>2011</v>
      </c>
      <c r="Q1169" s="1">
        <v>2012</v>
      </c>
      <c r="R1169" s="1">
        <v>2013</v>
      </c>
      <c r="S1169" s="1">
        <v>2014</v>
      </c>
      <c r="T1169" s="1">
        <v>2015</v>
      </c>
      <c r="U1169" s="1">
        <v>2016</v>
      </c>
      <c r="V1169" s="1">
        <v>2017</v>
      </c>
      <c r="W1169" s="1">
        <v>2018</v>
      </c>
      <c r="X1169" s="1">
        <v>2019</v>
      </c>
      <c r="Y1169" s="1">
        <v>2020</v>
      </c>
      <c r="Z1169" s="1">
        <v>2021</v>
      </c>
      <c r="AA1169" s="1">
        <v>2022</v>
      </c>
      <c r="AB1169" s="1">
        <v>2023</v>
      </c>
      <c r="AC1169" s="1">
        <v>2024</v>
      </c>
      <c r="AD1169" s="1">
        <v>2025</v>
      </c>
      <c r="AE1169" s="1">
        <v>2026</v>
      </c>
      <c r="AF1169" s="1">
        <v>2027</v>
      </c>
      <c r="AG1169" s="1">
        <v>2028</v>
      </c>
      <c r="AH1169" s="1">
        <v>2029</v>
      </c>
      <c r="AI1169" s="1">
        <v>2030</v>
      </c>
      <c r="AJ1169" s="1">
        <v>2031</v>
      </c>
      <c r="AK1169" s="1">
        <v>2032</v>
      </c>
      <c r="AL1169" s="1">
        <v>2033</v>
      </c>
      <c r="AM1169" s="1">
        <v>2034</v>
      </c>
      <c r="AN1169" s="1">
        <v>2035</v>
      </c>
      <c r="AO1169" s="1">
        <v>2036</v>
      </c>
      <c r="AP1169" s="1">
        <v>2037</v>
      </c>
      <c r="AQ1169" s="1">
        <v>2038</v>
      </c>
      <c r="AR1169" s="1">
        <v>2039</v>
      </c>
      <c r="AS1169" s="1">
        <v>2040</v>
      </c>
      <c r="AT1169" s="1">
        <v>2041</v>
      </c>
      <c r="AU1169" s="1">
        <v>2042</v>
      </c>
      <c r="AV1169" s="1">
        <v>2043</v>
      </c>
      <c r="AW1169" s="1">
        <v>2044</v>
      </c>
      <c r="AX1169" s="1">
        <v>2045</v>
      </c>
      <c r="AY1169" s="1">
        <v>2046</v>
      </c>
      <c r="AZ1169" s="1">
        <v>2047</v>
      </c>
      <c r="BA1169" s="1">
        <v>2048</v>
      </c>
      <c r="BB1169" s="1">
        <v>2049</v>
      </c>
      <c r="BC1169" s="1">
        <v>2050</v>
      </c>
    </row>
    <row r="1170" spans="1:55">
      <c r="A1170" s="1" t="str">
        <f>'Population Definitions'!$A$2</f>
        <v>PWID_males</v>
      </c>
      <c r="C1170" t="s">
        <v>34</v>
      </c>
      <c r="D1170" s="3"/>
      <c r="E1170" s="3">
        <v>0</v>
      </c>
      <c r="F1170" s="3"/>
      <c r="G1170" s="3"/>
      <c r="H1170" s="3"/>
      <c r="I1170" s="3"/>
      <c r="J1170" s="3"/>
      <c r="K1170" s="3"/>
      <c r="L1170" s="3"/>
      <c r="M1170" s="3"/>
      <c r="N1170" s="3"/>
      <c r="O1170" s="3"/>
      <c r="P1170" s="3"/>
      <c r="Q1170" s="3"/>
      <c r="R1170" s="3"/>
      <c r="S1170" s="3"/>
      <c r="T1170" s="3"/>
      <c r="U1170" s="3"/>
      <c r="V1170" s="3"/>
      <c r="W1170" s="3"/>
      <c r="X1170" s="3"/>
      <c r="Y1170" s="3"/>
      <c r="Z1170" s="3"/>
      <c r="AA1170" s="3"/>
      <c r="AB1170" s="3"/>
      <c r="AC1170" s="3"/>
      <c r="AD1170" s="3"/>
      <c r="AE1170" s="3"/>
      <c r="AF1170" s="3"/>
      <c r="AG1170" s="3"/>
      <c r="AH1170" s="3"/>
      <c r="AI1170" s="3"/>
      <c r="AJ1170" s="3"/>
      <c r="AK1170" s="3"/>
      <c r="AL1170" s="3"/>
      <c r="AM1170" s="3"/>
      <c r="AN1170" s="3"/>
      <c r="AO1170" s="3"/>
      <c r="AP1170" s="3"/>
      <c r="AQ1170" s="3"/>
      <c r="AR1170" s="3"/>
      <c r="AS1170" s="3"/>
      <c r="AT1170" s="3"/>
      <c r="AU1170" s="3"/>
      <c r="AV1170" s="3"/>
      <c r="AW1170" s="3"/>
      <c r="AX1170" s="3"/>
      <c r="AY1170" s="3"/>
      <c r="AZ1170" s="3"/>
      <c r="BA1170" s="3"/>
      <c r="BB1170" s="3"/>
      <c r="BC1170" s="3"/>
    </row>
    <row r="1171" spans="1:55">
      <c r="A1171" s="1" t="str">
        <f>'Population Definitions'!$A$3</f>
        <v>PWID_females</v>
      </c>
      <c r="C1171" t="s">
        <v>34</v>
      </c>
      <c r="D1171" s="3"/>
      <c r="E1171" s="3">
        <v>0</v>
      </c>
      <c r="F1171" s="3"/>
      <c r="G1171" s="3"/>
      <c r="H1171" s="3"/>
      <c r="I1171" s="3"/>
      <c r="J1171" s="3"/>
      <c r="K1171" s="3"/>
      <c r="L1171" s="3"/>
      <c r="M1171" s="3"/>
      <c r="N1171" s="3"/>
      <c r="O1171" s="3"/>
      <c r="P1171" s="3"/>
      <c r="Q1171" s="3"/>
      <c r="R1171" s="3"/>
      <c r="S1171" s="3"/>
      <c r="T1171" s="3"/>
      <c r="U1171" s="3"/>
      <c r="V1171" s="3"/>
      <c r="W1171" s="3"/>
      <c r="X1171" s="3"/>
      <c r="Y1171" s="3"/>
      <c r="Z1171" s="3"/>
      <c r="AA1171" s="3"/>
      <c r="AB1171" s="3"/>
      <c r="AC1171" s="3"/>
      <c r="AD1171" s="3"/>
      <c r="AE1171" s="3"/>
      <c r="AF1171" s="3"/>
      <c r="AG1171" s="3"/>
      <c r="AH1171" s="3"/>
      <c r="AI1171" s="3"/>
      <c r="AJ1171" s="3"/>
      <c r="AK1171" s="3"/>
      <c r="AL1171" s="3"/>
      <c r="AM1171" s="3"/>
      <c r="AN1171" s="3"/>
      <c r="AO1171" s="3"/>
      <c r="AP1171" s="3"/>
      <c r="AQ1171" s="3"/>
      <c r="AR1171" s="3"/>
      <c r="AS1171" s="3"/>
      <c r="AT1171" s="3"/>
      <c r="AU1171" s="3"/>
      <c r="AV1171" s="3"/>
      <c r="AW1171" s="3"/>
      <c r="AX1171" s="3"/>
      <c r="AY1171" s="3"/>
      <c r="AZ1171" s="3"/>
      <c r="BA1171" s="3"/>
      <c r="BB1171" s="3"/>
      <c r="BC1171" s="3"/>
    </row>
    <row r="1172" spans="1:55">
      <c r="A1172" s="1" t="str">
        <f>'Population Definitions'!$A$4</f>
        <v>0-9_males</v>
      </c>
      <c r="C1172" t="s">
        <v>34</v>
      </c>
      <c r="D1172" s="3"/>
      <c r="E1172" s="3">
        <v>0</v>
      </c>
      <c r="F1172" s="3"/>
      <c r="G1172" s="3"/>
      <c r="H1172" s="3"/>
      <c r="I1172" s="3"/>
      <c r="J1172" s="3"/>
      <c r="K1172" s="3"/>
      <c r="L1172" s="3"/>
      <c r="M1172" s="3"/>
      <c r="N1172" s="3"/>
      <c r="O1172" s="3"/>
      <c r="P1172" s="3"/>
      <c r="Q1172" s="3"/>
      <c r="R1172" s="3"/>
      <c r="S1172" s="3"/>
      <c r="T1172" s="3"/>
      <c r="U1172" s="3"/>
      <c r="V1172" s="3"/>
      <c r="W1172" s="3"/>
      <c r="X1172" s="3"/>
      <c r="Y1172" s="3"/>
      <c r="Z1172" s="3"/>
      <c r="AA1172" s="3"/>
      <c r="AB1172" s="3"/>
      <c r="AC1172" s="3"/>
      <c r="AD1172" s="3"/>
      <c r="AE1172" s="3"/>
      <c r="AF1172" s="3"/>
      <c r="AG1172" s="3"/>
      <c r="AH1172" s="3"/>
      <c r="AI1172" s="3"/>
      <c r="AJ1172" s="3"/>
      <c r="AK1172" s="3"/>
      <c r="AL1172" s="3"/>
      <c r="AM1172" s="3"/>
      <c r="AN1172" s="3"/>
      <c r="AO1172" s="3"/>
      <c r="AP1172" s="3"/>
      <c r="AQ1172" s="3"/>
      <c r="AR1172" s="3"/>
      <c r="AS1172" s="3"/>
      <c r="AT1172" s="3"/>
      <c r="AU1172" s="3"/>
      <c r="AV1172" s="3"/>
      <c r="AW1172" s="3"/>
      <c r="AX1172" s="3"/>
      <c r="AY1172" s="3"/>
      <c r="AZ1172" s="3"/>
      <c r="BA1172" s="3"/>
      <c r="BB1172" s="3"/>
      <c r="BC1172" s="3"/>
    </row>
    <row r="1173" spans="1:55">
      <c r="A1173" s="1" t="str">
        <f>'Population Definitions'!$A$5</f>
        <v>0-9_females</v>
      </c>
      <c r="C1173" t="s">
        <v>34</v>
      </c>
      <c r="D1173" s="3"/>
      <c r="E1173" s="3">
        <v>0</v>
      </c>
      <c r="F1173" s="3"/>
      <c r="G1173" s="3"/>
      <c r="H1173" s="3"/>
      <c r="I1173" s="3"/>
      <c r="J1173" s="3"/>
      <c r="K1173" s="3"/>
      <c r="L1173" s="3"/>
      <c r="M1173" s="3"/>
      <c r="N1173" s="3"/>
      <c r="O1173" s="3"/>
      <c r="P1173" s="3"/>
      <c r="Q1173" s="3"/>
      <c r="R1173" s="3"/>
      <c r="S1173" s="3"/>
      <c r="T1173" s="3"/>
      <c r="U1173" s="3"/>
      <c r="V1173" s="3"/>
      <c r="W1173" s="3"/>
      <c r="X1173" s="3"/>
      <c r="Y1173" s="3"/>
      <c r="Z1173" s="3"/>
      <c r="AA1173" s="3"/>
      <c r="AB1173" s="3"/>
      <c r="AC1173" s="3"/>
      <c r="AD1173" s="3"/>
      <c r="AE1173" s="3"/>
      <c r="AF1173" s="3"/>
      <c r="AG1173" s="3"/>
      <c r="AH1173" s="3"/>
      <c r="AI1173" s="3"/>
      <c r="AJ1173" s="3"/>
      <c r="AK1173" s="3"/>
      <c r="AL1173" s="3"/>
      <c r="AM1173" s="3"/>
      <c r="AN1173" s="3"/>
      <c r="AO1173" s="3"/>
      <c r="AP1173" s="3"/>
      <c r="AQ1173" s="3"/>
      <c r="AR1173" s="3"/>
      <c r="AS1173" s="3"/>
      <c r="AT1173" s="3"/>
      <c r="AU1173" s="3"/>
      <c r="AV1173" s="3"/>
      <c r="AW1173" s="3"/>
      <c r="AX1173" s="3"/>
      <c r="AY1173" s="3"/>
      <c r="AZ1173" s="3"/>
      <c r="BA1173" s="3"/>
      <c r="BB1173" s="3"/>
      <c r="BC1173" s="3"/>
    </row>
    <row r="1174" spans="1:55">
      <c r="A1174" s="1" t="str">
        <f>'Population Definitions'!$A$6</f>
        <v>10-17_males</v>
      </c>
      <c r="C1174" t="s">
        <v>34</v>
      </c>
      <c r="D1174" s="3"/>
      <c r="E1174" s="3">
        <v>0</v>
      </c>
      <c r="F1174" s="3"/>
      <c r="G1174" s="3"/>
      <c r="H1174" s="3"/>
      <c r="I1174" s="3"/>
      <c r="J1174" s="3"/>
      <c r="K1174" s="3"/>
      <c r="L1174" s="3"/>
      <c r="M1174" s="3"/>
      <c r="N1174" s="3"/>
      <c r="O1174" s="3"/>
      <c r="P1174" s="3"/>
      <c r="Q1174" s="3"/>
      <c r="R1174" s="3"/>
      <c r="S1174" s="3"/>
      <c r="T1174" s="3"/>
      <c r="U1174" s="3"/>
      <c r="V1174" s="3"/>
      <c r="W1174" s="3"/>
      <c r="X1174" s="3"/>
      <c r="Y1174" s="3"/>
      <c r="Z1174" s="3"/>
      <c r="AA1174" s="3"/>
      <c r="AB1174" s="3"/>
      <c r="AC1174" s="3"/>
      <c r="AD1174" s="3"/>
      <c r="AE1174" s="3"/>
      <c r="AF1174" s="3"/>
      <c r="AG1174" s="3"/>
      <c r="AH1174" s="3"/>
      <c r="AI1174" s="3"/>
      <c r="AJ1174" s="3"/>
      <c r="AK1174" s="3"/>
      <c r="AL1174" s="3"/>
      <c r="AM1174" s="3"/>
      <c r="AN1174" s="3"/>
      <c r="AO1174" s="3"/>
      <c r="AP1174" s="3"/>
      <c r="AQ1174" s="3"/>
      <c r="AR1174" s="3"/>
      <c r="AS1174" s="3"/>
      <c r="AT1174" s="3"/>
      <c r="AU1174" s="3"/>
      <c r="AV1174" s="3"/>
      <c r="AW1174" s="3"/>
      <c r="AX1174" s="3"/>
      <c r="AY1174" s="3"/>
      <c r="AZ1174" s="3"/>
      <c r="BA1174" s="3"/>
      <c r="BB1174" s="3"/>
      <c r="BC1174" s="3"/>
    </row>
    <row r="1175" spans="1:55">
      <c r="A1175" s="1" t="str">
        <f>'Population Definitions'!$A$7</f>
        <v>10-17_females</v>
      </c>
      <c r="C1175" t="s">
        <v>34</v>
      </c>
      <c r="D1175" s="3"/>
      <c r="E1175" s="3">
        <v>0</v>
      </c>
      <c r="F1175" s="3"/>
      <c r="G1175" s="3"/>
      <c r="H1175" s="3"/>
      <c r="I1175" s="3"/>
      <c r="J1175" s="3"/>
      <c r="K1175" s="3"/>
      <c r="L1175" s="3"/>
      <c r="M1175" s="3"/>
      <c r="N1175" s="3"/>
      <c r="O1175" s="3"/>
      <c r="P1175" s="3"/>
      <c r="Q1175" s="3"/>
      <c r="R1175" s="3"/>
      <c r="S1175" s="3"/>
      <c r="T1175" s="3"/>
      <c r="U1175" s="3"/>
      <c r="V1175" s="3"/>
      <c r="W1175" s="3"/>
      <c r="X1175" s="3"/>
      <c r="Y1175" s="3"/>
      <c r="Z1175" s="3"/>
      <c r="AA1175" s="3"/>
      <c r="AB1175" s="3"/>
      <c r="AC1175" s="3"/>
      <c r="AD1175" s="3"/>
      <c r="AE1175" s="3"/>
      <c r="AF1175" s="3"/>
      <c r="AG1175" s="3"/>
      <c r="AH1175" s="3"/>
      <c r="AI1175" s="3"/>
      <c r="AJ1175" s="3"/>
      <c r="AK1175" s="3"/>
      <c r="AL1175" s="3"/>
      <c r="AM1175" s="3"/>
      <c r="AN1175" s="3"/>
      <c r="AO1175" s="3"/>
      <c r="AP1175" s="3"/>
      <c r="AQ1175" s="3"/>
      <c r="AR1175" s="3"/>
      <c r="AS1175" s="3"/>
      <c r="AT1175" s="3"/>
      <c r="AU1175" s="3"/>
      <c r="AV1175" s="3"/>
      <c r="AW1175" s="3"/>
      <c r="AX1175" s="3"/>
      <c r="AY1175" s="3"/>
      <c r="AZ1175" s="3"/>
      <c r="BA1175" s="3"/>
      <c r="BB1175" s="3"/>
      <c r="BC1175" s="3"/>
    </row>
    <row r="1176" spans="1:55">
      <c r="A1176" s="1" t="str">
        <f>'Population Definitions'!$A$8</f>
        <v>18-64_males</v>
      </c>
      <c r="C1176" t="s">
        <v>34</v>
      </c>
      <c r="D1176" s="3"/>
      <c r="E1176" s="3">
        <v>0</v>
      </c>
      <c r="F1176" s="3"/>
      <c r="G1176" s="3"/>
      <c r="H1176" s="3"/>
      <c r="I1176" s="3"/>
      <c r="J1176" s="3"/>
      <c r="K1176" s="3"/>
      <c r="L1176" s="3"/>
      <c r="M1176" s="3"/>
      <c r="N1176" s="3"/>
      <c r="O1176" s="3"/>
      <c r="P1176" s="3"/>
      <c r="Q1176" s="3"/>
      <c r="R1176" s="3"/>
      <c r="S1176" s="3"/>
      <c r="T1176" s="3"/>
      <c r="U1176" s="3"/>
      <c r="V1176" s="3"/>
      <c r="W1176" s="3"/>
      <c r="X1176" s="3"/>
      <c r="Y1176" s="3"/>
      <c r="Z1176" s="3"/>
      <c r="AA1176" s="3"/>
      <c r="AB1176" s="3"/>
      <c r="AC1176" s="3"/>
      <c r="AD1176" s="3"/>
      <c r="AE1176" s="3"/>
      <c r="AF1176" s="3"/>
      <c r="AG1176" s="3"/>
      <c r="AH1176" s="3"/>
      <c r="AI1176" s="3"/>
      <c r="AJ1176" s="3"/>
      <c r="AK1176" s="3"/>
      <c r="AL1176" s="3"/>
      <c r="AM1176" s="3"/>
      <c r="AN1176" s="3"/>
      <c r="AO1176" s="3"/>
      <c r="AP1176" s="3"/>
      <c r="AQ1176" s="3"/>
      <c r="AR1176" s="3"/>
      <c r="AS1176" s="3"/>
      <c r="AT1176" s="3"/>
      <c r="AU1176" s="3"/>
      <c r="AV1176" s="3"/>
      <c r="AW1176" s="3"/>
      <c r="AX1176" s="3"/>
      <c r="AY1176" s="3"/>
      <c r="AZ1176" s="3"/>
      <c r="BA1176" s="3"/>
      <c r="BB1176" s="3"/>
      <c r="BC1176" s="3"/>
    </row>
    <row r="1177" spans="1:55">
      <c r="A1177" s="1" t="str">
        <f>'Population Definitions'!$A$9</f>
        <v>18-64_females</v>
      </c>
      <c r="C1177" t="s">
        <v>34</v>
      </c>
      <c r="D1177" s="3"/>
      <c r="E1177" s="3">
        <v>0</v>
      </c>
      <c r="F1177" s="3"/>
      <c r="G1177" s="3"/>
      <c r="H1177" s="3"/>
      <c r="I1177" s="3"/>
      <c r="J1177" s="3"/>
      <c r="K1177" s="3"/>
      <c r="L1177" s="3"/>
      <c r="M1177" s="3"/>
      <c r="N1177" s="3"/>
      <c r="O1177" s="3"/>
      <c r="P1177" s="3"/>
      <c r="Q1177" s="3"/>
      <c r="R1177" s="3"/>
      <c r="S1177" s="3"/>
      <c r="T1177" s="3"/>
      <c r="U1177" s="3"/>
      <c r="V1177" s="3"/>
      <c r="W1177" s="3"/>
      <c r="X1177" s="3"/>
      <c r="Y1177" s="3"/>
      <c r="Z1177" s="3"/>
      <c r="AA1177" s="3"/>
      <c r="AB1177" s="3"/>
      <c r="AC1177" s="3"/>
      <c r="AD1177" s="3"/>
      <c r="AE1177" s="3"/>
      <c r="AF1177" s="3"/>
      <c r="AG1177" s="3"/>
      <c r="AH1177" s="3"/>
      <c r="AI1177" s="3"/>
      <c r="AJ1177" s="3"/>
      <c r="AK1177" s="3"/>
      <c r="AL1177" s="3"/>
      <c r="AM1177" s="3"/>
      <c r="AN1177" s="3"/>
      <c r="AO1177" s="3"/>
      <c r="AP1177" s="3"/>
      <c r="AQ1177" s="3"/>
      <c r="AR1177" s="3"/>
      <c r="AS1177" s="3"/>
      <c r="AT1177" s="3"/>
      <c r="AU1177" s="3"/>
      <c r="AV1177" s="3"/>
      <c r="AW1177" s="3"/>
      <c r="AX1177" s="3"/>
      <c r="AY1177" s="3"/>
      <c r="AZ1177" s="3"/>
      <c r="BA1177" s="3"/>
      <c r="BB1177" s="3"/>
      <c r="BC1177" s="3"/>
    </row>
    <row r="1178" spans="1:55">
      <c r="A1178" s="1" t="str">
        <f>'Population Definitions'!$A$10</f>
        <v>65+_males</v>
      </c>
      <c r="C1178" t="s">
        <v>34</v>
      </c>
      <c r="D1178" s="3"/>
      <c r="E1178" s="3">
        <v>0</v>
      </c>
      <c r="F1178" s="3"/>
      <c r="G1178" s="3"/>
      <c r="H1178" s="3"/>
      <c r="I1178" s="3"/>
      <c r="J1178" s="3"/>
      <c r="K1178" s="3"/>
      <c r="L1178" s="3"/>
      <c r="M1178" s="3"/>
      <c r="N1178" s="3"/>
      <c r="O1178" s="3"/>
      <c r="P1178" s="3"/>
      <c r="Q1178" s="3"/>
      <c r="R1178" s="3"/>
      <c r="S1178" s="3"/>
      <c r="T1178" s="3"/>
      <c r="U1178" s="3"/>
      <c r="V1178" s="3"/>
      <c r="W1178" s="3"/>
      <c r="X1178" s="3"/>
      <c r="Y1178" s="3"/>
      <c r="Z1178" s="3"/>
      <c r="AA1178" s="3"/>
      <c r="AB1178" s="3"/>
      <c r="AC1178" s="3"/>
      <c r="AD1178" s="3"/>
      <c r="AE1178" s="3"/>
      <c r="AF1178" s="3"/>
      <c r="AG1178" s="3"/>
      <c r="AH1178" s="3"/>
      <c r="AI1178" s="3"/>
      <c r="AJ1178" s="3"/>
      <c r="AK1178" s="3"/>
      <c r="AL1178" s="3"/>
      <c r="AM1178" s="3"/>
      <c r="AN1178" s="3"/>
      <c r="AO1178" s="3"/>
      <c r="AP1178" s="3"/>
      <c r="AQ1178" s="3"/>
      <c r="AR1178" s="3"/>
      <c r="AS1178" s="3"/>
      <c r="AT1178" s="3"/>
      <c r="AU1178" s="3"/>
      <c r="AV1178" s="3"/>
      <c r="AW1178" s="3"/>
      <c r="AX1178" s="3"/>
      <c r="AY1178" s="3"/>
      <c r="AZ1178" s="3"/>
      <c r="BA1178" s="3"/>
      <c r="BB1178" s="3"/>
      <c r="BC1178" s="3"/>
    </row>
    <row r="1179" spans="1:55">
      <c r="A1179" s="1" t="str">
        <f>'Population Definitions'!$A$11</f>
        <v>65+_females</v>
      </c>
      <c r="C1179" t="s">
        <v>34</v>
      </c>
      <c r="D1179" s="3"/>
      <c r="E1179" s="3">
        <v>0</v>
      </c>
      <c r="F1179" s="3"/>
      <c r="G1179" s="3"/>
      <c r="H1179" s="3"/>
      <c r="I1179" s="3"/>
      <c r="J1179" s="3"/>
      <c r="K1179" s="3"/>
      <c r="L1179" s="3"/>
      <c r="M1179" s="3"/>
      <c r="N1179" s="3"/>
      <c r="O1179" s="3"/>
      <c r="P1179" s="3"/>
      <c r="Q1179" s="3"/>
      <c r="R1179" s="3"/>
      <c r="S1179" s="3"/>
      <c r="T1179" s="3"/>
      <c r="U1179" s="3"/>
      <c r="V1179" s="3"/>
      <c r="W1179" s="3"/>
      <c r="X1179" s="3"/>
      <c r="Y1179" s="3"/>
      <c r="Z1179" s="3"/>
      <c r="AA1179" s="3"/>
      <c r="AB1179" s="3"/>
      <c r="AC1179" s="3"/>
      <c r="AD1179" s="3"/>
      <c r="AE1179" s="3"/>
      <c r="AF1179" s="3"/>
      <c r="AG1179" s="3"/>
      <c r="AH1179" s="3"/>
      <c r="AI1179" s="3"/>
      <c r="AJ1179" s="3"/>
      <c r="AK1179" s="3"/>
      <c r="AL1179" s="3"/>
      <c r="AM1179" s="3"/>
      <c r="AN1179" s="3"/>
      <c r="AO1179" s="3"/>
      <c r="AP1179" s="3"/>
      <c r="AQ1179" s="3"/>
      <c r="AR1179" s="3"/>
      <c r="AS1179" s="3"/>
      <c r="AT1179" s="3"/>
      <c r="AU1179" s="3"/>
      <c r="AV1179" s="3"/>
      <c r="AW1179" s="3"/>
      <c r="AX1179" s="3"/>
      <c r="AY1179" s="3"/>
      <c r="AZ1179" s="3"/>
      <c r="BA1179" s="3"/>
      <c r="BB1179" s="3"/>
      <c r="BC1179" s="3"/>
    </row>
    <row r="1180" spans="1:55">
      <c r="A1180" s="1" t="str">
        <f>'Population Definitions'!$A$12</f>
        <v>Prisoners_males</v>
      </c>
      <c r="C1180" t="s">
        <v>34</v>
      </c>
      <c r="D1180" s="3"/>
      <c r="E1180" s="3">
        <v>0</v>
      </c>
      <c r="F1180" s="3"/>
      <c r="G1180" s="3"/>
      <c r="H1180" s="3"/>
      <c r="I1180" s="3"/>
      <c r="J1180" s="3"/>
      <c r="K1180" s="3"/>
      <c r="L1180" s="3"/>
      <c r="M1180" s="3"/>
      <c r="N1180" s="3"/>
      <c r="O1180" s="3"/>
      <c r="P1180" s="3"/>
      <c r="Q1180" s="3"/>
      <c r="R1180" s="3"/>
      <c r="S1180" s="3"/>
      <c r="T1180" s="3"/>
      <c r="U1180" s="3"/>
      <c r="V1180" s="3"/>
      <c r="W1180" s="3"/>
      <c r="X1180" s="3"/>
      <c r="Y1180" s="3"/>
      <c r="Z1180" s="3"/>
      <c r="AA1180" s="3"/>
      <c r="AB1180" s="3"/>
      <c r="AC1180" s="3"/>
      <c r="AD1180" s="3"/>
      <c r="AE1180" s="3"/>
      <c r="AF1180" s="3"/>
      <c r="AG1180" s="3"/>
      <c r="AH1180" s="3"/>
      <c r="AI1180" s="3"/>
      <c r="AJ1180" s="3"/>
      <c r="AK1180" s="3"/>
      <c r="AL1180" s="3"/>
      <c r="AM1180" s="3"/>
      <c r="AN1180" s="3"/>
      <c r="AO1180" s="3"/>
      <c r="AP1180" s="3"/>
      <c r="AQ1180" s="3"/>
      <c r="AR1180" s="3"/>
      <c r="AS1180" s="3"/>
      <c r="AT1180" s="3"/>
      <c r="AU1180" s="3"/>
      <c r="AV1180" s="3"/>
      <c r="AW1180" s="3"/>
      <c r="AX1180" s="3"/>
      <c r="AY1180" s="3"/>
      <c r="AZ1180" s="3"/>
      <c r="BA1180" s="3"/>
      <c r="BB1180" s="3"/>
      <c r="BC1180" s="3"/>
    </row>
    <row r="1181" spans="1:55">
      <c r="A1181" s="1" t="str">
        <f>'Population Definitions'!$A$13</f>
        <v>Prisoners_females</v>
      </c>
      <c r="C1181" t="s">
        <v>34</v>
      </c>
      <c r="D1181" s="3"/>
      <c r="E1181" s="3">
        <v>0</v>
      </c>
      <c r="F1181" s="3"/>
      <c r="G1181" s="3"/>
      <c r="H1181" s="3"/>
      <c r="I1181" s="3"/>
      <c r="J1181" s="3"/>
      <c r="K1181" s="3"/>
      <c r="L1181" s="3"/>
      <c r="M1181" s="3"/>
      <c r="N1181" s="3"/>
      <c r="O1181" s="3"/>
      <c r="P1181" s="3"/>
      <c r="Q1181" s="3"/>
      <c r="R1181" s="3"/>
      <c r="S1181" s="3"/>
      <c r="T1181" s="3"/>
      <c r="U1181" s="3"/>
      <c r="V1181" s="3"/>
      <c r="W1181" s="3"/>
      <c r="X1181" s="3"/>
      <c r="Y1181" s="3"/>
      <c r="Z1181" s="3"/>
      <c r="AA1181" s="3"/>
      <c r="AB1181" s="3"/>
      <c r="AC1181" s="3"/>
      <c r="AD1181" s="3"/>
      <c r="AE1181" s="3"/>
      <c r="AF1181" s="3"/>
      <c r="AG1181" s="3"/>
      <c r="AH1181" s="3"/>
      <c r="AI1181" s="3"/>
      <c r="AJ1181" s="3"/>
      <c r="AK1181" s="3"/>
      <c r="AL1181" s="3"/>
      <c r="AM1181" s="3"/>
      <c r="AN1181" s="3"/>
      <c r="AO1181" s="3"/>
      <c r="AP1181" s="3"/>
      <c r="AQ1181" s="3"/>
      <c r="AR1181" s="3"/>
      <c r="AS1181" s="3"/>
      <c r="AT1181" s="3"/>
      <c r="AU1181" s="3"/>
      <c r="AV1181" s="3"/>
      <c r="AW1181" s="3"/>
      <c r="AX1181" s="3"/>
      <c r="AY1181" s="3"/>
      <c r="AZ1181" s="3"/>
      <c r="BA1181" s="3"/>
      <c r="BB1181" s="3"/>
      <c r="BC1181" s="3"/>
    </row>
    <row r="1182" spans="1:55">
      <c r="A1182" s="1" t="str">
        <f>'Population Definitions'!$A$14</f>
        <v>Prisoners_PWID_males</v>
      </c>
      <c r="C1182" t="s">
        <v>34</v>
      </c>
      <c r="D1182" s="3"/>
      <c r="E1182" s="3">
        <v>0</v>
      </c>
      <c r="F1182" s="3"/>
      <c r="G1182" s="3"/>
      <c r="H1182" s="3"/>
      <c r="I1182" s="3"/>
      <c r="J1182" s="3"/>
      <c r="K1182" s="3"/>
      <c r="L1182" s="3"/>
      <c r="M1182" s="3"/>
      <c r="N1182" s="3"/>
      <c r="O1182" s="3"/>
      <c r="P1182" s="3"/>
      <c r="Q1182" s="3"/>
      <c r="R1182" s="3"/>
      <c r="S1182" s="3"/>
      <c r="T1182" s="3"/>
      <c r="U1182" s="3"/>
      <c r="V1182" s="3"/>
      <c r="W1182" s="3"/>
      <c r="X1182" s="3"/>
      <c r="Y1182" s="3"/>
      <c r="Z1182" s="3"/>
      <c r="AA1182" s="3"/>
      <c r="AB1182" s="3"/>
      <c r="AC1182" s="3"/>
      <c r="AD1182" s="3"/>
      <c r="AE1182" s="3"/>
      <c r="AF1182" s="3"/>
      <c r="AG1182" s="3"/>
      <c r="AH1182" s="3"/>
      <c r="AI1182" s="3"/>
      <c r="AJ1182" s="3"/>
      <c r="AK1182" s="3"/>
      <c r="AL1182" s="3"/>
      <c r="AM1182" s="3"/>
      <c r="AN1182" s="3"/>
      <c r="AO1182" s="3"/>
      <c r="AP1182" s="3"/>
      <c r="AQ1182" s="3"/>
      <c r="AR1182" s="3"/>
      <c r="AS1182" s="3"/>
      <c r="AT1182" s="3"/>
      <c r="AU1182" s="3"/>
      <c r="AV1182" s="3"/>
      <c r="AW1182" s="3"/>
      <c r="AX1182" s="3"/>
      <c r="AY1182" s="3"/>
      <c r="AZ1182" s="3"/>
      <c r="BA1182" s="3"/>
      <c r="BB1182" s="3"/>
      <c r="BC1182" s="3"/>
    </row>
    <row r="1183" spans="1:55">
      <c r="A1183" s="1" t="str">
        <f>'Population Definitions'!$A$15</f>
        <v>Prisoners_PWID_females</v>
      </c>
      <c r="C1183" t="s">
        <v>34</v>
      </c>
      <c r="D1183" s="3"/>
      <c r="E1183" s="3">
        <v>0</v>
      </c>
      <c r="F1183" s="3"/>
      <c r="G1183" s="3"/>
      <c r="H1183" s="3"/>
      <c r="I1183" s="3"/>
      <c r="J1183" s="3"/>
      <c r="K1183" s="3"/>
      <c r="L1183" s="3"/>
      <c r="M1183" s="3"/>
      <c r="N1183" s="3"/>
      <c r="O1183" s="3"/>
      <c r="P1183" s="3"/>
      <c r="Q1183" s="3"/>
      <c r="R1183" s="3"/>
      <c r="S1183" s="3"/>
      <c r="T1183" s="3"/>
      <c r="U1183" s="3"/>
      <c r="V1183" s="3"/>
      <c r="W1183" s="3"/>
      <c r="X1183" s="3"/>
      <c r="Y1183" s="3"/>
      <c r="Z1183" s="3"/>
      <c r="AA1183" s="3"/>
      <c r="AB1183" s="3"/>
      <c r="AC1183" s="3"/>
      <c r="AD1183" s="3"/>
      <c r="AE1183" s="3"/>
      <c r="AF1183" s="3"/>
      <c r="AG1183" s="3"/>
      <c r="AH1183" s="3"/>
      <c r="AI1183" s="3"/>
      <c r="AJ1183" s="3"/>
      <c r="AK1183" s="3"/>
      <c r="AL1183" s="3"/>
      <c r="AM1183" s="3"/>
      <c r="AN1183" s="3"/>
      <c r="AO1183" s="3"/>
      <c r="AP1183" s="3"/>
      <c r="AQ1183" s="3"/>
      <c r="AR1183" s="3"/>
      <c r="AS1183" s="3"/>
      <c r="AT1183" s="3"/>
      <c r="AU1183" s="3"/>
      <c r="AV1183" s="3"/>
      <c r="AW1183" s="3"/>
      <c r="AX1183" s="3"/>
      <c r="AY1183" s="3"/>
      <c r="AZ1183" s="3"/>
      <c r="BA1183" s="3"/>
      <c r="BB1183" s="3"/>
      <c r="BC1183" s="3"/>
    </row>
    <row r="1185" spans="1:55">
      <c r="A1185" s="1" t="s">
        <v>201</v>
      </c>
      <c r="B1185" s="1" t="s">
        <v>31</v>
      </c>
      <c r="C1185" s="1" t="s">
        <v>32</v>
      </c>
      <c r="D1185" s="1" t="s">
        <v>33</v>
      </c>
      <c r="E1185" s="1">
        <v>2000</v>
      </c>
      <c r="F1185" s="1">
        <v>2001</v>
      </c>
      <c r="G1185" s="1">
        <v>2002</v>
      </c>
      <c r="H1185" s="1">
        <v>2003</v>
      </c>
      <c r="I1185" s="1">
        <v>2004</v>
      </c>
      <c r="J1185" s="1">
        <v>2005</v>
      </c>
      <c r="K1185" s="1">
        <v>2006</v>
      </c>
      <c r="L1185" s="1">
        <v>2007</v>
      </c>
      <c r="M1185" s="1">
        <v>2008</v>
      </c>
      <c r="N1185" s="1">
        <v>2009</v>
      </c>
      <c r="O1185" s="1">
        <v>2010</v>
      </c>
      <c r="P1185" s="1">
        <v>2011</v>
      </c>
      <c r="Q1185" s="1">
        <v>2012</v>
      </c>
      <c r="R1185" s="1">
        <v>2013</v>
      </c>
      <c r="S1185" s="1">
        <v>2014</v>
      </c>
      <c r="T1185" s="1">
        <v>2015</v>
      </c>
      <c r="U1185" s="1">
        <v>2016</v>
      </c>
      <c r="V1185" s="1">
        <v>2017</v>
      </c>
      <c r="W1185" s="1">
        <v>2018</v>
      </c>
      <c r="X1185" s="1">
        <v>2019</v>
      </c>
      <c r="Y1185" s="1">
        <v>2020</v>
      </c>
      <c r="Z1185" s="1">
        <v>2021</v>
      </c>
      <c r="AA1185" s="1">
        <v>2022</v>
      </c>
      <c r="AB1185" s="1">
        <v>2023</v>
      </c>
      <c r="AC1185" s="1">
        <v>2024</v>
      </c>
      <c r="AD1185" s="1">
        <v>2025</v>
      </c>
      <c r="AE1185" s="1">
        <v>2026</v>
      </c>
      <c r="AF1185" s="1">
        <v>2027</v>
      </c>
      <c r="AG1185" s="1">
        <v>2028</v>
      </c>
      <c r="AH1185" s="1">
        <v>2029</v>
      </c>
      <c r="AI1185" s="1">
        <v>2030</v>
      </c>
      <c r="AJ1185" s="1">
        <v>2031</v>
      </c>
      <c r="AK1185" s="1">
        <v>2032</v>
      </c>
      <c r="AL1185" s="1">
        <v>2033</v>
      </c>
      <c r="AM1185" s="1">
        <v>2034</v>
      </c>
      <c r="AN1185" s="1">
        <v>2035</v>
      </c>
      <c r="AO1185" s="1">
        <v>2036</v>
      </c>
      <c r="AP1185" s="1">
        <v>2037</v>
      </c>
      <c r="AQ1185" s="1">
        <v>2038</v>
      </c>
      <c r="AR1185" s="1">
        <v>2039</v>
      </c>
      <c r="AS1185" s="1">
        <v>2040</v>
      </c>
      <c r="AT1185" s="1">
        <v>2041</v>
      </c>
      <c r="AU1185" s="1">
        <v>2042</v>
      </c>
      <c r="AV1185" s="1">
        <v>2043</v>
      </c>
      <c r="AW1185" s="1">
        <v>2044</v>
      </c>
      <c r="AX1185" s="1">
        <v>2045</v>
      </c>
      <c r="AY1185" s="1">
        <v>2046</v>
      </c>
      <c r="AZ1185" s="1">
        <v>2047</v>
      </c>
      <c r="BA1185" s="1">
        <v>2048</v>
      </c>
      <c r="BB1185" s="1">
        <v>2049</v>
      </c>
      <c r="BC1185" s="1">
        <v>2050</v>
      </c>
    </row>
    <row r="1186" spans="1:55">
      <c r="A1186" s="1" t="str">
        <f>'Population Definitions'!$A$2</f>
        <v>PWID_males</v>
      </c>
      <c r="C1186" t="s">
        <v>34</v>
      </c>
      <c r="D1186" s="3"/>
      <c r="E1186" s="3">
        <v>0</v>
      </c>
      <c r="F1186" s="3"/>
      <c r="G1186" s="3"/>
      <c r="H1186" s="3"/>
      <c r="I1186" s="3"/>
      <c r="J1186" s="3"/>
      <c r="K1186" s="3"/>
      <c r="L1186" s="3"/>
      <c r="M1186" s="3"/>
      <c r="N1186" s="3"/>
      <c r="O1186" s="3"/>
      <c r="P1186" s="3"/>
      <c r="Q1186" s="3"/>
      <c r="R1186" s="3"/>
      <c r="S1186" s="3"/>
      <c r="T1186" s="3"/>
      <c r="U1186" s="3"/>
      <c r="V1186" s="3"/>
      <c r="W1186" s="3"/>
      <c r="X1186" s="3"/>
      <c r="Y1186" s="3"/>
      <c r="Z1186" s="3"/>
      <c r="AA1186" s="3"/>
      <c r="AB1186" s="3"/>
      <c r="AC1186" s="3"/>
      <c r="AD1186" s="3"/>
      <c r="AE1186" s="3"/>
      <c r="AF1186" s="3"/>
      <c r="AG1186" s="3"/>
      <c r="AH1186" s="3"/>
      <c r="AI1186" s="3"/>
      <c r="AJ1186" s="3"/>
      <c r="AK1186" s="3"/>
      <c r="AL1186" s="3"/>
      <c r="AM1186" s="3"/>
      <c r="AN1186" s="3"/>
      <c r="AO1186" s="3"/>
      <c r="AP1186" s="3"/>
      <c r="AQ1186" s="3"/>
      <c r="AR1186" s="3"/>
      <c r="AS1186" s="3"/>
      <c r="AT1186" s="3"/>
      <c r="AU1186" s="3"/>
      <c r="AV1186" s="3"/>
      <c r="AW1186" s="3"/>
      <c r="AX1186" s="3"/>
      <c r="AY1186" s="3"/>
      <c r="AZ1186" s="3"/>
      <c r="BA1186" s="3"/>
      <c r="BB1186" s="3"/>
      <c r="BC1186" s="3"/>
    </row>
    <row r="1187" spans="1:55">
      <c r="A1187" s="1" t="str">
        <f>'Population Definitions'!$A$3</f>
        <v>PWID_females</v>
      </c>
      <c r="C1187" t="s">
        <v>34</v>
      </c>
      <c r="D1187" s="3"/>
      <c r="E1187" s="3">
        <v>0</v>
      </c>
      <c r="F1187" s="3"/>
      <c r="G1187" s="3"/>
      <c r="H1187" s="3"/>
      <c r="I1187" s="3"/>
      <c r="J1187" s="3"/>
      <c r="K1187" s="3"/>
      <c r="L1187" s="3"/>
      <c r="M1187" s="3"/>
      <c r="N1187" s="3"/>
      <c r="O1187" s="3"/>
      <c r="P1187" s="3"/>
      <c r="Q1187" s="3"/>
      <c r="R1187" s="3"/>
      <c r="S1187" s="3"/>
      <c r="T1187" s="3"/>
      <c r="U1187" s="3"/>
      <c r="V1187" s="3"/>
      <c r="W1187" s="3"/>
      <c r="X1187" s="3"/>
      <c r="Y1187" s="3"/>
      <c r="Z1187" s="3"/>
      <c r="AA1187" s="3"/>
      <c r="AB1187" s="3"/>
      <c r="AC1187" s="3"/>
      <c r="AD1187" s="3"/>
      <c r="AE1187" s="3"/>
      <c r="AF1187" s="3"/>
      <c r="AG1187" s="3"/>
      <c r="AH1187" s="3"/>
      <c r="AI1187" s="3"/>
      <c r="AJ1187" s="3"/>
      <c r="AK1187" s="3"/>
      <c r="AL1187" s="3"/>
      <c r="AM1187" s="3"/>
      <c r="AN1187" s="3"/>
      <c r="AO1187" s="3"/>
      <c r="AP1187" s="3"/>
      <c r="AQ1187" s="3"/>
      <c r="AR1187" s="3"/>
      <c r="AS1187" s="3"/>
      <c r="AT1187" s="3"/>
      <c r="AU1187" s="3"/>
      <c r="AV1187" s="3"/>
      <c r="AW1187" s="3"/>
      <c r="AX1187" s="3"/>
      <c r="AY1187" s="3"/>
      <c r="AZ1187" s="3"/>
      <c r="BA1187" s="3"/>
      <c r="BB1187" s="3"/>
      <c r="BC1187" s="3"/>
    </row>
    <row r="1188" spans="1:55">
      <c r="A1188" s="1" t="str">
        <f>'Population Definitions'!$A$4</f>
        <v>0-9_males</v>
      </c>
      <c r="C1188" t="s">
        <v>34</v>
      </c>
      <c r="D1188" s="3"/>
      <c r="E1188" s="3">
        <v>0</v>
      </c>
      <c r="F1188" s="3"/>
      <c r="G1188" s="3"/>
      <c r="H1188" s="3"/>
      <c r="I1188" s="3"/>
      <c r="J1188" s="3"/>
      <c r="K1188" s="3"/>
      <c r="L1188" s="3"/>
      <c r="M1188" s="3"/>
      <c r="N1188" s="3"/>
      <c r="O1188" s="3"/>
      <c r="P1188" s="3"/>
      <c r="Q1188" s="3"/>
      <c r="R1188" s="3"/>
      <c r="S1188" s="3"/>
      <c r="T1188" s="3"/>
      <c r="U1188" s="3"/>
      <c r="V1188" s="3"/>
      <c r="W1188" s="3"/>
      <c r="X1188" s="3"/>
      <c r="Y1188" s="3"/>
      <c r="Z1188" s="3"/>
      <c r="AA1188" s="3"/>
      <c r="AB1188" s="3"/>
      <c r="AC1188" s="3"/>
      <c r="AD1188" s="3"/>
      <c r="AE1188" s="3"/>
      <c r="AF1188" s="3"/>
      <c r="AG1188" s="3"/>
      <c r="AH1188" s="3"/>
      <c r="AI1188" s="3"/>
      <c r="AJ1188" s="3"/>
      <c r="AK1188" s="3"/>
      <c r="AL1188" s="3"/>
      <c r="AM1188" s="3"/>
      <c r="AN1188" s="3"/>
      <c r="AO1188" s="3"/>
      <c r="AP1188" s="3"/>
      <c r="AQ1188" s="3"/>
      <c r="AR1188" s="3"/>
      <c r="AS1188" s="3"/>
      <c r="AT1188" s="3"/>
      <c r="AU1188" s="3"/>
      <c r="AV1188" s="3"/>
      <c r="AW1188" s="3"/>
      <c r="AX1188" s="3"/>
      <c r="AY1188" s="3"/>
      <c r="AZ1188" s="3"/>
      <c r="BA1188" s="3"/>
      <c r="BB1188" s="3"/>
      <c r="BC1188" s="3"/>
    </row>
    <row r="1189" spans="1:55">
      <c r="A1189" s="1" t="str">
        <f>'Population Definitions'!$A$5</f>
        <v>0-9_females</v>
      </c>
      <c r="C1189" t="s">
        <v>34</v>
      </c>
      <c r="D1189" s="3"/>
      <c r="E1189" s="3">
        <v>0</v>
      </c>
      <c r="F1189" s="3"/>
      <c r="G1189" s="3"/>
      <c r="H1189" s="3"/>
      <c r="I1189" s="3"/>
      <c r="J1189" s="3"/>
      <c r="K1189" s="3"/>
      <c r="L1189" s="3"/>
      <c r="M1189" s="3"/>
      <c r="N1189" s="3"/>
      <c r="O1189" s="3"/>
      <c r="P1189" s="3"/>
      <c r="Q1189" s="3"/>
      <c r="R1189" s="3"/>
      <c r="S1189" s="3"/>
      <c r="T1189" s="3"/>
      <c r="U1189" s="3"/>
      <c r="V1189" s="3"/>
      <c r="W1189" s="3"/>
      <c r="X1189" s="3"/>
      <c r="Y1189" s="3"/>
      <c r="Z1189" s="3"/>
      <c r="AA1189" s="3"/>
      <c r="AB1189" s="3"/>
      <c r="AC1189" s="3"/>
      <c r="AD1189" s="3"/>
      <c r="AE1189" s="3"/>
      <c r="AF1189" s="3"/>
      <c r="AG1189" s="3"/>
      <c r="AH1189" s="3"/>
      <c r="AI1189" s="3"/>
      <c r="AJ1189" s="3"/>
      <c r="AK1189" s="3"/>
      <c r="AL1189" s="3"/>
      <c r="AM1189" s="3"/>
      <c r="AN1189" s="3"/>
      <c r="AO1189" s="3"/>
      <c r="AP1189" s="3"/>
      <c r="AQ1189" s="3"/>
      <c r="AR1189" s="3"/>
      <c r="AS1189" s="3"/>
      <c r="AT1189" s="3"/>
      <c r="AU1189" s="3"/>
      <c r="AV1189" s="3"/>
      <c r="AW1189" s="3"/>
      <c r="AX1189" s="3"/>
      <c r="AY1189" s="3"/>
      <c r="AZ1189" s="3"/>
      <c r="BA1189" s="3"/>
      <c r="BB1189" s="3"/>
      <c r="BC1189" s="3"/>
    </row>
    <row r="1190" spans="1:55">
      <c r="A1190" s="1" t="str">
        <f>'Population Definitions'!$A$6</f>
        <v>10-17_males</v>
      </c>
      <c r="C1190" t="s">
        <v>34</v>
      </c>
      <c r="D1190" s="3"/>
      <c r="E1190" s="3">
        <v>0</v>
      </c>
      <c r="F1190" s="3"/>
      <c r="G1190" s="3"/>
      <c r="H1190" s="3"/>
      <c r="I1190" s="3"/>
      <c r="J1190" s="3"/>
      <c r="K1190" s="3"/>
      <c r="L1190" s="3"/>
      <c r="M1190" s="3"/>
      <c r="N1190" s="3"/>
      <c r="O1190" s="3"/>
      <c r="P1190" s="3"/>
      <c r="Q1190" s="3"/>
      <c r="R1190" s="3"/>
      <c r="S1190" s="3"/>
      <c r="T1190" s="3"/>
      <c r="U1190" s="3"/>
      <c r="V1190" s="3"/>
      <c r="W1190" s="3"/>
      <c r="X1190" s="3"/>
      <c r="Y1190" s="3"/>
      <c r="Z1190" s="3"/>
      <c r="AA1190" s="3"/>
      <c r="AB1190" s="3"/>
      <c r="AC1190" s="3"/>
      <c r="AD1190" s="3"/>
      <c r="AE1190" s="3"/>
      <c r="AF1190" s="3"/>
      <c r="AG1190" s="3"/>
      <c r="AH1190" s="3"/>
      <c r="AI1190" s="3"/>
      <c r="AJ1190" s="3"/>
      <c r="AK1190" s="3"/>
      <c r="AL1190" s="3"/>
      <c r="AM1190" s="3"/>
      <c r="AN1190" s="3"/>
      <c r="AO1190" s="3"/>
      <c r="AP1190" s="3"/>
      <c r="AQ1190" s="3"/>
      <c r="AR1190" s="3"/>
      <c r="AS1190" s="3"/>
      <c r="AT1190" s="3"/>
      <c r="AU1190" s="3"/>
      <c r="AV1190" s="3"/>
      <c r="AW1190" s="3"/>
      <c r="AX1190" s="3"/>
      <c r="AY1190" s="3"/>
      <c r="AZ1190" s="3"/>
      <c r="BA1190" s="3"/>
      <c r="BB1190" s="3"/>
      <c r="BC1190" s="3"/>
    </row>
    <row r="1191" spans="1:55">
      <c r="A1191" s="1" t="str">
        <f>'Population Definitions'!$A$7</f>
        <v>10-17_females</v>
      </c>
      <c r="C1191" t="s">
        <v>34</v>
      </c>
      <c r="D1191" s="3"/>
      <c r="E1191" s="3">
        <v>0</v>
      </c>
      <c r="F1191" s="3"/>
      <c r="G1191" s="3"/>
      <c r="H1191" s="3"/>
      <c r="I1191" s="3"/>
      <c r="J1191" s="3"/>
      <c r="K1191" s="3"/>
      <c r="L1191" s="3"/>
      <c r="M1191" s="3"/>
      <c r="N1191" s="3"/>
      <c r="O1191" s="3"/>
      <c r="P1191" s="3"/>
      <c r="Q1191" s="3"/>
      <c r="R1191" s="3"/>
      <c r="S1191" s="3"/>
      <c r="T1191" s="3"/>
      <c r="U1191" s="3"/>
      <c r="V1191" s="3"/>
      <c r="W1191" s="3"/>
      <c r="X1191" s="3"/>
      <c r="Y1191" s="3"/>
      <c r="Z1191" s="3"/>
      <c r="AA1191" s="3"/>
      <c r="AB1191" s="3"/>
      <c r="AC1191" s="3"/>
      <c r="AD1191" s="3"/>
      <c r="AE1191" s="3"/>
      <c r="AF1191" s="3"/>
      <c r="AG1191" s="3"/>
      <c r="AH1191" s="3"/>
      <c r="AI1191" s="3"/>
      <c r="AJ1191" s="3"/>
      <c r="AK1191" s="3"/>
      <c r="AL1191" s="3"/>
      <c r="AM1191" s="3"/>
      <c r="AN1191" s="3"/>
      <c r="AO1191" s="3"/>
      <c r="AP1191" s="3"/>
      <c r="AQ1191" s="3"/>
      <c r="AR1191" s="3"/>
      <c r="AS1191" s="3"/>
      <c r="AT1191" s="3"/>
      <c r="AU1191" s="3"/>
      <c r="AV1191" s="3"/>
      <c r="AW1191" s="3"/>
      <c r="AX1191" s="3"/>
      <c r="AY1191" s="3"/>
      <c r="AZ1191" s="3"/>
      <c r="BA1191" s="3"/>
      <c r="BB1191" s="3"/>
      <c r="BC1191" s="3"/>
    </row>
    <row r="1192" spans="1:55">
      <c r="A1192" s="1" t="str">
        <f>'Population Definitions'!$A$8</f>
        <v>18-64_males</v>
      </c>
      <c r="C1192" t="s">
        <v>34</v>
      </c>
      <c r="D1192" s="3"/>
      <c r="E1192" s="3">
        <v>0</v>
      </c>
      <c r="F1192" s="3"/>
      <c r="G1192" s="3"/>
      <c r="H1192" s="3"/>
      <c r="I1192" s="3"/>
      <c r="J1192" s="3"/>
      <c r="K1192" s="3"/>
      <c r="L1192" s="3"/>
      <c r="M1192" s="3"/>
      <c r="N1192" s="3"/>
      <c r="O1192" s="3"/>
      <c r="P1192" s="3"/>
      <c r="Q1192" s="3"/>
      <c r="R1192" s="3"/>
      <c r="S1192" s="3"/>
      <c r="T1192" s="3"/>
      <c r="U1192" s="3"/>
      <c r="V1192" s="3"/>
      <c r="W1192" s="3"/>
      <c r="X1192" s="3"/>
      <c r="Y1192" s="3"/>
      <c r="Z1192" s="3"/>
      <c r="AA1192" s="3"/>
      <c r="AB1192" s="3"/>
      <c r="AC1192" s="3"/>
      <c r="AD1192" s="3"/>
      <c r="AE1192" s="3"/>
      <c r="AF1192" s="3"/>
      <c r="AG1192" s="3"/>
      <c r="AH1192" s="3"/>
      <c r="AI1192" s="3"/>
      <c r="AJ1192" s="3"/>
      <c r="AK1192" s="3"/>
      <c r="AL1192" s="3"/>
      <c r="AM1192" s="3"/>
      <c r="AN1192" s="3"/>
      <c r="AO1192" s="3"/>
      <c r="AP1192" s="3"/>
      <c r="AQ1192" s="3"/>
      <c r="AR1192" s="3"/>
      <c r="AS1192" s="3"/>
      <c r="AT1192" s="3"/>
      <c r="AU1192" s="3"/>
      <c r="AV1192" s="3"/>
      <c r="AW1192" s="3"/>
      <c r="AX1192" s="3"/>
      <c r="AY1192" s="3"/>
      <c r="AZ1192" s="3"/>
      <c r="BA1192" s="3"/>
      <c r="BB1192" s="3"/>
      <c r="BC1192" s="3"/>
    </row>
    <row r="1193" spans="1:55">
      <c r="A1193" s="1" t="str">
        <f>'Population Definitions'!$A$9</f>
        <v>18-64_females</v>
      </c>
      <c r="C1193" t="s">
        <v>34</v>
      </c>
      <c r="D1193" s="3"/>
      <c r="E1193" s="3">
        <v>0</v>
      </c>
      <c r="F1193" s="3"/>
      <c r="G1193" s="3"/>
      <c r="H1193" s="3"/>
      <c r="I1193" s="3"/>
      <c r="J1193" s="3"/>
      <c r="K1193" s="3"/>
      <c r="L1193" s="3"/>
      <c r="M1193" s="3"/>
      <c r="N1193" s="3"/>
      <c r="O1193" s="3"/>
      <c r="P1193" s="3"/>
      <c r="Q1193" s="3"/>
      <c r="R1193" s="3"/>
      <c r="S1193" s="3"/>
      <c r="T1193" s="3"/>
      <c r="U1193" s="3"/>
      <c r="V1193" s="3"/>
      <c r="W1193" s="3"/>
      <c r="X1193" s="3"/>
      <c r="Y1193" s="3"/>
      <c r="Z1193" s="3"/>
      <c r="AA1193" s="3"/>
      <c r="AB1193" s="3"/>
      <c r="AC1193" s="3"/>
      <c r="AD1193" s="3"/>
      <c r="AE1193" s="3"/>
      <c r="AF1193" s="3"/>
      <c r="AG1193" s="3"/>
      <c r="AH1193" s="3"/>
      <c r="AI1193" s="3"/>
      <c r="AJ1193" s="3"/>
      <c r="AK1193" s="3"/>
      <c r="AL1193" s="3"/>
      <c r="AM1193" s="3"/>
      <c r="AN1193" s="3"/>
      <c r="AO1193" s="3"/>
      <c r="AP1193" s="3"/>
      <c r="AQ1193" s="3"/>
      <c r="AR1193" s="3"/>
      <c r="AS1193" s="3"/>
      <c r="AT1193" s="3"/>
      <c r="AU1193" s="3"/>
      <c r="AV1193" s="3"/>
      <c r="AW1193" s="3"/>
      <c r="AX1193" s="3"/>
      <c r="AY1193" s="3"/>
      <c r="AZ1193" s="3"/>
      <c r="BA1193" s="3"/>
      <c r="BB1193" s="3"/>
      <c r="BC1193" s="3"/>
    </row>
    <row r="1194" spans="1:55">
      <c r="A1194" s="1" t="str">
        <f>'Population Definitions'!$A$10</f>
        <v>65+_males</v>
      </c>
      <c r="C1194" t="s">
        <v>34</v>
      </c>
      <c r="D1194" s="3"/>
      <c r="E1194" s="3">
        <v>0</v>
      </c>
      <c r="F1194" s="3"/>
      <c r="G1194" s="3"/>
      <c r="H1194" s="3"/>
      <c r="I1194" s="3"/>
      <c r="J1194" s="3"/>
      <c r="K1194" s="3"/>
      <c r="L1194" s="3"/>
      <c r="M1194" s="3"/>
      <c r="N1194" s="3"/>
      <c r="O1194" s="3"/>
      <c r="P1194" s="3"/>
      <c r="Q1194" s="3"/>
      <c r="R1194" s="3"/>
      <c r="S1194" s="3"/>
      <c r="T1194" s="3"/>
      <c r="U1194" s="3"/>
      <c r="V1194" s="3"/>
      <c r="W1194" s="3"/>
      <c r="X1194" s="3"/>
      <c r="Y1194" s="3"/>
      <c r="Z1194" s="3"/>
      <c r="AA1194" s="3"/>
      <c r="AB1194" s="3"/>
      <c r="AC1194" s="3"/>
      <c r="AD1194" s="3"/>
      <c r="AE1194" s="3"/>
      <c r="AF1194" s="3"/>
      <c r="AG1194" s="3"/>
      <c r="AH1194" s="3"/>
      <c r="AI1194" s="3"/>
      <c r="AJ1194" s="3"/>
      <c r="AK1194" s="3"/>
      <c r="AL1194" s="3"/>
      <c r="AM1194" s="3"/>
      <c r="AN1194" s="3"/>
      <c r="AO1194" s="3"/>
      <c r="AP1194" s="3"/>
      <c r="AQ1194" s="3"/>
      <c r="AR1194" s="3"/>
      <c r="AS1194" s="3"/>
      <c r="AT1194" s="3"/>
      <c r="AU1194" s="3"/>
      <c r="AV1194" s="3"/>
      <c r="AW1194" s="3"/>
      <c r="AX1194" s="3"/>
      <c r="AY1194" s="3"/>
      <c r="AZ1194" s="3"/>
      <c r="BA1194" s="3"/>
      <c r="BB1194" s="3"/>
      <c r="BC1194" s="3"/>
    </row>
    <row r="1195" spans="1:55">
      <c r="A1195" s="1" t="str">
        <f>'Population Definitions'!$A$11</f>
        <v>65+_females</v>
      </c>
      <c r="C1195" t="s">
        <v>34</v>
      </c>
      <c r="D1195" s="3"/>
      <c r="E1195" s="3">
        <v>0</v>
      </c>
      <c r="F1195" s="3"/>
      <c r="G1195" s="3"/>
      <c r="H1195" s="3"/>
      <c r="I1195" s="3"/>
      <c r="J1195" s="3"/>
      <c r="K1195" s="3"/>
      <c r="L1195" s="3"/>
      <c r="M1195" s="3"/>
      <c r="N1195" s="3"/>
      <c r="O1195" s="3"/>
      <c r="P1195" s="3"/>
      <c r="Q1195" s="3"/>
      <c r="R1195" s="3"/>
      <c r="S1195" s="3"/>
      <c r="T1195" s="3"/>
      <c r="U1195" s="3"/>
      <c r="V1195" s="3"/>
      <c r="W1195" s="3"/>
      <c r="X1195" s="3"/>
      <c r="Y1195" s="3"/>
      <c r="Z1195" s="3"/>
      <c r="AA1195" s="3"/>
      <c r="AB1195" s="3"/>
      <c r="AC1195" s="3"/>
      <c r="AD1195" s="3"/>
      <c r="AE1195" s="3"/>
      <c r="AF1195" s="3"/>
      <c r="AG1195" s="3"/>
      <c r="AH1195" s="3"/>
      <c r="AI1195" s="3"/>
      <c r="AJ1195" s="3"/>
      <c r="AK1195" s="3"/>
      <c r="AL1195" s="3"/>
      <c r="AM1195" s="3"/>
      <c r="AN1195" s="3"/>
      <c r="AO1195" s="3"/>
      <c r="AP1195" s="3"/>
      <c r="AQ1195" s="3"/>
      <c r="AR1195" s="3"/>
      <c r="AS1195" s="3"/>
      <c r="AT1195" s="3"/>
      <c r="AU1195" s="3"/>
      <c r="AV1195" s="3"/>
      <c r="AW1195" s="3"/>
      <c r="AX1195" s="3"/>
      <c r="AY1195" s="3"/>
      <c r="AZ1195" s="3"/>
      <c r="BA1195" s="3"/>
      <c r="BB1195" s="3"/>
      <c r="BC1195" s="3"/>
    </row>
    <row r="1196" spans="1:55">
      <c r="A1196" s="1" t="str">
        <f>'Population Definitions'!$A$12</f>
        <v>Prisoners_males</v>
      </c>
      <c r="C1196" t="s">
        <v>34</v>
      </c>
      <c r="D1196" s="3"/>
      <c r="E1196" s="3">
        <v>0</v>
      </c>
      <c r="F1196" s="3"/>
      <c r="G1196" s="3"/>
      <c r="H1196" s="3"/>
      <c r="I1196" s="3"/>
      <c r="J1196" s="3"/>
      <c r="K1196" s="3"/>
      <c r="L1196" s="3"/>
      <c r="M1196" s="3"/>
      <c r="N1196" s="3"/>
      <c r="O1196" s="3"/>
      <c r="P1196" s="3"/>
      <c r="Q1196" s="3"/>
      <c r="R1196" s="3"/>
      <c r="S1196" s="3"/>
      <c r="T1196" s="3"/>
      <c r="U1196" s="3"/>
      <c r="V1196" s="3"/>
      <c r="W1196" s="3"/>
      <c r="X1196" s="3"/>
      <c r="Y1196" s="3"/>
      <c r="Z1196" s="3"/>
      <c r="AA1196" s="3"/>
      <c r="AB1196" s="3"/>
      <c r="AC1196" s="3"/>
      <c r="AD1196" s="3"/>
      <c r="AE1196" s="3"/>
      <c r="AF1196" s="3"/>
      <c r="AG1196" s="3"/>
      <c r="AH1196" s="3"/>
      <c r="AI1196" s="3"/>
      <c r="AJ1196" s="3"/>
      <c r="AK1196" s="3"/>
      <c r="AL1196" s="3"/>
      <c r="AM1196" s="3"/>
      <c r="AN1196" s="3"/>
      <c r="AO1196" s="3"/>
      <c r="AP1196" s="3"/>
      <c r="AQ1196" s="3"/>
      <c r="AR1196" s="3"/>
      <c r="AS1196" s="3"/>
      <c r="AT1196" s="3"/>
      <c r="AU1196" s="3"/>
      <c r="AV1196" s="3"/>
      <c r="AW1196" s="3"/>
      <c r="AX1196" s="3"/>
      <c r="AY1196" s="3"/>
      <c r="AZ1196" s="3"/>
      <c r="BA1196" s="3"/>
      <c r="BB1196" s="3"/>
      <c r="BC1196" s="3"/>
    </row>
    <row r="1197" spans="1:55">
      <c r="A1197" s="1" t="str">
        <f>'Population Definitions'!$A$13</f>
        <v>Prisoners_females</v>
      </c>
      <c r="C1197" t="s">
        <v>34</v>
      </c>
      <c r="D1197" s="3"/>
      <c r="E1197" s="3">
        <v>0</v>
      </c>
      <c r="F1197" s="3"/>
      <c r="G1197" s="3"/>
      <c r="H1197" s="3"/>
      <c r="I1197" s="3"/>
      <c r="J1197" s="3"/>
      <c r="K1197" s="3"/>
      <c r="L1197" s="3"/>
      <c r="M1197" s="3"/>
      <c r="N1197" s="3"/>
      <c r="O1197" s="3"/>
      <c r="P1197" s="3"/>
      <c r="Q1197" s="3"/>
      <c r="R1197" s="3"/>
      <c r="S1197" s="3"/>
      <c r="T1197" s="3"/>
      <c r="U1197" s="3"/>
      <c r="V1197" s="3"/>
      <c r="W1197" s="3"/>
      <c r="X1197" s="3"/>
      <c r="Y1197" s="3"/>
      <c r="Z1197" s="3"/>
      <c r="AA1197" s="3"/>
      <c r="AB1197" s="3"/>
      <c r="AC1197" s="3"/>
      <c r="AD1197" s="3"/>
      <c r="AE1197" s="3"/>
      <c r="AF1197" s="3"/>
      <c r="AG1197" s="3"/>
      <c r="AH1197" s="3"/>
      <c r="AI1197" s="3"/>
      <c r="AJ1197" s="3"/>
      <c r="AK1197" s="3"/>
      <c r="AL1197" s="3"/>
      <c r="AM1197" s="3"/>
      <c r="AN1197" s="3"/>
      <c r="AO1197" s="3"/>
      <c r="AP1197" s="3"/>
      <c r="AQ1197" s="3"/>
      <c r="AR1197" s="3"/>
      <c r="AS1197" s="3"/>
      <c r="AT1197" s="3"/>
      <c r="AU1197" s="3"/>
      <c r="AV1197" s="3"/>
      <c r="AW1197" s="3"/>
      <c r="AX1197" s="3"/>
      <c r="AY1197" s="3"/>
      <c r="AZ1197" s="3"/>
      <c r="BA1197" s="3"/>
      <c r="BB1197" s="3"/>
      <c r="BC1197" s="3"/>
    </row>
    <row r="1198" spans="1:55">
      <c r="A1198" s="1" t="str">
        <f>'Population Definitions'!$A$14</f>
        <v>Prisoners_PWID_males</v>
      </c>
      <c r="C1198" t="s">
        <v>34</v>
      </c>
      <c r="D1198" s="3"/>
      <c r="E1198" s="3">
        <v>0</v>
      </c>
      <c r="F1198" s="3"/>
      <c r="G1198" s="3"/>
      <c r="H1198" s="3"/>
      <c r="I1198" s="3"/>
      <c r="J1198" s="3"/>
      <c r="K1198" s="3"/>
      <c r="L1198" s="3"/>
      <c r="M1198" s="3"/>
      <c r="N1198" s="3"/>
      <c r="O1198" s="3"/>
      <c r="P1198" s="3"/>
      <c r="Q1198" s="3"/>
      <c r="R1198" s="3"/>
      <c r="S1198" s="3"/>
      <c r="T1198" s="3"/>
      <c r="U1198" s="3"/>
      <c r="V1198" s="3"/>
      <c r="W1198" s="3"/>
      <c r="X1198" s="3"/>
      <c r="Y1198" s="3"/>
      <c r="Z1198" s="3"/>
      <c r="AA1198" s="3"/>
      <c r="AB1198" s="3"/>
      <c r="AC1198" s="3"/>
      <c r="AD1198" s="3"/>
      <c r="AE1198" s="3"/>
      <c r="AF1198" s="3"/>
      <c r="AG1198" s="3"/>
      <c r="AH1198" s="3"/>
      <c r="AI1198" s="3"/>
      <c r="AJ1198" s="3"/>
      <c r="AK1198" s="3"/>
      <c r="AL1198" s="3"/>
      <c r="AM1198" s="3"/>
      <c r="AN1198" s="3"/>
      <c r="AO1198" s="3"/>
      <c r="AP1198" s="3"/>
      <c r="AQ1198" s="3"/>
      <c r="AR1198" s="3"/>
      <c r="AS1198" s="3"/>
      <c r="AT1198" s="3"/>
      <c r="AU1198" s="3"/>
      <c r="AV1198" s="3"/>
      <c r="AW1198" s="3"/>
      <c r="AX1198" s="3"/>
      <c r="AY1198" s="3"/>
      <c r="AZ1198" s="3"/>
      <c r="BA1198" s="3"/>
      <c r="BB1198" s="3"/>
      <c r="BC1198" s="3"/>
    </row>
    <row r="1199" spans="1:55">
      <c r="A1199" s="1" t="str">
        <f>'Population Definitions'!$A$15</f>
        <v>Prisoners_PWID_females</v>
      </c>
      <c r="C1199" t="s">
        <v>34</v>
      </c>
      <c r="D1199" s="3"/>
      <c r="E1199" s="3">
        <v>0</v>
      </c>
      <c r="F1199" s="3"/>
      <c r="G1199" s="3"/>
      <c r="H1199" s="3"/>
      <c r="I1199" s="3"/>
      <c r="J1199" s="3"/>
      <c r="K1199" s="3"/>
      <c r="L1199" s="3"/>
      <c r="M1199" s="3"/>
      <c r="N1199" s="3"/>
      <c r="O1199" s="3"/>
      <c r="P1199" s="3"/>
      <c r="Q1199" s="3"/>
      <c r="R1199" s="3"/>
      <c r="S1199" s="3"/>
      <c r="T1199" s="3"/>
      <c r="U1199" s="3"/>
      <c r="V1199" s="3"/>
      <c r="W1199" s="3"/>
      <c r="X1199" s="3"/>
      <c r="Y1199" s="3"/>
      <c r="Z1199" s="3"/>
      <c r="AA1199" s="3"/>
      <c r="AB1199" s="3"/>
      <c r="AC1199" s="3"/>
      <c r="AD1199" s="3"/>
      <c r="AE1199" s="3"/>
      <c r="AF1199" s="3"/>
      <c r="AG1199" s="3"/>
      <c r="AH1199" s="3"/>
      <c r="AI1199" s="3"/>
      <c r="AJ1199" s="3"/>
      <c r="AK1199" s="3"/>
      <c r="AL1199" s="3"/>
      <c r="AM1199" s="3"/>
      <c r="AN1199" s="3"/>
      <c r="AO1199" s="3"/>
      <c r="AP1199" s="3"/>
      <c r="AQ1199" s="3"/>
      <c r="AR1199" s="3"/>
      <c r="AS1199" s="3"/>
      <c r="AT1199" s="3"/>
      <c r="AU1199" s="3"/>
      <c r="AV1199" s="3"/>
      <c r="AW1199" s="3"/>
      <c r="AX1199" s="3"/>
      <c r="AY1199" s="3"/>
      <c r="AZ1199" s="3"/>
      <c r="BA1199" s="3"/>
      <c r="BB1199" s="3"/>
      <c r="BC1199" s="3"/>
    </row>
    <row r="1201" spans="1:55">
      <c r="A1201" s="1" t="s">
        <v>202</v>
      </c>
      <c r="B1201" s="1" t="s">
        <v>31</v>
      </c>
      <c r="C1201" s="1" t="s">
        <v>32</v>
      </c>
      <c r="D1201" s="1" t="s">
        <v>33</v>
      </c>
      <c r="E1201" s="1">
        <v>2000</v>
      </c>
      <c r="F1201" s="1">
        <v>2001</v>
      </c>
      <c r="G1201" s="1">
        <v>2002</v>
      </c>
      <c r="H1201" s="1">
        <v>2003</v>
      </c>
      <c r="I1201" s="1">
        <v>2004</v>
      </c>
      <c r="J1201" s="1">
        <v>2005</v>
      </c>
      <c r="K1201" s="1">
        <v>2006</v>
      </c>
      <c r="L1201" s="1">
        <v>2007</v>
      </c>
      <c r="M1201" s="1">
        <v>2008</v>
      </c>
      <c r="N1201" s="1">
        <v>2009</v>
      </c>
      <c r="O1201" s="1">
        <v>2010</v>
      </c>
      <c r="P1201" s="1">
        <v>2011</v>
      </c>
      <c r="Q1201" s="1">
        <v>2012</v>
      </c>
      <c r="R1201" s="1">
        <v>2013</v>
      </c>
      <c r="S1201" s="1">
        <v>2014</v>
      </c>
      <c r="T1201" s="1">
        <v>2015</v>
      </c>
      <c r="U1201" s="1">
        <v>2016</v>
      </c>
      <c r="V1201" s="1">
        <v>2017</v>
      </c>
      <c r="W1201" s="1">
        <v>2018</v>
      </c>
      <c r="X1201" s="1">
        <v>2019</v>
      </c>
      <c r="Y1201" s="1">
        <v>2020</v>
      </c>
      <c r="Z1201" s="1">
        <v>2021</v>
      </c>
      <c r="AA1201" s="1">
        <v>2022</v>
      </c>
      <c r="AB1201" s="1">
        <v>2023</v>
      </c>
      <c r="AC1201" s="1">
        <v>2024</v>
      </c>
      <c r="AD1201" s="1">
        <v>2025</v>
      </c>
      <c r="AE1201" s="1">
        <v>2026</v>
      </c>
      <c r="AF1201" s="1">
        <v>2027</v>
      </c>
      <c r="AG1201" s="1">
        <v>2028</v>
      </c>
      <c r="AH1201" s="1">
        <v>2029</v>
      </c>
      <c r="AI1201" s="1">
        <v>2030</v>
      </c>
      <c r="AJ1201" s="1">
        <v>2031</v>
      </c>
      <c r="AK1201" s="1">
        <v>2032</v>
      </c>
      <c r="AL1201" s="1">
        <v>2033</v>
      </c>
      <c r="AM1201" s="1">
        <v>2034</v>
      </c>
      <c r="AN1201" s="1">
        <v>2035</v>
      </c>
      <c r="AO1201" s="1">
        <v>2036</v>
      </c>
      <c r="AP1201" s="1">
        <v>2037</v>
      </c>
      <c r="AQ1201" s="1">
        <v>2038</v>
      </c>
      <c r="AR1201" s="1">
        <v>2039</v>
      </c>
      <c r="AS1201" s="1">
        <v>2040</v>
      </c>
      <c r="AT1201" s="1">
        <v>2041</v>
      </c>
      <c r="AU1201" s="1">
        <v>2042</v>
      </c>
      <c r="AV1201" s="1">
        <v>2043</v>
      </c>
      <c r="AW1201" s="1">
        <v>2044</v>
      </c>
      <c r="AX1201" s="1">
        <v>2045</v>
      </c>
      <c r="AY1201" s="1">
        <v>2046</v>
      </c>
      <c r="AZ1201" s="1">
        <v>2047</v>
      </c>
      <c r="BA1201" s="1">
        <v>2048</v>
      </c>
      <c r="BB1201" s="1">
        <v>2049</v>
      </c>
      <c r="BC1201" s="1">
        <v>2050</v>
      </c>
    </row>
    <row r="1202" spans="1:55">
      <c r="A1202" s="1" t="str">
        <f>'Population Definitions'!$A$2</f>
        <v>PWID_males</v>
      </c>
      <c r="C1202" t="s">
        <v>34</v>
      </c>
      <c r="D1202" s="3"/>
      <c r="E1202" s="3">
        <v>0</v>
      </c>
      <c r="F1202" s="3"/>
      <c r="G1202" s="3"/>
      <c r="H1202" s="3"/>
      <c r="I1202" s="3"/>
      <c r="J1202" s="3"/>
      <c r="K1202" s="3"/>
      <c r="L1202" s="3"/>
      <c r="M1202" s="3"/>
      <c r="N1202" s="3"/>
      <c r="O1202" s="3"/>
      <c r="P1202" s="3"/>
      <c r="Q1202" s="3"/>
      <c r="R1202" s="3"/>
      <c r="S1202" s="3"/>
      <c r="T1202" s="3"/>
      <c r="U1202" s="3"/>
      <c r="V1202" s="3"/>
      <c r="W1202" s="3"/>
      <c r="X1202" s="3"/>
      <c r="Y1202" s="3"/>
      <c r="Z1202" s="3"/>
      <c r="AA1202" s="3"/>
      <c r="AB1202" s="3"/>
      <c r="AC1202" s="3"/>
      <c r="AD1202" s="3"/>
      <c r="AE1202" s="3"/>
      <c r="AF1202" s="3"/>
      <c r="AG1202" s="3"/>
      <c r="AH1202" s="3"/>
      <c r="AI1202" s="3"/>
      <c r="AJ1202" s="3"/>
      <c r="AK1202" s="3"/>
      <c r="AL1202" s="3"/>
      <c r="AM1202" s="3"/>
      <c r="AN1202" s="3"/>
      <c r="AO1202" s="3"/>
      <c r="AP1202" s="3"/>
      <c r="AQ1202" s="3"/>
      <c r="AR1202" s="3"/>
      <c r="AS1202" s="3"/>
      <c r="AT1202" s="3"/>
      <c r="AU1202" s="3"/>
      <c r="AV1202" s="3"/>
      <c r="AW1202" s="3"/>
      <c r="AX1202" s="3"/>
      <c r="AY1202" s="3"/>
      <c r="AZ1202" s="3"/>
      <c r="BA1202" s="3"/>
      <c r="BB1202" s="3"/>
      <c r="BC1202" s="3"/>
    </row>
    <row r="1203" spans="1:55">
      <c r="A1203" s="1" t="str">
        <f>'Population Definitions'!$A$3</f>
        <v>PWID_females</v>
      </c>
      <c r="C1203" t="s">
        <v>34</v>
      </c>
      <c r="D1203" s="3"/>
      <c r="E1203" s="3">
        <v>0</v>
      </c>
      <c r="F1203" s="3"/>
      <c r="G1203" s="3"/>
      <c r="H1203" s="3"/>
      <c r="I1203" s="3"/>
      <c r="J1203" s="3"/>
      <c r="K1203" s="3"/>
      <c r="L1203" s="3"/>
      <c r="M1203" s="3"/>
      <c r="N1203" s="3"/>
      <c r="O1203" s="3"/>
      <c r="P1203" s="3"/>
      <c r="Q1203" s="3"/>
      <c r="R1203" s="3"/>
      <c r="S1203" s="3"/>
      <c r="T1203" s="3"/>
      <c r="U1203" s="3"/>
      <c r="V1203" s="3"/>
      <c r="W1203" s="3"/>
      <c r="X1203" s="3"/>
      <c r="Y1203" s="3"/>
      <c r="Z1203" s="3"/>
      <c r="AA1203" s="3"/>
      <c r="AB1203" s="3"/>
      <c r="AC1203" s="3"/>
      <c r="AD1203" s="3"/>
      <c r="AE1203" s="3"/>
      <c r="AF1203" s="3"/>
      <c r="AG1203" s="3"/>
      <c r="AH1203" s="3"/>
      <c r="AI1203" s="3"/>
      <c r="AJ1203" s="3"/>
      <c r="AK1203" s="3"/>
      <c r="AL1203" s="3"/>
      <c r="AM1203" s="3"/>
      <c r="AN1203" s="3"/>
      <c r="AO1203" s="3"/>
      <c r="AP1203" s="3"/>
      <c r="AQ1203" s="3"/>
      <c r="AR1203" s="3"/>
      <c r="AS1203" s="3"/>
      <c r="AT1203" s="3"/>
      <c r="AU1203" s="3"/>
      <c r="AV1203" s="3"/>
      <c r="AW1203" s="3"/>
      <c r="AX1203" s="3"/>
      <c r="AY1203" s="3"/>
      <c r="AZ1203" s="3"/>
      <c r="BA1203" s="3"/>
      <c r="BB1203" s="3"/>
      <c r="BC1203" s="3"/>
    </row>
    <row r="1204" spans="1:55">
      <c r="A1204" s="1" t="str">
        <f>'Population Definitions'!$A$4</f>
        <v>0-9_males</v>
      </c>
      <c r="C1204" t="s">
        <v>34</v>
      </c>
      <c r="D1204" s="3"/>
      <c r="E1204" s="3">
        <v>0</v>
      </c>
      <c r="F1204" s="3"/>
      <c r="G1204" s="3"/>
      <c r="H1204" s="3"/>
      <c r="I1204" s="3"/>
      <c r="J1204" s="3"/>
      <c r="K1204" s="3"/>
      <c r="L1204" s="3"/>
      <c r="M1204" s="3"/>
      <c r="N1204" s="3"/>
      <c r="O1204" s="3"/>
      <c r="P1204" s="3"/>
      <c r="Q1204" s="3"/>
      <c r="R1204" s="3"/>
      <c r="S1204" s="3"/>
      <c r="T1204" s="3"/>
      <c r="U1204" s="3"/>
      <c r="V1204" s="3"/>
      <c r="W1204" s="3"/>
      <c r="X1204" s="3"/>
      <c r="Y1204" s="3"/>
      <c r="Z1204" s="3"/>
      <c r="AA1204" s="3"/>
      <c r="AB1204" s="3"/>
      <c r="AC1204" s="3"/>
      <c r="AD1204" s="3"/>
      <c r="AE1204" s="3"/>
      <c r="AF1204" s="3"/>
      <c r="AG1204" s="3"/>
      <c r="AH1204" s="3"/>
      <c r="AI1204" s="3"/>
      <c r="AJ1204" s="3"/>
      <c r="AK1204" s="3"/>
      <c r="AL1204" s="3"/>
      <c r="AM1204" s="3"/>
      <c r="AN1204" s="3"/>
      <c r="AO1204" s="3"/>
      <c r="AP1204" s="3"/>
      <c r="AQ1204" s="3"/>
      <c r="AR1204" s="3"/>
      <c r="AS1204" s="3"/>
      <c r="AT1204" s="3"/>
      <c r="AU1204" s="3"/>
      <c r="AV1204" s="3"/>
      <c r="AW1204" s="3"/>
      <c r="AX1204" s="3"/>
      <c r="AY1204" s="3"/>
      <c r="AZ1204" s="3"/>
      <c r="BA1204" s="3"/>
      <c r="BB1204" s="3"/>
      <c r="BC1204" s="3"/>
    </row>
    <row r="1205" spans="1:55">
      <c r="A1205" s="1" t="str">
        <f>'Population Definitions'!$A$5</f>
        <v>0-9_females</v>
      </c>
      <c r="C1205" t="s">
        <v>34</v>
      </c>
      <c r="D1205" s="3"/>
      <c r="E1205" s="3">
        <v>0</v>
      </c>
      <c r="F1205" s="3"/>
      <c r="G1205" s="3"/>
      <c r="H1205" s="3"/>
      <c r="I1205" s="3"/>
      <c r="J1205" s="3"/>
      <c r="K1205" s="3"/>
      <c r="L1205" s="3"/>
      <c r="M1205" s="3"/>
      <c r="N1205" s="3"/>
      <c r="O1205" s="3"/>
      <c r="P1205" s="3"/>
      <c r="Q1205" s="3"/>
      <c r="R1205" s="3"/>
      <c r="S1205" s="3"/>
      <c r="T1205" s="3"/>
      <c r="U1205" s="3"/>
      <c r="V1205" s="3"/>
      <c r="W1205" s="3"/>
      <c r="X1205" s="3"/>
      <c r="Y1205" s="3"/>
      <c r="Z1205" s="3"/>
      <c r="AA1205" s="3"/>
      <c r="AB1205" s="3"/>
      <c r="AC1205" s="3"/>
      <c r="AD1205" s="3"/>
      <c r="AE1205" s="3"/>
      <c r="AF1205" s="3"/>
      <c r="AG1205" s="3"/>
      <c r="AH1205" s="3"/>
      <c r="AI1205" s="3"/>
      <c r="AJ1205" s="3"/>
      <c r="AK1205" s="3"/>
      <c r="AL1205" s="3"/>
      <c r="AM1205" s="3"/>
      <c r="AN1205" s="3"/>
      <c r="AO1205" s="3"/>
      <c r="AP1205" s="3"/>
      <c r="AQ1205" s="3"/>
      <c r="AR1205" s="3"/>
      <c r="AS1205" s="3"/>
      <c r="AT1205" s="3"/>
      <c r="AU1205" s="3"/>
      <c r="AV1205" s="3"/>
      <c r="AW1205" s="3"/>
      <c r="AX1205" s="3"/>
      <c r="AY1205" s="3"/>
      <c r="AZ1205" s="3"/>
      <c r="BA1205" s="3"/>
      <c r="BB1205" s="3"/>
      <c r="BC1205" s="3"/>
    </row>
    <row r="1206" spans="1:55">
      <c r="A1206" s="1" t="str">
        <f>'Population Definitions'!$A$6</f>
        <v>10-17_males</v>
      </c>
      <c r="C1206" t="s">
        <v>34</v>
      </c>
      <c r="D1206" s="3"/>
      <c r="E1206" s="3">
        <v>0</v>
      </c>
      <c r="F1206" s="3"/>
      <c r="G1206" s="3"/>
      <c r="H1206" s="3"/>
      <c r="I1206" s="3"/>
      <c r="J1206" s="3"/>
      <c r="K1206" s="3"/>
      <c r="L1206" s="3"/>
      <c r="M1206" s="3"/>
      <c r="N1206" s="3"/>
      <c r="O1206" s="3"/>
      <c r="P1206" s="3"/>
      <c r="Q1206" s="3"/>
      <c r="R1206" s="3"/>
      <c r="S1206" s="3"/>
      <c r="T1206" s="3"/>
      <c r="U1206" s="3"/>
      <c r="V1206" s="3"/>
      <c r="W1206" s="3"/>
      <c r="X1206" s="3"/>
      <c r="Y1206" s="3"/>
      <c r="Z1206" s="3"/>
      <c r="AA1206" s="3"/>
      <c r="AB1206" s="3"/>
      <c r="AC1206" s="3"/>
      <c r="AD1206" s="3"/>
      <c r="AE1206" s="3"/>
      <c r="AF1206" s="3"/>
      <c r="AG1206" s="3"/>
      <c r="AH1206" s="3"/>
      <c r="AI1206" s="3"/>
      <c r="AJ1206" s="3"/>
      <c r="AK1206" s="3"/>
      <c r="AL1206" s="3"/>
      <c r="AM1206" s="3"/>
      <c r="AN1206" s="3"/>
      <c r="AO1206" s="3"/>
      <c r="AP1206" s="3"/>
      <c r="AQ1206" s="3"/>
      <c r="AR1206" s="3"/>
      <c r="AS1206" s="3"/>
      <c r="AT1206" s="3"/>
      <c r="AU1206" s="3"/>
      <c r="AV1206" s="3"/>
      <c r="AW1206" s="3"/>
      <c r="AX1206" s="3"/>
      <c r="AY1206" s="3"/>
      <c r="AZ1206" s="3"/>
      <c r="BA1206" s="3"/>
      <c r="BB1206" s="3"/>
      <c r="BC1206" s="3"/>
    </row>
    <row r="1207" spans="1:55">
      <c r="A1207" s="1" t="str">
        <f>'Population Definitions'!$A$7</f>
        <v>10-17_females</v>
      </c>
      <c r="C1207" t="s">
        <v>34</v>
      </c>
      <c r="D1207" s="3"/>
      <c r="E1207" s="3">
        <v>0</v>
      </c>
      <c r="F1207" s="3"/>
      <c r="G1207" s="3"/>
      <c r="H1207" s="3"/>
      <c r="I1207" s="3"/>
      <c r="J1207" s="3"/>
      <c r="K1207" s="3"/>
      <c r="L1207" s="3"/>
      <c r="M1207" s="3"/>
      <c r="N1207" s="3"/>
      <c r="O1207" s="3"/>
      <c r="P1207" s="3"/>
      <c r="Q1207" s="3"/>
      <c r="R1207" s="3"/>
      <c r="S1207" s="3"/>
      <c r="T1207" s="3"/>
      <c r="U1207" s="3"/>
      <c r="V1207" s="3"/>
      <c r="W1207" s="3"/>
      <c r="X1207" s="3"/>
      <c r="Y1207" s="3"/>
      <c r="Z1207" s="3"/>
      <c r="AA1207" s="3"/>
      <c r="AB1207" s="3"/>
      <c r="AC1207" s="3"/>
      <c r="AD1207" s="3"/>
      <c r="AE1207" s="3"/>
      <c r="AF1207" s="3"/>
      <c r="AG1207" s="3"/>
      <c r="AH1207" s="3"/>
      <c r="AI1207" s="3"/>
      <c r="AJ1207" s="3"/>
      <c r="AK1207" s="3"/>
      <c r="AL1207" s="3"/>
      <c r="AM1207" s="3"/>
      <c r="AN1207" s="3"/>
      <c r="AO1207" s="3"/>
      <c r="AP1207" s="3"/>
      <c r="AQ1207" s="3"/>
      <c r="AR1207" s="3"/>
      <c r="AS1207" s="3"/>
      <c r="AT1207" s="3"/>
      <c r="AU1207" s="3"/>
      <c r="AV1207" s="3"/>
      <c r="AW1207" s="3"/>
      <c r="AX1207" s="3"/>
      <c r="AY1207" s="3"/>
      <c r="AZ1207" s="3"/>
      <c r="BA1207" s="3"/>
      <c r="BB1207" s="3"/>
      <c r="BC1207" s="3"/>
    </row>
    <row r="1208" spans="1:55">
      <c r="A1208" s="1" t="str">
        <f>'Population Definitions'!$A$8</f>
        <v>18-64_males</v>
      </c>
      <c r="C1208" t="s">
        <v>34</v>
      </c>
      <c r="D1208" s="3"/>
      <c r="E1208" s="3">
        <v>0</v>
      </c>
      <c r="F1208" s="3"/>
      <c r="G1208" s="3"/>
      <c r="H1208" s="3"/>
      <c r="I1208" s="3"/>
      <c r="J1208" s="3"/>
      <c r="K1208" s="3"/>
      <c r="L1208" s="3"/>
      <c r="M1208" s="3"/>
      <c r="N1208" s="3"/>
      <c r="O1208" s="3"/>
      <c r="P1208" s="3"/>
      <c r="Q1208" s="3"/>
      <c r="R1208" s="3"/>
      <c r="S1208" s="3"/>
      <c r="T1208" s="3"/>
      <c r="U1208" s="3"/>
      <c r="V1208" s="3"/>
      <c r="W1208" s="3"/>
      <c r="X1208" s="3"/>
      <c r="Y1208" s="3"/>
      <c r="Z1208" s="3"/>
      <c r="AA1208" s="3"/>
      <c r="AB1208" s="3"/>
      <c r="AC1208" s="3"/>
      <c r="AD1208" s="3"/>
      <c r="AE1208" s="3"/>
      <c r="AF1208" s="3"/>
      <c r="AG1208" s="3"/>
      <c r="AH1208" s="3"/>
      <c r="AI1208" s="3"/>
      <c r="AJ1208" s="3"/>
      <c r="AK1208" s="3"/>
      <c r="AL1208" s="3"/>
      <c r="AM1208" s="3"/>
      <c r="AN1208" s="3"/>
      <c r="AO1208" s="3"/>
      <c r="AP1208" s="3"/>
      <c r="AQ1208" s="3"/>
      <c r="AR1208" s="3"/>
      <c r="AS1208" s="3"/>
      <c r="AT1208" s="3"/>
      <c r="AU1208" s="3"/>
      <c r="AV1208" s="3"/>
      <c r="AW1208" s="3"/>
      <c r="AX1208" s="3"/>
      <c r="AY1208" s="3"/>
      <c r="AZ1208" s="3"/>
      <c r="BA1208" s="3"/>
      <c r="BB1208" s="3"/>
      <c r="BC1208" s="3"/>
    </row>
    <row r="1209" spans="1:55">
      <c r="A1209" s="1" t="str">
        <f>'Population Definitions'!$A$9</f>
        <v>18-64_females</v>
      </c>
      <c r="C1209" t="s">
        <v>34</v>
      </c>
      <c r="D1209" s="3"/>
      <c r="E1209" s="3">
        <v>0</v>
      </c>
      <c r="F1209" s="3"/>
      <c r="G1209" s="3"/>
      <c r="H1209" s="3"/>
      <c r="I1209" s="3"/>
      <c r="J1209" s="3"/>
      <c r="K1209" s="3"/>
      <c r="L1209" s="3"/>
      <c r="M1209" s="3"/>
      <c r="N1209" s="3"/>
      <c r="O1209" s="3"/>
      <c r="P1209" s="3"/>
      <c r="Q1209" s="3"/>
      <c r="R1209" s="3"/>
      <c r="S1209" s="3"/>
      <c r="T1209" s="3"/>
      <c r="U1209" s="3"/>
      <c r="V1209" s="3"/>
      <c r="W1209" s="3"/>
      <c r="X1209" s="3"/>
      <c r="Y1209" s="3"/>
      <c r="Z1209" s="3"/>
      <c r="AA1209" s="3"/>
      <c r="AB1209" s="3"/>
      <c r="AC1209" s="3"/>
      <c r="AD1209" s="3"/>
      <c r="AE1209" s="3"/>
      <c r="AF1209" s="3"/>
      <c r="AG1209" s="3"/>
      <c r="AH1209" s="3"/>
      <c r="AI1209" s="3"/>
      <c r="AJ1209" s="3"/>
      <c r="AK1209" s="3"/>
      <c r="AL1209" s="3"/>
      <c r="AM1209" s="3"/>
      <c r="AN1209" s="3"/>
      <c r="AO1209" s="3"/>
      <c r="AP1209" s="3"/>
      <c r="AQ1209" s="3"/>
      <c r="AR1209" s="3"/>
      <c r="AS1209" s="3"/>
      <c r="AT1209" s="3"/>
      <c r="AU1209" s="3"/>
      <c r="AV1209" s="3"/>
      <c r="AW1209" s="3"/>
      <c r="AX1209" s="3"/>
      <c r="AY1209" s="3"/>
      <c r="AZ1209" s="3"/>
      <c r="BA1209" s="3"/>
      <c r="BB1209" s="3"/>
      <c r="BC1209" s="3"/>
    </row>
    <row r="1210" spans="1:55">
      <c r="A1210" s="1" t="str">
        <f>'Population Definitions'!$A$10</f>
        <v>65+_males</v>
      </c>
      <c r="C1210" t="s">
        <v>34</v>
      </c>
      <c r="D1210" s="3"/>
      <c r="E1210" s="3">
        <v>0</v>
      </c>
      <c r="F1210" s="3"/>
      <c r="G1210" s="3"/>
      <c r="H1210" s="3"/>
      <c r="I1210" s="3"/>
      <c r="J1210" s="3"/>
      <c r="K1210" s="3"/>
      <c r="L1210" s="3"/>
      <c r="M1210" s="3"/>
      <c r="N1210" s="3"/>
      <c r="O1210" s="3"/>
      <c r="P1210" s="3"/>
      <c r="Q1210" s="3"/>
      <c r="R1210" s="3"/>
      <c r="S1210" s="3"/>
      <c r="T1210" s="3"/>
      <c r="U1210" s="3"/>
      <c r="V1210" s="3"/>
      <c r="W1210" s="3"/>
      <c r="X1210" s="3"/>
      <c r="Y1210" s="3"/>
      <c r="Z1210" s="3"/>
      <c r="AA1210" s="3"/>
      <c r="AB1210" s="3"/>
      <c r="AC1210" s="3"/>
      <c r="AD1210" s="3"/>
      <c r="AE1210" s="3"/>
      <c r="AF1210" s="3"/>
      <c r="AG1210" s="3"/>
      <c r="AH1210" s="3"/>
      <c r="AI1210" s="3"/>
      <c r="AJ1210" s="3"/>
      <c r="AK1210" s="3"/>
      <c r="AL1210" s="3"/>
      <c r="AM1210" s="3"/>
      <c r="AN1210" s="3"/>
      <c r="AO1210" s="3"/>
      <c r="AP1210" s="3"/>
      <c r="AQ1210" s="3"/>
      <c r="AR1210" s="3"/>
      <c r="AS1210" s="3"/>
      <c r="AT1210" s="3"/>
      <c r="AU1210" s="3"/>
      <c r="AV1210" s="3"/>
      <c r="AW1210" s="3"/>
      <c r="AX1210" s="3"/>
      <c r="AY1210" s="3"/>
      <c r="AZ1210" s="3"/>
      <c r="BA1210" s="3"/>
      <c r="BB1210" s="3"/>
      <c r="BC1210" s="3"/>
    </row>
    <row r="1211" spans="1:55">
      <c r="A1211" s="1" t="str">
        <f>'Population Definitions'!$A$11</f>
        <v>65+_females</v>
      </c>
      <c r="C1211" t="s">
        <v>34</v>
      </c>
      <c r="D1211" s="3"/>
      <c r="E1211" s="3">
        <v>0</v>
      </c>
      <c r="F1211" s="3"/>
      <c r="G1211" s="3"/>
      <c r="H1211" s="3"/>
      <c r="I1211" s="3"/>
      <c r="J1211" s="3"/>
      <c r="K1211" s="3"/>
      <c r="L1211" s="3"/>
      <c r="M1211" s="3"/>
      <c r="N1211" s="3"/>
      <c r="O1211" s="3"/>
      <c r="P1211" s="3"/>
      <c r="Q1211" s="3"/>
      <c r="R1211" s="3"/>
      <c r="S1211" s="3"/>
      <c r="T1211" s="3"/>
      <c r="U1211" s="3"/>
      <c r="V1211" s="3"/>
      <c r="W1211" s="3"/>
      <c r="X1211" s="3"/>
      <c r="Y1211" s="3"/>
      <c r="Z1211" s="3"/>
      <c r="AA1211" s="3"/>
      <c r="AB1211" s="3"/>
      <c r="AC1211" s="3"/>
      <c r="AD1211" s="3"/>
      <c r="AE1211" s="3"/>
      <c r="AF1211" s="3"/>
      <c r="AG1211" s="3"/>
      <c r="AH1211" s="3"/>
      <c r="AI1211" s="3"/>
      <c r="AJ1211" s="3"/>
      <c r="AK1211" s="3"/>
      <c r="AL1211" s="3"/>
      <c r="AM1211" s="3"/>
      <c r="AN1211" s="3"/>
      <c r="AO1211" s="3"/>
      <c r="AP1211" s="3"/>
      <c r="AQ1211" s="3"/>
      <c r="AR1211" s="3"/>
      <c r="AS1211" s="3"/>
      <c r="AT1211" s="3"/>
      <c r="AU1211" s="3"/>
      <c r="AV1211" s="3"/>
      <c r="AW1211" s="3"/>
      <c r="AX1211" s="3"/>
      <c r="AY1211" s="3"/>
      <c r="AZ1211" s="3"/>
      <c r="BA1211" s="3"/>
      <c r="BB1211" s="3"/>
      <c r="BC1211" s="3"/>
    </row>
    <row r="1212" spans="1:55">
      <c r="A1212" s="1" t="str">
        <f>'Population Definitions'!$A$12</f>
        <v>Prisoners_males</v>
      </c>
      <c r="C1212" t="s">
        <v>34</v>
      </c>
      <c r="D1212" s="3"/>
      <c r="E1212" s="3">
        <v>0</v>
      </c>
      <c r="F1212" s="3"/>
      <c r="G1212" s="3"/>
      <c r="H1212" s="3"/>
      <c r="I1212" s="3"/>
      <c r="J1212" s="3"/>
      <c r="K1212" s="3"/>
      <c r="L1212" s="3"/>
      <c r="M1212" s="3"/>
      <c r="N1212" s="3"/>
      <c r="O1212" s="3"/>
      <c r="P1212" s="3"/>
      <c r="Q1212" s="3"/>
      <c r="R1212" s="3"/>
      <c r="S1212" s="3"/>
      <c r="T1212" s="3"/>
      <c r="U1212" s="3"/>
      <c r="V1212" s="3"/>
      <c r="W1212" s="3"/>
      <c r="X1212" s="3"/>
      <c r="Y1212" s="3"/>
      <c r="Z1212" s="3"/>
      <c r="AA1212" s="3"/>
      <c r="AB1212" s="3"/>
      <c r="AC1212" s="3"/>
      <c r="AD1212" s="3"/>
      <c r="AE1212" s="3"/>
      <c r="AF1212" s="3"/>
      <c r="AG1212" s="3"/>
      <c r="AH1212" s="3"/>
      <c r="AI1212" s="3"/>
      <c r="AJ1212" s="3"/>
      <c r="AK1212" s="3"/>
      <c r="AL1212" s="3"/>
      <c r="AM1212" s="3"/>
      <c r="AN1212" s="3"/>
      <c r="AO1212" s="3"/>
      <c r="AP1212" s="3"/>
      <c r="AQ1212" s="3"/>
      <c r="AR1212" s="3"/>
      <c r="AS1212" s="3"/>
      <c r="AT1212" s="3"/>
      <c r="AU1212" s="3"/>
      <c r="AV1212" s="3"/>
      <c r="AW1212" s="3"/>
      <c r="AX1212" s="3"/>
      <c r="AY1212" s="3"/>
      <c r="AZ1212" s="3"/>
      <c r="BA1212" s="3"/>
      <c r="BB1212" s="3"/>
      <c r="BC1212" s="3"/>
    </row>
    <row r="1213" spans="1:55">
      <c r="A1213" s="1" t="str">
        <f>'Population Definitions'!$A$13</f>
        <v>Prisoners_females</v>
      </c>
      <c r="C1213" t="s">
        <v>34</v>
      </c>
      <c r="D1213" s="3"/>
      <c r="E1213" s="3">
        <v>0</v>
      </c>
      <c r="F1213" s="3"/>
      <c r="G1213" s="3"/>
      <c r="H1213" s="3"/>
      <c r="I1213" s="3"/>
      <c r="J1213" s="3"/>
      <c r="K1213" s="3"/>
      <c r="L1213" s="3"/>
      <c r="M1213" s="3"/>
      <c r="N1213" s="3"/>
      <c r="O1213" s="3"/>
      <c r="P1213" s="3"/>
      <c r="Q1213" s="3"/>
      <c r="R1213" s="3"/>
      <c r="S1213" s="3"/>
      <c r="T1213" s="3"/>
      <c r="U1213" s="3"/>
      <c r="V1213" s="3"/>
      <c r="W1213" s="3"/>
      <c r="X1213" s="3"/>
      <c r="Y1213" s="3"/>
      <c r="Z1213" s="3"/>
      <c r="AA1213" s="3"/>
      <c r="AB1213" s="3"/>
      <c r="AC1213" s="3"/>
      <c r="AD1213" s="3"/>
      <c r="AE1213" s="3"/>
      <c r="AF1213" s="3"/>
      <c r="AG1213" s="3"/>
      <c r="AH1213" s="3"/>
      <c r="AI1213" s="3"/>
      <c r="AJ1213" s="3"/>
      <c r="AK1213" s="3"/>
      <c r="AL1213" s="3"/>
      <c r="AM1213" s="3"/>
      <c r="AN1213" s="3"/>
      <c r="AO1213" s="3"/>
      <c r="AP1213" s="3"/>
      <c r="AQ1213" s="3"/>
      <c r="AR1213" s="3"/>
      <c r="AS1213" s="3"/>
      <c r="AT1213" s="3"/>
      <c r="AU1213" s="3"/>
      <c r="AV1213" s="3"/>
      <c r="AW1213" s="3"/>
      <c r="AX1213" s="3"/>
      <c r="AY1213" s="3"/>
      <c r="AZ1213" s="3"/>
      <c r="BA1213" s="3"/>
      <c r="BB1213" s="3"/>
      <c r="BC1213" s="3"/>
    </row>
    <row r="1214" spans="1:55">
      <c r="A1214" s="1" t="str">
        <f>'Population Definitions'!$A$14</f>
        <v>Prisoners_PWID_males</v>
      </c>
      <c r="C1214" t="s">
        <v>34</v>
      </c>
      <c r="D1214" s="3"/>
      <c r="E1214" s="3">
        <v>0</v>
      </c>
      <c r="F1214" s="3"/>
      <c r="G1214" s="3"/>
      <c r="H1214" s="3"/>
      <c r="I1214" s="3"/>
      <c r="J1214" s="3"/>
      <c r="K1214" s="3"/>
      <c r="L1214" s="3"/>
      <c r="M1214" s="3"/>
      <c r="N1214" s="3"/>
      <c r="O1214" s="3"/>
      <c r="P1214" s="3"/>
      <c r="Q1214" s="3"/>
      <c r="R1214" s="3"/>
      <c r="S1214" s="3"/>
      <c r="T1214" s="3"/>
      <c r="U1214" s="3"/>
      <c r="V1214" s="3"/>
      <c r="W1214" s="3"/>
      <c r="X1214" s="3"/>
      <c r="Y1214" s="3"/>
      <c r="Z1214" s="3"/>
      <c r="AA1214" s="3"/>
      <c r="AB1214" s="3"/>
      <c r="AC1214" s="3"/>
      <c r="AD1214" s="3"/>
      <c r="AE1214" s="3"/>
      <c r="AF1214" s="3"/>
      <c r="AG1214" s="3"/>
      <c r="AH1214" s="3"/>
      <c r="AI1214" s="3"/>
      <c r="AJ1214" s="3"/>
      <c r="AK1214" s="3"/>
      <c r="AL1214" s="3"/>
      <c r="AM1214" s="3"/>
      <c r="AN1214" s="3"/>
      <c r="AO1214" s="3"/>
      <c r="AP1214" s="3"/>
      <c r="AQ1214" s="3"/>
      <c r="AR1214" s="3"/>
      <c r="AS1214" s="3"/>
      <c r="AT1214" s="3"/>
      <c r="AU1214" s="3"/>
      <c r="AV1214" s="3"/>
      <c r="AW1214" s="3"/>
      <c r="AX1214" s="3"/>
      <c r="AY1214" s="3"/>
      <c r="AZ1214" s="3"/>
      <c r="BA1214" s="3"/>
      <c r="BB1214" s="3"/>
      <c r="BC1214" s="3"/>
    </row>
    <row r="1215" spans="1:55">
      <c r="A1215" s="1" t="str">
        <f>'Population Definitions'!$A$15</f>
        <v>Prisoners_PWID_females</v>
      </c>
      <c r="C1215" t="s">
        <v>34</v>
      </c>
      <c r="D1215" s="3"/>
      <c r="E1215" s="3">
        <v>0</v>
      </c>
      <c r="F1215" s="3"/>
      <c r="G1215" s="3"/>
      <c r="H1215" s="3"/>
      <c r="I1215" s="3"/>
      <c r="J1215" s="3"/>
      <c r="K1215" s="3"/>
      <c r="L1215" s="3"/>
      <c r="M1215" s="3"/>
      <c r="N1215" s="3"/>
      <c r="O1215" s="3"/>
      <c r="P1215" s="3"/>
      <c r="Q1215" s="3"/>
      <c r="R1215" s="3"/>
      <c r="S1215" s="3"/>
      <c r="T1215" s="3"/>
      <c r="U1215" s="3"/>
      <c r="V1215" s="3"/>
      <c r="W1215" s="3"/>
      <c r="X1215" s="3"/>
      <c r="Y1215" s="3"/>
      <c r="Z1215" s="3"/>
      <c r="AA1215" s="3"/>
      <c r="AB1215" s="3"/>
      <c r="AC1215" s="3"/>
      <c r="AD1215" s="3"/>
      <c r="AE1215" s="3"/>
      <c r="AF1215" s="3"/>
      <c r="AG1215" s="3"/>
      <c r="AH1215" s="3"/>
      <c r="AI1215" s="3"/>
      <c r="AJ1215" s="3"/>
      <c r="AK1215" s="3"/>
      <c r="AL1215" s="3"/>
      <c r="AM1215" s="3"/>
      <c r="AN1215" s="3"/>
      <c r="AO1215" s="3"/>
      <c r="AP1215" s="3"/>
      <c r="AQ1215" s="3"/>
      <c r="AR1215" s="3"/>
      <c r="AS1215" s="3"/>
      <c r="AT1215" s="3"/>
      <c r="AU1215" s="3"/>
      <c r="AV1215" s="3"/>
      <c r="AW1215" s="3"/>
      <c r="AX1215" s="3"/>
      <c r="AY1215" s="3"/>
      <c r="AZ1215" s="3"/>
      <c r="BA1215" s="3"/>
      <c r="BB1215" s="3"/>
      <c r="BC1215" s="3"/>
    </row>
    <row r="1217" spans="1:55">
      <c r="A1217" s="1" t="s">
        <v>203</v>
      </c>
      <c r="B1217" s="1" t="s">
        <v>31</v>
      </c>
      <c r="C1217" s="1" t="s">
        <v>32</v>
      </c>
      <c r="D1217" s="1" t="s">
        <v>33</v>
      </c>
      <c r="E1217" s="1">
        <v>2000</v>
      </c>
      <c r="F1217" s="1">
        <v>2001</v>
      </c>
      <c r="G1217" s="1">
        <v>2002</v>
      </c>
      <c r="H1217" s="1">
        <v>2003</v>
      </c>
      <c r="I1217" s="1">
        <v>2004</v>
      </c>
      <c r="J1217" s="1">
        <v>2005</v>
      </c>
      <c r="K1217" s="1">
        <v>2006</v>
      </c>
      <c r="L1217" s="1">
        <v>2007</v>
      </c>
      <c r="M1217" s="1">
        <v>2008</v>
      </c>
      <c r="N1217" s="1">
        <v>2009</v>
      </c>
      <c r="O1217" s="1">
        <v>2010</v>
      </c>
      <c r="P1217" s="1">
        <v>2011</v>
      </c>
      <c r="Q1217" s="1">
        <v>2012</v>
      </c>
      <c r="R1217" s="1">
        <v>2013</v>
      </c>
      <c r="S1217" s="1">
        <v>2014</v>
      </c>
      <c r="T1217" s="1">
        <v>2015</v>
      </c>
      <c r="U1217" s="1">
        <v>2016</v>
      </c>
      <c r="V1217" s="1">
        <v>2017</v>
      </c>
      <c r="W1217" s="1">
        <v>2018</v>
      </c>
      <c r="X1217" s="1">
        <v>2019</v>
      </c>
      <c r="Y1217" s="1">
        <v>2020</v>
      </c>
      <c r="Z1217" s="1">
        <v>2021</v>
      </c>
      <c r="AA1217" s="1">
        <v>2022</v>
      </c>
      <c r="AB1217" s="1">
        <v>2023</v>
      </c>
      <c r="AC1217" s="1">
        <v>2024</v>
      </c>
      <c r="AD1217" s="1">
        <v>2025</v>
      </c>
      <c r="AE1217" s="1">
        <v>2026</v>
      </c>
      <c r="AF1217" s="1">
        <v>2027</v>
      </c>
      <c r="AG1217" s="1">
        <v>2028</v>
      </c>
      <c r="AH1217" s="1">
        <v>2029</v>
      </c>
      <c r="AI1217" s="1">
        <v>2030</v>
      </c>
      <c r="AJ1217" s="1">
        <v>2031</v>
      </c>
      <c r="AK1217" s="1">
        <v>2032</v>
      </c>
      <c r="AL1217" s="1">
        <v>2033</v>
      </c>
      <c r="AM1217" s="1">
        <v>2034</v>
      </c>
      <c r="AN1217" s="1">
        <v>2035</v>
      </c>
      <c r="AO1217" s="1">
        <v>2036</v>
      </c>
      <c r="AP1217" s="1">
        <v>2037</v>
      </c>
      <c r="AQ1217" s="1">
        <v>2038</v>
      </c>
      <c r="AR1217" s="1">
        <v>2039</v>
      </c>
      <c r="AS1217" s="1">
        <v>2040</v>
      </c>
      <c r="AT1217" s="1">
        <v>2041</v>
      </c>
      <c r="AU1217" s="1">
        <v>2042</v>
      </c>
      <c r="AV1217" s="1">
        <v>2043</v>
      </c>
      <c r="AW1217" s="1">
        <v>2044</v>
      </c>
      <c r="AX1217" s="1">
        <v>2045</v>
      </c>
      <c r="AY1217" s="1">
        <v>2046</v>
      </c>
      <c r="AZ1217" s="1">
        <v>2047</v>
      </c>
      <c r="BA1217" s="1">
        <v>2048</v>
      </c>
      <c r="BB1217" s="1">
        <v>2049</v>
      </c>
      <c r="BC1217" s="1">
        <v>2050</v>
      </c>
    </row>
    <row r="1218" spans="1:55">
      <c r="A1218" s="1" t="str">
        <f>'Population Definitions'!$A$2</f>
        <v>PWID_males</v>
      </c>
      <c r="C1218" t="s">
        <v>34</v>
      </c>
      <c r="D1218" s="3"/>
      <c r="E1218" s="3">
        <v>0</v>
      </c>
      <c r="F1218" s="3"/>
      <c r="G1218" s="3"/>
      <c r="H1218" s="3"/>
      <c r="I1218" s="3"/>
      <c r="J1218" s="3"/>
      <c r="K1218" s="3"/>
      <c r="L1218" s="3"/>
      <c r="M1218" s="3"/>
      <c r="N1218" s="3"/>
      <c r="O1218" s="3"/>
      <c r="P1218" s="3"/>
      <c r="Q1218" s="3"/>
      <c r="R1218" s="3"/>
      <c r="S1218" s="3"/>
      <c r="T1218" s="3"/>
      <c r="U1218" s="3"/>
      <c r="V1218" s="3"/>
      <c r="W1218" s="3"/>
      <c r="X1218" s="3"/>
      <c r="Y1218" s="3"/>
      <c r="Z1218" s="3"/>
      <c r="AA1218" s="3"/>
      <c r="AB1218" s="3"/>
      <c r="AC1218" s="3"/>
      <c r="AD1218" s="3"/>
      <c r="AE1218" s="3"/>
      <c r="AF1218" s="3"/>
      <c r="AG1218" s="3"/>
      <c r="AH1218" s="3"/>
      <c r="AI1218" s="3"/>
      <c r="AJ1218" s="3"/>
      <c r="AK1218" s="3"/>
      <c r="AL1218" s="3"/>
      <c r="AM1218" s="3"/>
      <c r="AN1218" s="3"/>
      <c r="AO1218" s="3"/>
      <c r="AP1218" s="3"/>
      <c r="AQ1218" s="3"/>
      <c r="AR1218" s="3"/>
      <c r="AS1218" s="3"/>
      <c r="AT1218" s="3"/>
      <c r="AU1218" s="3"/>
      <c r="AV1218" s="3"/>
      <c r="AW1218" s="3"/>
      <c r="AX1218" s="3"/>
      <c r="AY1218" s="3"/>
      <c r="AZ1218" s="3"/>
      <c r="BA1218" s="3"/>
      <c r="BB1218" s="3"/>
      <c r="BC1218" s="3"/>
    </row>
    <row r="1219" spans="1:55">
      <c r="A1219" s="1" t="str">
        <f>'Population Definitions'!$A$3</f>
        <v>PWID_females</v>
      </c>
      <c r="C1219" t="s">
        <v>34</v>
      </c>
      <c r="D1219" s="3"/>
      <c r="E1219" s="3">
        <v>0</v>
      </c>
      <c r="F1219" s="3"/>
      <c r="G1219" s="3"/>
      <c r="H1219" s="3"/>
      <c r="I1219" s="3"/>
      <c r="J1219" s="3"/>
      <c r="K1219" s="3"/>
      <c r="L1219" s="3"/>
      <c r="M1219" s="3"/>
      <c r="N1219" s="3"/>
      <c r="O1219" s="3"/>
      <c r="P1219" s="3"/>
      <c r="Q1219" s="3"/>
      <c r="R1219" s="3"/>
      <c r="S1219" s="3"/>
      <c r="T1219" s="3"/>
      <c r="U1219" s="3"/>
      <c r="V1219" s="3"/>
      <c r="W1219" s="3"/>
      <c r="X1219" s="3"/>
      <c r="Y1219" s="3"/>
      <c r="Z1219" s="3"/>
      <c r="AA1219" s="3"/>
      <c r="AB1219" s="3"/>
      <c r="AC1219" s="3"/>
      <c r="AD1219" s="3"/>
      <c r="AE1219" s="3"/>
      <c r="AF1219" s="3"/>
      <c r="AG1219" s="3"/>
      <c r="AH1219" s="3"/>
      <c r="AI1219" s="3"/>
      <c r="AJ1219" s="3"/>
      <c r="AK1219" s="3"/>
      <c r="AL1219" s="3"/>
      <c r="AM1219" s="3"/>
      <c r="AN1219" s="3"/>
      <c r="AO1219" s="3"/>
      <c r="AP1219" s="3"/>
      <c r="AQ1219" s="3"/>
      <c r="AR1219" s="3"/>
      <c r="AS1219" s="3"/>
      <c r="AT1219" s="3"/>
      <c r="AU1219" s="3"/>
      <c r="AV1219" s="3"/>
      <c r="AW1219" s="3"/>
      <c r="AX1219" s="3"/>
      <c r="AY1219" s="3"/>
      <c r="AZ1219" s="3"/>
      <c r="BA1219" s="3"/>
      <c r="BB1219" s="3"/>
      <c r="BC1219" s="3"/>
    </row>
    <row r="1220" spans="1:55">
      <c r="A1220" s="1" t="str">
        <f>'Population Definitions'!$A$4</f>
        <v>0-9_males</v>
      </c>
      <c r="C1220" t="s">
        <v>34</v>
      </c>
      <c r="D1220" s="3"/>
      <c r="E1220" s="3">
        <v>0</v>
      </c>
      <c r="F1220" s="3"/>
      <c r="G1220" s="3"/>
      <c r="H1220" s="3"/>
      <c r="I1220" s="3"/>
      <c r="J1220" s="3"/>
      <c r="K1220" s="3"/>
      <c r="L1220" s="3"/>
      <c r="M1220" s="3"/>
      <c r="N1220" s="3"/>
      <c r="O1220" s="3"/>
      <c r="P1220" s="3"/>
      <c r="Q1220" s="3"/>
      <c r="R1220" s="3"/>
      <c r="S1220" s="3"/>
      <c r="T1220" s="3"/>
      <c r="U1220" s="3"/>
      <c r="V1220" s="3"/>
      <c r="W1220" s="3"/>
      <c r="X1220" s="3"/>
      <c r="Y1220" s="3"/>
      <c r="Z1220" s="3"/>
      <c r="AA1220" s="3"/>
      <c r="AB1220" s="3"/>
      <c r="AC1220" s="3"/>
      <c r="AD1220" s="3"/>
      <c r="AE1220" s="3"/>
      <c r="AF1220" s="3"/>
      <c r="AG1220" s="3"/>
      <c r="AH1220" s="3"/>
      <c r="AI1220" s="3"/>
      <c r="AJ1220" s="3"/>
      <c r="AK1220" s="3"/>
      <c r="AL1220" s="3"/>
      <c r="AM1220" s="3"/>
      <c r="AN1220" s="3"/>
      <c r="AO1220" s="3"/>
      <c r="AP1220" s="3"/>
      <c r="AQ1220" s="3"/>
      <c r="AR1220" s="3"/>
      <c r="AS1220" s="3"/>
      <c r="AT1220" s="3"/>
      <c r="AU1220" s="3"/>
      <c r="AV1220" s="3"/>
      <c r="AW1220" s="3"/>
      <c r="AX1220" s="3"/>
      <c r="AY1220" s="3"/>
      <c r="AZ1220" s="3"/>
      <c r="BA1220" s="3"/>
      <c r="BB1220" s="3"/>
      <c r="BC1220" s="3"/>
    </row>
    <row r="1221" spans="1:55">
      <c r="A1221" s="1" t="str">
        <f>'Population Definitions'!$A$5</f>
        <v>0-9_females</v>
      </c>
      <c r="C1221" t="s">
        <v>34</v>
      </c>
      <c r="D1221" s="3"/>
      <c r="E1221" s="3">
        <v>0</v>
      </c>
      <c r="F1221" s="3"/>
      <c r="G1221" s="3"/>
      <c r="H1221" s="3"/>
      <c r="I1221" s="3"/>
      <c r="J1221" s="3"/>
      <c r="K1221" s="3"/>
      <c r="L1221" s="3"/>
      <c r="M1221" s="3"/>
      <c r="N1221" s="3"/>
      <c r="O1221" s="3"/>
      <c r="P1221" s="3"/>
      <c r="Q1221" s="3"/>
      <c r="R1221" s="3"/>
      <c r="S1221" s="3"/>
      <c r="T1221" s="3"/>
      <c r="U1221" s="3"/>
      <c r="V1221" s="3"/>
      <c r="W1221" s="3"/>
      <c r="X1221" s="3"/>
      <c r="Y1221" s="3"/>
      <c r="Z1221" s="3"/>
      <c r="AA1221" s="3"/>
      <c r="AB1221" s="3"/>
      <c r="AC1221" s="3"/>
      <c r="AD1221" s="3"/>
      <c r="AE1221" s="3"/>
      <c r="AF1221" s="3"/>
      <c r="AG1221" s="3"/>
      <c r="AH1221" s="3"/>
      <c r="AI1221" s="3"/>
      <c r="AJ1221" s="3"/>
      <c r="AK1221" s="3"/>
      <c r="AL1221" s="3"/>
      <c r="AM1221" s="3"/>
      <c r="AN1221" s="3"/>
      <c r="AO1221" s="3"/>
      <c r="AP1221" s="3"/>
      <c r="AQ1221" s="3"/>
      <c r="AR1221" s="3"/>
      <c r="AS1221" s="3"/>
      <c r="AT1221" s="3"/>
      <c r="AU1221" s="3"/>
      <c r="AV1221" s="3"/>
      <c r="AW1221" s="3"/>
      <c r="AX1221" s="3"/>
      <c r="AY1221" s="3"/>
      <c r="AZ1221" s="3"/>
      <c r="BA1221" s="3"/>
      <c r="BB1221" s="3"/>
      <c r="BC1221" s="3"/>
    </row>
    <row r="1222" spans="1:55">
      <c r="A1222" s="1" t="str">
        <f>'Population Definitions'!$A$6</f>
        <v>10-17_males</v>
      </c>
      <c r="C1222" t="s">
        <v>34</v>
      </c>
      <c r="D1222" s="3"/>
      <c r="E1222" s="3">
        <v>0</v>
      </c>
      <c r="F1222" s="3"/>
      <c r="G1222" s="3"/>
      <c r="H1222" s="3"/>
      <c r="I1222" s="3"/>
      <c r="J1222" s="3"/>
      <c r="K1222" s="3"/>
      <c r="L1222" s="3"/>
      <c r="M1222" s="3"/>
      <c r="N1222" s="3"/>
      <c r="O1222" s="3"/>
      <c r="P1222" s="3"/>
      <c r="Q1222" s="3"/>
      <c r="R1222" s="3"/>
      <c r="S1222" s="3"/>
      <c r="T1222" s="3"/>
      <c r="U1222" s="3"/>
      <c r="V1222" s="3"/>
      <c r="W1222" s="3"/>
      <c r="X1222" s="3"/>
      <c r="Y1222" s="3"/>
      <c r="Z1222" s="3"/>
      <c r="AA1222" s="3"/>
      <c r="AB1222" s="3"/>
      <c r="AC1222" s="3"/>
      <c r="AD1222" s="3"/>
      <c r="AE1222" s="3"/>
      <c r="AF1222" s="3"/>
      <c r="AG1222" s="3"/>
      <c r="AH1222" s="3"/>
      <c r="AI1222" s="3"/>
      <c r="AJ1222" s="3"/>
      <c r="AK1222" s="3"/>
      <c r="AL1222" s="3"/>
      <c r="AM1222" s="3"/>
      <c r="AN1222" s="3"/>
      <c r="AO1222" s="3"/>
      <c r="AP1222" s="3"/>
      <c r="AQ1222" s="3"/>
      <c r="AR1222" s="3"/>
      <c r="AS1222" s="3"/>
      <c r="AT1222" s="3"/>
      <c r="AU1222" s="3"/>
      <c r="AV1222" s="3"/>
      <c r="AW1222" s="3"/>
      <c r="AX1222" s="3"/>
      <c r="AY1222" s="3"/>
      <c r="AZ1222" s="3"/>
      <c r="BA1222" s="3"/>
      <c r="BB1222" s="3"/>
      <c r="BC1222" s="3"/>
    </row>
    <row r="1223" spans="1:55">
      <c r="A1223" s="1" t="str">
        <f>'Population Definitions'!$A$7</f>
        <v>10-17_females</v>
      </c>
      <c r="C1223" t="s">
        <v>34</v>
      </c>
      <c r="D1223" s="3"/>
      <c r="E1223" s="3">
        <v>0</v>
      </c>
      <c r="F1223" s="3"/>
      <c r="G1223" s="3"/>
      <c r="H1223" s="3"/>
      <c r="I1223" s="3"/>
      <c r="J1223" s="3"/>
      <c r="K1223" s="3"/>
      <c r="L1223" s="3"/>
      <c r="M1223" s="3"/>
      <c r="N1223" s="3"/>
      <c r="O1223" s="3"/>
      <c r="P1223" s="3"/>
      <c r="Q1223" s="3"/>
      <c r="R1223" s="3"/>
      <c r="S1223" s="3"/>
      <c r="T1223" s="3"/>
      <c r="U1223" s="3"/>
      <c r="V1223" s="3"/>
      <c r="W1223" s="3"/>
      <c r="X1223" s="3"/>
      <c r="Y1223" s="3"/>
      <c r="Z1223" s="3"/>
      <c r="AA1223" s="3"/>
      <c r="AB1223" s="3"/>
      <c r="AC1223" s="3"/>
      <c r="AD1223" s="3"/>
      <c r="AE1223" s="3"/>
      <c r="AF1223" s="3"/>
      <c r="AG1223" s="3"/>
      <c r="AH1223" s="3"/>
      <c r="AI1223" s="3"/>
      <c r="AJ1223" s="3"/>
      <c r="AK1223" s="3"/>
      <c r="AL1223" s="3"/>
      <c r="AM1223" s="3"/>
      <c r="AN1223" s="3"/>
      <c r="AO1223" s="3"/>
      <c r="AP1223" s="3"/>
      <c r="AQ1223" s="3"/>
      <c r="AR1223" s="3"/>
      <c r="AS1223" s="3"/>
      <c r="AT1223" s="3"/>
      <c r="AU1223" s="3"/>
      <c r="AV1223" s="3"/>
      <c r="AW1223" s="3"/>
      <c r="AX1223" s="3"/>
      <c r="AY1223" s="3"/>
      <c r="AZ1223" s="3"/>
      <c r="BA1223" s="3"/>
      <c r="BB1223" s="3"/>
      <c r="BC1223" s="3"/>
    </row>
    <row r="1224" spans="1:55">
      <c r="A1224" s="1" t="str">
        <f>'Population Definitions'!$A$8</f>
        <v>18-64_males</v>
      </c>
      <c r="C1224" t="s">
        <v>34</v>
      </c>
      <c r="D1224" s="3"/>
      <c r="E1224" s="3">
        <v>0</v>
      </c>
      <c r="F1224" s="3"/>
      <c r="G1224" s="3"/>
      <c r="H1224" s="3"/>
      <c r="I1224" s="3"/>
      <c r="J1224" s="3"/>
      <c r="K1224" s="3"/>
      <c r="L1224" s="3"/>
      <c r="M1224" s="3"/>
      <c r="N1224" s="3"/>
      <c r="O1224" s="3"/>
      <c r="P1224" s="3"/>
      <c r="Q1224" s="3"/>
      <c r="R1224" s="3"/>
      <c r="S1224" s="3"/>
      <c r="T1224" s="3"/>
      <c r="U1224" s="3"/>
      <c r="V1224" s="3"/>
      <c r="W1224" s="3"/>
      <c r="X1224" s="3"/>
      <c r="Y1224" s="3"/>
      <c r="Z1224" s="3"/>
      <c r="AA1224" s="3"/>
      <c r="AB1224" s="3"/>
      <c r="AC1224" s="3"/>
      <c r="AD1224" s="3"/>
      <c r="AE1224" s="3"/>
      <c r="AF1224" s="3"/>
      <c r="AG1224" s="3"/>
      <c r="AH1224" s="3"/>
      <c r="AI1224" s="3"/>
      <c r="AJ1224" s="3"/>
      <c r="AK1224" s="3"/>
      <c r="AL1224" s="3"/>
      <c r="AM1224" s="3"/>
      <c r="AN1224" s="3"/>
      <c r="AO1224" s="3"/>
      <c r="AP1224" s="3"/>
      <c r="AQ1224" s="3"/>
      <c r="AR1224" s="3"/>
      <c r="AS1224" s="3"/>
      <c r="AT1224" s="3"/>
      <c r="AU1224" s="3"/>
      <c r="AV1224" s="3"/>
      <c r="AW1224" s="3"/>
      <c r="AX1224" s="3"/>
      <c r="AY1224" s="3"/>
      <c r="AZ1224" s="3"/>
      <c r="BA1224" s="3"/>
      <c r="BB1224" s="3"/>
      <c r="BC1224" s="3"/>
    </row>
    <row r="1225" spans="1:55">
      <c r="A1225" s="1" t="str">
        <f>'Population Definitions'!$A$9</f>
        <v>18-64_females</v>
      </c>
      <c r="C1225" t="s">
        <v>34</v>
      </c>
      <c r="D1225" s="3"/>
      <c r="E1225" s="3">
        <v>0</v>
      </c>
      <c r="F1225" s="3"/>
      <c r="G1225" s="3"/>
      <c r="H1225" s="3"/>
      <c r="I1225" s="3"/>
      <c r="J1225" s="3"/>
      <c r="K1225" s="3"/>
      <c r="L1225" s="3"/>
      <c r="M1225" s="3"/>
      <c r="N1225" s="3"/>
      <c r="O1225" s="3"/>
      <c r="P1225" s="3"/>
      <c r="Q1225" s="3"/>
      <c r="R1225" s="3"/>
      <c r="S1225" s="3"/>
      <c r="T1225" s="3"/>
      <c r="U1225" s="3"/>
      <c r="V1225" s="3"/>
      <c r="W1225" s="3"/>
      <c r="X1225" s="3"/>
      <c r="Y1225" s="3"/>
      <c r="Z1225" s="3"/>
      <c r="AA1225" s="3"/>
      <c r="AB1225" s="3"/>
      <c r="AC1225" s="3"/>
      <c r="AD1225" s="3"/>
      <c r="AE1225" s="3"/>
      <c r="AF1225" s="3"/>
      <c r="AG1225" s="3"/>
      <c r="AH1225" s="3"/>
      <c r="AI1225" s="3"/>
      <c r="AJ1225" s="3"/>
      <c r="AK1225" s="3"/>
      <c r="AL1225" s="3"/>
      <c r="AM1225" s="3"/>
      <c r="AN1225" s="3"/>
      <c r="AO1225" s="3"/>
      <c r="AP1225" s="3"/>
      <c r="AQ1225" s="3"/>
      <c r="AR1225" s="3"/>
      <c r="AS1225" s="3"/>
      <c r="AT1225" s="3"/>
      <c r="AU1225" s="3"/>
      <c r="AV1225" s="3"/>
      <c r="AW1225" s="3"/>
      <c r="AX1225" s="3"/>
      <c r="AY1225" s="3"/>
      <c r="AZ1225" s="3"/>
      <c r="BA1225" s="3"/>
      <c r="BB1225" s="3"/>
      <c r="BC1225" s="3"/>
    </row>
    <row r="1226" spans="1:55">
      <c r="A1226" s="1" t="str">
        <f>'Population Definitions'!$A$10</f>
        <v>65+_males</v>
      </c>
      <c r="C1226" t="s">
        <v>34</v>
      </c>
      <c r="D1226" s="3"/>
      <c r="E1226" s="3">
        <v>0</v>
      </c>
      <c r="F1226" s="3"/>
      <c r="G1226" s="3"/>
      <c r="H1226" s="3"/>
      <c r="I1226" s="3"/>
      <c r="J1226" s="3"/>
      <c r="K1226" s="3"/>
      <c r="L1226" s="3"/>
      <c r="M1226" s="3"/>
      <c r="N1226" s="3"/>
      <c r="O1226" s="3"/>
      <c r="P1226" s="3"/>
      <c r="Q1226" s="3"/>
      <c r="R1226" s="3"/>
      <c r="S1226" s="3"/>
      <c r="T1226" s="3"/>
      <c r="U1226" s="3"/>
      <c r="V1226" s="3"/>
      <c r="W1226" s="3"/>
      <c r="X1226" s="3"/>
      <c r="Y1226" s="3"/>
      <c r="Z1226" s="3"/>
      <c r="AA1226" s="3"/>
      <c r="AB1226" s="3"/>
      <c r="AC1226" s="3"/>
      <c r="AD1226" s="3"/>
      <c r="AE1226" s="3"/>
      <c r="AF1226" s="3"/>
      <c r="AG1226" s="3"/>
      <c r="AH1226" s="3"/>
      <c r="AI1226" s="3"/>
      <c r="AJ1226" s="3"/>
      <c r="AK1226" s="3"/>
      <c r="AL1226" s="3"/>
      <c r="AM1226" s="3"/>
      <c r="AN1226" s="3"/>
      <c r="AO1226" s="3"/>
      <c r="AP1226" s="3"/>
      <c r="AQ1226" s="3"/>
      <c r="AR1226" s="3"/>
      <c r="AS1226" s="3"/>
      <c r="AT1226" s="3"/>
      <c r="AU1226" s="3"/>
      <c r="AV1226" s="3"/>
      <c r="AW1226" s="3"/>
      <c r="AX1226" s="3"/>
      <c r="AY1226" s="3"/>
      <c r="AZ1226" s="3"/>
      <c r="BA1226" s="3"/>
      <c r="BB1226" s="3"/>
      <c r="BC1226" s="3"/>
    </row>
    <row r="1227" spans="1:55">
      <c r="A1227" s="1" t="str">
        <f>'Population Definitions'!$A$11</f>
        <v>65+_females</v>
      </c>
      <c r="C1227" t="s">
        <v>34</v>
      </c>
      <c r="D1227" s="3"/>
      <c r="E1227" s="3">
        <v>0</v>
      </c>
      <c r="F1227" s="3"/>
      <c r="G1227" s="3"/>
      <c r="H1227" s="3"/>
      <c r="I1227" s="3"/>
      <c r="J1227" s="3"/>
      <c r="K1227" s="3"/>
      <c r="L1227" s="3"/>
      <c r="M1227" s="3"/>
      <c r="N1227" s="3"/>
      <c r="O1227" s="3"/>
      <c r="P1227" s="3"/>
      <c r="Q1227" s="3"/>
      <c r="R1227" s="3"/>
      <c r="S1227" s="3"/>
      <c r="T1227" s="3"/>
      <c r="U1227" s="3"/>
      <c r="V1227" s="3"/>
      <c r="W1227" s="3"/>
      <c r="X1227" s="3"/>
      <c r="Y1227" s="3"/>
      <c r="Z1227" s="3"/>
      <c r="AA1227" s="3"/>
      <c r="AB1227" s="3"/>
      <c r="AC1227" s="3"/>
      <c r="AD1227" s="3"/>
      <c r="AE1227" s="3"/>
      <c r="AF1227" s="3"/>
      <c r="AG1227" s="3"/>
      <c r="AH1227" s="3"/>
      <c r="AI1227" s="3"/>
      <c r="AJ1227" s="3"/>
      <c r="AK1227" s="3"/>
      <c r="AL1227" s="3"/>
      <c r="AM1227" s="3"/>
      <c r="AN1227" s="3"/>
      <c r="AO1227" s="3"/>
      <c r="AP1227" s="3"/>
      <c r="AQ1227" s="3"/>
      <c r="AR1227" s="3"/>
      <c r="AS1227" s="3"/>
      <c r="AT1227" s="3"/>
      <c r="AU1227" s="3"/>
      <c r="AV1227" s="3"/>
      <c r="AW1227" s="3"/>
      <c r="AX1227" s="3"/>
      <c r="AY1227" s="3"/>
      <c r="AZ1227" s="3"/>
      <c r="BA1227" s="3"/>
      <c r="BB1227" s="3"/>
      <c r="BC1227" s="3"/>
    </row>
    <row r="1228" spans="1:55">
      <c r="A1228" s="1" t="str">
        <f>'Population Definitions'!$A$12</f>
        <v>Prisoners_males</v>
      </c>
      <c r="C1228" t="s">
        <v>34</v>
      </c>
      <c r="D1228" s="3"/>
      <c r="E1228" s="3">
        <v>0</v>
      </c>
      <c r="F1228" s="3"/>
      <c r="G1228" s="3"/>
      <c r="H1228" s="3"/>
      <c r="I1228" s="3"/>
      <c r="J1228" s="3"/>
      <c r="K1228" s="3"/>
      <c r="L1228" s="3"/>
      <c r="M1228" s="3"/>
      <c r="N1228" s="3"/>
      <c r="O1228" s="3"/>
      <c r="P1228" s="3"/>
      <c r="Q1228" s="3"/>
      <c r="R1228" s="3"/>
      <c r="S1228" s="3"/>
      <c r="T1228" s="3"/>
      <c r="U1228" s="3"/>
      <c r="V1228" s="3"/>
      <c r="W1228" s="3"/>
      <c r="X1228" s="3"/>
      <c r="Y1228" s="3"/>
      <c r="Z1228" s="3"/>
      <c r="AA1228" s="3"/>
      <c r="AB1228" s="3"/>
      <c r="AC1228" s="3"/>
      <c r="AD1228" s="3"/>
      <c r="AE1228" s="3"/>
      <c r="AF1228" s="3"/>
      <c r="AG1228" s="3"/>
      <c r="AH1228" s="3"/>
      <c r="AI1228" s="3"/>
      <c r="AJ1228" s="3"/>
      <c r="AK1228" s="3"/>
      <c r="AL1228" s="3"/>
      <c r="AM1228" s="3"/>
      <c r="AN1228" s="3"/>
      <c r="AO1228" s="3"/>
      <c r="AP1228" s="3"/>
      <c r="AQ1228" s="3"/>
      <c r="AR1228" s="3"/>
      <c r="AS1228" s="3"/>
      <c r="AT1228" s="3"/>
      <c r="AU1228" s="3"/>
      <c r="AV1228" s="3"/>
      <c r="AW1228" s="3"/>
      <c r="AX1228" s="3"/>
      <c r="AY1228" s="3"/>
      <c r="AZ1228" s="3"/>
      <c r="BA1228" s="3"/>
      <c r="BB1228" s="3"/>
      <c r="BC1228" s="3"/>
    </row>
    <row r="1229" spans="1:55">
      <c r="A1229" s="1" t="str">
        <f>'Population Definitions'!$A$13</f>
        <v>Prisoners_females</v>
      </c>
      <c r="C1229" t="s">
        <v>34</v>
      </c>
      <c r="D1229" s="3"/>
      <c r="E1229" s="3">
        <v>0</v>
      </c>
      <c r="F1229" s="3"/>
      <c r="G1229" s="3"/>
      <c r="H1229" s="3"/>
      <c r="I1229" s="3"/>
      <c r="J1229" s="3"/>
      <c r="K1229" s="3"/>
      <c r="L1229" s="3"/>
      <c r="M1229" s="3"/>
      <c r="N1229" s="3"/>
      <c r="O1229" s="3"/>
      <c r="P1229" s="3"/>
      <c r="Q1229" s="3"/>
      <c r="R1229" s="3"/>
      <c r="S1229" s="3"/>
      <c r="T1229" s="3"/>
      <c r="U1229" s="3"/>
      <c r="V1229" s="3"/>
      <c r="W1229" s="3"/>
      <c r="X1229" s="3"/>
      <c r="Y1229" s="3"/>
      <c r="Z1229" s="3"/>
      <c r="AA1229" s="3"/>
      <c r="AB1229" s="3"/>
      <c r="AC1229" s="3"/>
      <c r="AD1229" s="3"/>
      <c r="AE1229" s="3"/>
      <c r="AF1229" s="3"/>
      <c r="AG1229" s="3"/>
      <c r="AH1229" s="3"/>
      <c r="AI1229" s="3"/>
      <c r="AJ1229" s="3"/>
      <c r="AK1229" s="3"/>
      <c r="AL1229" s="3"/>
      <c r="AM1229" s="3"/>
      <c r="AN1229" s="3"/>
      <c r="AO1229" s="3"/>
      <c r="AP1229" s="3"/>
      <c r="AQ1229" s="3"/>
      <c r="AR1229" s="3"/>
      <c r="AS1229" s="3"/>
      <c r="AT1229" s="3"/>
      <c r="AU1229" s="3"/>
      <c r="AV1229" s="3"/>
      <c r="AW1229" s="3"/>
      <c r="AX1229" s="3"/>
      <c r="AY1229" s="3"/>
      <c r="AZ1229" s="3"/>
      <c r="BA1229" s="3"/>
      <c r="BB1229" s="3"/>
      <c r="BC1229" s="3"/>
    </row>
    <row r="1230" spans="1:55">
      <c r="A1230" s="1" t="str">
        <f>'Population Definitions'!$A$14</f>
        <v>Prisoners_PWID_males</v>
      </c>
      <c r="C1230" t="s">
        <v>34</v>
      </c>
      <c r="D1230" s="3"/>
      <c r="E1230" s="3">
        <v>0</v>
      </c>
      <c r="F1230" s="3"/>
      <c r="G1230" s="3"/>
      <c r="H1230" s="3"/>
      <c r="I1230" s="3"/>
      <c r="J1230" s="3"/>
      <c r="K1230" s="3"/>
      <c r="L1230" s="3"/>
      <c r="M1230" s="3"/>
      <c r="N1230" s="3"/>
      <c r="O1230" s="3"/>
      <c r="P1230" s="3"/>
      <c r="Q1230" s="3"/>
      <c r="R1230" s="3"/>
      <c r="S1230" s="3"/>
      <c r="T1230" s="3"/>
      <c r="U1230" s="3"/>
      <c r="V1230" s="3"/>
      <c r="W1230" s="3"/>
      <c r="X1230" s="3"/>
      <c r="Y1230" s="3"/>
      <c r="Z1230" s="3"/>
      <c r="AA1230" s="3"/>
      <c r="AB1230" s="3"/>
      <c r="AC1230" s="3"/>
      <c r="AD1230" s="3"/>
      <c r="AE1230" s="3"/>
      <c r="AF1230" s="3"/>
      <c r="AG1230" s="3"/>
      <c r="AH1230" s="3"/>
      <c r="AI1230" s="3"/>
      <c r="AJ1230" s="3"/>
      <c r="AK1230" s="3"/>
      <c r="AL1230" s="3"/>
      <c r="AM1230" s="3"/>
      <c r="AN1230" s="3"/>
      <c r="AO1230" s="3"/>
      <c r="AP1230" s="3"/>
      <c r="AQ1230" s="3"/>
      <c r="AR1230" s="3"/>
      <c r="AS1230" s="3"/>
      <c r="AT1230" s="3"/>
      <c r="AU1230" s="3"/>
      <c r="AV1230" s="3"/>
      <c r="AW1230" s="3"/>
      <c r="AX1230" s="3"/>
      <c r="AY1230" s="3"/>
      <c r="AZ1230" s="3"/>
      <c r="BA1230" s="3"/>
      <c r="BB1230" s="3"/>
      <c r="BC1230" s="3"/>
    </row>
    <row r="1231" spans="1:55">
      <c r="A1231" s="1" t="str">
        <f>'Population Definitions'!$A$15</f>
        <v>Prisoners_PWID_females</v>
      </c>
      <c r="C1231" t="s">
        <v>34</v>
      </c>
      <c r="D1231" s="3"/>
      <c r="E1231" s="3">
        <v>0</v>
      </c>
      <c r="F1231" s="3"/>
      <c r="G1231" s="3"/>
      <c r="H1231" s="3"/>
      <c r="I1231" s="3"/>
      <c r="J1231" s="3"/>
      <c r="K1231" s="3"/>
      <c r="L1231" s="3"/>
      <c r="M1231" s="3"/>
      <c r="N1231" s="3"/>
      <c r="O1231" s="3"/>
      <c r="P1231" s="3"/>
      <c r="Q1231" s="3"/>
      <c r="R1231" s="3"/>
      <c r="S1231" s="3"/>
      <c r="T1231" s="3"/>
      <c r="U1231" s="3"/>
      <c r="V1231" s="3"/>
      <c r="W1231" s="3"/>
      <c r="X1231" s="3"/>
      <c r="Y1231" s="3"/>
      <c r="Z1231" s="3"/>
      <c r="AA1231" s="3"/>
      <c r="AB1231" s="3"/>
      <c r="AC1231" s="3"/>
      <c r="AD1231" s="3"/>
      <c r="AE1231" s="3"/>
      <c r="AF1231" s="3"/>
      <c r="AG1231" s="3"/>
      <c r="AH1231" s="3"/>
      <c r="AI1231" s="3"/>
      <c r="AJ1231" s="3"/>
      <c r="AK1231" s="3"/>
      <c r="AL1231" s="3"/>
      <c r="AM1231" s="3"/>
      <c r="AN1231" s="3"/>
      <c r="AO1231" s="3"/>
      <c r="AP1231" s="3"/>
      <c r="AQ1231" s="3"/>
      <c r="AR1231" s="3"/>
      <c r="AS1231" s="3"/>
      <c r="AT1231" s="3"/>
      <c r="AU1231" s="3"/>
      <c r="AV1231" s="3"/>
      <c r="AW1231" s="3"/>
      <c r="AX1231" s="3"/>
      <c r="AY1231" s="3"/>
      <c r="AZ1231" s="3"/>
      <c r="BA1231" s="3"/>
      <c r="BB1231" s="3"/>
      <c r="BC1231" s="3"/>
    </row>
    <row r="1233" spans="1:55">
      <c r="A1233" s="1" t="s">
        <v>204</v>
      </c>
      <c r="B1233" s="1" t="s">
        <v>31</v>
      </c>
      <c r="C1233" s="1" t="s">
        <v>32</v>
      </c>
      <c r="D1233" s="1" t="s">
        <v>33</v>
      </c>
      <c r="E1233" s="1">
        <v>2000</v>
      </c>
      <c r="F1233" s="1">
        <v>2001</v>
      </c>
      <c r="G1233" s="1">
        <v>2002</v>
      </c>
      <c r="H1233" s="1">
        <v>2003</v>
      </c>
      <c r="I1233" s="1">
        <v>2004</v>
      </c>
      <c r="J1233" s="1">
        <v>2005</v>
      </c>
      <c r="K1233" s="1">
        <v>2006</v>
      </c>
      <c r="L1233" s="1">
        <v>2007</v>
      </c>
      <c r="M1233" s="1">
        <v>2008</v>
      </c>
      <c r="N1233" s="1">
        <v>2009</v>
      </c>
      <c r="O1233" s="1">
        <v>2010</v>
      </c>
      <c r="P1233" s="1">
        <v>2011</v>
      </c>
      <c r="Q1233" s="1">
        <v>2012</v>
      </c>
      <c r="R1233" s="1">
        <v>2013</v>
      </c>
      <c r="S1233" s="1">
        <v>2014</v>
      </c>
      <c r="T1233" s="1">
        <v>2015</v>
      </c>
      <c r="U1233" s="1">
        <v>2016</v>
      </c>
      <c r="V1233" s="1">
        <v>2017</v>
      </c>
      <c r="W1233" s="1">
        <v>2018</v>
      </c>
      <c r="X1233" s="1">
        <v>2019</v>
      </c>
      <c r="Y1233" s="1">
        <v>2020</v>
      </c>
      <c r="Z1233" s="1">
        <v>2021</v>
      </c>
      <c r="AA1233" s="1">
        <v>2022</v>
      </c>
      <c r="AB1233" s="1">
        <v>2023</v>
      </c>
      <c r="AC1233" s="1">
        <v>2024</v>
      </c>
      <c r="AD1233" s="1">
        <v>2025</v>
      </c>
      <c r="AE1233" s="1">
        <v>2026</v>
      </c>
      <c r="AF1233" s="1">
        <v>2027</v>
      </c>
      <c r="AG1233" s="1">
        <v>2028</v>
      </c>
      <c r="AH1233" s="1">
        <v>2029</v>
      </c>
      <c r="AI1233" s="1">
        <v>2030</v>
      </c>
      <c r="AJ1233" s="1">
        <v>2031</v>
      </c>
      <c r="AK1233" s="1">
        <v>2032</v>
      </c>
      <c r="AL1233" s="1">
        <v>2033</v>
      </c>
      <c r="AM1233" s="1">
        <v>2034</v>
      </c>
      <c r="AN1233" s="1">
        <v>2035</v>
      </c>
      <c r="AO1233" s="1">
        <v>2036</v>
      </c>
      <c r="AP1233" s="1">
        <v>2037</v>
      </c>
      <c r="AQ1233" s="1">
        <v>2038</v>
      </c>
      <c r="AR1233" s="1">
        <v>2039</v>
      </c>
      <c r="AS1233" s="1">
        <v>2040</v>
      </c>
      <c r="AT1233" s="1">
        <v>2041</v>
      </c>
      <c r="AU1233" s="1">
        <v>2042</v>
      </c>
      <c r="AV1233" s="1">
        <v>2043</v>
      </c>
      <c r="AW1233" s="1">
        <v>2044</v>
      </c>
      <c r="AX1233" s="1">
        <v>2045</v>
      </c>
      <c r="AY1233" s="1">
        <v>2046</v>
      </c>
      <c r="AZ1233" s="1">
        <v>2047</v>
      </c>
      <c r="BA1233" s="1">
        <v>2048</v>
      </c>
      <c r="BB1233" s="1">
        <v>2049</v>
      </c>
      <c r="BC1233" s="1">
        <v>2050</v>
      </c>
    </row>
    <row r="1234" spans="1:55">
      <c r="A1234" s="1" t="str">
        <f>'Population Definitions'!$A$2</f>
        <v>PWID_males</v>
      </c>
      <c r="C1234" t="s">
        <v>34</v>
      </c>
      <c r="D1234" s="3"/>
      <c r="E1234" s="3">
        <v>0</v>
      </c>
      <c r="F1234" s="3"/>
      <c r="G1234" s="3"/>
      <c r="H1234" s="3"/>
      <c r="I1234" s="3"/>
      <c r="J1234" s="3"/>
      <c r="K1234" s="3"/>
      <c r="L1234" s="3"/>
      <c r="M1234" s="3"/>
      <c r="N1234" s="3"/>
      <c r="O1234" s="3"/>
      <c r="P1234" s="3"/>
      <c r="Q1234" s="3"/>
      <c r="R1234" s="3"/>
      <c r="S1234" s="3"/>
      <c r="T1234" s="3"/>
      <c r="U1234" s="3"/>
      <c r="V1234" s="3"/>
      <c r="W1234" s="3"/>
      <c r="X1234" s="3"/>
      <c r="Y1234" s="3"/>
      <c r="Z1234" s="3"/>
      <c r="AA1234" s="3"/>
      <c r="AB1234" s="3"/>
      <c r="AC1234" s="3"/>
      <c r="AD1234" s="3"/>
      <c r="AE1234" s="3"/>
      <c r="AF1234" s="3"/>
      <c r="AG1234" s="3"/>
      <c r="AH1234" s="3"/>
      <c r="AI1234" s="3"/>
      <c r="AJ1234" s="3"/>
      <c r="AK1234" s="3"/>
      <c r="AL1234" s="3"/>
      <c r="AM1234" s="3"/>
      <c r="AN1234" s="3"/>
      <c r="AO1234" s="3"/>
      <c r="AP1234" s="3"/>
      <c r="AQ1234" s="3"/>
      <c r="AR1234" s="3"/>
      <c r="AS1234" s="3"/>
      <c r="AT1234" s="3"/>
      <c r="AU1234" s="3"/>
      <c r="AV1234" s="3"/>
      <c r="AW1234" s="3"/>
      <c r="AX1234" s="3"/>
      <c r="AY1234" s="3"/>
      <c r="AZ1234" s="3"/>
      <c r="BA1234" s="3"/>
      <c r="BB1234" s="3"/>
      <c r="BC1234" s="3"/>
    </row>
    <row r="1235" spans="1:55">
      <c r="A1235" s="1" t="str">
        <f>'Population Definitions'!$A$3</f>
        <v>PWID_females</v>
      </c>
      <c r="C1235" t="s">
        <v>34</v>
      </c>
      <c r="D1235" s="3"/>
      <c r="E1235" s="3">
        <v>0</v>
      </c>
      <c r="F1235" s="3"/>
      <c r="G1235" s="3"/>
      <c r="H1235" s="3"/>
      <c r="I1235" s="3"/>
      <c r="J1235" s="3"/>
      <c r="K1235" s="3"/>
      <c r="L1235" s="3"/>
      <c r="M1235" s="3"/>
      <c r="N1235" s="3"/>
      <c r="O1235" s="3"/>
      <c r="P1235" s="3"/>
      <c r="Q1235" s="3"/>
      <c r="R1235" s="3"/>
      <c r="S1235" s="3"/>
      <c r="T1235" s="3"/>
      <c r="U1235" s="3"/>
      <c r="V1235" s="3"/>
      <c r="W1235" s="3"/>
      <c r="X1235" s="3"/>
      <c r="Y1235" s="3"/>
      <c r="Z1235" s="3"/>
      <c r="AA1235" s="3"/>
      <c r="AB1235" s="3"/>
      <c r="AC1235" s="3"/>
      <c r="AD1235" s="3"/>
      <c r="AE1235" s="3"/>
      <c r="AF1235" s="3"/>
      <c r="AG1235" s="3"/>
      <c r="AH1235" s="3"/>
      <c r="AI1235" s="3"/>
      <c r="AJ1235" s="3"/>
      <c r="AK1235" s="3"/>
      <c r="AL1235" s="3"/>
      <c r="AM1235" s="3"/>
      <c r="AN1235" s="3"/>
      <c r="AO1235" s="3"/>
      <c r="AP1235" s="3"/>
      <c r="AQ1235" s="3"/>
      <c r="AR1235" s="3"/>
      <c r="AS1235" s="3"/>
      <c r="AT1235" s="3"/>
      <c r="AU1235" s="3"/>
      <c r="AV1235" s="3"/>
      <c r="AW1235" s="3"/>
      <c r="AX1235" s="3"/>
      <c r="AY1235" s="3"/>
      <c r="AZ1235" s="3"/>
      <c r="BA1235" s="3"/>
      <c r="BB1235" s="3"/>
      <c r="BC1235" s="3"/>
    </row>
    <row r="1236" spans="1:55">
      <c r="A1236" s="1" t="str">
        <f>'Population Definitions'!$A$4</f>
        <v>0-9_males</v>
      </c>
      <c r="C1236" t="s">
        <v>34</v>
      </c>
      <c r="D1236" s="3"/>
      <c r="E1236" s="3">
        <v>0</v>
      </c>
      <c r="F1236" s="3"/>
      <c r="G1236" s="3"/>
      <c r="H1236" s="3"/>
      <c r="I1236" s="3"/>
      <c r="J1236" s="3"/>
      <c r="K1236" s="3"/>
      <c r="L1236" s="3"/>
      <c r="M1236" s="3"/>
      <c r="N1236" s="3"/>
      <c r="O1236" s="3"/>
      <c r="P1236" s="3"/>
      <c r="Q1236" s="3"/>
      <c r="R1236" s="3"/>
      <c r="S1236" s="3"/>
      <c r="T1236" s="3"/>
      <c r="U1236" s="3"/>
      <c r="V1236" s="3"/>
      <c r="W1236" s="3"/>
      <c r="X1236" s="3"/>
      <c r="Y1236" s="3"/>
      <c r="Z1236" s="3"/>
      <c r="AA1236" s="3"/>
      <c r="AB1236" s="3"/>
      <c r="AC1236" s="3"/>
      <c r="AD1236" s="3"/>
      <c r="AE1236" s="3"/>
      <c r="AF1236" s="3"/>
      <c r="AG1236" s="3"/>
      <c r="AH1236" s="3"/>
      <c r="AI1236" s="3"/>
      <c r="AJ1236" s="3"/>
      <c r="AK1236" s="3"/>
      <c r="AL1236" s="3"/>
      <c r="AM1236" s="3"/>
      <c r="AN1236" s="3"/>
      <c r="AO1236" s="3"/>
      <c r="AP1236" s="3"/>
      <c r="AQ1236" s="3"/>
      <c r="AR1236" s="3"/>
      <c r="AS1236" s="3"/>
      <c r="AT1236" s="3"/>
      <c r="AU1236" s="3"/>
      <c r="AV1236" s="3"/>
      <c r="AW1236" s="3"/>
      <c r="AX1236" s="3"/>
      <c r="AY1236" s="3"/>
      <c r="AZ1236" s="3"/>
      <c r="BA1236" s="3"/>
      <c r="BB1236" s="3"/>
      <c r="BC1236" s="3"/>
    </row>
    <row r="1237" spans="1:55">
      <c r="A1237" s="1" t="str">
        <f>'Population Definitions'!$A$5</f>
        <v>0-9_females</v>
      </c>
      <c r="C1237" t="s">
        <v>34</v>
      </c>
      <c r="D1237" s="3"/>
      <c r="E1237" s="3">
        <v>0</v>
      </c>
      <c r="F1237" s="3"/>
      <c r="G1237" s="3"/>
      <c r="H1237" s="3"/>
      <c r="I1237" s="3"/>
      <c r="J1237" s="3"/>
      <c r="K1237" s="3"/>
      <c r="L1237" s="3"/>
      <c r="M1237" s="3"/>
      <c r="N1237" s="3"/>
      <c r="O1237" s="3"/>
      <c r="P1237" s="3"/>
      <c r="Q1237" s="3"/>
      <c r="R1237" s="3"/>
      <c r="S1237" s="3"/>
      <c r="T1237" s="3"/>
      <c r="U1237" s="3"/>
      <c r="V1237" s="3"/>
      <c r="W1237" s="3"/>
      <c r="X1237" s="3"/>
      <c r="Y1237" s="3"/>
      <c r="Z1237" s="3"/>
      <c r="AA1237" s="3"/>
      <c r="AB1237" s="3"/>
      <c r="AC1237" s="3"/>
      <c r="AD1237" s="3"/>
      <c r="AE1237" s="3"/>
      <c r="AF1237" s="3"/>
      <c r="AG1237" s="3"/>
      <c r="AH1237" s="3"/>
      <c r="AI1237" s="3"/>
      <c r="AJ1237" s="3"/>
      <c r="AK1237" s="3"/>
      <c r="AL1237" s="3"/>
      <c r="AM1237" s="3"/>
      <c r="AN1237" s="3"/>
      <c r="AO1237" s="3"/>
      <c r="AP1237" s="3"/>
      <c r="AQ1237" s="3"/>
      <c r="AR1237" s="3"/>
      <c r="AS1237" s="3"/>
      <c r="AT1237" s="3"/>
      <c r="AU1237" s="3"/>
      <c r="AV1237" s="3"/>
      <c r="AW1237" s="3"/>
      <c r="AX1237" s="3"/>
      <c r="AY1237" s="3"/>
      <c r="AZ1237" s="3"/>
      <c r="BA1237" s="3"/>
      <c r="BB1237" s="3"/>
      <c r="BC1237" s="3"/>
    </row>
    <row r="1238" spans="1:55">
      <c r="A1238" s="1" t="str">
        <f>'Population Definitions'!$A$6</f>
        <v>10-17_males</v>
      </c>
      <c r="C1238" t="s">
        <v>34</v>
      </c>
      <c r="D1238" s="3"/>
      <c r="E1238" s="3">
        <v>0</v>
      </c>
      <c r="F1238" s="3"/>
      <c r="G1238" s="3"/>
      <c r="H1238" s="3"/>
      <c r="I1238" s="3"/>
      <c r="J1238" s="3"/>
      <c r="K1238" s="3"/>
      <c r="L1238" s="3"/>
      <c r="M1238" s="3"/>
      <c r="N1238" s="3"/>
      <c r="O1238" s="3"/>
      <c r="P1238" s="3"/>
      <c r="Q1238" s="3"/>
      <c r="R1238" s="3"/>
      <c r="S1238" s="3"/>
      <c r="T1238" s="3"/>
      <c r="U1238" s="3"/>
      <c r="V1238" s="3"/>
      <c r="W1238" s="3"/>
      <c r="X1238" s="3"/>
      <c r="Y1238" s="3"/>
      <c r="Z1238" s="3"/>
      <c r="AA1238" s="3"/>
      <c r="AB1238" s="3"/>
      <c r="AC1238" s="3"/>
      <c r="AD1238" s="3"/>
      <c r="AE1238" s="3"/>
      <c r="AF1238" s="3"/>
      <c r="AG1238" s="3"/>
      <c r="AH1238" s="3"/>
      <c r="AI1238" s="3"/>
      <c r="AJ1238" s="3"/>
      <c r="AK1238" s="3"/>
      <c r="AL1238" s="3"/>
      <c r="AM1238" s="3"/>
      <c r="AN1238" s="3"/>
      <c r="AO1238" s="3"/>
      <c r="AP1238" s="3"/>
      <c r="AQ1238" s="3"/>
      <c r="AR1238" s="3"/>
      <c r="AS1238" s="3"/>
      <c r="AT1238" s="3"/>
      <c r="AU1238" s="3"/>
      <c r="AV1238" s="3"/>
      <c r="AW1238" s="3"/>
      <c r="AX1238" s="3"/>
      <c r="AY1238" s="3"/>
      <c r="AZ1238" s="3"/>
      <c r="BA1238" s="3"/>
      <c r="BB1238" s="3"/>
      <c r="BC1238" s="3"/>
    </row>
    <row r="1239" spans="1:55">
      <c r="A1239" s="1" t="str">
        <f>'Population Definitions'!$A$7</f>
        <v>10-17_females</v>
      </c>
      <c r="C1239" t="s">
        <v>34</v>
      </c>
      <c r="D1239" s="3"/>
      <c r="E1239" s="3">
        <v>0</v>
      </c>
      <c r="F1239" s="3"/>
      <c r="G1239" s="3"/>
      <c r="H1239" s="3"/>
      <c r="I1239" s="3"/>
      <c r="J1239" s="3"/>
      <c r="K1239" s="3"/>
      <c r="L1239" s="3"/>
      <c r="M1239" s="3"/>
      <c r="N1239" s="3"/>
      <c r="O1239" s="3"/>
      <c r="P1239" s="3"/>
      <c r="Q1239" s="3"/>
      <c r="R1239" s="3"/>
      <c r="S1239" s="3"/>
      <c r="T1239" s="3"/>
      <c r="U1239" s="3"/>
      <c r="V1239" s="3"/>
      <c r="W1239" s="3"/>
      <c r="X1239" s="3"/>
      <c r="Y1239" s="3"/>
      <c r="Z1239" s="3"/>
      <c r="AA1239" s="3"/>
      <c r="AB1239" s="3"/>
      <c r="AC1239" s="3"/>
      <c r="AD1239" s="3"/>
      <c r="AE1239" s="3"/>
      <c r="AF1239" s="3"/>
      <c r="AG1239" s="3"/>
      <c r="AH1239" s="3"/>
      <c r="AI1239" s="3"/>
      <c r="AJ1239" s="3"/>
      <c r="AK1239" s="3"/>
      <c r="AL1239" s="3"/>
      <c r="AM1239" s="3"/>
      <c r="AN1239" s="3"/>
      <c r="AO1239" s="3"/>
      <c r="AP1239" s="3"/>
      <c r="AQ1239" s="3"/>
      <c r="AR1239" s="3"/>
      <c r="AS1239" s="3"/>
      <c r="AT1239" s="3"/>
      <c r="AU1239" s="3"/>
      <c r="AV1239" s="3"/>
      <c r="AW1239" s="3"/>
      <c r="AX1239" s="3"/>
      <c r="AY1239" s="3"/>
      <c r="AZ1239" s="3"/>
      <c r="BA1239" s="3"/>
      <c r="BB1239" s="3"/>
      <c r="BC1239" s="3"/>
    </row>
    <row r="1240" spans="1:55">
      <c r="A1240" s="1" t="str">
        <f>'Population Definitions'!$A$8</f>
        <v>18-64_males</v>
      </c>
      <c r="C1240" t="s">
        <v>34</v>
      </c>
      <c r="D1240" s="3"/>
      <c r="E1240" s="3">
        <v>0</v>
      </c>
      <c r="F1240" s="3"/>
      <c r="G1240" s="3"/>
      <c r="H1240" s="3"/>
      <c r="I1240" s="3"/>
      <c r="J1240" s="3"/>
      <c r="K1240" s="3"/>
      <c r="L1240" s="3"/>
      <c r="M1240" s="3"/>
      <c r="N1240" s="3"/>
      <c r="O1240" s="3"/>
      <c r="P1240" s="3"/>
      <c r="Q1240" s="3"/>
      <c r="R1240" s="3"/>
      <c r="S1240" s="3"/>
      <c r="T1240" s="3"/>
      <c r="U1240" s="3"/>
      <c r="V1240" s="3"/>
      <c r="W1240" s="3"/>
      <c r="X1240" s="3"/>
      <c r="Y1240" s="3"/>
      <c r="Z1240" s="3"/>
      <c r="AA1240" s="3"/>
      <c r="AB1240" s="3"/>
      <c r="AC1240" s="3"/>
      <c r="AD1240" s="3"/>
      <c r="AE1240" s="3"/>
      <c r="AF1240" s="3"/>
      <c r="AG1240" s="3"/>
      <c r="AH1240" s="3"/>
      <c r="AI1240" s="3"/>
      <c r="AJ1240" s="3"/>
      <c r="AK1240" s="3"/>
      <c r="AL1240" s="3"/>
      <c r="AM1240" s="3"/>
      <c r="AN1240" s="3"/>
      <c r="AO1240" s="3"/>
      <c r="AP1240" s="3"/>
      <c r="AQ1240" s="3"/>
      <c r="AR1240" s="3"/>
      <c r="AS1240" s="3"/>
      <c r="AT1240" s="3"/>
      <c r="AU1240" s="3"/>
      <c r="AV1240" s="3"/>
      <c r="AW1240" s="3"/>
      <c r="AX1240" s="3"/>
      <c r="AY1240" s="3"/>
      <c r="AZ1240" s="3"/>
      <c r="BA1240" s="3"/>
      <c r="BB1240" s="3"/>
      <c r="BC1240" s="3"/>
    </row>
    <row r="1241" spans="1:55">
      <c r="A1241" s="1" t="str">
        <f>'Population Definitions'!$A$9</f>
        <v>18-64_females</v>
      </c>
      <c r="C1241" t="s">
        <v>34</v>
      </c>
      <c r="D1241" s="3"/>
      <c r="E1241" s="3">
        <v>0</v>
      </c>
      <c r="F1241" s="3"/>
      <c r="G1241" s="3"/>
      <c r="H1241" s="3"/>
      <c r="I1241" s="3"/>
      <c r="J1241" s="3"/>
      <c r="K1241" s="3"/>
      <c r="L1241" s="3"/>
      <c r="M1241" s="3"/>
      <c r="N1241" s="3"/>
      <c r="O1241" s="3"/>
      <c r="P1241" s="3"/>
      <c r="Q1241" s="3"/>
      <c r="R1241" s="3"/>
      <c r="S1241" s="3"/>
      <c r="T1241" s="3"/>
      <c r="U1241" s="3"/>
      <c r="V1241" s="3"/>
      <c r="W1241" s="3"/>
      <c r="X1241" s="3"/>
      <c r="Y1241" s="3"/>
      <c r="Z1241" s="3"/>
      <c r="AA1241" s="3"/>
      <c r="AB1241" s="3"/>
      <c r="AC1241" s="3"/>
      <c r="AD1241" s="3"/>
      <c r="AE1241" s="3"/>
      <c r="AF1241" s="3"/>
      <c r="AG1241" s="3"/>
      <c r="AH1241" s="3"/>
      <c r="AI1241" s="3"/>
      <c r="AJ1241" s="3"/>
      <c r="AK1241" s="3"/>
      <c r="AL1241" s="3"/>
      <c r="AM1241" s="3"/>
      <c r="AN1241" s="3"/>
      <c r="AO1241" s="3"/>
      <c r="AP1241" s="3"/>
      <c r="AQ1241" s="3"/>
      <c r="AR1241" s="3"/>
      <c r="AS1241" s="3"/>
      <c r="AT1241" s="3"/>
      <c r="AU1241" s="3"/>
      <c r="AV1241" s="3"/>
      <c r="AW1241" s="3"/>
      <c r="AX1241" s="3"/>
      <c r="AY1241" s="3"/>
      <c r="AZ1241" s="3"/>
      <c r="BA1241" s="3"/>
      <c r="BB1241" s="3"/>
      <c r="BC1241" s="3"/>
    </row>
    <row r="1242" spans="1:55">
      <c r="A1242" s="1" t="str">
        <f>'Population Definitions'!$A$10</f>
        <v>65+_males</v>
      </c>
      <c r="C1242" t="s">
        <v>34</v>
      </c>
      <c r="D1242" s="3"/>
      <c r="E1242" s="3">
        <v>0</v>
      </c>
      <c r="F1242" s="3"/>
      <c r="G1242" s="3"/>
      <c r="H1242" s="3"/>
      <c r="I1242" s="3"/>
      <c r="J1242" s="3"/>
      <c r="K1242" s="3"/>
      <c r="L1242" s="3"/>
      <c r="M1242" s="3"/>
      <c r="N1242" s="3"/>
      <c r="O1242" s="3"/>
      <c r="P1242" s="3"/>
      <c r="Q1242" s="3"/>
      <c r="R1242" s="3"/>
      <c r="S1242" s="3"/>
      <c r="T1242" s="3"/>
      <c r="U1242" s="3"/>
      <c r="V1242" s="3"/>
      <c r="W1242" s="3"/>
      <c r="X1242" s="3"/>
      <c r="Y1242" s="3"/>
      <c r="Z1242" s="3"/>
      <c r="AA1242" s="3"/>
      <c r="AB1242" s="3"/>
      <c r="AC1242" s="3"/>
      <c r="AD1242" s="3"/>
      <c r="AE1242" s="3"/>
      <c r="AF1242" s="3"/>
      <c r="AG1242" s="3"/>
      <c r="AH1242" s="3"/>
      <c r="AI1242" s="3"/>
      <c r="AJ1242" s="3"/>
      <c r="AK1242" s="3"/>
      <c r="AL1242" s="3"/>
      <c r="AM1242" s="3"/>
      <c r="AN1242" s="3"/>
      <c r="AO1242" s="3"/>
      <c r="AP1242" s="3"/>
      <c r="AQ1242" s="3"/>
      <c r="AR1242" s="3"/>
      <c r="AS1242" s="3"/>
      <c r="AT1242" s="3"/>
      <c r="AU1242" s="3"/>
      <c r="AV1242" s="3"/>
      <c r="AW1242" s="3"/>
      <c r="AX1242" s="3"/>
      <c r="AY1242" s="3"/>
      <c r="AZ1242" s="3"/>
      <c r="BA1242" s="3"/>
      <c r="BB1242" s="3"/>
      <c r="BC1242" s="3"/>
    </row>
    <row r="1243" spans="1:55">
      <c r="A1243" s="1" t="str">
        <f>'Population Definitions'!$A$11</f>
        <v>65+_females</v>
      </c>
      <c r="C1243" t="s">
        <v>34</v>
      </c>
      <c r="D1243" s="3"/>
      <c r="E1243" s="3">
        <v>0</v>
      </c>
      <c r="F1243" s="3"/>
      <c r="G1243" s="3"/>
      <c r="H1243" s="3"/>
      <c r="I1243" s="3"/>
      <c r="J1243" s="3"/>
      <c r="K1243" s="3"/>
      <c r="L1243" s="3"/>
      <c r="M1243" s="3"/>
      <c r="N1243" s="3"/>
      <c r="O1243" s="3"/>
      <c r="P1243" s="3"/>
      <c r="Q1243" s="3"/>
      <c r="R1243" s="3"/>
      <c r="S1243" s="3"/>
      <c r="T1243" s="3"/>
      <c r="U1243" s="3"/>
      <c r="V1243" s="3"/>
      <c r="W1243" s="3"/>
      <c r="X1243" s="3"/>
      <c r="Y1243" s="3"/>
      <c r="Z1243" s="3"/>
      <c r="AA1243" s="3"/>
      <c r="AB1243" s="3"/>
      <c r="AC1243" s="3"/>
      <c r="AD1243" s="3"/>
      <c r="AE1243" s="3"/>
      <c r="AF1243" s="3"/>
      <c r="AG1243" s="3"/>
      <c r="AH1243" s="3"/>
      <c r="AI1243" s="3"/>
      <c r="AJ1243" s="3"/>
      <c r="AK1243" s="3"/>
      <c r="AL1243" s="3"/>
      <c r="AM1243" s="3"/>
      <c r="AN1243" s="3"/>
      <c r="AO1243" s="3"/>
      <c r="AP1243" s="3"/>
      <c r="AQ1243" s="3"/>
      <c r="AR1243" s="3"/>
      <c r="AS1243" s="3"/>
      <c r="AT1243" s="3"/>
      <c r="AU1243" s="3"/>
      <c r="AV1243" s="3"/>
      <c r="AW1243" s="3"/>
      <c r="AX1243" s="3"/>
      <c r="AY1243" s="3"/>
      <c r="AZ1243" s="3"/>
      <c r="BA1243" s="3"/>
      <c r="BB1243" s="3"/>
      <c r="BC1243" s="3"/>
    </row>
    <row r="1244" spans="1:55">
      <c r="A1244" s="1" t="str">
        <f>'Population Definitions'!$A$12</f>
        <v>Prisoners_males</v>
      </c>
      <c r="C1244" t="s">
        <v>34</v>
      </c>
      <c r="D1244" s="3"/>
      <c r="E1244" s="3">
        <v>0</v>
      </c>
      <c r="F1244" s="3"/>
      <c r="G1244" s="3"/>
      <c r="H1244" s="3"/>
      <c r="I1244" s="3"/>
      <c r="J1244" s="3"/>
      <c r="K1244" s="3"/>
      <c r="L1244" s="3"/>
      <c r="M1244" s="3"/>
      <c r="N1244" s="3"/>
      <c r="O1244" s="3"/>
      <c r="P1244" s="3"/>
      <c r="Q1244" s="3"/>
      <c r="R1244" s="3"/>
      <c r="S1244" s="3"/>
      <c r="T1244" s="3"/>
      <c r="U1244" s="3"/>
      <c r="V1244" s="3"/>
      <c r="W1244" s="3"/>
      <c r="X1244" s="3"/>
      <c r="Y1244" s="3"/>
      <c r="Z1244" s="3"/>
      <c r="AA1244" s="3"/>
      <c r="AB1244" s="3"/>
      <c r="AC1244" s="3"/>
      <c r="AD1244" s="3"/>
      <c r="AE1244" s="3"/>
      <c r="AF1244" s="3"/>
      <c r="AG1244" s="3"/>
      <c r="AH1244" s="3"/>
      <c r="AI1244" s="3"/>
      <c r="AJ1244" s="3"/>
      <c r="AK1244" s="3"/>
      <c r="AL1244" s="3"/>
      <c r="AM1244" s="3"/>
      <c r="AN1244" s="3"/>
      <c r="AO1244" s="3"/>
      <c r="AP1244" s="3"/>
      <c r="AQ1244" s="3"/>
      <c r="AR1244" s="3"/>
      <c r="AS1244" s="3"/>
      <c r="AT1244" s="3"/>
      <c r="AU1244" s="3"/>
      <c r="AV1244" s="3"/>
      <c r="AW1244" s="3"/>
      <c r="AX1244" s="3"/>
      <c r="AY1244" s="3"/>
      <c r="AZ1244" s="3"/>
      <c r="BA1244" s="3"/>
      <c r="BB1244" s="3"/>
      <c r="BC1244" s="3"/>
    </row>
    <row r="1245" spans="1:55">
      <c r="A1245" s="1" t="str">
        <f>'Population Definitions'!$A$13</f>
        <v>Prisoners_females</v>
      </c>
      <c r="C1245" t="s">
        <v>34</v>
      </c>
      <c r="D1245" s="3"/>
      <c r="E1245" s="3">
        <v>0</v>
      </c>
      <c r="F1245" s="3"/>
      <c r="G1245" s="3"/>
      <c r="H1245" s="3"/>
      <c r="I1245" s="3"/>
      <c r="J1245" s="3"/>
      <c r="K1245" s="3"/>
      <c r="L1245" s="3"/>
      <c r="M1245" s="3"/>
      <c r="N1245" s="3"/>
      <c r="O1245" s="3"/>
      <c r="P1245" s="3"/>
      <c r="Q1245" s="3"/>
      <c r="R1245" s="3"/>
      <c r="S1245" s="3"/>
      <c r="T1245" s="3"/>
      <c r="U1245" s="3"/>
      <c r="V1245" s="3"/>
      <c r="W1245" s="3"/>
      <c r="X1245" s="3"/>
      <c r="Y1245" s="3"/>
      <c r="Z1245" s="3"/>
      <c r="AA1245" s="3"/>
      <c r="AB1245" s="3"/>
      <c r="AC1245" s="3"/>
      <c r="AD1245" s="3"/>
      <c r="AE1245" s="3"/>
      <c r="AF1245" s="3"/>
      <c r="AG1245" s="3"/>
      <c r="AH1245" s="3"/>
      <c r="AI1245" s="3"/>
      <c r="AJ1245" s="3"/>
      <c r="AK1245" s="3"/>
      <c r="AL1245" s="3"/>
      <c r="AM1245" s="3"/>
      <c r="AN1245" s="3"/>
      <c r="AO1245" s="3"/>
      <c r="AP1245" s="3"/>
      <c r="AQ1245" s="3"/>
      <c r="AR1245" s="3"/>
      <c r="AS1245" s="3"/>
      <c r="AT1245" s="3"/>
      <c r="AU1245" s="3"/>
      <c r="AV1245" s="3"/>
      <c r="AW1245" s="3"/>
      <c r="AX1245" s="3"/>
      <c r="AY1245" s="3"/>
      <c r="AZ1245" s="3"/>
      <c r="BA1245" s="3"/>
      <c r="BB1245" s="3"/>
      <c r="BC1245" s="3"/>
    </row>
    <row r="1246" spans="1:55">
      <c r="A1246" s="1" t="str">
        <f>'Population Definitions'!$A$14</f>
        <v>Prisoners_PWID_males</v>
      </c>
      <c r="C1246" t="s">
        <v>34</v>
      </c>
      <c r="D1246" s="3"/>
      <c r="E1246" s="3">
        <v>0</v>
      </c>
      <c r="F1246" s="3"/>
      <c r="G1246" s="3"/>
      <c r="H1246" s="3"/>
      <c r="I1246" s="3"/>
      <c r="J1246" s="3"/>
      <c r="K1246" s="3"/>
      <c r="L1246" s="3"/>
      <c r="M1246" s="3"/>
      <c r="N1246" s="3"/>
      <c r="O1246" s="3"/>
      <c r="P1246" s="3"/>
      <c r="Q1246" s="3"/>
      <c r="R1246" s="3"/>
      <c r="S1246" s="3"/>
      <c r="T1246" s="3"/>
      <c r="U1246" s="3"/>
      <c r="V1246" s="3"/>
      <c r="W1246" s="3"/>
      <c r="X1246" s="3"/>
      <c r="Y1246" s="3"/>
      <c r="Z1246" s="3"/>
      <c r="AA1246" s="3"/>
      <c r="AB1246" s="3"/>
      <c r="AC1246" s="3"/>
      <c r="AD1246" s="3"/>
      <c r="AE1246" s="3"/>
      <c r="AF1246" s="3"/>
      <c r="AG1246" s="3"/>
      <c r="AH1246" s="3"/>
      <c r="AI1246" s="3"/>
      <c r="AJ1246" s="3"/>
      <c r="AK1246" s="3"/>
      <c r="AL1246" s="3"/>
      <c r="AM1246" s="3"/>
      <c r="AN1246" s="3"/>
      <c r="AO1246" s="3"/>
      <c r="AP1246" s="3"/>
      <c r="AQ1246" s="3"/>
      <c r="AR1246" s="3"/>
      <c r="AS1246" s="3"/>
      <c r="AT1246" s="3"/>
      <c r="AU1246" s="3"/>
      <c r="AV1246" s="3"/>
      <c r="AW1246" s="3"/>
      <c r="AX1246" s="3"/>
      <c r="AY1246" s="3"/>
      <c r="AZ1246" s="3"/>
      <c r="BA1246" s="3"/>
      <c r="BB1246" s="3"/>
      <c r="BC1246" s="3"/>
    </row>
    <row r="1247" spans="1:55">
      <c r="A1247" s="1" t="str">
        <f>'Population Definitions'!$A$15</f>
        <v>Prisoners_PWID_females</v>
      </c>
      <c r="C1247" t="s">
        <v>34</v>
      </c>
      <c r="D1247" s="3"/>
      <c r="E1247" s="3">
        <v>0</v>
      </c>
      <c r="F1247" s="3"/>
      <c r="G1247" s="3"/>
      <c r="H1247" s="3"/>
      <c r="I1247" s="3"/>
      <c r="J1247" s="3"/>
      <c r="K1247" s="3"/>
      <c r="L1247" s="3"/>
      <c r="M1247" s="3"/>
      <c r="N1247" s="3"/>
      <c r="O1247" s="3"/>
      <c r="P1247" s="3"/>
      <c r="Q1247" s="3"/>
      <c r="R1247" s="3"/>
      <c r="S1247" s="3"/>
      <c r="T1247" s="3"/>
      <c r="U1247" s="3"/>
      <c r="V1247" s="3"/>
      <c r="W1247" s="3"/>
      <c r="X1247" s="3"/>
      <c r="Y1247" s="3"/>
      <c r="Z1247" s="3"/>
      <c r="AA1247" s="3"/>
      <c r="AB1247" s="3"/>
      <c r="AC1247" s="3"/>
      <c r="AD1247" s="3"/>
      <c r="AE1247" s="3"/>
      <c r="AF1247" s="3"/>
      <c r="AG1247" s="3"/>
      <c r="AH1247" s="3"/>
      <c r="AI1247" s="3"/>
      <c r="AJ1247" s="3"/>
      <c r="AK1247" s="3"/>
      <c r="AL1247" s="3"/>
      <c r="AM1247" s="3"/>
      <c r="AN1247" s="3"/>
      <c r="AO1247" s="3"/>
      <c r="AP1247" s="3"/>
      <c r="AQ1247" s="3"/>
      <c r="AR1247" s="3"/>
      <c r="AS1247" s="3"/>
      <c r="AT1247" s="3"/>
      <c r="AU1247" s="3"/>
      <c r="AV1247" s="3"/>
      <c r="AW1247" s="3"/>
      <c r="AX1247" s="3"/>
      <c r="AY1247" s="3"/>
      <c r="AZ1247" s="3"/>
      <c r="BA1247" s="3"/>
      <c r="BB1247" s="3"/>
      <c r="BC1247" s="3"/>
    </row>
    <row r="1249" spans="1:55">
      <c r="A1249" s="1" t="s">
        <v>205</v>
      </c>
      <c r="B1249" s="1" t="s">
        <v>31</v>
      </c>
      <c r="C1249" s="1" t="s">
        <v>32</v>
      </c>
      <c r="D1249" s="1" t="s">
        <v>33</v>
      </c>
      <c r="E1249" s="1">
        <v>2000</v>
      </c>
      <c r="F1249" s="1">
        <v>2001</v>
      </c>
      <c r="G1249" s="1">
        <v>2002</v>
      </c>
      <c r="H1249" s="1">
        <v>2003</v>
      </c>
      <c r="I1249" s="1">
        <v>2004</v>
      </c>
      <c r="J1249" s="1">
        <v>2005</v>
      </c>
      <c r="K1249" s="1">
        <v>2006</v>
      </c>
      <c r="L1249" s="1">
        <v>2007</v>
      </c>
      <c r="M1249" s="1">
        <v>2008</v>
      </c>
      <c r="N1249" s="1">
        <v>2009</v>
      </c>
      <c r="O1249" s="1">
        <v>2010</v>
      </c>
      <c r="P1249" s="1">
        <v>2011</v>
      </c>
      <c r="Q1249" s="1">
        <v>2012</v>
      </c>
      <c r="R1249" s="1">
        <v>2013</v>
      </c>
      <c r="S1249" s="1">
        <v>2014</v>
      </c>
      <c r="T1249" s="1">
        <v>2015</v>
      </c>
      <c r="U1249" s="1">
        <v>2016</v>
      </c>
      <c r="V1249" s="1">
        <v>2017</v>
      </c>
      <c r="W1249" s="1">
        <v>2018</v>
      </c>
      <c r="X1249" s="1">
        <v>2019</v>
      </c>
      <c r="Y1249" s="1">
        <v>2020</v>
      </c>
      <c r="Z1249" s="1">
        <v>2021</v>
      </c>
      <c r="AA1249" s="1">
        <v>2022</v>
      </c>
      <c r="AB1249" s="1">
        <v>2023</v>
      </c>
      <c r="AC1249" s="1">
        <v>2024</v>
      </c>
      <c r="AD1249" s="1">
        <v>2025</v>
      </c>
      <c r="AE1249" s="1">
        <v>2026</v>
      </c>
      <c r="AF1249" s="1">
        <v>2027</v>
      </c>
      <c r="AG1249" s="1">
        <v>2028</v>
      </c>
      <c r="AH1249" s="1">
        <v>2029</v>
      </c>
      <c r="AI1249" s="1">
        <v>2030</v>
      </c>
      <c r="AJ1249" s="1">
        <v>2031</v>
      </c>
      <c r="AK1249" s="1">
        <v>2032</v>
      </c>
      <c r="AL1249" s="1">
        <v>2033</v>
      </c>
      <c r="AM1249" s="1">
        <v>2034</v>
      </c>
      <c r="AN1249" s="1">
        <v>2035</v>
      </c>
      <c r="AO1249" s="1">
        <v>2036</v>
      </c>
      <c r="AP1249" s="1">
        <v>2037</v>
      </c>
      <c r="AQ1249" s="1">
        <v>2038</v>
      </c>
      <c r="AR1249" s="1">
        <v>2039</v>
      </c>
      <c r="AS1249" s="1">
        <v>2040</v>
      </c>
      <c r="AT1249" s="1">
        <v>2041</v>
      </c>
      <c r="AU1249" s="1">
        <v>2042</v>
      </c>
      <c r="AV1249" s="1">
        <v>2043</v>
      </c>
      <c r="AW1249" s="1">
        <v>2044</v>
      </c>
      <c r="AX1249" s="1">
        <v>2045</v>
      </c>
      <c r="AY1249" s="1">
        <v>2046</v>
      </c>
      <c r="AZ1249" s="1">
        <v>2047</v>
      </c>
      <c r="BA1249" s="1">
        <v>2048</v>
      </c>
      <c r="BB1249" s="1">
        <v>2049</v>
      </c>
      <c r="BC1249" s="1">
        <v>2050</v>
      </c>
    </row>
    <row r="1250" spans="1:55">
      <c r="A1250" s="1" t="str">
        <f>'Population Definitions'!$A$2</f>
        <v>PWID_males</v>
      </c>
      <c r="C1250" t="s">
        <v>34</v>
      </c>
      <c r="D1250" s="3"/>
      <c r="E1250" s="3">
        <v>0</v>
      </c>
      <c r="F1250" s="3"/>
      <c r="G1250" s="3"/>
      <c r="H1250" s="3"/>
      <c r="I1250" s="3"/>
      <c r="J1250" s="3"/>
      <c r="K1250" s="3"/>
      <c r="L1250" s="3"/>
      <c r="M1250" s="3"/>
      <c r="N1250" s="3"/>
      <c r="O1250" s="3"/>
      <c r="P1250" s="3"/>
      <c r="Q1250" s="3"/>
      <c r="R1250" s="3"/>
      <c r="S1250" s="3"/>
      <c r="T1250" s="3"/>
      <c r="U1250" s="3"/>
      <c r="V1250" s="3"/>
      <c r="W1250" s="3"/>
      <c r="X1250" s="3"/>
      <c r="Y1250" s="3"/>
      <c r="Z1250" s="3"/>
      <c r="AA1250" s="3"/>
      <c r="AB1250" s="3"/>
      <c r="AC1250" s="3"/>
      <c r="AD1250" s="3"/>
      <c r="AE1250" s="3"/>
      <c r="AF1250" s="3"/>
      <c r="AG1250" s="3"/>
      <c r="AH1250" s="3"/>
      <c r="AI1250" s="3"/>
      <c r="AJ1250" s="3"/>
      <c r="AK1250" s="3"/>
      <c r="AL1250" s="3"/>
      <c r="AM1250" s="3"/>
      <c r="AN1250" s="3"/>
      <c r="AO1250" s="3"/>
      <c r="AP1250" s="3"/>
      <c r="AQ1250" s="3"/>
      <c r="AR1250" s="3"/>
      <c r="AS1250" s="3"/>
      <c r="AT1250" s="3"/>
      <c r="AU1250" s="3"/>
      <c r="AV1250" s="3"/>
      <c r="AW1250" s="3"/>
      <c r="AX1250" s="3"/>
      <c r="AY1250" s="3"/>
      <c r="AZ1250" s="3"/>
      <c r="BA1250" s="3"/>
      <c r="BB1250" s="3"/>
      <c r="BC1250" s="3"/>
    </row>
    <row r="1251" spans="1:55">
      <c r="A1251" s="1" t="str">
        <f>'Population Definitions'!$A$3</f>
        <v>PWID_females</v>
      </c>
      <c r="C1251" t="s">
        <v>34</v>
      </c>
      <c r="D1251" s="3"/>
      <c r="E1251" s="3">
        <v>0</v>
      </c>
      <c r="F1251" s="3"/>
      <c r="G1251" s="3"/>
      <c r="H1251" s="3"/>
      <c r="I1251" s="3"/>
      <c r="J1251" s="3"/>
      <c r="K1251" s="3"/>
      <c r="L1251" s="3"/>
      <c r="M1251" s="3"/>
      <c r="N1251" s="3"/>
      <c r="O1251" s="3"/>
      <c r="P1251" s="3"/>
      <c r="Q1251" s="3"/>
      <c r="R1251" s="3"/>
      <c r="S1251" s="3"/>
      <c r="T1251" s="3"/>
      <c r="U1251" s="3"/>
      <c r="V1251" s="3"/>
      <c r="W1251" s="3"/>
      <c r="X1251" s="3"/>
      <c r="Y1251" s="3"/>
      <c r="Z1251" s="3"/>
      <c r="AA1251" s="3"/>
      <c r="AB1251" s="3"/>
      <c r="AC1251" s="3"/>
      <c r="AD1251" s="3"/>
      <c r="AE1251" s="3"/>
      <c r="AF1251" s="3"/>
      <c r="AG1251" s="3"/>
      <c r="AH1251" s="3"/>
      <c r="AI1251" s="3"/>
      <c r="AJ1251" s="3"/>
      <c r="AK1251" s="3"/>
      <c r="AL1251" s="3"/>
      <c r="AM1251" s="3"/>
      <c r="AN1251" s="3"/>
      <c r="AO1251" s="3"/>
      <c r="AP1251" s="3"/>
      <c r="AQ1251" s="3"/>
      <c r="AR1251" s="3"/>
      <c r="AS1251" s="3"/>
      <c r="AT1251" s="3"/>
      <c r="AU1251" s="3"/>
      <c r="AV1251" s="3"/>
      <c r="AW1251" s="3"/>
      <c r="AX1251" s="3"/>
      <c r="AY1251" s="3"/>
      <c r="AZ1251" s="3"/>
      <c r="BA1251" s="3"/>
      <c r="BB1251" s="3"/>
      <c r="BC1251" s="3"/>
    </row>
    <row r="1252" spans="1:55">
      <c r="A1252" s="1" t="str">
        <f>'Population Definitions'!$A$4</f>
        <v>0-9_males</v>
      </c>
      <c r="C1252" t="s">
        <v>34</v>
      </c>
      <c r="D1252" s="3"/>
      <c r="E1252" s="3">
        <v>0</v>
      </c>
      <c r="F1252" s="3"/>
      <c r="G1252" s="3"/>
      <c r="H1252" s="3"/>
      <c r="I1252" s="3"/>
      <c r="J1252" s="3"/>
      <c r="K1252" s="3"/>
      <c r="L1252" s="3"/>
      <c r="M1252" s="3"/>
      <c r="N1252" s="3"/>
      <c r="O1252" s="3"/>
      <c r="P1252" s="3"/>
      <c r="Q1252" s="3"/>
      <c r="R1252" s="3"/>
      <c r="S1252" s="3"/>
      <c r="T1252" s="3"/>
      <c r="U1252" s="3"/>
      <c r="V1252" s="3"/>
      <c r="W1252" s="3"/>
      <c r="X1252" s="3"/>
      <c r="Y1252" s="3"/>
      <c r="Z1252" s="3"/>
      <c r="AA1252" s="3"/>
      <c r="AB1252" s="3"/>
      <c r="AC1252" s="3"/>
      <c r="AD1252" s="3"/>
      <c r="AE1252" s="3"/>
      <c r="AF1252" s="3"/>
      <c r="AG1252" s="3"/>
      <c r="AH1252" s="3"/>
      <c r="AI1252" s="3"/>
      <c r="AJ1252" s="3"/>
      <c r="AK1252" s="3"/>
      <c r="AL1252" s="3"/>
      <c r="AM1252" s="3"/>
      <c r="AN1252" s="3"/>
      <c r="AO1252" s="3"/>
      <c r="AP1252" s="3"/>
      <c r="AQ1252" s="3"/>
      <c r="AR1252" s="3"/>
      <c r="AS1252" s="3"/>
      <c r="AT1252" s="3"/>
      <c r="AU1252" s="3"/>
      <c r="AV1252" s="3"/>
      <c r="AW1252" s="3"/>
      <c r="AX1252" s="3"/>
      <c r="AY1252" s="3"/>
      <c r="AZ1252" s="3"/>
      <c r="BA1252" s="3"/>
      <c r="BB1252" s="3"/>
      <c r="BC1252" s="3"/>
    </row>
    <row r="1253" spans="1:55">
      <c r="A1253" s="1" t="str">
        <f>'Population Definitions'!$A$5</f>
        <v>0-9_females</v>
      </c>
      <c r="C1253" t="s">
        <v>34</v>
      </c>
      <c r="D1253" s="3"/>
      <c r="E1253" s="3">
        <v>0</v>
      </c>
      <c r="F1253" s="3"/>
      <c r="G1253" s="3"/>
      <c r="H1253" s="3"/>
      <c r="I1253" s="3"/>
      <c r="J1253" s="3"/>
      <c r="K1253" s="3"/>
      <c r="L1253" s="3"/>
      <c r="M1253" s="3"/>
      <c r="N1253" s="3"/>
      <c r="O1253" s="3"/>
      <c r="P1253" s="3"/>
      <c r="Q1253" s="3"/>
      <c r="R1253" s="3"/>
      <c r="S1253" s="3"/>
      <c r="T1253" s="3"/>
      <c r="U1253" s="3"/>
      <c r="V1253" s="3"/>
      <c r="W1253" s="3"/>
      <c r="X1253" s="3"/>
      <c r="Y1253" s="3"/>
      <c r="Z1253" s="3"/>
      <c r="AA1253" s="3"/>
      <c r="AB1253" s="3"/>
      <c r="AC1253" s="3"/>
      <c r="AD1253" s="3"/>
      <c r="AE1253" s="3"/>
      <c r="AF1253" s="3"/>
      <c r="AG1253" s="3"/>
      <c r="AH1253" s="3"/>
      <c r="AI1253" s="3"/>
      <c r="AJ1253" s="3"/>
      <c r="AK1253" s="3"/>
      <c r="AL1253" s="3"/>
      <c r="AM1253" s="3"/>
      <c r="AN1253" s="3"/>
      <c r="AO1253" s="3"/>
      <c r="AP1253" s="3"/>
      <c r="AQ1253" s="3"/>
      <c r="AR1253" s="3"/>
      <c r="AS1253" s="3"/>
      <c r="AT1253" s="3"/>
      <c r="AU1253" s="3"/>
      <c r="AV1253" s="3"/>
      <c r="AW1253" s="3"/>
      <c r="AX1253" s="3"/>
      <c r="AY1253" s="3"/>
      <c r="AZ1253" s="3"/>
      <c r="BA1253" s="3"/>
      <c r="BB1253" s="3"/>
      <c r="BC1253" s="3"/>
    </row>
    <row r="1254" spans="1:55">
      <c r="A1254" s="1" t="str">
        <f>'Population Definitions'!$A$6</f>
        <v>10-17_males</v>
      </c>
      <c r="C1254" t="s">
        <v>34</v>
      </c>
      <c r="D1254" s="3"/>
      <c r="E1254" s="3">
        <v>0</v>
      </c>
      <c r="F1254" s="3"/>
      <c r="G1254" s="3"/>
      <c r="H1254" s="3"/>
      <c r="I1254" s="3"/>
      <c r="J1254" s="3"/>
      <c r="K1254" s="3"/>
      <c r="L1254" s="3"/>
      <c r="M1254" s="3"/>
      <c r="N1254" s="3"/>
      <c r="O1254" s="3"/>
      <c r="P1254" s="3"/>
      <c r="Q1254" s="3"/>
      <c r="R1254" s="3"/>
      <c r="S1254" s="3"/>
      <c r="T1254" s="3"/>
      <c r="U1254" s="3"/>
      <c r="V1254" s="3"/>
      <c r="W1254" s="3"/>
      <c r="X1254" s="3"/>
      <c r="Y1254" s="3"/>
      <c r="Z1254" s="3"/>
      <c r="AA1254" s="3"/>
      <c r="AB1254" s="3"/>
      <c r="AC1254" s="3"/>
      <c r="AD1254" s="3"/>
      <c r="AE1254" s="3"/>
      <c r="AF1254" s="3"/>
      <c r="AG1254" s="3"/>
      <c r="AH1254" s="3"/>
      <c r="AI1254" s="3"/>
      <c r="AJ1254" s="3"/>
      <c r="AK1254" s="3"/>
      <c r="AL1254" s="3"/>
      <c r="AM1254" s="3"/>
      <c r="AN1254" s="3"/>
      <c r="AO1254" s="3"/>
      <c r="AP1254" s="3"/>
      <c r="AQ1254" s="3"/>
      <c r="AR1254" s="3"/>
      <c r="AS1254" s="3"/>
      <c r="AT1254" s="3"/>
      <c r="AU1254" s="3"/>
      <c r="AV1254" s="3"/>
      <c r="AW1254" s="3"/>
      <c r="AX1254" s="3"/>
      <c r="AY1254" s="3"/>
      <c r="AZ1254" s="3"/>
      <c r="BA1254" s="3"/>
      <c r="BB1254" s="3"/>
      <c r="BC1254" s="3"/>
    </row>
    <row r="1255" spans="1:55">
      <c r="A1255" s="1" t="str">
        <f>'Population Definitions'!$A$7</f>
        <v>10-17_females</v>
      </c>
      <c r="C1255" t="s">
        <v>34</v>
      </c>
      <c r="D1255" s="3"/>
      <c r="E1255" s="3">
        <v>0</v>
      </c>
      <c r="F1255" s="3"/>
      <c r="G1255" s="3"/>
      <c r="H1255" s="3"/>
      <c r="I1255" s="3"/>
      <c r="J1255" s="3"/>
      <c r="K1255" s="3"/>
      <c r="L1255" s="3"/>
      <c r="M1255" s="3"/>
      <c r="N1255" s="3"/>
      <c r="O1255" s="3"/>
      <c r="P1255" s="3"/>
      <c r="Q1255" s="3"/>
      <c r="R1255" s="3"/>
      <c r="S1255" s="3"/>
      <c r="T1255" s="3"/>
      <c r="U1255" s="3"/>
      <c r="V1255" s="3"/>
      <c r="W1255" s="3"/>
      <c r="X1255" s="3"/>
      <c r="Y1255" s="3"/>
      <c r="Z1255" s="3"/>
      <c r="AA1255" s="3"/>
      <c r="AB1255" s="3"/>
      <c r="AC1255" s="3"/>
      <c r="AD1255" s="3"/>
      <c r="AE1255" s="3"/>
      <c r="AF1255" s="3"/>
      <c r="AG1255" s="3"/>
      <c r="AH1255" s="3"/>
      <c r="AI1255" s="3"/>
      <c r="AJ1255" s="3"/>
      <c r="AK1255" s="3"/>
      <c r="AL1255" s="3"/>
      <c r="AM1255" s="3"/>
      <c r="AN1255" s="3"/>
      <c r="AO1255" s="3"/>
      <c r="AP1255" s="3"/>
      <c r="AQ1255" s="3"/>
      <c r="AR1255" s="3"/>
      <c r="AS1255" s="3"/>
      <c r="AT1255" s="3"/>
      <c r="AU1255" s="3"/>
      <c r="AV1255" s="3"/>
      <c r="AW1255" s="3"/>
      <c r="AX1255" s="3"/>
      <c r="AY1255" s="3"/>
      <c r="AZ1255" s="3"/>
      <c r="BA1255" s="3"/>
      <c r="BB1255" s="3"/>
      <c r="BC1255" s="3"/>
    </row>
    <row r="1256" spans="1:55">
      <c r="A1256" s="1" t="str">
        <f>'Population Definitions'!$A$8</f>
        <v>18-64_males</v>
      </c>
      <c r="C1256" t="s">
        <v>34</v>
      </c>
      <c r="D1256" s="3"/>
      <c r="E1256" s="3">
        <v>0</v>
      </c>
      <c r="F1256" s="3"/>
      <c r="G1256" s="3"/>
      <c r="H1256" s="3"/>
      <c r="I1256" s="3"/>
      <c r="J1256" s="3"/>
      <c r="K1256" s="3"/>
      <c r="L1256" s="3"/>
      <c r="M1256" s="3"/>
      <c r="N1256" s="3"/>
      <c r="O1256" s="3"/>
      <c r="P1256" s="3"/>
      <c r="Q1256" s="3"/>
      <c r="R1256" s="3"/>
      <c r="S1256" s="3"/>
      <c r="T1256" s="3"/>
      <c r="U1256" s="3"/>
      <c r="V1256" s="3"/>
      <c r="W1256" s="3"/>
      <c r="X1256" s="3"/>
      <c r="Y1256" s="3"/>
      <c r="Z1256" s="3"/>
      <c r="AA1256" s="3"/>
      <c r="AB1256" s="3"/>
      <c r="AC1256" s="3"/>
      <c r="AD1256" s="3"/>
      <c r="AE1256" s="3"/>
      <c r="AF1256" s="3"/>
      <c r="AG1256" s="3"/>
      <c r="AH1256" s="3"/>
      <c r="AI1256" s="3"/>
      <c r="AJ1256" s="3"/>
      <c r="AK1256" s="3"/>
      <c r="AL1256" s="3"/>
      <c r="AM1256" s="3"/>
      <c r="AN1256" s="3"/>
      <c r="AO1256" s="3"/>
      <c r="AP1256" s="3"/>
      <c r="AQ1256" s="3"/>
      <c r="AR1256" s="3"/>
      <c r="AS1256" s="3"/>
      <c r="AT1256" s="3"/>
      <c r="AU1256" s="3"/>
      <c r="AV1256" s="3"/>
      <c r="AW1256" s="3"/>
      <c r="AX1256" s="3"/>
      <c r="AY1256" s="3"/>
      <c r="AZ1256" s="3"/>
      <c r="BA1256" s="3"/>
      <c r="BB1256" s="3"/>
      <c r="BC1256" s="3"/>
    </row>
    <row r="1257" spans="1:55">
      <c r="A1257" s="1" t="str">
        <f>'Population Definitions'!$A$9</f>
        <v>18-64_females</v>
      </c>
      <c r="C1257" t="s">
        <v>34</v>
      </c>
      <c r="D1257" s="3"/>
      <c r="E1257" s="3">
        <v>0</v>
      </c>
      <c r="F1257" s="3"/>
      <c r="G1257" s="3"/>
      <c r="H1257" s="3"/>
      <c r="I1257" s="3"/>
      <c r="J1257" s="3"/>
      <c r="K1257" s="3"/>
      <c r="L1257" s="3"/>
      <c r="M1257" s="3"/>
      <c r="N1257" s="3"/>
      <c r="O1257" s="3"/>
      <c r="P1257" s="3"/>
      <c r="Q1257" s="3"/>
      <c r="R1257" s="3"/>
      <c r="S1257" s="3"/>
      <c r="T1257" s="3"/>
      <c r="U1257" s="3"/>
      <c r="V1257" s="3"/>
      <c r="W1257" s="3"/>
      <c r="X1257" s="3"/>
      <c r="Y1257" s="3"/>
      <c r="Z1257" s="3"/>
      <c r="AA1257" s="3"/>
      <c r="AB1257" s="3"/>
      <c r="AC1257" s="3"/>
      <c r="AD1257" s="3"/>
      <c r="AE1257" s="3"/>
      <c r="AF1257" s="3"/>
      <c r="AG1257" s="3"/>
      <c r="AH1257" s="3"/>
      <c r="AI1257" s="3"/>
      <c r="AJ1257" s="3"/>
      <c r="AK1257" s="3"/>
      <c r="AL1257" s="3"/>
      <c r="AM1257" s="3"/>
      <c r="AN1257" s="3"/>
      <c r="AO1257" s="3"/>
      <c r="AP1257" s="3"/>
      <c r="AQ1257" s="3"/>
      <c r="AR1257" s="3"/>
      <c r="AS1257" s="3"/>
      <c r="AT1257" s="3"/>
      <c r="AU1257" s="3"/>
      <c r="AV1257" s="3"/>
      <c r="AW1257" s="3"/>
      <c r="AX1257" s="3"/>
      <c r="AY1257" s="3"/>
      <c r="AZ1257" s="3"/>
      <c r="BA1257" s="3"/>
      <c r="BB1257" s="3"/>
      <c r="BC1257" s="3"/>
    </row>
    <row r="1258" spans="1:55">
      <c r="A1258" s="1" t="str">
        <f>'Population Definitions'!$A$10</f>
        <v>65+_males</v>
      </c>
      <c r="C1258" t="s">
        <v>34</v>
      </c>
      <c r="D1258" s="3"/>
      <c r="E1258" s="3">
        <v>0</v>
      </c>
      <c r="F1258" s="3"/>
      <c r="G1258" s="3"/>
      <c r="H1258" s="3"/>
      <c r="I1258" s="3"/>
      <c r="J1258" s="3"/>
      <c r="K1258" s="3"/>
      <c r="L1258" s="3"/>
      <c r="M1258" s="3"/>
      <c r="N1258" s="3"/>
      <c r="O1258" s="3"/>
      <c r="P1258" s="3"/>
      <c r="Q1258" s="3"/>
      <c r="R1258" s="3"/>
      <c r="S1258" s="3"/>
      <c r="T1258" s="3"/>
      <c r="U1258" s="3"/>
      <c r="V1258" s="3"/>
      <c r="W1258" s="3"/>
      <c r="X1258" s="3"/>
      <c r="Y1258" s="3"/>
      <c r="Z1258" s="3"/>
      <c r="AA1258" s="3"/>
      <c r="AB1258" s="3"/>
      <c r="AC1258" s="3"/>
      <c r="AD1258" s="3"/>
      <c r="AE1258" s="3"/>
      <c r="AF1258" s="3"/>
      <c r="AG1258" s="3"/>
      <c r="AH1258" s="3"/>
      <c r="AI1258" s="3"/>
      <c r="AJ1258" s="3"/>
      <c r="AK1258" s="3"/>
      <c r="AL1258" s="3"/>
      <c r="AM1258" s="3"/>
      <c r="AN1258" s="3"/>
      <c r="AO1258" s="3"/>
      <c r="AP1258" s="3"/>
      <c r="AQ1258" s="3"/>
      <c r="AR1258" s="3"/>
      <c r="AS1258" s="3"/>
      <c r="AT1258" s="3"/>
      <c r="AU1258" s="3"/>
      <c r="AV1258" s="3"/>
      <c r="AW1258" s="3"/>
      <c r="AX1258" s="3"/>
      <c r="AY1258" s="3"/>
      <c r="AZ1258" s="3"/>
      <c r="BA1258" s="3"/>
      <c r="BB1258" s="3"/>
      <c r="BC1258" s="3"/>
    </row>
    <row r="1259" spans="1:55">
      <c r="A1259" s="1" t="str">
        <f>'Population Definitions'!$A$11</f>
        <v>65+_females</v>
      </c>
      <c r="C1259" t="s">
        <v>34</v>
      </c>
      <c r="D1259" s="3"/>
      <c r="E1259" s="3">
        <v>0</v>
      </c>
      <c r="F1259" s="3"/>
      <c r="G1259" s="3"/>
      <c r="H1259" s="3"/>
      <c r="I1259" s="3"/>
      <c r="J1259" s="3"/>
      <c r="K1259" s="3"/>
      <c r="L1259" s="3"/>
      <c r="M1259" s="3"/>
      <c r="N1259" s="3"/>
      <c r="O1259" s="3"/>
      <c r="P1259" s="3"/>
      <c r="Q1259" s="3"/>
      <c r="R1259" s="3"/>
      <c r="S1259" s="3"/>
      <c r="T1259" s="3"/>
      <c r="U1259" s="3"/>
      <c r="V1259" s="3"/>
      <c r="W1259" s="3"/>
      <c r="X1259" s="3"/>
      <c r="Y1259" s="3"/>
      <c r="Z1259" s="3"/>
      <c r="AA1259" s="3"/>
      <c r="AB1259" s="3"/>
      <c r="AC1259" s="3"/>
      <c r="AD1259" s="3"/>
      <c r="AE1259" s="3"/>
      <c r="AF1259" s="3"/>
      <c r="AG1259" s="3"/>
      <c r="AH1259" s="3"/>
      <c r="AI1259" s="3"/>
      <c r="AJ1259" s="3"/>
      <c r="AK1259" s="3"/>
      <c r="AL1259" s="3"/>
      <c r="AM1259" s="3"/>
      <c r="AN1259" s="3"/>
      <c r="AO1259" s="3"/>
      <c r="AP1259" s="3"/>
      <c r="AQ1259" s="3"/>
      <c r="AR1259" s="3"/>
      <c r="AS1259" s="3"/>
      <c r="AT1259" s="3"/>
      <c r="AU1259" s="3"/>
      <c r="AV1259" s="3"/>
      <c r="AW1259" s="3"/>
      <c r="AX1259" s="3"/>
      <c r="AY1259" s="3"/>
      <c r="AZ1259" s="3"/>
      <c r="BA1259" s="3"/>
      <c r="BB1259" s="3"/>
      <c r="BC1259" s="3"/>
    </row>
    <row r="1260" spans="1:55">
      <c r="A1260" s="1" t="str">
        <f>'Population Definitions'!$A$12</f>
        <v>Prisoners_males</v>
      </c>
      <c r="C1260" t="s">
        <v>34</v>
      </c>
      <c r="D1260" s="3"/>
      <c r="E1260" s="3">
        <v>0</v>
      </c>
      <c r="F1260" s="3"/>
      <c r="G1260" s="3"/>
      <c r="H1260" s="3"/>
      <c r="I1260" s="3"/>
      <c r="J1260" s="3"/>
      <c r="K1260" s="3"/>
      <c r="L1260" s="3"/>
      <c r="M1260" s="3"/>
      <c r="N1260" s="3"/>
      <c r="O1260" s="3"/>
      <c r="P1260" s="3"/>
      <c r="Q1260" s="3"/>
      <c r="R1260" s="3"/>
      <c r="S1260" s="3"/>
      <c r="T1260" s="3"/>
      <c r="U1260" s="3"/>
      <c r="V1260" s="3"/>
      <c r="W1260" s="3"/>
      <c r="X1260" s="3"/>
      <c r="Y1260" s="3"/>
      <c r="Z1260" s="3"/>
      <c r="AA1260" s="3"/>
      <c r="AB1260" s="3"/>
      <c r="AC1260" s="3"/>
      <c r="AD1260" s="3"/>
      <c r="AE1260" s="3"/>
      <c r="AF1260" s="3"/>
      <c r="AG1260" s="3"/>
      <c r="AH1260" s="3"/>
      <c r="AI1260" s="3"/>
      <c r="AJ1260" s="3"/>
      <c r="AK1260" s="3"/>
      <c r="AL1260" s="3"/>
      <c r="AM1260" s="3"/>
      <c r="AN1260" s="3"/>
      <c r="AO1260" s="3"/>
      <c r="AP1260" s="3"/>
      <c r="AQ1260" s="3"/>
      <c r="AR1260" s="3"/>
      <c r="AS1260" s="3"/>
      <c r="AT1260" s="3"/>
      <c r="AU1260" s="3"/>
      <c r="AV1260" s="3"/>
      <c r="AW1260" s="3"/>
      <c r="AX1260" s="3"/>
      <c r="AY1260" s="3"/>
      <c r="AZ1260" s="3"/>
      <c r="BA1260" s="3"/>
      <c r="BB1260" s="3"/>
      <c r="BC1260" s="3"/>
    </row>
    <row r="1261" spans="1:55">
      <c r="A1261" s="1" t="str">
        <f>'Population Definitions'!$A$13</f>
        <v>Prisoners_females</v>
      </c>
      <c r="C1261" t="s">
        <v>34</v>
      </c>
      <c r="D1261" s="3"/>
      <c r="E1261" s="3">
        <v>0</v>
      </c>
      <c r="F1261" s="3"/>
      <c r="G1261" s="3"/>
      <c r="H1261" s="3"/>
      <c r="I1261" s="3"/>
      <c r="J1261" s="3"/>
      <c r="K1261" s="3"/>
      <c r="L1261" s="3"/>
      <c r="M1261" s="3"/>
      <c r="N1261" s="3"/>
      <c r="O1261" s="3"/>
      <c r="P1261" s="3"/>
      <c r="Q1261" s="3"/>
      <c r="R1261" s="3"/>
      <c r="S1261" s="3"/>
      <c r="T1261" s="3"/>
      <c r="U1261" s="3"/>
      <c r="V1261" s="3"/>
      <c r="W1261" s="3"/>
      <c r="X1261" s="3"/>
      <c r="Y1261" s="3"/>
      <c r="Z1261" s="3"/>
      <c r="AA1261" s="3"/>
      <c r="AB1261" s="3"/>
      <c r="AC1261" s="3"/>
      <c r="AD1261" s="3"/>
      <c r="AE1261" s="3"/>
      <c r="AF1261" s="3"/>
      <c r="AG1261" s="3"/>
      <c r="AH1261" s="3"/>
      <c r="AI1261" s="3"/>
      <c r="AJ1261" s="3"/>
      <c r="AK1261" s="3"/>
      <c r="AL1261" s="3"/>
      <c r="AM1261" s="3"/>
      <c r="AN1261" s="3"/>
      <c r="AO1261" s="3"/>
      <c r="AP1261" s="3"/>
      <c r="AQ1261" s="3"/>
      <c r="AR1261" s="3"/>
      <c r="AS1261" s="3"/>
      <c r="AT1261" s="3"/>
      <c r="AU1261" s="3"/>
      <c r="AV1261" s="3"/>
      <c r="AW1261" s="3"/>
      <c r="AX1261" s="3"/>
      <c r="AY1261" s="3"/>
      <c r="AZ1261" s="3"/>
      <c r="BA1261" s="3"/>
      <c r="BB1261" s="3"/>
      <c r="BC1261" s="3"/>
    </row>
    <row r="1262" spans="1:55">
      <c r="A1262" s="1" t="str">
        <f>'Population Definitions'!$A$14</f>
        <v>Prisoners_PWID_males</v>
      </c>
      <c r="C1262" t="s">
        <v>34</v>
      </c>
      <c r="D1262" s="3"/>
      <c r="E1262" s="3">
        <v>0</v>
      </c>
      <c r="F1262" s="3"/>
      <c r="G1262" s="3"/>
      <c r="H1262" s="3"/>
      <c r="I1262" s="3"/>
      <c r="J1262" s="3"/>
      <c r="K1262" s="3"/>
      <c r="L1262" s="3"/>
      <c r="M1262" s="3"/>
      <c r="N1262" s="3"/>
      <c r="O1262" s="3"/>
      <c r="P1262" s="3"/>
      <c r="Q1262" s="3"/>
      <c r="R1262" s="3"/>
      <c r="S1262" s="3"/>
      <c r="T1262" s="3"/>
      <c r="U1262" s="3"/>
      <c r="V1262" s="3"/>
      <c r="W1262" s="3"/>
      <c r="X1262" s="3"/>
      <c r="Y1262" s="3"/>
      <c r="Z1262" s="3"/>
      <c r="AA1262" s="3"/>
      <c r="AB1262" s="3"/>
      <c r="AC1262" s="3"/>
      <c r="AD1262" s="3"/>
      <c r="AE1262" s="3"/>
      <c r="AF1262" s="3"/>
      <c r="AG1262" s="3"/>
      <c r="AH1262" s="3"/>
      <c r="AI1262" s="3"/>
      <c r="AJ1262" s="3"/>
      <c r="AK1262" s="3"/>
      <c r="AL1262" s="3"/>
      <c r="AM1262" s="3"/>
      <c r="AN1262" s="3"/>
      <c r="AO1262" s="3"/>
      <c r="AP1262" s="3"/>
      <c r="AQ1262" s="3"/>
      <c r="AR1262" s="3"/>
      <c r="AS1262" s="3"/>
      <c r="AT1262" s="3"/>
      <c r="AU1262" s="3"/>
      <c r="AV1262" s="3"/>
      <c r="AW1262" s="3"/>
      <c r="AX1262" s="3"/>
      <c r="AY1262" s="3"/>
      <c r="AZ1262" s="3"/>
      <c r="BA1262" s="3"/>
      <c r="BB1262" s="3"/>
      <c r="BC1262" s="3"/>
    </row>
    <row r="1263" spans="1:55">
      <c r="A1263" s="1" t="str">
        <f>'Population Definitions'!$A$15</f>
        <v>Prisoners_PWID_females</v>
      </c>
      <c r="C1263" t="s">
        <v>34</v>
      </c>
      <c r="D1263" s="3"/>
      <c r="E1263" s="3">
        <v>0</v>
      </c>
      <c r="F1263" s="3"/>
      <c r="G1263" s="3"/>
      <c r="H1263" s="3"/>
      <c r="I1263" s="3"/>
      <c r="J1263" s="3"/>
      <c r="K1263" s="3"/>
      <c r="L1263" s="3"/>
      <c r="M1263" s="3"/>
      <c r="N1263" s="3"/>
      <c r="O1263" s="3"/>
      <c r="P1263" s="3"/>
      <c r="Q1263" s="3"/>
      <c r="R1263" s="3"/>
      <c r="S1263" s="3"/>
      <c r="T1263" s="3"/>
      <c r="U1263" s="3"/>
      <c r="V1263" s="3"/>
      <c r="W1263" s="3"/>
      <c r="X1263" s="3"/>
      <c r="Y1263" s="3"/>
      <c r="Z1263" s="3"/>
      <c r="AA1263" s="3"/>
      <c r="AB1263" s="3"/>
      <c r="AC1263" s="3"/>
      <c r="AD1263" s="3"/>
      <c r="AE1263" s="3"/>
      <c r="AF1263" s="3"/>
      <c r="AG1263" s="3"/>
      <c r="AH1263" s="3"/>
      <c r="AI1263" s="3"/>
      <c r="AJ1263" s="3"/>
      <c r="AK1263" s="3"/>
      <c r="AL1263" s="3"/>
      <c r="AM1263" s="3"/>
      <c r="AN1263" s="3"/>
      <c r="AO1263" s="3"/>
      <c r="AP1263" s="3"/>
      <c r="AQ1263" s="3"/>
      <c r="AR1263" s="3"/>
      <c r="AS1263" s="3"/>
      <c r="AT1263" s="3"/>
      <c r="AU1263" s="3"/>
      <c r="AV1263" s="3"/>
      <c r="AW1263" s="3"/>
      <c r="AX1263" s="3"/>
      <c r="AY1263" s="3"/>
      <c r="AZ1263" s="3"/>
      <c r="BA1263" s="3"/>
      <c r="BB1263" s="3"/>
      <c r="BC1263" s="3"/>
    </row>
    <row r="1265" spans="1:55">
      <c r="A1265" s="1" t="s">
        <v>206</v>
      </c>
      <c r="B1265" s="1" t="s">
        <v>31</v>
      </c>
      <c r="C1265" s="1" t="s">
        <v>32</v>
      </c>
      <c r="D1265" s="1" t="s">
        <v>33</v>
      </c>
      <c r="E1265" s="1">
        <v>2000</v>
      </c>
      <c r="F1265" s="1">
        <v>2001</v>
      </c>
      <c r="G1265" s="1">
        <v>2002</v>
      </c>
      <c r="H1265" s="1">
        <v>2003</v>
      </c>
      <c r="I1265" s="1">
        <v>2004</v>
      </c>
      <c r="J1265" s="1">
        <v>2005</v>
      </c>
      <c r="K1265" s="1">
        <v>2006</v>
      </c>
      <c r="L1265" s="1">
        <v>2007</v>
      </c>
      <c r="M1265" s="1">
        <v>2008</v>
      </c>
      <c r="N1265" s="1">
        <v>2009</v>
      </c>
      <c r="O1265" s="1">
        <v>2010</v>
      </c>
      <c r="P1265" s="1">
        <v>2011</v>
      </c>
      <c r="Q1265" s="1">
        <v>2012</v>
      </c>
      <c r="R1265" s="1">
        <v>2013</v>
      </c>
      <c r="S1265" s="1">
        <v>2014</v>
      </c>
      <c r="T1265" s="1">
        <v>2015</v>
      </c>
      <c r="U1265" s="1">
        <v>2016</v>
      </c>
      <c r="V1265" s="1">
        <v>2017</v>
      </c>
      <c r="W1265" s="1">
        <v>2018</v>
      </c>
      <c r="X1265" s="1">
        <v>2019</v>
      </c>
      <c r="Y1265" s="1">
        <v>2020</v>
      </c>
      <c r="Z1265" s="1">
        <v>2021</v>
      </c>
      <c r="AA1265" s="1">
        <v>2022</v>
      </c>
      <c r="AB1265" s="1">
        <v>2023</v>
      </c>
      <c r="AC1265" s="1">
        <v>2024</v>
      </c>
      <c r="AD1265" s="1">
        <v>2025</v>
      </c>
      <c r="AE1265" s="1">
        <v>2026</v>
      </c>
      <c r="AF1265" s="1">
        <v>2027</v>
      </c>
      <c r="AG1265" s="1">
        <v>2028</v>
      </c>
      <c r="AH1265" s="1">
        <v>2029</v>
      </c>
      <c r="AI1265" s="1">
        <v>2030</v>
      </c>
      <c r="AJ1265" s="1">
        <v>2031</v>
      </c>
      <c r="AK1265" s="1">
        <v>2032</v>
      </c>
      <c r="AL1265" s="1">
        <v>2033</v>
      </c>
      <c r="AM1265" s="1">
        <v>2034</v>
      </c>
      <c r="AN1265" s="1">
        <v>2035</v>
      </c>
      <c r="AO1265" s="1">
        <v>2036</v>
      </c>
      <c r="AP1265" s="1">
        <v>2037</v>
      </c>
      <c r="AQ1265" s="1">
        <v>2038</v>
      </c>
      <c r="AR1265" s="1">
        <v>2039</v>
      </c>
      <c r="AS1265" s="1">
        <v>2040</v>
      </c>
      <c r="AT1265" s="1">
        <v>2041</v>
      </c>
      <c r="AU1265" s="1">
        <v>2042</v>
      </c>
      <c r="AV1265" s="1">
        <v>2043</v>
      </c>
      <c r="AW1265" s="1">
        <v>2044</v>
      </c>
      <c r="AX1265" s="1">
        <v>2045</v>
      </c>
      <c r="AY1265" s="1">
        <v>2046</v>
      </c>
      <c r="AZ1265" s="1">
        <v>2047</v>
      </c>
      <c r="BA1265" s="1">
        <v>2048</v>
      </c>
      <c r="BB1265" s="1">
        <v>2049</v>
      </c>
      <c r="BC1265" s="1">
        <v>2050</v>
      </c>
    </row>
    <row r="1266" spans="1:55">
      <c r="A1266" s="1" t="str">
        <f>'Population Definitions'!$A$2</f>
        <v>PWID_males</v>
      </c>
      <c r="C1266" t="s">
        <v>34</v>
      </c>
      <c r="D1266" s="3"/>
      <c r="E1266" s="3">
        <v>0</v>
      </c>
      <c r="F1266" s="3"/>
      <c r="G1266" s="3"/>
      <c r="H1266" s="3"/>
      <c r="I1266" s="3"/>
      <c r="J1266" s="3"/>
      <c r="K1266" s="3"/>
      <c r="L1266" s="3"/>
      <c r="M1266" s="3"/>
      <c r="N1266" s="3"/>
      <c r="O1266" s="3"/>
      <c r="P1266" s="3"/>
      <c r="Q1266" s="3"/>
      <c r="R1266" s="3"/>
      <c r="S1266" s="3"/>
      <c r="T1266" s="3"/>
      <c r="U1266" s="3"/>
      <c r="V1266" s="3"/>
      <c r="W1266" s="3"/>
      <c r="X1266" s="3"/>
      <c r="Y1266" s="3"/>
      <c r="Z1266" s="3"/>
      <c r="AA1266" s="3"/>
      <c r="AB1266" s="3"/>
      <c r="AC1266" s="3"/>
      <c r="AD1266" s="3"/>
      <c r="AE1266" s="3"/>
      <c r="AF1266" s="3"/>
      <c r="AG1266" s="3"/>
      <c r="AH1266" s="3"/>
      <c r="AI1266" s="3"/>
      <c r="AJ1266" s="3"/>
      <c r="AK1266" s="3"/>
      <c r="AL1266" s="3"/>
      <c r="AM1266" s="3"/>
      <c r="AN1266" s="3"/>
      <c r="AO1266" s="3"/>
      <c r="AP1266" s="3"/>
      <c r="AQ1266" s="3"/>
      <c r="AR1266" s="3"/>
      <c r="AS1266" s="3"/>
      <c r="AT1266" s="3"/>
      <c r="AU1266" s="3"/>
      <c r="AV1266" s="3"/>
      <c r="AW1266" s="3"/>
      <c r="AX1266" s="3"/>
      <c r="AY1266" s="3"/>
      <c r="AZ1266" s="3"/>
      <c r="BA1266" s="3"/>
      <c r="BB1266" s="3"/>
      <c r="BC1266" s="3"/>
    </row>
    <row r="1267" spans="1:55">
      <c r="A1267" s="1" t="str">
        <f>'Population Definitions'!$A$3</f>
        <v>PWID_females</v>
      </c>
      <c r="C1267" t="s">
        <v>34</v>
      </c>
      <c r="D1267" s="3"/>
      <c r="E1267" s="3">
        <v>0</v>
      </c>
      <c r="F1267" s="3"/>
      <c r="G1267" s="3"/>
      <c r="H1267" s="3"/>
      <c r="I1267" s="3"/>
      <c r="J1267" s="3"/>
      <c r="K1267" s="3"/>
      <c r="L1267" s="3"/>
      <c r="M1267" s="3"/>
      <c r="N1267" s="3"/>
      <c r="O1267" s="3"/>
      <c r="P1267" s="3"/>
      <c r="Q1267" s="3"/>
      <c r="R1267" s="3"/>
      <c r="S1267" s="3"/>
      <c r="T1267" s="3"/>
      <c r="U1267" s="3"/>
      <c r="V1267" s="3"/>
      <c r="W1267" s="3"/>
      <c r="X1267" s="3"/>
      <c r="Y1267" s="3"/>
      <c r="Z1267" s="3"/>
      <c r="AA1267" s="3"/>
      <c r="AB1267" s="3"/>
      <c r="AC1267" s="3"/>
      <c r="AD1267" s="3"/>
      <c r="AE1267" s="3"/>
      <c r="AF1267" s="3"/>
      <c r="AG1267" s="3"/>
      <c r="AH1267" s="3"/>
      <c r="AI1267" s="3"/>
      <c r="AJ1267" s="3"/>
      <c r="AK1267" s="3"/>
      <c r="AL1267" s="3"/>
      <c r="AM1267" s="3"/>
      <c r="AN1267" s="3"/>
      <c r="AO1267" s="3"/>
      <c r="AP1267" s="3"/>
      <c r="AQ1267" s="3"/>
      <c r="AR1267" s="3"/>
      <c r="AS1267" s="3"/>
      <c r="AT1267" s="3"/>
      <c r="AU1267" s="3"/>
      <c r="AV1267" s="3"/>
      <c r="AW1267" s="3"/>
      <c r="AX1267" s="3"/>
      <c r="AY1267" s="3"/>
      <c r="AZ1267" s="3"/>
      <c r="BA1267" s="3"/>
      <c r="BB1267" s="3"/>
      <c r="BC1267" s="3"/>
    </row>
    <row r="1268" spans="1:55">
      <c r="A1268" s="1" t="str">
        <f>'Population Definitions'!$A$4</f>
        <v>0-9_males</v>
      </c>
      <c r="C1268" t="s">
        <v>34</v>
      </c>
      <c r="D1268" s="3"/>
      <c r="E1268" s="3">
        <v>0</v>
      </c>
      <c r="F1268" s="3"/>
      <c r="G1268" s="3"/>
      <c r="H1268" s="3"/>
      <c r="I1268" s="3"/>
      <c r="J1268" s="3"/>
      <c r="K1268" s="3"/>
      <c r="L1268" s="3"/>
      <c r="M1268" s="3"/>
      <c r="N1268" s="3"/>
      <c r="O1268" s="3"/>
      <c r="P1268" s="3"/>
      <c r="Q1268" s="3"/>
      <c r="R1268" s="3"/>
      <c r="S1268" s="3"/>
      <c r="T1268" s="3"/>
      <c r="U1268" s="3"/>
      <c r="V1268" s="3"/>
      <c r="W1268" s="3"/>
      <c r="X1268" s="3"/>
      <c r="Y1268" s="3"/>
      <c r="Z1268" s="3"/>
      <c r="AA1268" s="3"/>
      <c r="AB1268" s="3"/>
      <c r="AC1268" s="3"/>
      <c r="AD1268" s="3"/>
      <c r="AE1268" s="3"/>
      <c r="AF1268" s="3"/>
      <c r="AG1268" s="3"/>
      <c r="AH1268" s="3"/>
      <c r="AI1268" s="3"/>
      <c r="AJ1268" s="3"/>
      <c r="AK1268" s="3"/>
      <c r="AL1268" s="3"/>
      <c r="AM1268" s="3"/>
      <c r="AN1268" s="3"/>
      <c r="AO1268" s="3"/>
      <c r="AP1268" s="3"/>
      <c r="AQ1268" s="3"/>
      <c r="AR1268" s="3"/>
      <c r="AS1268" s="3"/>
      <c r="AT1268" s="3"/>
      <c r="AU1268" s="3"/>
      <c r="AV1268" s="3"/>
      <c r="AW1268" s="3"/>
      <c r="AX1268" s="3"/>
      <c r="AY1268" s="3"/>
      <c r="AZ1268" s="3"/>
      <c r="BA1268" s="3"/>
      <c r="BB1268" s="3"/>
      <c r="BC1268" s="3"/>
    </row>
    <row r="1269" spans="1:55">
      <c r="A1269" s="1" t="str">
        <f>'Population Definitions'!$A$5</f>
        <v>0-9_females</v>
      </c>
      <c r="C1269" t="s">
        <v>34</v>
      </c>
      <c r="D1269" s="3"/>
      <c r="E1269" s="3">
        <v>0</v>
      </c>
      <c r="F1269" s="3"/>
      <c r="G1269" s="3"/>
      <c r="H1269" s="3"/>
      <c r="I1269" s="3"/>
      <c r="J1269" s="3"/>
      <c r="K1269" s="3"/>
      <c r="L1269" s="3"/>
      <c r="M1269" s="3"/>
      <c r="N1269" s="3"/>
      <c r="O1269" s="3"/>
      <c r="P1269" s="3"/>
      <c r="Q1269" s="3"/>
      <c r="R1269" s="3"/>
      <c r="S1269" s="3"/>
      <c r="T1269" s="3"/>
      <c r="U1269" s="3"/>
      <c r="V1269" s="3"/>
      <c r="W1269" s="3"/>
      <c r="X1269" s="3"/>
      <c r="Y1269" s="3"/>
      <c r="Z1269" s="3"/>
      <c r="AA1269" s="3"/>
      <c r="AB1269" s="3"/>
      <c r="AC1269" s="3"/>
      <c r="AD1269" s="3"/>
      <c r="AE1269" s="3"/>
      <c r="AF1269" s="3"/>
      <c r="AG1269" s="3"/>
      <c r="AH1269" s="3"/>
      <c r="AI1269" s="3"/>
      <c r="AJ1269" s="3"/>
      <c r="AK1269" s="3"/>
      <c r="AL1269" s="3"/>
      <c r="AM1269" s="3"/>
      <c r="AN1269" s="3"/>
      <c r="AO1269" s="3"/>
      <c r="AP1269" s="3"/>
      <c r="AQ1269" s="3"/>
      <c r="AR1269" s="3"/>
      <c r="AS1269" s="3"/>
      <c r="AT1269" s="3"/>
      <c r="AU1269" s="3"/>
      <c r="AV1269" s="3"/>
      <c r="AW1269" s="3"/>
      <c r="AX1269" s="3"/>
      <c r="AY1269" s="3"/>
      <c r="AZ1269" s="3"/>
      <c r="BA1269" s="3"/>
      <c r="BB1269" s="3"/>
      <c r="BC1269" s="3"/>
    </row>
    <row r="1270" spans="1:55">
      <c r="A1270" s="1" t="str">
        <f>'Population Definitions'!$A$6</f>
        <v>10-17_males</v>
      </c>
      <c r="C1270" t="s">
        <v>34</v>
      </c>
      <c r="D1270" s="3"/>
      <c r="E1270" s="3">
        <v>0</v>
      </c>
      <c r="F1270" s="3"/>
      <c r="G1270" s="3"/>
      <c r="H1270" s="3"/>
      <c r="I1270" s="3"/>
      <c r="J1270" s="3"/>
      <c r="K1270" s="3"/>
      <c r="L1270" s="3"/>
      <c r="M1270" s="3"/>
      <c r="N1270" s="3"/>
      <c r="O1270" s="3"/>
      <c r="P1270" s="3"/>
      <c r="Q1270" s="3"/>
      <c r="R1270" s="3"/>
      <c r="S1270" s="3"/>
      <c r="T1270" s="3"/>
      <c r="U1270" s="3"/>
      <c r="V1270" s="3"/>
      <c r="W1270" s="3"/>
      <c r="X1270" s="3"/>
      <c r="Y1270" s="3"/>
      <c r="Z1270" s="3"/>
      <c r="AA1270" s="3"/>
      <c r="AB1270" s="3"/>
      <c r="AC1270" s="3"/>
      <c r="AD1270" s="3"/>
      <c r="AE1270" s="3"/>
      <c r="AF1270" s="3"/>
      <c r="AG1270" s="3"/>
      <c r="AH1270" s="3"/>
      <c r="AI1270" s="3"/>
      <c r="AJ1270" s="3"/>
      <c r="AK1270" s="3"/>
      <c r="AL1270" s="3"/>
      <c r="AM1270" s="3"/>
      <c r="AN1270" s="3"/>
      <c r="AO1270" s="3"/>
      <c r="AP1270" s="3"/>
      <c r="AQ1270" s="3"/>
      <c r="AR1270" s="3"/>
      <c r="AS1270" s="3"/>
      <c r="AT1270" s="3"/>
      <c r="AU1270" s="3"/>
      <c r="AV1270" s="3"/>
      <c r="AW1270" s="3"/>
      <c r="AX1270" s="3"/>
      <c r="AY1270" s="3"/>
      <c r="AZ1270" s="3"/>
      <c r="BA1270" s="3"/>
      <c r="BB1270" s="3"/>
      <c r="BC1270" s="3"/>
    </row>
    <row r="1271" spans="1:55">
      <c r="A1271" s="1" t="str">
        <f>'Population Definitions'!$A$7</f>
        <v>10-17_females</v>
      </c>
      <c r="C1271" t="s">
        <v>34</v>
      </c>
      <c r="D1271" s="3"/>
      <c r="E1271" s="3">
        <v>0</v>
      </c>
      <c r="F1271" s="3"/>
      <c r="G1271" s="3"/>
      <c r="H1271" s="3"/>
      <c r="I1271" s="3"/>
      <c r="J1271" s="3"/>
      <c r="K1271" s="3"/>
      <c r="L1271" s="3"/>
      <c r="M1271" s="3"/>
      <c r="N1271" s="3"/>
      <c r="O1271" s="3"/>
      <c r="P1271" s="3"/>
      <c r="Q1271" s="3"/>
      <c r="R1271" s="3"/>
      <c r="S1271" s="3"/>
      <c r="T1271" s="3"/>
      <c r="U1271" s="3"/>
      <c r="V1271" s="3"/>
      <c r="W1271" s="3"/>
      <c r="X1271" s="3"/>
      <c r="Y1271" s="3"/>
      <c r="Z1271" s="3"/>
      <c r="AA1271" s="3"/>
      <c r="AB1271" s="3"/>
      <c r="AC1271" s="3"/>
      <c r="AD1271" s="3"/>
      <c r="AE1271" s="3"/>
      <c r="AF1271" s="3"/>
      <c r="AG1271" s="3"/>
      <c r="AH1271" s="3"/>
      <c r="AI1271" s="3"/>
      <c r="AJ1271" s="3"/>
      <c r="AK1271" s="3"/>
      <c r="AL1271" s="3"/>
      <c r="AM1271" s="3"/>
      <c r="AN1271" s="3"/>
      <c r="AO1271" s="3"/>
      <c r="AP1271" s="3"/>
      <c r="AQ1271" s="3"/>
      <c r="AR1271" s="3"/>
      <c r="AS1271" s="3"/>
      <c r="AT1271" s="3"/>
      <c r="AU1271" s="3"/>
      <c r="AV1271" s="3"/>
      <c r="AW1271" s="3"/>
      <c r="AX1271" s="3"/>
      <c r="AY1271" s="3"/>
      <c r="AZ1271" s="3"/>
      <c r="BA1271" s="3"/>
      <c r="BB1271" s="3"/>
      <c r="BC1271" s="3"/>
    </row>
    <row r="1272" spans="1:55">
      <c r="A1272" s="1" t="str">
        <f>'Population Definitions'!$A$8</f>
        <v>18-64_males</v>
      </c>
      <c r="C1272" t="s">
        <v>34</v>
      </c>
      <c r="D1272" s="3"/>
      <c r="E1272" s="3">
        <v>0</v>
      </c>
      <c r="F1272" s="3"/>
      <c r="G1272" s="3"/>
      <c r="H1272" s="3"/>
      <c r="I1272" s="3"/>
      <c r="J1272" s="3"/>
      <c r="K1272" s="3"/>
      <c r="L1272" s="3"/>
      <c r="M1272" s="3"/>
      <c r="N1272" s="3"/>
      <c r="O1272" s="3"/>
      <c r="P1272" s="3"/>
      <c r="Q1272" s="3"/>
      <c r="R1272" s="3"/>
      <c r="S1272" s="3"/>
      <c r="T1272" s="3"/>
      <c r="U1272" s="3"/>
      <c r="V1272" s="3"/>
      <c r="W1272" s="3"/>
      <c r="X1272" s="3"/>
      <c r="Y1272" s="3"/>
      <c r="Z1272" s="3"/>
      <c r="AA1272" s="3"/>
      <c r="AB1272" s="3"/>
      <c r="AC1272" s="3"/>
      <c r="AD1272" s="3"/>
      <c r="AE1272" s="3"/>
      <c r="AF1272" s="3"/>
      <c r="AG1272" s="3"/>
      <c r="AH1272" s="3"/>
      <c r="AI1272" s="3"/>
      <c r="AJ1272" s="3"/>
      <c r="AK1272" s="3"/>
      <c r="AL1272" s="3"/>
      <c r="AM1272" s="3"/>
      <c r="AN1272" s="3"/>
      <c r="AO1272" s="3"/>
      <c r="AP1272" s="3"/>
      <c r="AQ1272" s="3"/>
      <c r="AR1272" s="3"/>
      <c r="AS1272" s="3"/>
      <c r="AT1272" s="3"/>
      <c r="AU1272" s="3"/>
      <c r="AV1272" s="3"/>
      <c r="AW1272" s="3"/>
      <c r="AX1272" s="3"/>
      <c r="AY1272" s="3"/>
      <c r="AZ1272" s="3"/>
      <c r="BA1272" s="3"/>
      <c r="BB1272" s="3"/>
      <c r="BC1272" s="3"/>
    </row>
    <row r="1273" spans="1:55">
      <c r="A1273" s="1" t="str">
        <f>'Population Definitions'!$A$9</f>
        <v>18-64_females</v>
      </c>
      <c r="C1273" t="s">
        <v>34</v>
      </c>
      <c r="D1273" s="3"/>
      <c r="E1273" s="3">
        <v>0</v>
      </c>
      <c r="F1273" s="3"/>
      <c r="G1273" s="3"/>
      <c r="H1273" s="3"/>
      <c r="I1273" s="3"/>
      <c r="J1273" s="3"/>
      <c r="K1273" s="3"/>
      <c r="L1273" s="3"/>
      <c r="M1273" s="3"/>
      <c r="N1273" s="3"/>
      <c r="O1273" s="3"/>
      <c r="P1273" s="3"/>
      <c r="Q1273" s="3"/>
      <c r="R1273" s="3"/>
      <c r="S1273" s="3"/>
      <c r="T1273" s="3"/>
      <c r="U1273" s="3"/>
      <c r="V1273" s="3"/>
      <c r="W1273" s="3"/>
      <c r="X1273" s="3"/>
      <c r="Y1273" s="3"/>
      <c r="Z1273" s="3"/>
      <c r="AA1273" s="3"/>
      <c r="AB1273" s="3"/>
      <c r="AC1273" s="3"/>
      <c r="AD1273" s="3"/>
      <c r="AE1273" s="3"/>
      <c r="AF1273" s="3"/>
      <c r="AG1273" s="3"/>
      <c r="AH1273" s="3"/>
      <c r="AI1273" s="3"/>
      <c r="AJ1273" s="3"/>
      <c r="AK1273" s="3"/>
      <c r="AL1273" s="3"/>
      <c r="AM1273" s="3"/>
      <c r="AN1273" s="3"/>
      <c r="AO1273" s="3"/>
      <c r="AP1273" s="3"/>
      <c r="AQ1273" s="3"/>
      <c r="AR1273" s="3"/>
      <c r="AS1273" s="3"/>
      <c r="AT1273" s="3"/>
      <c r="AU1273" s="3"/>
      <c r="AV1273" s="3"/>
      <c r="AW1273" s="3"/>
      <c r="AX1273" s="3"/>
      <c r="AY1273" s="3"/>
      <c r="AZ1273" s="3"/>
      <c r="BA1273" s="3"/>
      <c r="BB1273" s="3"/>
      <c r="BC1273" s="3"/>
    </row>
    <row r="1274" spans="1:55">
      <c r="A1274" s="1" t="str">
        <f>'Population Definitions'!$A$10</f>
        <v>65+_males</v>
      </c>
      <c r="C1274" t="s">
        <v>34</v>
      </c>
      <c r="D1274" s="3"/>
      <c r="E1274" s="3">
        <v>0</v>
      </c>
      <c r="F1274" s="3"/>
      <c r="G1274" s="3"/>
      <c r="H1274" s="3"/>
      <c r="I1274" s="3"/>
      <c r="J1274" s="3"/>
      <c r="K1274" s="3"/>
      <c r="L1274" s="3"/>
      <c r="M1274" s="3"/>
      <c r="N1274" s="3"/>
      <c r="O1274" s="3"/>
      <c r="P1274" s="3"/>
      <c r="Q1274" s="3"/>
      <c r="R1274" s="3"/>
      <c r="S1274" s="3"/>
      <c r="T1274" s="3"/>
      <c r="U1274" s="3"/>
      <c r="V1274" s="3"/>
      <c r="W1274" s="3"/>
      <c r="X1274" s="3"/>
      <c r="Y1274" s="3"/>
      <c r="Z1274" s="3"/>
      <c r="AA1274" s="3"/>
      <c r="AB1274" s="3"/>
      <c r="AC1274" s="3"/>
      <c r="AD1274" s="3"/>
      <c r="AE1274" s="3"/>
      <c r="AF1274" s="3"/>
      <c r="AG1274" s="3"/>
      <c r="AH1274" s="3"/>
      <c r="AI1274" s="3"/>
      <c r="AJ1274" s="3"/>
      <c r="AK1274" s="3"/>
      <c r="AL1274" s="3"/>
      <c r="AM1274" s="3"/>
      <c r="AN1274" s="3"/>
      <c r="AO1274" s="3"/>
      <c r="AP1274" s="3"/>
      <c r="AQ1274" s="3"/>
      <c r="AR1274" s="3"/>
      <c r="AS1274" s="3"/>
      <c r="AT1274" s="3"/>
      <c r="AU1274" s="3"/>
      <c r="AV1274" s="3"/>
      <c r="AW1274" s="3"/>
      <c r="AX1274" s="3"/>
      <c r="AY1274" s="3"/>
      <c r="AZ1274" s="3"/>
      <c r="BA1274" s="3"/>
      <c r="BB1274" s="3"/>
      <c r="BC1274" s="3"/>
    </row>
    <row r="1275" spans="1:55">
      <c r="A1275" s="1" t="str">
        <f>'Population Definitions'!$A$11</f>
        <v>65+_females</v>
      </c>
      <c r="C1275" t="s">
        <v>34</v>
      </c>
      <c r="D1275" s="3"/>
      <c r="E1275" s="3">
        <v>0</v>
      </c>
      <c r="F1275" s="3"/>
      <c r="G1275" s="3"/>
      <c r="H1275" s="3"/>
      <c r="I1275" s="3"/>
      <c r="J1275" s="3"/>
      <c r="K1275" s="3"/>
      <c r="L1275" s="3"/>
      <c r="M1275" s="3"/>
      <c r="N1275" s="3"/>
      <c r="O1275" s="3"/>
      <c r="P1275" s="3"/>
      <c r="Q1275" s="3"/>
      <c r="R1275" s="3"/>
      <c r="S1275" s="3"/>
      <c r="T1275" s="3"/>
      <c r="U1275" s="3"/>
      <c r="V1275" s="3"/>
      <c r="W1275" s="3"/>
      <c r="X1275" s="3"/>
      <c r="Y1275" s="3"/>
      <c r="Z1275" s="3"/>
      <c r="AA1275" s="3"/>
      <c r="AB1275" s="3"/>
      <c r="AC1275" s="3"/>
      <c r="AD1275" s="3"/>
      <c r="AE1275" s="3"/>
      <c r="AF1275" s="3"/>
      <c r="AG1275" s="3"/>
      <c r="AH1275" s="3"/>
      <c r="AI1275" s="3"/>
      <c r="AJ1275" s="3"/>
      <c r="AK1275" s="3"/>
      <c r="AL1275" s="3"/>
      <c r="AM1275" s="3"/>
      <c r="AN1275" s="3"/>
      <c r="AO1275" s="3"/>
      <c r="AP1275" s="3"/>
      <c r="AQ1275" s="3"/>
      <c r="AR1275" s="3"/>
      <c r="AS1275" s="3"/>
      <c r="AT1275" s="3"/>
      <c r="AU1275" s="3"/>
      <c r="AV1275" s="3"/>
      <c r="AW1275" s="3"/>
      <c r="AX1275" s="3"/>
      <c r="AY1275" s="3"/>
      <c r="AZ1275" s="3"/>
      <c r="BA1275" s="3"/>
      <c r="BB1275" s="3"/>
      <c r="BC1275" s="3"/>
    </row>
    <row r="1276" spans="1:55">
      <c r="A1276" s="1" t="str">
        <f>'Population Definitions'!$A$12</f>
        <v>Prisoners_males</v>
      </c>
      <c r="C1276" t="s">
        <v>34</v>
      </c>
      <c r="D1276" s="3"/>
      <c r="E1276" s="3">
        <v>0</v>
      </c>
      <c r="F1276" s="3"/>
      <c r="G1276" s="3"/>
      <c r="H1276" s="3"/>
      <c r="I1276" s="3"/>
      <c r="J1276" s="3"/>
      <c r="K1276" s="3"/>
      <c r="L1276" s="3"/>
      <c r="M1276" s="3"/>
      <c r="N1276" s="3"/>
      <c r="O1276" s="3"/>
      <c r="P1276" s="3"/>
      <c r="Q1276" s="3"/>
      <c r="R1276" s="3"/>
      <c r="S1276" s="3"/>
      <c r="T1276" s="3"/>
      <c r="U1276" s="3"/>
      <c r="V1276" s="3"/>
      <c r="W1276" s="3"/>
      <c r="X1276" s="3"/>
      <c r="Y1276" s="3"/>
      <c r="Z1276" s="3"/>
      <c r="AA1276" s="3"/>
      <c r="AB1276" s="3"/>
      <c r="AC1276" s="3"/>
      <c r="AD1276" s="3"/>
      <c r="AE1276" s="3"/>
      <c r="AF1276" s="3"/>
      <c r="AG1276" s="3"/>
      <c r="AH1276" s="3"/>
      <c r="AI1276" s="3"/>
      <c r="AJ1276" s="3"/>
      <c r="AK1276" s="3"/>
      <c r="AL1276" s="3"/>
      <c r="AM1276" s="3"/>
      <c r="AN1276" s="3"/>
      <c r="AO1276" s="3"/>
      <c r="AP1276" s="3"/>
      <c r="AQ1276" s="3"/>
      <c r="AR1276" s="3"/>
      <c r="AS1276" s="3"/>
      <c r="AT1276" s="3"/>
      <c r="AU1276" s="3"/>
      <c r="AV1276" s="3"/>
      <c r="AW1276" s="3"/>
      <c r="AX1276" s="3"/>
      <c r="AY1276" s="3"/>
      <c r="AZ1276" s="3"/>
      <c r="BA1276" s="3"/>
      <c r="BB1276" s="3"/>
      <c r="BC1276" s="3"/>
    </row>
    <row r="1277" spans="1:55">
      <c r="A1277" s="1" t="str">
        <f>'Population Definitions'!$A$13</f>
        <v>Prisoners_females</v>
      </c>
      <c r="C1277" t="s">
        <v>34</v>
      </c>
      <c r="D1277" s="3"/>
      <c r="E1277" s="3">
        <v>0</v>
      </c>
      <c r="F1277" s="3"/>
      <c r="G1277" s="3"/>
      <c r="H1277" s="3"/>
      <c r="I1277" s="3"/>
      <c r="J1277" s="3"/>
      <c r="K1277" s="3"/>
      <c r="L1277" s="3"/>
      <c r="M1277" s="3"/>
      <c r="N1277" s="3"/>
      <c r="O1277" s="3"/>
      <c r="P1277" s="3"/>
      <c r="Q1277" s="3"/>
      <c r="R1277" s="3"/>
      <c r="S1277" s="3"/>
      <c r="T1277" s="3"/>
      <c r="U1277" s="3"/>
      <c r="V1277" s="3"/>
      <c r="W1277" s="3"/>
      <c r="X1277" s="3"/>
      <c r="Y1277" s="3"/>
      <c r="Z1277" s="3"/>
      <c r="AA1277" s="3"/>
      <c r="AB1277" s="3"/>
      <c r="AC1277" s="3"/>
      <c r="AD1277" s="3"/>
      <c r="AE1277" s="3"/>
      <c r="AF1277" s="3"/>
      <c r="AG1277" s="3"/>
      <c r="AH1277" s="3"/>
      <c r="AI1277" s="3"/>
      <c r="AJ1277" s="3"/>
      <c r="AK1277" s="3"/>
      <c r="AL1277" s="3"/>
      <c r="AM1277" s="3"/>
      <c r="AN1277" s="3"/>
      <c r="AO1277" s="3"/>
      <c r="AP1277" s="3"/>
      <c r="AQ1277" s="3"/>
      <c r="AR1277" s="3"/>
      <c r="AS1277" s="3"/>
      <c r="AT1277" s="3"/>
      <c r="AU1277" s="3"/>
      <c r="AV1277" s="3"/>
      <c r="AW1277" s="3"/>
      <c r="AX1277" s="3"/>
      <c r="AY1277" s="3"/>
      <c r="AZ1277" s="3"/>
      <c r="BA1277" s="3"/>
      <c r="BB1277" s="3"/>
      <c r="BC1277" s="3"/>
    </row>
    <row r="1278" spans="1:55">
      <c r="A1278" s="1" t="str">
        <f>'Population Definitions'!$A$14</f>
        <v>Prisoners_PWID_males</v>
      </c>
      <c r="C1278" t="s">
        <v>34</v>
      </c>
      <c r="D1278" s="3"/>
      <c r="E1278" s="3">
        <v>0</v>
      </c>
      <c r="F1278" s="3"/>
      <c r="G1278" s="3"/>
      <c r="H1278" s="3"/>
      <c r="I1278" s="3"/>
      <c r="J1278" s="3"/>
      <c r="K1278" s="3"/>
      <c r="L1278" s="3"/>
      <c r="M1278" s="3"/>
      <c r="N1278" s="3"/>
      <c r="O1278" s="3"/>
      <c r="P1278" s="3"/>
      <c r="Q1278" s="3"/>
      <c r="R1278" s="3"/>
      <c r="S1278" s="3"/>
      <c r="T1278" s="3"/>
      <c r="U1278" s="3"/>
      <c r="V1278" s="3"/>
      <c r="W1278" s="3"/>
      <c r="X1278" s="3"/>
      <c r="Y1278" s="3"/>
      <c r="Z1278" s="3"/>
      <c r="AA1278" s="3"/>
      <c r="AB1278" s="3"/>
      <c r="AC1278" s="3"/>
      <c r="AD1278" s="3"/>
      <c r="AE1278" s="3"/>
      <c r="AF1278" s="3"/>
      <c r="AG1278" s="3"/>
      <c r="AH1278" s="3"/>
      <c r="AI1278" s="3"/>
      <c r="AJ1278" s="3"/>
      <c r="AK1278" s="3"/>
      <c r="AL1278" s="3"/>
      <c r="AM1278" s="3"/>
      <c r="AN1278" s="3"/>
      <c r="AO1278" s="3"/>
      <c r="AP1278" s="3"/>
      <c r="AQ1278" s="3"/>
      <c r="AR1278" s="3"/>
      <c r="AS1278" s="3"/>
      <c r="AT1278" s="3"/>
      <c r="AU1278" s="3"/>
      <c r="AV1278" s="3"/>
      <c r="AW1278" s="3"/>
      <c r="AX1278" s="3"/>
      <c r="AY1278" s="3"/>
      <c r="AZ1278" s="3"/>
      <c r="BA1278" s="3"/>
      <c r="BB1278" s="3"/>
      <c r="BC1278" s="3"/>
    </row>
    <row r="1279" spans="1:55">
      <c r="A1279" s="1" t="str">
        <f>'Population Definitions'!$A$15</f>
        <v>Prisoners_PWID_females</v>
      </c>
      <c r="C1279" t="s">
        <v>34</v>
      </c>
      <c r="D1279" s="3"/>
      <c r="E1279" s="3">
        <v>0</v>
      </c>
      <c r="F1279" s="3"/>
      <c r="G1279" s="3"/>
      <c r="H1279" s="3"/>
      <c r="I1279" s="3"/>
      <c r="J1279" s="3"/>
      <c r="K1279" s="3"/>
      <c r="L1279" s="3"/>
      <c r="M1279" s="3"/>
      <c r="N1279" s="3"/>
      <c r="O1279" s="3"/>
      <c r="P1279" s="3"/>
      <c r="Q1279" s="3"/>
      <c r="R1279" s="3"/>
      <c r="S1279" s="3"/>
      <c r="T1279" s="3"/>
      <c r="U1279" s="3"/>
      <c r="V1279" s="3"/>
      <c r="W1279" s="3"/>
      <c r="X1279" s="3"/>
      <c r="Y1279" s="3"/>
      <c r="Z1279" s="3"/>
      <c r="AA1279" s="3"/>
      <c r="AB1279" s="3"/>
      <c r="AC1279" s="3"/>
      <c r="AD1279" s="3"/>
      <c r="AE1279" s="3"/>
      <c r="AF1279" s="3"/>
      <c r="AG1279" s="3"/>
      <c r="AH1279" s="3"/>
      <c r="AI1279" s="3"/>
      <c r="AJ1279" s="3"/>
      <c r="AK1279" s="3"/>
      <c r="AL1279" s="3"/>
      <c r="AM1279" s="3"/>
      <c r="AN1279" s="3"/>
      <c r="AO1279" s="3"/>
      <c r="AP1279" s="3"/>
      <c r="AQ1279" s="3"/>
      <c r="AR1279" s="3"/>
      <c r="AS1279" s="3"/>
      <c r="AT1279" s="3"/>
      <c r="AU1279" s="3"/>
      <c r="AV1279" s="3"/>
      <c r="AW1279" s="3"/>
      <c r="AX1279" s="3"/>
      <c r="AY1279" s="3"/>
      <c r="AZ1279" s="3"/>
      <c r="BA1279" s="3"/>
      <c r="BB1279" s="3"/>
      <c r="BC1279" s="3"/>
    </row>
    <row r="1281" spans="1:55">
      <c r="A1281" s="1" t="s">
        <v>207</v>
      </c>
      <c r="B1281" s="1" t="s">
        <v>31</v>
      </c>
      <c r="C1281" s="1" t="s">
        <v>32</v>
      </c>
      <c r="D1281" s="1" t="s">
        <v>33</v>
      </c>
      <c r="E1281" s="1">
        <v>2000</v>
      </c>
      <c r="F1281" s="1">
        <v>2001</v>
      </c>
      <c r="G1281" s="1">
        <v>2002</v>
      </c>
      <c r="H1281" s="1">
        <v>2003</v>
      </c>
      <c r="I1281" s="1">
        <v>2004</v>
      </c>
      <c r="J1281" s="1">
        <v>2005</v>
      </c>
      <c r="K1281" s="1">
        <v>2006</v>
      </c>
      <c r="L1281" s="1">
        <v>2007</v>
      </c>
      <c r="M1281" s="1">
        <v>2008</v>
      </c>
      <c r="N1281" s="1">
        <v>2009</v>
      </c>
      <c r="O1281" s="1">
        <v>2010</v>
      </c>
      <c r="P1281" s="1">
        <v>2011</v>
      </c>
      <c r="Q1281" s="1">
        <v>2012</v>
      </c>
      <c r="R1281" s="1">
        <v>2013</v>
      </c>
      <c r="S1281" s="1">
        <v>2014</v>
      </c>
      <c r="T1281" s="1">
        <v>2015</v>
      </c>
      <c r="U1281" s="1">
        <v>2016</v>
      </c>
      <c r="V1281" s="1">
        <v>2017</v>
      </c>
      <c r="W1281" s="1">
        <v>2018</v>
      </c>
      <c r="X1281" s="1">
        <v>2019</v>
      </c>
      <c r="Y1281" s="1">
        <v>2020</v>
      </c>
      <c r="Z1281" s="1">
        <v>2021</v>
      </c>
      <c r="AA1281" s="1">
        <v>2022</v>
      </c>
      <c r="AB1281" s="1">
        <v>2023</v>
      </c>
      <c r="AC1281" s="1">
        <v>2024</v>
      </c>
      <c r="AD1281" s="1">
        <v>2025</v>
      </c>
      <c r="AE1281" s="1">
        <v>2026</v>
      </c>
      <c r="AF1281" s="1">
        <v>2027</v>
      </c>
      <c r="AG1281" s="1">
        <v>2028</v>
      </c>
      <c r="AH1281" s="1">
        <v>2029</v>
      </c>
      <c r="AI1281" s="1">
        <v>2030</v>
      </c>
      <c r="AJ1281" s="1">
        <v>2031</v>
      </c>
      <c r="AK1281" s="1">
        <v>2032</v>
      </c>
      <c r="AL1281" s="1">
        <v>2033</v>
      </c>
      <c r="AM1281" s="1">
        <v>2034</v>
      </c>
      <c r="AN1281" s="1">
        <v>2035</v>
      </c>
      <c r="AO1281" s="1">
        <v>2036</v>
      </c>
      <c r="AP1281" s="1">
        <v>2037</v>
      </c>
      <c r="AQ1281" s="1">
        <v>2038</v>
      </c>
      <c r="AR1281" s="1">
        <v>2039</v>
      </c>
      <c r="AS1281" s="1">
        <v>2040</v>
      </c>
      <c r="AT1281" s="1">
        <v>2041</v>
      </c>
      <c r="AU1281" s="1">
        <v>2042</v>
      </c>
      <c r="AV1281" s="1">
        <v>2043</v>
      </c>
      <c r="AW1281" s="1">
        <v>2044</v>
      </c>
      <c r="AX1281" s="1">
        <v>2045</v>
      </c>
      <c r="AY1281" s="1">
        <v>2046</v>
      </c>
      <c r="AZ1281" s="1">
        <v>2047</v>
      </c>
      <c r="BA1281" s="1">
        <v>2048</v>
      </c>
      <c r="BB1281" s="1">
        <v>2049</v>
      </c>
      <c r="BC1281" s="1">
        <v>2050</v>
      </c>
    </row>
    <row r="1282" spans="1:55">
      <c r="A1282" s="1" t="str">
        <f>'Population Definitions'!$A$2</f>
        <v>PWID_males</v>
      </c>
      <c r="C1282" t="s">
        <v>34</v>
      </c>
      <c r="D1282" s="3"/>
      <c r="E1282" s="3">
        <v>0</v>
      </c>
      <c r="F1282" s="3"/>
      <c r="G1282" s="3"/>
      <c r="H1282" s="3"/>
      <c r="I1282" s="3"/>
      <c r="J1282" s="3"/>
      <c r="K1282" s="3"/>
      <c r="L1282" s="3"/>
      <c r="M1282" s="3"/>
      <c r="N1282" s="3"/>
      <c r="O1282" s="3"/>
      <c r="P1282" s="3"/>
      <c r="Q1282" s="3"/>
      <c r="R1282" s="3"/>
      <c r="S1282" s="3"/>
      <c r="T1282" s="3"/>
      <c r="U1282" s="3"/>
      <c r="V1282" s="3"/>
      <c r="W1282" s="3"/>
      <c r="X1282" s="3"/>
      <c r="Y1282" s="3"/>
      <c r="Z1282" s="3"/>
      <c r="AA1282" s="3"/>
      <c r="AB1282" s="3"/>
      <c r="AC1282" s="3"/>
      <c r="AD1282" s="3"/>
      <c r="AE1282" s="3"/>
      <c r="AF1282" s="3"/>
      <c r="AG1282" s="3"/>
      <c r="AH1282" s="3"/>
      <c r="AI1282" s="3"/>
      <c r="AJ1282" s="3"/>
      <c r="AK1282" s="3"/>
      <c r="AL1282" s="3"/>
      <c r="AM1282" s="3"/>
      <c r="AN1282" s="3"/>
      <c r="AO1282" s="3"/>
      <c r="AP1282" s="3"/>
      <c r="AQ1282" s="3"/>
      <c r="AR1282" s="3"/>
      <c r="AS1282" s="3"/>
      <c r="AT1282" s="3"/>
      <c r="AU1282" s="3"/>
      <c r="AV1282" s="3"/>
      <c r="AW1282" s="3"/>
      <c r="AX1282" s="3"/>
      <c r="AY1282" s="3"/>
      <c r="AZ1282" s="3"/>
      <c r="BA1282" s="3"/>
      <c r="BB1282" s="3"/>
      <c r="BC1282" s="3"/>
    </row>
    <row r="1283" spans="1:55">
      <c r="A1283" s="1" t="str">
        <f>'Population Definitions'!$A$3</f>
        <v>PWID_females</v>
      </c>
      <c r="C1283" t="s">
        <v>34</v>
      </c>
      <c r="D1283" s="3"/>
      <c r="E1283" s="3">
        <v>0</v>
      </c>
      <c r="F1283" s="3"/>
      <c r="G1283" s="3"/>
      <c r="H1283" s="3"/>
      <c r="I1283" s="3"/>
      <c r="J1283" s="3"/>
      <c r="K1283" s="3"/>
      <c r="L1283" s="3"/>
      <c r="M1283" s="3"/>
      <c r="N1283" s="3"/>
      <c r="O1283" s="3"/>
      <c r="P1283" s="3"/>
      <c r="Q1283" s="3"/>
      <c r="R1283" s="3"/>
      <c r="S1283" s="3"/>
      <c r="T1283" s="3"/>
      <c r="U1283" s="3"/>
      <c r="V1283" s="3"/>
      <c r="W1283" s="3"/>
      <c r="X1283" s="3"/>
      <c r="Y1283" s="3"/>
      <c r="Z1283" s="3"/>
      <c r="AA1283" s="3"/>
      <c r="AB1283" s="3"/>
      <c r="AC1283" s="3"/>
      <c r="AD1283" s="3"/>
      <c r="AE1283" s="3"/>
      <c r="AF1283" s="3"/>
      <c r="AG1283" s="3"/>
      <c r="AH1283" s="3"/>
      <c r="AI1283" s="3"/>
      <c r="AJ1283" s="3"/>
      <c r="AK1283" s="3"/>
      <c r="AL1283" s="3"/>
      <c r="AM1283" s="3"/>
      <c r="AN1283" s="3"/>
      <c r="AO1283" s="3"/>
      <c r="AP1283" s="3"/>
      <c r="AQ1283" s="3"/>
      <c r="AR1283" s="3"/>
      <c r="AS1283" s="3"/>
      <c r="AT1283" s="3"/>
      <c r="AU1283" s="3"/>
      <c r="AV1283" s="3"/>
      <c r="AW1283" s="3"/>
      <c r="AX1283" s="3"/>
      <c r="AY1283" s="3"/>
      <c r="AZ1283" s="3"/>
      <c r="BA1283" s="3"/>
      <c r="BB1283" s="3"/>
      <c r="BC1283" s="3"/>
    </row>
    <row r="1284" spans="1:55">
      <c r="A1284" s="1" t="str">
        <f>'Population Definitions'!$A$4</f>
        <v>0-9_males</v>
      </c>
      <c r="C1284" t="s">
        <v>34</v>
      </c>
      <c r="D1284" s="3"/>
      <c r="E1284" s="3">
        <v>0</v>
      </c>
      <c r="F1284" s="3"/>
      <c r="G1284" s="3"/>
      <c r="H1284" s="3"/>
      <c r="I1284" s="3"/>
      <c r="J1284" s="3"/>
      <c r="K1284" s="3"/>
      <c r="L1284" s="3"/>
      <c r="M1284" s="3"/>
      <c r="N1284" s="3"/>
      <c r="O1284" s="3"/>
      <c r="P1284" s="3"/>
      <c r="Q1284" s="3"/>
      <c r="R1284" s="3"/>
      <c r="S1284" s="3"/>
      <c r="T1284" s="3"/>
      <c r="U1284" s="3"/>
      <c r="V1284" s="3"/>
      <c r="W1284" s="3"/>
      <c r="X1284" s="3"/>
      <c r="Y1284" s="3"/>
      <c r="Z1284" s="3"/>
      <c r="AA1284" s="3"/>
      <c r="AB1284" s="3"/>
      <c r="AC1284" s="3"/>
      <c r="AD1284" s="3"/>
      <c r="AE1284" s="3"/>
      <c r="AF1284" s="3"/>
      <c r="AG1284" s="3"/>
      <c r="AH1284" s="3"/>
      <c r="AI1284" s="3"/>
      <c r="AJ1284" s="3"/>
      <c r="AK1284" s="3"/>
      <c r="AL1284" s="3"/>
      <c r="AM1284" s="3"/>
      <c r="AN1284" s="3"/>
      <c r="AO1284" s="3"/>
      <c r="AP1284" s="3"/>
      <c r="AQ1284" s="3"/>
      <c r="AR1284" s="3"/>
      <c r="AS1284" s="3"/>
      <c r="AT1284" s="3"/>
      <c r="AU1284" s="3"/>
      <c r="AV1284" s="3"/>
      <c r="AW1284" s="3"/>
      <c r="AX1284" s="3"/>
      <c r="AY1284" s="3"/>
      <c r="AZ1284" s="3"/>
      <c r="BA1284" s="3"/>
      <c r="BB1284" s="3"/>
      <c r="BC1284" s="3"/>
    </row>
    <row r="1285" spans="1:55">
      <c r="A1285" s="1" t="str">
        <f>'Population Definitions'!$A$5</f>
        <v>0-9_females</v>
      </c>
      <c r="C1285" t="s">
        <v>34</v>
      </c>
      <c r="D1285" s="3"/>
      <c r="E1285" s="3">
        <v>0</v>
      </c>
      <c r="F1285" s="3"/>
      <c r="G1285" s="3"/>
      <c r="H1285" s="3"/>
      <c r="I1285" s="3"/>
      <c r="J1285" s="3"/>
      <c r="K1285" s="3"/>
      <c r="L1285" s="3"/>
      <c r="M1285" s="3"/>
      <c r="N1285" s="3"/>
      <c r="O1285" s="3"/>
      <c r="P1285" s="3"/>
      <c r="Q1285" s="3"/>
      <c r="R1285" s="3"/>
      <c r="S1285" s="3"/>
      <c r="T1285" s="3"/>
      <c r="U1285" s="3"/>
      <c r="V1285" s="3"/>
      <c r="W1285" s="3"/>
      <c r="X1285" s="3"/>
      <c r="Y1285" s="3"/>
      <c r="Z1285" s="3"/>
      <c r="AA1285" s="3"/>
      <c r="AB1285" s="3"/>
      <c r="AC1285" s="3"/>
      <c r="AD1285" s="3"/>
      <c r="AE1285" s="3"/>
      <c r="AF1285" s="3"/>
      <c r="AG1285" s="3"/>
      <c r="AH1285" s="3"/>
      <c r="AI1285" s="3"/>
      <c r="AJ1285" s="3"/>
      <c r="AK1285" s="3"/>
      <c r="AL1285" s="3"/>
      <c r="AM1285" s="3"/>
      <c r="AN1285" s="3"/>
      <c r="AO1285" s="3"/>
      <c r="AP1285" s="3"/>
      <c r="AQ1285" s="3"/>
      <c r="AR1285" s="3"/>
      <c r="AS1285" s="3"/>
      <c r="AT1285" s="3"/>
      <c r="AU1285" s="3"/>
      <c r="AV1285" s="3"/>
      <c r="AW1285" s="3"/>
      <c r="AX1285" s="3"/>
      <c r="AY1285" s="3"/>
      <c r="AZ1285" s="3"/>
      <c r="BA1285" s="3"/>
      <c r="BB1285" s="3"/>
      <c r="BC1285" s="3"/>
    </row>
    <row r="1286" spans="1:55">
      <c r="A1286" s="1" t="str">
        <f>'Population Definitions'!$A$6</f>
        <v>10-17_males</v>
      </c>
      <c r="C1286" t="s">
        <v>34</v>
      </c>
      <c r="D1286" s="3"/>
      <c r="E1286" s="3">
        <v>0</v>
      </c>
      <c r="F1286" s="3"/>
      <c r="G1286" s="3"/>
      <c r="H1286" s="3"/>
      <c r="I1286" s="3"/>
      <c r="J1286" s="3"/>
      <c r="K1286" s="3"/>
      <c r="L1286" s="3"/>
      <c r="M1286" s="3"/>
      <c r="N1286" s="3"/>
      <c r="O1286" s="3"/>
      <c r="P1286" s="3"/>
      <c r="Q1286" s="3"/>
      <c r="R1286" s="3"/>
      <c r="S1286" s="3"/>
      <c r="T1286" s="3"/>
      <c r="U1286" s="3"/>
      <c r="V1286" s="3"/>
      <c r="W1286" s="3"/>
      <c r="X1286" s="3"/>
      <c r="Y1286" s="3"/>
      <c r="Z1286" s="3"/>
      <c r="AA1286" s="3"/>
      <c r="AB1286" s="3"/>
      <c r="AC1286" s="3"/>
      <c r="AD1286" s="3"/>
      <c r="AE1286" s="3"/>
      <c r="AF1286" s="3"/>
      <c r="AG1286" s="3"/>
      <c r="AH1286" s="3"/>
      <c r="AI1286" s="3"/>
      <c r="AJ1286" s="3"/>
      <c r="AK1286" s="3"/>
      <c r="AL1286" s="3"/>
      <c r="AM1286" s="3"/>
      <c r="AN1286" s="3"/>
      <c r="AO1286" s="3"/>
      <c r="AP1286" s="3"/>
      <c r="AQ1286" s="3"/>
      <c r="AR1286" s="3"/>
      <c r="AS1286" s="3"/>
      <c r="AT1286" s="3"/>
      <c r="AU1286" s="3"/>
      <c r="AV1286" s="3"/>
      <c r="AW1286" s="3"/>
      <c r="AX1286" s="3"/>
      <c r="AY1286" s="3"/>
      <c r="AZ1286" s="3"/>
      <c r="BA1286" s="3"/>
      <c r="BB1286" s="3"/>
      <c r="BC1286" s="3"/>
    </row>
    <row r="1287" spans="1:55">
      <c r="A1287" s="1" t="str">
        <f>'Population Definitions'!$A$7</f>
        <v>10-17_females</v>
      </c>
      <c r="C1287" t="s">
        <v>34</v>
      </c>
      <c r="D1287" s="3"/>
      <c r="E1287" s="3">
        <v>0</v>
      </c>
      <c r="F1287" s="3"/>
      <c r="G1287" s="3"/>
      <c r="H1287" s="3"/>
      <c r="I1287" s="3"/>
      <c r="J1287" s="3"/>
      <c r="K1287" s="3"/>
      <c r="L1287" s="3"/>
      <c r="M1287" s="3"/>
      <c r="N1287" s="3"/>
      <c r="O1287" s="3"/>
      <c r="P1287" s="3"/>
      <c r="Q1287" s="3"/>
      <c r="R1287" s="3"/>
      <c r="S1287" s="3"/>
      <c r="T1287" s="3"/>
      <c r="U1287" s="3"/>
      <c r="V1287" s="3"/>
      <c r="W1287" s="3"/>
      <c r="X1287" s="3"/>
      <c r="Y1287" s="3"/>
      <c r="Z1287" s="3"/>
      <c r="AA1287" s="3"/>
      <c r="AB1287" s="3"/>
      <c r="AC1287" s="3"/>
      <c r="AD1287" s="3"/>
      <c r="AE1287" s="3"/>
      <c r="AF1287" s="3"/>
      <c r="AG1287" s="3"/>
      <c r="AH1287" s="3"/>
      <c r="AI1287" s="3"/>
      <c r="AJ1287" s="3"/>
      <c r="AK1287" s="3"/>
      <c r="AL1287" s="3"/>
      <c r="AM1287" s="3"/>
      <c r="AN1287" s="3"/>
      <c r="AO1287" s="3"/>
      <c r="AP1287" s="3"/>
      <c r="AQ1287" s="3"/>
      <c r="AR1287" s="3"/>
      <c r="AS1287" s="3"/>
      <c r="AT1287" s="3"/>
      <c r="AU1287" s="3"/>
      <c r="AV1287" s="3"/>
      <c r="AW1287" s="3"/>
      <c r="AX1287" s="3"/>
      <c r="AY1287" s="3"/>
      <c r="AZ1287" s="3"/>
      <c r="BA1287" s="3"/>
      <c r="BB1287" s="3"/>
      <c r="BC1287" s="3"/>
    </row>
    <row r="1288" spans="1:55">
      <c r="A1288" s="1" t="str">
        <f>'Population Definitions'!$A$8</f>
        <v>18-64_males</v>
      </c>
      <c r="C1288" t="s">
        <v>34</v>
      </c>
      <c r="D1288" s="3"/>
      <c r="E1288" s="3">
        <v>0</v>
      </c>
      <c r="F1288" s="3"/>
      <c r="G1288" s="3"/>
      <c r="H1288" s="3"/>
      <c r="I1288" s="3"/>
      <c r="J1288" s="3"/>
      <c r="K1288" s="3"/>
      <c r="L1288" s="3"/>
      <c r="M1288" s="3"/>
      <c r="N1288" s="3"/>
      <c r="O1288" s="3"/>
      <c r="P1288" s="3"/>
      <c r="Q1288" s="3"/>
      <c r="R1288" s="3"/>
      <c r="S1288" s="3"/>
      <c r="T1288" s="3"/>
      <c r="U1288" s="3"/>
      <c r="V1288" s="3"/>
      <c r="W1288" s="3"/>
      <c r="X1288" s="3"/>
      <c r="Y1288" s="3"/>
      <c r="Z1288" s="3"/>
      <c r="AA1288" s="3"/>
      <c r="AB1288" s="3"/>
      <c r="AC1288" s="3"/>
      <c r="AD1288" s="3"/>
      <c r="AE1288" s="3"/>
      <c r="AF1288" s="3"/>
      <c r="AG1288" s="3"/>
      <c r="AH1288" s="3"/>
      <c r="AI1288" s="3"/>
      <c r="AJ1288" s="3"/>
      <c r="AK1288" s="3"/>
      <c r="AL1288" s="3"/>
      <c r="AM1288" s="3"/>
      <c r="AN1288" s="3"/>
      <c r="AO1288" s="3"/>
      <c r="AP1288" s="3"/>
      <c r="AQ1288" s="3"/>
      <c r="AR1288" s="3"/>
      <c r="AS1288" s="3"/>
      <c r="AT1288" s="3"/>
      <c r="AU1288" s="3"/>
      <c r="AV1288" s="3"/>
      <c r="AW1288" s="3"/>
      <c r="AX1288" s="3"/>
      <c r="AY1288" s="3"/>
      <c r="AZ1288" s="3"/>
      <c r="BA1288" s="3"/>
      <c r="BB1288" s="3"/>
      <c r="BC1288" s="3"/>
    </row>
    <row r="1289" spans="1:55">
      <c r="A1289" s="1" t="str">
        <f>'Population Definitions'!$A$9</f>
        <v>18-64_females</v>
      </c>
      <c r="C1289" t="s">
        <v>34</v>
      </c>
      <c r="D1289" s="3"/>
      <c r="E1289" s="3">
        <v>0</v>
      </c>
      <c r="F1289" s="3"/>
      <c r="G1289" s="3"/>
      <c r="H1289" s="3"/>
      <c r="I1289" s="3"/>
      <c r="J1289" s="3"/>
      <c r="K1289" s="3"/>
      <c r="L1289" s="3"/>
      <c r="M1289" s="3"/>
      <c r="N1289" s="3"/>
      <c r="O1289" s="3"/>
      <c r="P1289" s="3"/>
      <c r="Q1289" s="3"/>
      <c r="R1289" s="3"/>
      <c r="S1289" s="3"/>
      <c r="T1289" s="3"/>
      <c r="U1289" s="3"/>
      <c r="V1289" s="3"/>
      <c r="W1289" s="3"/>
      <c r="X1289" s="3"/>
      <c r="Y1289" s="3"/>
      <c r="Z1289" s="3"/>
      <c r="AA1289" s="3"/>
      <c r="AB1289" s="3"/>
      <c r="AC1289" s="3"/>
      <c r="AD1289" s="3"/>
      <c r="AE1289" s="3"/>
      <c r="AF1289" s="3"/>
      <c r="AG1289" s="3"/>
      <c r="AH1289" s="3"/>
      <c r="AI1289" s="3"/>
      <c r="AJ1289" s="3"/>
      <c r="AK1289" s="3"/>
      <c r="AL1289" s="3"/>
      <c r="AM1289" s="3"/>
      <c r="AN1289" s="3"/>
      <c r="AO1289" s="3"/>
      <c r="AP1289" s="3"/>
      <c r="AQ1289" s="3"/>
      <c r="AR1289" s="3"/>
      <c r="AS1289" s="3"/>
      <c r="AT1289" s="3"/>
      <c r="AU1289" s="3"/>
      <c r="AV1289" s="3"/>
      <c r="AW1289" s="3"/>
      <c r="AX1289" s="3"/>
      <c r="AY1289" s="3"/>
      <c r="AZ1289" s="3"/>
      <c r="BA1289" s="3"/>
      <c r="BB1289" s="3"/>
      <c r="BC1289" s="3"/>
    </row>
    <row r="1290" spans="1:55">
      <c r="A1290" s="1" t="str">
        <f>'Population Definitions'!$A$10</f>
        <v>65+_males</v>
      </c>
      <c r="C1290" t="s">
        <v>34</v>
      </c>
      <c r="D1290" s="3"/>
      <c r="E1290" s="3">
        <v>0</v>
      </c>
      <c r="F1290" s="3"/>
      <c r="G1290" s="3"/>
      <c r="H1290" s="3"/>
      <c r="I1290" s="3"/>
      <c r="J1290" s="3"/>
      <c r="K1290" s="3"/>
      <c r="L1290" s="3"/>
      <c r="M1290" s="3"/>
      <c r="N1290" s="3"/>
      <c r="O1290" s="3"/>
      <c r="P1290" s="3"/>
      <c r="Q1290" s="3"/>
      <c r="R1290" s="3"/>
      <c r="S1290" s="3"/>
      <c r="T1290" s="3"/>
      <c r="U1290" s="3"/>
      <c r="V1290" s="3"/>
      <c r="W1290" s="3"/>
      <c r="X1290" s="3"/>
      <c r="Y1290" s="3"/>
      <c r="Z1290" s="3"/>
      <c r="AA1290" s="3"/>
      <c r="AB1290" s="3"/>
      <c r="AC1290" s="3"/>
      <c r="AD1290" s="3"/>
      <c r="AE1290" s="3"/>
      <c r="AF1290" s="3"/>
      <c r="AG1290" s="3"/>
      <c r="AH1290" s="3"/>
      <c r="AI1290" s="3"/>
      <c r="AJ1290" s="3"/>
      <c r="AK1290" s="3"/>
      <c r="AL1290" s="3"/>
      <c r="AM1290" s="3"/>
      <c r="AN1290" s="3"/>
      <c r="AO1290" s="3"/>
      <c r="AP1290" s="3"/>
      <c r="AQ1290" s="3"/>
      <c r="AR1290" s="3"/>
      <c r="AS1290" s="3"/>
      <c r="AT1290" s="3"/>
      <c r="AU1290" s="3"/>
      <c r="AV1290" s="3"/>
      <c r="AW1290" s="3"/>
      <c r="AX1290" s="3"/>
      <c r="AY1290" s="3"/>
      <c r="AZ1290" s="3"/>
      <c r="BA1290" s="3"/>
      <c r="BB1290" s="3"/>
      <c r="BC1290" s="3"/>
    </row>
    <row r="1291" spans="1:55">
      <c r="A1291" s="1" t="str">
        <f>'Population Definitions'!$A$11</f>
        <v>65+_females</v>
      </c>
      <c r="C1291" t="s">
        <v>34</v>
      </c>
      <c r="D1291" s="3"/>
      <c r="E1291" s="3">
        <v>0</v>
      </c>
      <c r="F1291" s="3"/>
      <c r="G1291" s="3"/>
      <c r="H1291" s="3"/>
      <c r="I1291" s="3"/>
      <c r="J1291" s="3"/>
      <c r="K1291" s="3"/>
      <c r="L1291" s="3"/>
      <c r="M1291" s="3"/>
      <c r="N1291" s="3"/>
      <c r="O1291" s="3"/>
      <c r="P1291" s="3"/>
      <c r="Q1291" s="3"/>
      <c r="R1291" s="3"/>
      <c r="S1291" s="3"/>
      <c r="T1291" s="3"/>
      <c r="U1291" s="3"/>
      <c r="V1291" s="3"/>
      <c r="W1291" s="3"/>
      <c r="X1291" s="3"/>
      <c r="Y1291" s="3"/>
      <c r="Z1291" s="3"/>
      <c r="AA1291" s="3"/>
      <c r="AB1291" s="3"/>
      <c r="AC1291" s="3"/>
      <c r="AD1291" s="3"/>
      <c r="AE1291" s="3"/>
      <c r="AF1291" s="3"/>
      <c r="AG1291" s="3"/>
      <c r="AH1291" s="3"/>
      <c r="AI1291" s="3"/>
      <c r="AJ1291" s="3"/>
      <c r="AK1291" s="3"/>
      <c r="AL1291" s="3"/>
      <c r="AM1291" s="3"/>
      <c r="AN1291" s="3"/>
      <c r="AO1291" s="3"/>
      <c r="AP1291" s="3"/>
      <c r="AQ1291" s="3"/>
      <c r="AR1291" s="3"/>
      <c r="AS1291" s="3"/>
      <c r="AT1291" s="3"/>
      <c r="AU1291" s="3"/>
      <c r="AV1291" s="3"/>
      <c r="AW1291" s="3"/>
      <c r="AX1291" s="3"/>
      <c r="AY1291" s="3"/>
      <c r="AZ1291" s="3"/>
      <c r="BA1291" s="3"/>
      <c r="BB1291" s="3"/>
      <c r="BC1291" s="3"/>
    </row>
    <row r="1292" spans="1:55">
      <c r="A1292" s="1" t="str">
        <f>'Population Definitions'!$A$12</f>
        <v>Prisoners_males</v>
      </c>
      <c r="C1292" t="s">
        <v>34</v>
      </c>
      <c r="D1292" s="3"/>
      <c r="E1292" s="3">
        <v>0</v>
      </c>
      <c r="F1292" s="3"/>
      <c r="G1292" s="3"/>
      <c r="H1292" s="3"/>
      <c r="I1292" s="3"/>
      <c r="J1292" s="3"/>
      <c r="K1292" s="3"/>
      <c r="L1292" s="3"/>
      <c r="M1292" s="3"/>
      <c r="N1292" s="3"/>
      <c r="O1292" s="3"/>
      <c r="P1292" s="3"/>
      <c r="Q1292" s="3"/>
      <c r="R1292" s="3"/>
      <c r="S1292" s="3"/>
      <c r="T1292" s="3"/>
      <c r="U1292" s="3"/>
      <c r="V1292" s="3"/>
      <c r="W1292" s="3"/>
      <c r="X1292" s="3"/>
      <c r="Y1292" s="3"/>
      <c r="Z1292" s="3"/>
      <c r="AA1292" s="3"/>
      <c r="AB1292" s="3"/>
      <c r="AC1292" s="3"/>
      <c r="AD1292" s="3"/>
      <c r="AE1292" s="3"/>
      <c r="AF1292" s="3"/>
      <c r="AG1292" s="3"/>
      <c r="AH1292" s="3"/>
      <c r="AI1292" s="3"/>
      <c r="AJ1292" s="3"/>
      <c r="AK1292" s="3"/>
      <c r="AL1292" s="3"/>
      <c r="AM1292" s="3"/>
      <c r="AN1292" s="3"/>
      <c r="AO1292" s="3"/>
      <c r="AP1292" s="3"/>
      <c r="AQ1292" s="3"/>
      <c r="AR1292" s="3"/>
      <c r="AS1292" s="3"/>
      <c r="AT1292" s="3"/>
      <c r="AU1292" s="3"/>
      <c r="AV1292" s="3"/>
      <c r="AW1292" s="3"/>
      <c r="AX1292" s="3"/>
      <c r="AY1292" s="3"/>
      <c r="AZ1292" s="3"/>
      <c r="BA1292" s="3"/>
      <c r="BB1292" s="3"/>
      <c r="BC1292" s="3"/>
    </row>
    <row r="1293" spans="1:55">
      <c r="A1293" s="1" t="str">
        <f>'Population Definitions'!$A$13</f>
        <v>Prisoners_females</v>
      </c>
      <c r="C1293" t="s">
        <v>34</v>
      </c>
      <c r="D1293" s="3"/>
      <c r="E1293" s="3">
        <v>0</v>
      </c>
      <c r="F1293" s="3"/>
      <c r="G1293" s="3"/>
      <c r="H1293" s="3"/>
      <c r="I1293" s="3"/>
      <c r="J1293" s="3"/>
      <c r="K1293" s="3"/>
      <c r="L1293" s="3"/>
      <c r="M1293" s="3"/>
      <c r="N1293" s="3"/>
      <c r="O1293" s="3"/>
      <c r="P1293" s="3"/>
      <c r="Q1293" s="3"/>
      <c r="R1293" s="3"/>
      <c r="S1293" s="3"/>
      <c r="T1293" s="3"/>
      <c r="U1293" s="3"/>
      <c r="V1293" s="3"/>
      <c r="W1293" s="3"/>
      <c r="X1293" s="3"/>
      <c r="Y1293" s="3"/>
      <c r="Z1293" s="3"/>
      <c r="AA1293" s="3"/>
      <c r="AB1293" s="3"/>
      <c r="AC1293" s="3"/>
      <c r="AD1293" s="3"/>
      <c r="AE1293" s="3"/>
      <c r="AF1293" s="3"/>
      <c r="AG1293" s="3"/>
      <c r="AH1293" s="3"/>
      <c r="AI1293" s="3"/>
      <c r="AJ1293" s="3"/>
      <c r="AK1293" s="3"/>
      <c r="AL1293" s="3"/>
      <c r="AM1293" s="3"/>
      <c r="AN1293" s="3"/>
      <c r="AO1293" s="3"/>
      <c r="AP1293" s="3"/>
      <c r="AQ1293" s="3"/>
      <c r="AR1293" s="3"/>
      <c r="AS1293" s="3"/>
      <c r="AT1293" s="3"/>
      <c r="AU1293" s="3"/>
      <c r="AV1293" s="3"/>
      <c r="AW1293" s="3"/>
      <c r="AX1293" s="3"/>
      <c r="AY1293" s="3"/>
      <c r="AZ1293" s="3"/>
      <c r="BA1293" s="3"/>
      <c r="BB1293" s="3"/>
      <c r="BC1293" s="3"/>
    </row>
    <row r="1294" spans="1:55">
      <c r="A1294" s="1" t="str">
        <f>'Population Definitions'!$A$14</f>
        <v>Prisoners_PWID_males</v>
      </c>
      <c r="C1294" t="s">
        <v>34</v>
      </c>
      <c r="D1294" s="3"/>
      <c r="E1294" s="3">
        <v>0</v>
      </c>
      <c r="F1294" s="3"/>
      <c r="G1294" s="3"/>
      <c r="H1294" s="3"/>
      <c r="I1294" s="3"/>
      <c r="J1294" s="3"/>
      <c r="K1294" s="3"/>
      <c r="L1294" s="3"/>
      <c r="M1294" s="3"/>
      <c r="N1294" s="3"/>
      <c r="O1294" s="3"/>
      <c r="P1294" s="3"/>
      <c r="Q1294" s="3"/>
      <c r="R1294" s="3"/>
      <c r="S1294" s="3"/>
      <c r="T1294" s="3"/>
      <c r="U1294" s="3"/>
      <c r="V1294" s="3"/>
      <c r="W1294" s="3"/>
      <c r="X1294" s="3"/>
      <c r="Y1294" s="3"/>
      <c r="Z1294" s="3"/>
      <c r="AA1294" s="3"/>
      <c r="AB1294" s="3"/>
      <c r="AC1294" s="3"/>
      <c r="AD1294" s="3"/>
      <c r="AE1294" s="3"/>
      <c r="AF1294" s="3"/>
      <c r="AG1294" s="3"/>
      <c r="AH1294" s="3"/>
      <c r="AI1294" s="3"/>
      <c r="AJ1294" s="3"/>
      <c r="AK1294" s="3"/>
      <c r="AL1294" s="3"/>
      <c r="AM1294" s="3"/>
      <c r="AN1294" s="3"/>
      <c r="AO1294" s="3"/>
      <c r="AP1294" s="3"/>
      <c r="AQ1294" s="3"/>
      <c r="AR1294" s="3"/>
      <c r="AS1294" s="3"/>
      <c r="AT1294" s="3"/>
      <c r="AU1294" s="3"/>
      <c r="AV1294" s="3"/>
      <c r="AW1294" s="3"/>
      <c r="AX1294" s="3"/>
      <c r="AY1294" s="3"/>
      <c r="AZ1294" s="3"/>
      <c r="BA1294" s="3"/>
      <c r="BB1294" s="3"/>
      <c r="BC1294" s="3"/>
    </row>
    <row r="1295" spans="1:55">
      <c r="A1295" s="1" t="str">
        <f>'Population Definitions'!$A$15</f>
        <v>Prisoners_PWID_females</v>
      </c>
      <c r="C1295" t="s">
        <v>34</v>
      </c>
      <c r="D1295" s="3"/>
      <c r="E1295" s="3">
        <v>0</v>
      </c>
      <c r="F1295" s="3"/>
      <c r="G1295" s="3"/>
      <c r="H1295" s="3"/>
      <c r="I1295" s="3"/>
      <c r="J1295" s="3"/>
      <c r="K1295" s="3"/>
      <c r="L1295" s="3"/>
      <c r="M1295" s="3"/>
      <c r="N1295" s="3"/>
      <c r="O1295" s="3"/>
      <c r="P1295" s="3"/>
      <c r="Q1295" s="3"/>
      <c r="R1295" s="3"/>
      <c r="S1295" s="3"/>
      <c r="T1295" s="3"/>
      <c r="U1295" s="3"/>
      <c r="V1295" s="3"/>
      <c r="W1295" s="3"/>
      <c r="X1295" s="3"/>
      <c r="Y1295" s="3"/>
      <c r="Z1295" s="3"/>
      <c r="AA1295" s="3"/>
      <c r="AB1295" s="3"/>
      <c r="AC1295" s="3"/>
      <c r="AD1295" s="3"/>
      <c r="AE1295" s="3"/>
      <c r="AF1295" s="3"/>
      <c r="AG1295" s="3"/>
      <c r="AH1295" s="3"/>
      <c r="AI1295" s="3"/>
      <c r="AJ1295" s="3"/>
      <c r="AK1295" s="3"/>
      <c r="AL1295" s="3"/>
      <c r="AM1295" s="3"/>
      <c r="AN1295" s="3"/>
      <c r="AO1295" s="3"/>
      <c r="AP1295" s="3"/>
      <c r="AQ1295" s="3"/>
      <c r="AR1295" s="3"/>
      <c r="AS1295" s="3"/>
      <c r="AT1295" s="3"/>
      <c r="AU1295" s="3"/>
      <c r="AV1295" s="3"/>
      <c r="AW1295" s="3"/>
      <c r="AX1295" s="3"/>
      <c r="AY1295" s="3"/>
      <c r="AZ1295" s="3"/>
      <c r="BA1295" s="3"/>
      <c r="BB1295" s="3"/>
      <c r="BC1295" s="3"/>
    </row>
    <row r="1297" spans="1:55">
      <c r="A1297" s="1" t="s">
        <v>208</v>
      </c>
      <c r="B1297" s="1" t="s">
        <v>31</v>
      </c>
      <c r="C1297" s="1" t="s">
        <v>32</v>
      </c>
      <c r="D1297" s="1" t="s">
        <v>33</v>
      </c>
      <c r="E1297" s="1">
        <v>2000</v>
      </c>
      <c r="F1297" s="1">
        <v>2001</v>
      </c>
      <c r="G1297" s="1">
        <v>2002</v>
      </c>
      <c r="H1297" s="1">
        <v>2003</v>
      </c>
      <c r="I1297" s="1">
        <v>2004</v>
      </c>
      <c r="J1297" s="1">
        <v>2005</v>
      </c>
      <c r="K1297" s="1">
        <v>2006</v>
      </c>
      <c r="L1297" s="1">
        <v>2007</v>
      </c>
      <c r="M1297" s="1">
        <v>2008</v>
      </c>
      <c r="N1297" s="1">
        <v>2009</v>
      </c>
      <c r="O1297" s="1">
        <v>2010</v>
      </c>
      <c r="P1297" s="1">
        <v>2011</v>
      </c>
      <c r="Q1297" s="1">
        <v>2012</v>
      </c>
      <c r="R1297" s="1">
        <v>2013</v>
      </c>
      <c r="S1297" s="1">
        <v>2014</v>
      </c>
      <c r="T1297" s="1">
        <v>2015</v>
      </c>
      <c r="U1297" s="1">
        <v>2016</v>
      </c>
      <c r="V1297" s="1">
        <v>2017</v>
      </c>
      <c r="W1297" s="1">
        <v>2018</v>
      </c>
      <c r="X1297" s="1">
        <v>2019</v>
      </c>
      <c r="Y1297" s="1">
        <v>2020</v>
      </c>
      <c r="Z1297" s="1">
        <v>2021</v>
      </c>
      <c r="AA1297" s="1">
        <v>2022</v>
      </c>
      <c r="AB1297" s="1">
        <v>2023</v>
      </c>
      <c r="AC1297" s="1">
        <v>2024</v>
      </c>
      <c r="AD1297" s="1">
        <v>2025</v>
      </c>
      <c r="AE1297" s="1">
        <v>2026</v>
      </c>
      <c r="AF1297" s="1">
        <v>2027</v>
      </c>
      <c r="AG1297" s="1">
        <v>2028</v>
      </c>
      <c r="AH1297" s="1">
        <v>2029</v>
      </c>
      <c r="AI1297" s="1">
        <v>2030</v>
      </c>
      <c r="AJ1297" s="1">
        <v>2031</v>
      </c>
      <c r="AK1297" s="1">
        <v>2032</v>
      </c>
      <c r="AL1297" s="1">
        <v>2033</v>
      </c>
      <c r="AM1297" s="1">
        <v>2034</v>
      </c>
      <c r="AN1297" s="1">
        <v>2035</v>
      </c>
      <c r="AO1297" s="1">
        <v>2036</v>
      </c>
      <c r="AP1297" s="1">
        <v>2037</v>
      </c>
      <c r="AQ1297" s="1">
        <v>2038</v>
      </c>
      <c r="AR1297" s="1">
        <v>2039</v>
      </c>
      <c r="AS1297" s="1">
        <v>2040</v>
      </c>
      <c r="AT1297" s="1">
        <v>2041</v>
      </c>
      <c r="AU1297" s="1">
        <v>2042</v>
      </c>
      <c r="AV1297" s="1">
        <v>2043</v>
      </c>
      <c r="AW1297" s="1">
        <v>2044</v>
      </c>
      <c r="AX1297" s="1">
        <v>2045</v>
      </c>
      <c r="AY1297" s="1">
        <v>2046</v>
      </c>
      <c r="AZ1297" s="1">
        <v>2047</v>
      </c>
      <c r="BA1297" s="1">
        <v>2048</v>
      </c>
      <c r="BB1297" s="1">
        <v>2049</v>
      </c>
      <c r="BC1297" s="1">
        <v>2050</v>
      </c>
    </row>
    <row r="1298" spans="1:55">
      <c r="A1298" s="1" t="str">
        <f>'Population Definitions'!$A$2</f>
        <v>PWID_males</v>
      </c>
      <c r="C1298" t="s">
        <v>34</v>
      </c>
      <c r="D1298" s="3"/>
      <c r="E1298" s="3">
        <v>0</v>
      </c>
      <c r="F1298" s="3"/>
      <c r="G1298" s="3"/>
      <c r="H1298" s="3"/>
      <c r="I1298" s="3"/>
      <c r="J1298" s="3"/>
      <c r="K1298" s="3"/>
      <c r="L1298" s="3"/>
      <c r="M1298" s="3"/>
      <c r="N1298" s="3"/>
      <c r="O1298" s="3"/>
      <c r="P1298" s="3"/>
      <c r="Q1298" s="3"/>
      <c r="R1298" s="3"/>
      <c r="S1298" s="3"/>
      <c r="T1298" s="3"/>
      <c r="U1298" s="3"/>
      <c r="V1298" s="3"/>
      <c r="W1298" s="3"/>
      <c r="X1298" s="3"/>
      <c r="Y1298" s="3"/>
      <c r="Z1298" s="3"/>
      <c r="AA1298" s="3"/>
      <c r="AB1298" s="3"/>
      <c r="AC1298" s="3"/>
      <c r="AD1298" s="3"/>
      <c r="AE1298" s="3"/>
      <c r="AF1298" s="3"/>
      <c r="AG1298" s="3"/>
      <c r="AH1298" s="3"/>
      <c r="AI1298" s="3"/>
      <c r="AJ1298" s="3"/>
      <c r="AK1298" s="3"/>
      <c r="AL1298" s="3"/>
      <c r="AM1298" s="3"/>
      <c r="AN1298" s="3"/>
      <c r="AO1298" s="3"/>
      <c r="AP1298" s="3"/>
      <c r="AQ1298" s="3"/>
      <c r="AR1298" s="3"/>
      <c r="AS1298" s="3"/>
      <c r="AT1298" s="3"/>
      <c r="AU1298" s="3"/>
      <c r="AV1298" s="3"/>
      <c r="AW1298" s="3"/>
      <c r="AX1298" s="3"/>
      <c r="AY1298" s="3"/>
      <c r="AZ1298" s="3"/>
      <c r="BA1298" s="3"/>
      <c r="BB1298" s="3"/>
      <c r="BC1298" s="3"/>
    </row>
    <row r="1299" spans="1:55">
      <c r="A1299" s="1" t="str">
        <f>'Population Definitions'!$A$3</f>
        <v>PWID_females</v>
      </c>
      <c r="C1299" t="s">
        <v>34</v>
      </c>
      <c r="D1299" s="3"/>
      <c r="E1299" s="3">
        <v>0</v>
      </c>
      <c r="F1299" s="3"/>
      <c r="G1299" s="3"/>
      <c r="H1299" s="3"/>
      <c r="I1299" s="3"/>
      <c r="J1299" s="3"/>
      <c r="K1299" s="3"/>
      <c r="L1299" s="3"/>
      <c r="M1299" s="3"/>
      <c r="N1299" s="3"/>
      <c r="O1299" s="3"/>
      <c r="P1299" s="3"/>
      <c r="Q1299" s="3"/>
      <c r="R1299" s="3"/>
      <c r="S1299" s="3"/>
      <c r="T1299" s="3"/>
      <c r="U1299" s="3"/>
      <c r="V1299" s="3"/>
      <c r="W1299" s="3"/>
      <c r="X1299" s="3"/>
      <c r="Y1299" s="3"/>
      <c r="Z1299" s="3"/>
      <c r="AA1299" s="3"/>
      <c r="AB1299" s="3"/>
      <c r="AC1299" s="3"/>
      <c r="AD1299" s="3"/>
      <c r="AE1299" s="3"/>
      <c r="AF1299" s="3"/>
      <c r="AG1299" s="3"/>
      <c r="AH1299" s="3"/>
      <c r="AI1299" s="3"/>
      <c r="AJ1299" s="3"/>
      <c r="AK1299" s="3"/>
      <c r="AL1299" s="3"/>
      <c r="AM1299" s="3"/>
      <c r="AN1299" s="3"/>
      <c r="AO1299" s="3"/>
      <c r="AP1299" s="3"/>
      <c r="AQ1299" s="3"/>
      <c r="AR1299" s="3"/>
      <c r="AS1299" s="3"/>
      <c r="AT1299" s="3"/>
      <c r="AU1299" s="3"/>
      <c r="AV1299" s="3"/>
      <c r="AW1299" s="3"/>
      <c r="AX1299" s="3"/>
      <c r="AY1299" s="3"/>
      <c r="AZ1299" s="3"/>
      <c r="BA1299" s="3"/>
      <c r="BB1299" s="3"/>
      <c r="BC1299" s="3"/>
    </row>
    <row r="1300" spans="1:55">
      <c r="A1300" s="1" t="str">
        <f>'Population Definitions'!$A$4</f>
        <v>0-9_males</v>
      </c>
      <c r="C1300" t="s">
        <v>34</v>
      </c>
      <c r="D1300" s="3"/>
      <c r="E1300" s="3">
        <v>0</v>
      </c>
      <c r="F1300" s="3"/>
      <c r="G1300" s="3"/>
      <c r="H1300" s="3"/>
      <c r="I1300" s="3"/>
      <c r="J1300" s="3"/>
      <c r="K1300" s="3"/>
      <c r="L1300" s="3"/>
      <c r="M1300" s="3"/>
      <c r="N1300" s="3"/>
      <c r="O1300" s="3"/>
      <c r="P1300" s="3"/>
      <c r="Q1300" s="3"/>
      <c r="R1300" s="3"/>
      <c r="S1300" s="3"/>
      <c r="T1300" s="3"/>
      <c r="U1300" s="3"/>
      <c r="V1300" s="3"/>
      <c r="W1300" s="3"/>
      <c r="X1300" s="3"/>
      <c r="Y1300" s="3"/>
      <c r="Z1300" s="3"/>
      <c r="AA1300" s="3"/>
      <c r="AB1300" s="3"/>
      <c r="AC1300" s="3"/>
      <c r="AD1300" s="3"/>
      <c r="AE1300" s="3"/>
      <c r="AF1300" s="3"/>
      <c r="AG1300" s="3"/>
      <c r="AH1300" s="3"/>
      <c r="AI1300" s="3"/>
      <c r="AJ1300" s="3"/>
      <c r="AK1300" s="3"/>
      <c r="AL1300" s="3"/>
      <c r="AM1300" s="3"/>
      <c r="AN1300" s="3"/>
      <c r="AO1300" s="3"/>
      <c r="AP1300" s="3"/>
      <c r="AQ1300" s="3"/>
      <c r="AR1300" s="3"/>
      <c r="AS1300" s="3"/>
      <c r="AT1300" s="3"/>
      <c r="AU1300" s="3"/>
      <c r="AV1300" s="3"/>
      <c r="AW1300" s="3"/>
      <c r="AX1300" s="3"/>
      <c r="AY1300" s="3"/>
      <c r="AZ1300" s="3"/>
      <c r="BA1300" s="3"/>
      <c r="BB1300" s="3"/>
      <c r="BC1300" s="3"/>
    </row>
    <row r="1301" spans="1:55">
      <c r="A1301" s="1" t="str">
        <f>'Population Definitions'!$A$5</f>
        <v>0-9_females</v>
      </c>
      <c r="C1301" t="s">
        <v>34</v>
      </c>
      <c r="D1301" s="3"/>
      <c r="E1301" s="3">
        <v>0</v>
      </c>
      <c r="F1301" s="3"/>
      <c r="G1301" s="3"/>
      <c r="H1301" s="3"/>
      <c r="I1301" s="3"/>
      <c r="J1301" s="3"/>
      <c r="K1301" s="3"/>
      <c r="L1301" s="3"/>
      <c r="M1301" s="3"/>
      <c r="N1301" s="3"/>
      <c r="O1301" s="3"/>
      <c r="P1301" s="3"/>
      <c r="Q1301" s="3"/>
      <c r="R1301" s="3"/>
      <c r="S1301" s="3"/>
      <c r="T1301" s="3"/>
      <c r="U1301" s="3"/>
      <c r="V1301" s="3"/>
      <c r="W1301" s="3"/>
      <c r="X1301" s="3"/>
      <c r="Y1301" s="3"/>
      <c r="Z1301" s="3"/>
      <c r="AA1301" s="3"/>
      <c r="AB1301" s="3"/>
      <c r="AC1301" s="3"/>
      <c r="AD1301" s="3"/>
      <c r="AE1301" s="3"/>
      <c r="AF1301" s="3"/>
      <c r="AG1301" s="3"/>
      <c r="AH1301" s="3"/>
      <c r="AI1301" s="3"/>
      <c r="AJ1301" s="3"/>
      <c r="AK1301" s="3"/>
      <c r="AL1301" s="3"/>
      <c r="AM1301" s="3"/>
      <c r="AN1301" s="3"/>
      <c r="AO1301" s="3"/>
      <c r="AP1301" s="3"/>
      <c r="AQ1301" s="3"/>
      <c r="AR1301" s="3"/>
      <c r="AS1301" s="3"/>
      <c r="AT1301" s="3"/>
      <c r="AU1301" s="3"/>
      <c r="AV1301" s="3"/>
      <c r="AW1301" s="3"/>
      <c r="AX1301" s="3"/>
      <c r="AY1301" s="3"/>
      <c r="AZ1301" s="3"/>
      <c r="BA1301" s="3"/>
      <c r="BB1301" s="3"/>
      <c r="BC1301" s="3"/>
    </row>
    <row r="1302" spans="1:55">
      <c r="A1302" s="1" t="str">
        <f>'Population Definitions'!$A$6</f>
        <v>10-17_males</v>
      </c>
      <c r="C1302" t="s">
        <v>34</v>
      </c>
      <c r="D1302" s="3"/>
      <c r="E1302" s="3">
        <v>0</v>
      </c>
      <c r="F1302" s="3"/>
      <c r="G1302" s="3"/>
      <c r="H1302" s="3"/>
      <c r="I1302" s="3"/>
      <c r="J1302" s="3"/>
      <c r="K1302" s="3"/>
      <c r="L1302" s="3"/>
      <c r="M1302" s="3"/>
      <c r="N1302" s="3"/>
      <c r="O1302" s="3"/>
      <c r="P1302" s="3"/>
      <c r="Q1302" s="3"/>
      <c r="R1302" s="3"/>
      <c r="S1302" s="3"/>
      <c r="T1302" s="3"/>
      <c r="U1302" s="3"/>
      <c r="V1302" s="3"/>
      <c r="W1302" s="3"/>
      <c r="X1302" s="3"/>
      <c r="Y1302" s="3"/>
      <c r="Z1302" s="3"/>
      <c r="AA1302" s="3"/>
      <c r="AB1302" s="3"/>
      <c r="AC1302" s="3"/>
      <c r="AD1302" s="3"/>
      <c r="AE1302" s="3"/>
      <c r="AF1302" s="3"/>
      <c r="AG1302" s="3"/>
      <c r="AH1302" s="3"/>
      <c r="AI1302" s="3"/>
      <c r="AJ1302" s="3"/>
      <c r="AK1302" s="3"/>
      <c r="AL1302" s="3"/>
      <c r="AM1302" s="3"/>
      <c r="AN1302" s="3"/>
      <c r="AO1302" s="3"/>
      <c r="AP1302" s="3"/>
      <c r="AQ1302" s="3"/>
      <c r="AR1302" s="3"/>
      <c r="AS1302" s="3"/>
      <c r="AT1302" s="3"/>
      <c r="AU1302" s="3"/>
      <c r="AV1302" s="3"/>
      <c r="AW1302" s="3"/>
      <c r="AX1302" s="3"/>
      <c r="AY1302" s="3"/>
      <c r="AZ1302" s="3"/>
      <c r="BA1302" s="3"/>
      <c r="BB1302" s="3"/>
      <c r="BC1302" s="3"/>
    </row>
    <row r="1303" spans="1:55">
      <c r="A1303" s="1" t="str">
        <f>'Population Definitions'!$A$7</f>
        <v>10-17_females</v>
      </c>
      <c r="C1303" t="s">
        <v>34</v>
      </c>
      <c r="D1303" s="3"/>
      <c r="E1303" s="3">
        <v>0</v>
      </c>
      <c r="F1303" s="3"/>
      <c r="G1303" s="3"/>
      <c r="H1303" s="3"/>
      <c r="I1303" s="3"/>
      <c r="J1303" s="3"/>
      <c r="K1303" s="3"/>
      <c r="L1303" s="3"/>
      <c r="M1303" s="3"/>
      <c r="N1303" s="3"/>
      <c r="O1303" s="3"/>
      <c r="P1303" s="3"/>
      <c r="Q1303" s="3"/>
      <c r="R1303" s="3"/>
      <c r="S1303" s="3"/>
      <c r="T1303" s="3"/>
      <c r="U1303" s="3"/>
      <c r="V1303" s="3"/>
      <c r="W1303" s="3"/>
      <c r="X1303" s="3"/>
      <c r="Y1303" s="3"/>
      <c r="Z1303" s="3"/>
      <c r="AA1303" s="3"/>
      <c r="AB1303" s="3"/>
      <c r="AC1303" s="3"/>
      <c r="AD1303" s="3"/>
      <c r="AE1303" s="3"/>
      <c r="AF1303" s="3"/>
      <c r="AG1303" s="3"/>
      <c r="AH1303" s="3"/>
      <c r="AI1303" s="3"/>
      <c r="AJ1303" s="3"/>
      <c r="AK1303" s="3"/>
      <c r="AL1303" s="3"/>
      <c r="AM1303" s="3"/>
      <c r="AN1303" s="3"/>
      <c r="AO1303" s="3"/>
      <c r="AP1303" s="3"/>
      <c r="AQ1303" s="3"/>
      <c r="AR1303" s="3"/>
      <c r="AS1303" s="3"/>
      <c r="AT1303" s="3"/>
      <c r="AU1303" s="3"/>
      <c r="AV1303" s="3"/>
      <c r="AW1303" s="3"/>
      <c r="AX1303" s="3"/>
      <c r="AY1303" s="3"/>
      <c r="AZ1303" s="3"/>
      <c r="BA1303" s="3"/>
      <c r="BB1303" s="3"/>
      <c r="BC1303" s="3"/>
    </row>
    <row r="1304" spans="1:55">
      <c r="A1304" s="1" t="str">
        <f>'Population Definitions'!$A$8</f>
        <v>18-64_males</v>
      </c>
      <c r="C1304" t="s">
        <v>34</v>
      </c>
      <c r="D1304" s="3"/>
      <c r="E1304" s="3">
        <v>0</v>
      </c>
      <c r="F1304" s="3"/>
      <c r="G1304" s="3"/>
      <c r="H1304" s="3"/>
      <c r="I1304" s="3"/>
      <c r="J1304" s="3"/>
      <c r="K1304" s="3"/>
      <c r="L1304" s="3"/>
      <c r="M1304" s="3"/>
      <c r="N1304" s="3"/>
      <c r="O1304" s="3"/>
      <c r="P1304" s="3"/>
      <c r="Q1304" s="3"/>
      <c r="R1304" s="3"/>
      <c r="S1304" s="3"/>
      <c r="T1304" s="3"/>
      <c r="U1304" s="3"/>
      <c r="V1304" s="3"/>
      <c r="W1304" s="3"/>
      <c r="X1304" s="3"/>
      <c r="Y1304" s="3"/>
      <c r="Z1304" s="3"/>
      <c r="AA1304" s="3"/>
      <c r="AB1304" s="3"/>
      <c r="AC1304" s="3"/>
      <c r="AD1304" s="3"/>
      <c r="AE1304" s="3"/>
      <c r="AF1304" s="3"/>
      <c r="AG1304" s="3"/>
      <c r="AH1304" s="3"/>
      <c r="AI1304" s="3"/>
      <c r="AJ1304" s="3"/>
      <c r="AK1304" s="3"/>
      <c r="AL1304" s="3"/>
      <c r="AM1304" s="3"/>
      <c r="AN1304" s="3"/>
      <c r="AO1304" s="3"/>
      <c r="AP1304" s="3"/>
      <c r="AQ1304" s="3"/>
      <c r="AR1304" s="3"/>
      <c r="AS1304" s="3"/>
      <c r="AT1304" s="3"/>
      <c r="AU1304" s="3"/>
      <c r="AV1304" s="3"/>
      <c r="AW1304" s="3"/>
      <c r="AX1304" s="3"/>
      <c r="AY1304" s="3"/>
      <c r="AZ1304" s="3"/>
      <c r="BA1304" s="3"/>
      <c r="BB1304" s="3"/>
      <c r="BC1304" s="3"/>
    </row>
    <row r="1305" spans="1:55">
      <c r="A1305" s="1" t="str">
        <f>'Population Definitions'!$A$9</f>
        <v>18-64_females</v>
      </c>
      <c r="C1305" t="s">
        <v>34</v>
      </c>
      <c r="D1305" s="3"/>
      <c r="E1305" s="3">
        <v>0</v>
      </c>
      <c r="F1305" s="3"/>
      <c r="G1305" s="3"/>
      <c r="H1305" s="3"/>
      <c r="I1305" s="3"/>
      <c r="J1305" s="3"/>
      <c r="K1305" s="3"/>
      <c r="L1305" s="3"/>
      <c r="M1305" s="3"/>
      <c r="N1305" s="3"/>
      <c r="O1305" s="3"/>
      <c r="P1305" s="3"/>
      <c r="Q1305" s="3"/>
      <c r="R1305" s="3"/>
      <c r="S1305" s="3"/>
      <c r="T1305" s="3"/>
      <c r="U1305" s="3"/>
      <c r="V1305" s="3"/>
      <c r="W1305" s="3"/>
      <c r="X1305" s="3"/>
      <c r="Y1305" s="3"/>
      <c r="Z1305" s="3"/>
      <c r="AA1305" s="3"/>
      <c r="AB1305" s="3"/>
      <c r="AC1305" s="3"/>
      <c r="AD1305" s="3"/>
      <c r="AE1305" s="3"/>
      <c r="AF1305" s="3"/>
      <c r="AG1305" s="3"/>
      <c r="AH1305" s="3"/>
      <c r="AI1305" s="3"/>
      <c r="AJ1305" s="3"/>
      <c r="AK1305" s="3"/>
      <c r="AL1305" s="3"/>
      <c r="AM1305" s="3"/>
      <c r="AN1305" s="3"/>
      <c r="AO1305" s="3"/>
      <c r="AP1305" s="3"/>
      <c r="AQ1305" s="3"/>
      <c r="AR1305" s="3"/>
      <c r="AS1305" s="3"/>
      <c r="AT1305" s="3"/>
      <c r="AU1305" s="3"/>
      <c r="AV1305" s="3"/>
      <c r="AW1305" s="3"/>
      <c r="AX1305" s="3"/>
      <c r="AY1305" s="3"/>
      <c r="AZ1305" s="3"/>
      <c r="BA1305" s="3"/>
      <c r="BB1305" s="3"/>
      <c r="BC1305" s="3"/>
    </row>
    <row r="1306" spans="1:55">
      <c r="A1306" s="1" t="str">
        <f>'Population Definitions'!$A$10</f>
        <v>65+_males</v>
      </c>
      <c r="C1306" t="s">
        <v>34</v>
      </c>
      <c r="D1306" s="3"/>
      <c r="E1306" s="3">
        <v>0</v>
      </c>
      <c r="F1306" s="3"/>
      <c r="G1306" s="3"/>
      <c r="H1306" s="3"/>
      <c r="I1306" s="3"/>
      <c r="J1306" s="3"/>
      <c r="K1306" s="3"/>
      <c r="L1306" s="3"/>
      <c r="M1306" s="3"/>
      <c r="N1306" s="3"/>
      <c r="O1306" s="3"/>
      <c r="P1306" s="3"/>
      <c r="Q1306" s="3"/>
      <c r="R1306" s="3"/>
      <c r="S1306" s="3"/>
      <c r="T1306" s="3"/>
      <c r="U1306" s="3"/>
      <c r="V1306" s="3"/>
      <c r="W1306" s="3"/>
      <c r="X1306" s="3"/>
      <c r="Y1306" s="3"/>
      <c r="Z1306" s="3"/>
      <c r="AA1306" s="3"/>
      <c r="AB1306" s="3"/>
      <c r="AC1306" s="3"/>
      <c r="AD1306" s="3"/>
      <c r="AE1306" s="3"/>
      <c r="AF1306" s="3"/>
      <c r="AG1306" s="3"/>
      <c r="AH1306" s="3"/>
      <c r="AI1306" s="3"/>
      <c r="AJ1306" s="3"/>
      <c r="AK1306" s="3"/>
      <c r="AL1306" s="3"/>
      <c r="AM1306" s="3"/>
      <c r="AN1306" s="3"/>
      <c r="AO1306" s="3"/>
      <c r="AP1306" s="3"/>
      <c r="AQ1306" s="3"/>
      <c r="AR1306" s="3"/>
      <c r="AS1306" s="3"/>
      <c r="AT1306" s="3"/>
      <c r="AU1306" s="3"/>
      <c r="AV1306" s="3"/>
      <c r="AW1306" s="3"/>
      <c r="AX1306" s="3"/>
      <c r="AY1306" s="3"/>
      <c r="AZ1306" s="3"/>
      <c r="BA1306" s="3"/>
      <c r="BB1306" s="3"/>
      <c r="BC1306" s="3"/>
    </row>
    <row r="1307" spans="1:55">
      <c r="A1307" s="1" t="str">
        <f>'Population Definitions'!$A$11</f>
        <v>65+_females</v>
      </c>
      <c r="C1307" t="s">
        <v>34</v>
      </c>
      <c r="D1307" s="3"/>
      <c r="E1307" s="3">
        <v>0</v>
      </c>
      <c r="F1307" s="3"/>
      <c r="G1307" s="3"/>
      <c r="H1307" s="3"/>
      <c r="I1307" s="3"/>
      <c r="J1307" s="3"/>
      <c r="K1307" s="3"/>
      <c r="L1307" s="3"/>
      <c r="M1307" s="3"/>
      <c r="N1307" s="3"/>
      <c r="O1307" s="3"/>
      <c r="P1307" s="3"/>
      <c r="Q1307" s="3"/>
      <c r="R1307" s="3"/>
      <c r="S1307" s="3"/>
      <c r="T1307" s="3"/>
      <c r="U1307" s="3"/>
      <c r="V1307" s="3"/>
      <c r="W1307" s="3"/>
      <c r="X1307" s="3"/>
      <c r="Y1307" s="3"/>
      <c r="Z1307" s="3"/>
      <c r="AA1307" s="3"/>
      <c r="AB1307" s="3"/>
      <c r="AC1307" s="3"/>
      <c r="AD1307" s="3"/>
      <c r="AE1307" s="3"/>
      <c r="AF1307" s="3"/>
      <c r="AG1307" s="3"/>
      <c r="AH1307" s="3"/>
      <c r="AI1307" s="3"/>
      <c r="AJ1307" s="3"/>
      <c r="AK1307" s="3"/>
      <c r="AL1307" s="3"/>
      <c r="AM1307" s="3"/>
      <c r="AN1307" s="3"/>
      <c r="AO1307" s="3"/>
      <c r="AP1307" s="3"/>
      <c r="AQ1307" s="3"/>
      <c r="AR1307" s="3"/>
      <c r="AS1307" s="3"/>
      <c r="AT1307" s="3"/>
      <c r="AU1307" s="3"/>
      <c r="AV1307" s="3"/>
      <c r="AW1307" s="3"/>
      <c r="AX1307" s="3"/>
      <c r="AY1307" s="3"/>
      <c r="AZ1307" s="3"/>
      <c r="BA1307" s="3"/>
      <c r="BB1307" s="3"/>
      <c r="BC1307" s="3"/>
    </row>
    <row r="1308" spans="1:55">
      <c r="A1308" s="1" t="str">
        <f>'Population Definitions'!$A$12</f>
        <v>Prisoners_males</v>
      </c>
      <c r="C1308" t="s">
        <v>34</v>
      </c>
      <c r="D1308" s="3"/>
      <c r="E1308" s="3">
        <v>0</v>
      </c>
      <c r="F1308" s="3"/>
      <c r="G1308" s="3"/>
      <c r="H1308" s="3"/>
      <c r="I1308" s="3"/>
      <c r="J1308" s="3"/>
      <c r="K1308" s="3"/>
      <c r="L1308" s="3"/>
      <c r="M1308" s="3"/>
      <c r="N1308" s="3"/>
      <c r="O1308" s="3"/>
      <c r="P1308" s="3"/>
      <c r="Q1308" s="3"/>
      <c r="R1308" s="3"/>
      <c r="S1308" s="3"/>
      <c r="T1308" s="3"/>
      <c r="U1308" s="3"/>
      <c r="V1308" s="3"/>
      <c r="W1308" s="3"/>
      <c r="X1308" s="3"/>
      <c r="Y1308" s="3"/>
      <c r="Z1308" s="3"/>
      <c r="AA1308" s="3"/>
      <c r="AB1308" s="3"/>
      <c r="AC1308" s="3"/>
      <c r="AD1308" s="3"/>
      <c r="AE1308" s="3"/>
      <c r="AF1308" s="3"/>
      <c r="AG1308" s="3"/>
      <c r="AH1308" s="3"/>
      <c r="AI1308" s="3"/>
      <c r="AJ1308" s="3"/>
      <c r="AK1308" s="3"/>
      <c r="AL1308" s="3"/>
      <c r="AM1308" s="3"/>
      <c r="AN1308" s="3"/>
      <c r="AO1308" s="3"/>
      <c r="AP1308" s="3"/>
      <c r="AQ1308" s="3"/>
      <c r="AR1308" s="3"/>
      <c r="AS1308" s="3"/>
      <c r="AT1308" s="3"/>
      <c r="AU1308" s="3"/>
      <c r="AV1308" s="3"/>
      <c r="AW1308" s="3"/>
      <c r="AX1308" s="3"/>
      <c r="AY1308" s="3"/>
      <c r="AZ1308" s="3"/>
      <c r="BA1308" s="3"/>
      <c r="BB1308" s="3"/>
      <c r="BC1308" s="3"/>
    </row>
    <row r="1309" spans="1:55">
      <c r="A1309" s="1" t="str">
        <f>'Population Definitions'!$A$13</f>
        <v>Prisoners_females</v>
      </c>
      <c r="C1309" t="s">
        <v>34</v>
      </c>
      <c r="D1309" s="3"/>
      <c r="E1309" s="3">
        <v>0</v>
      </c>
      <c r="F1309" s="3"/>
      <c r="G1309" s="3"/>
      <c r="H1309" s="3"/>
      <c r="I1309" s="3"/>
      <c r="J1309" s="3"/>
      <c r="K1309" s="3"/>
      <c r="L1309" s="3"/>
      <c r="M1309" s="3"/>
      <c r="N1309" s="3"/>
      <c r="O1309" s="3"/>
      <c r="P1309" s="3"/>
      <c r="Q1309" s="3"/>
      <c r="R1309" s="3"/>
      <c r="S1309" s="3"/>
      <c r="T1309" s="3"/>
      <c r="U1309" s="3"/>
      <c r="V1309" s="3"/>
      <c r="W1309" s="3"/>
      <c r="X1309" s="3"/>
      <c r="Y1309" s="3"/>
      <c r="Z1309" s="3"/>
      <c r="AA1309" s="3"/>
      <c r="AB1309" s="3"/>
      <c r="AC1309" s="3"/>
      <c r="AD1309" s="3"/>
      <c r="AE1309" s="3"/>
      <c r="AF1309" s="3"/>
      <c r="AG1309" s="3"/>
      <c r="AH1309" s="3"/>
      <c r="AI1309" s="3"/>
      <c r="AJ1309" s="3"/>
      <c r="AK1309" s="3"/>
      <c r="AL1309" s="3"/>
      <c r="AM1309" s="3"/>
      <c r="AN1309" s="3"/>
      <c r="AO1309" s="3"/>
      <c r="AP1309" s="3"/>
      <c r="AQ1309" s="3"/>
      <c r="AR1309" s="3"/>
      <c r="AS1309" s="3"/>
      <c r="AT1309" s="3"/>
      <c r="AU1309" s="3"/>
      <c r="AV1309" s="3"/>
      <c r="AW1309" s="3"/>
      <c r="AX1309" s="3"/>
      <c r="AY1309" s="3"/>
      <c r="AZ1309" s="3"/>
      <c r="BA1309" s="3"/>
      <c r="BB1309" s="3"/>
      <c r="BC1309" s="3"/>
    </row>
    <row r="1310" spans="1:55">
      <c r="A1310" s="1" t="str">
        <f>'Population Definitions'!$A$14</f>
        <v>Prisoners_PWID_males</v>
      </c>
      <c r="C1310" t="s">
        <v>34</v>
      </c>
      <c r="D1310" s="3"/>
      <c r="E1310" s="3">
        <v>0</v>
      </c>
      <c r="F1310" s="3"/>
      <c r="G1310" s="3"/>
      <c r="H1310" s="3"/>
      <c r="I1310" s="3"/>
      <c r="J1310" s="3"/>
      <c r="K1310" s="3"/>
      <c r="L1310" s="3"/>
      <c r="M1310" s="3"/>
      <c r="N1310" s="3"/>
      <c r="O1310" s="3"/>
      <c r="P1310" s="3"/>
      <c r="Q1310" s="3"/>
      <c r="R1310" s="3"/>
      <c r="S1310" s="3"/>
      <c r="T1310" s="3"/>
      <c r="U1310" s="3"/>
      <c r="V1310" s="3"/>
      <c r="W1310" s="3"/>
      <c r="X1310" s="3"/>
      <c r="Y1310" s="3"/>
      <c r="Z1310" s="3"/>
      <c r="AA1310" s="3"/>
      <c r="AB1310" s="3"/>
      <c r="AC1310" s="3"/>
      <c r="AD1310" s="3"/>
      <c r="AE1310" s="3"/>
      <c r="AF1310" s="3"/>
      <c r="AG1310" s="3"/>
      <c r="AH1310" s="3"/>
      <c r="AI1310" s="3"/>
      <c r="AJ1310" s="3"/>
      <c r="AK1310" s="3"/>
      <c r="AL1310" s="3"/>
      <c r="AM1310" s="3"/>
      <c r="AN1310" s="3"/>
      <c r="AO1310" s="3"/>
      <c r="AP1310" s="3"/>
      <c r="AQ1310" s="3"/>
      <c r="AR1310" s="3"/>
      <c r="AS1310" s="3"/>
      <c r="AT1310" s="3"/>
      <c r="AU1310" s="3"/>
      <c r="AV1310" s="3"/>
      <c r="AW1310" s="3"/>
      <c r="AX1310" s="3"/>
      <c r="AY1310" s="3"/>
      <c r="AZ1310" s="3"/>
      <c r="BA1310" s="3"/>
      <c r="BB1310" s="3"/>
      <c r="BC1310" s="3"/>
    </row>
    <row r="1311" spans="1:55">
      <c r="A1311" s="1" t="str">
        <f>'Population Definitions'!$A$15</f>
        <v>Prisoners_PWID_females</v>
      </c>
      <c r="C1311" t="s">
        <v>34</v>
      </c>
      <c r="D1311" s="3"/>
      <c r="E1311" s="3">
        <v>0</v>
      </c>
      <c r="F1311" s="3"/>
      <c r="G1311" s="3"/>
      <c r="H1311" s="3"/>
      <c r="I1311" s="3"/>
      <c r="J1311" s="3"/>
      <c r="K1311" s="3"/>
      <c r="L1311" s="3"/>
      <c r="M1311" s="3"/>
      <c r="N1311" s="3"/>
      <c r="O1311" s="3"/>
      <c r="P1311" s="3"/>
      <c r="Q1311" s="3"/>
      <c r="R1311" s="3"/>
      <c r="S1311" s="3"/>
      <c r="T1311" s="3"/>
      <c r="U1311" s="3"/>
      <c r="V1311" s="3"/>
      <c r="W1311" s="3"/>
      <c r="X1311" s="3"/>
      <c r="Y1311" s="3"/>
      <c r="Z1311" s="3"/>
      <c r="AA1311" s="3"/>
      <c r="AB1311" s="3"/>
      <c r="AC1311" s="3"/>
      <c r="AD1311" s="3"/>
      <c r="AE1311" s="3"/>
      <c r="AF1311" s="3"/>
      <c r="AG1311" s="3"/>
      <c r="AH1311" s="3"/>
      <c r="AI1311" s="3"/>
      <c r="AJ1311" s="3"/>
      <c r="AK1311" s="3"/>
      <c r="AL1311" s="3"/>
      <c r="AM1311" s="3"/>
      <c r="AN1311" s="3"/>
      <c r="AO1311" s="3"/>
      <c r="AP1311" s="3"/>
      <c r="AQ1311" s="3"/>
      <c r="AR1311" s="3"/>
      <c r="AS1311" s="3"/>
      <c r="AT1311" s="3"/>
      <c r="AU1311" s="3"/>
      <c r="AV1311" s="3"/>
      <c r="AW1311" s="3"/>
      <c r="AX1311" s="3"/>
      <c r="AY1311" s="3"/>
      <c r="AZ1311" s="3"/>
      <c r="BA1311" s="3"/>
      <c r="BB1311" s="3"/>
      <c r="BC1311" s="3"/>
    </row>
    <row r="1313" spans="1:55">
      <c r="A1313" s="1" t="s">
        <v>209</v>
      </c>
      <c r="B1313" s="1" t="s">
        <v>31</v>
      </c>
      <c r="C1313" s="1" t="s">
        <v>32</v>
      </c>
      <c r="D1313" s="1" t="s">
        <v>33</v>
      </c>
      <c r="E1313" s="1">
        <v>2000</v>
      </c>
      <c r="F1313" s="1">
        <v>2001</v>
      </c>
      <c r="G1313" s="1">
        <v>2002</v>
      </c>
      <c r="H1313" s="1">
        <v>2003</v>
      </c>
      <c r="I1313" s="1">
        <v>2004</v>
      </c>
      <c r="J1313" s="1">
        <v>2005</v>
      </c>
      <c r="K1313" s="1">
        <v>2006</v>
      </c>
      <c r="L1313" s="1">
        <v>2007</v>
      </c>
      <c r="M1313" s="1">
        <v>2008</v>
      </c>
      <c r="N1313" s="1">
        <v>2009</v>
      </c>
      <c r="O1313" s="1">
        <v>2010</v>
      </c>
      <c r="P1313" s="1">
        <v>2011</v>
      </c>
      <c r="Q1313" s="1">
        <v>2012</v>
      </c>
      <c r="R1313" s="1">
        <v>2013</v>
      </c>
      <c r="S1313" s="1">
        <v>2014</v>
      </c>
      <c r="T1313" s="1">
        <v>2015</v>
      </c>
      <c r="U1313" s="1">
        <v>2016</v>
      </c>
      <c r="V1313" s="1">
        <v>2017</v>
      </c>
      <c r="W1313" s="1">
        <v>2018</v>
      </c>
      <c r="X1313" s="1">
        <v>2019</v>
      </c>
      <c r="Y1313" s="1">
        <v>2020</v>
      </c>
      <c r="Z1313" s="1">
        <v>2021</v>
      </c>
      <c r="AA1313" s="1">
        <v>2022</v>
      </c>
      <c r="AB1313" s="1">
        <v>2023</v>
      </c>
      <c r="AC1313" s="1">
        <v>2024</v>
      </c>
      <c r="AD1313" s="1">
        <v>2025</v>
      </c>
      <c r="AE1313" s="1">
        <v>2026</v>
      </c>
      <c r="AF1313" s="1">
        <v>2027</v>
      </c>
      <c r="AG1313" s="1">
        <v>2028</v>
      </c>
      <c r="AH1313" s="1">
        <v>2029</v>
      </c>
      <c r="AI1313" s="1">
        <v>2030</v>
      </c>
      <c r="AJ1313" s="1">
        <v>2031</v>
      </c>
      <c r="AK1313" s="1">
        <v>2032</v>
      </c>
      <c r="AL1313" s="1">
        <v>2033</v>
      </c>
      <c r="AM1313" s="1">
        <v>2034</v>
      </c>
      <c r="AN1313" s="1">
        <v>2035</v>
      </c>
      <c r="AO1313" s="1">
        <v>2036</v>
      </c>
      <c r="AP1313" s="1">
        <v>2037</v>
      </c>
      <c r="AQ1313" s="1">
        <v>2038</v>
      </c>
      <c r="AR1313" s="1">
        <v>2039</v>
      </c>
      <c r="AS1313" s="1">
        <v>2040</v>
      </c>
      <c r="AT1313" s="1">
        <v>2041</v>
      </c>
      <c r="AU1313" s="1">
        <v>2042</v>
      </c>
      <c r="AV1313" s="1">
        <v>2043</v>
      </c>
      <c r="AW1313" s="1">
        <v>2044</v>
      </c>
      <c r="AX1313" s="1">
        <v>2045</v>
      </c>
      <c r="AY1313" s="1">
        <v>2046</v>
      </c>
      <c r="AZ1313" s="1">
        <v>2047</v>
      </c>
      <c r="BA1313" s="1">
        <v>2048</v>
      </c>
      <c r="BB1313" s="1">
        <v>2049</v>
      </c>
      <c r="BC1313" s="1">
        <v>2050</v>
      </c>
    </row>
    <row r="1314" spans="1:55">
      <c r="A1314" s="1" t="str">
        <f>'Population Definitions'!$A$2</f>
        <v>PWID_males</v>
      </c>
      <c r="C1314" t="s">
        <v>34</v>
      </c>
      <c r="D1314" s="3"/>
      <c r="E1314" s="3">
        <v>0</v>
      </c>
      <c r="F1314" s="3"/>
      <c r="G1314" s="3"/>
      <c r="H1314" s="3"/>
      <c r="I1314" s="3"/>
      <c r="J1314" s="3"/>
      <c r="K1314" s="3"/>
      <c r="L1314" s="3"/>
      <c r="M1314" s="3"/>
      <c r="N1314" s="3"/>
      <c r="O1314" s="3"/>
      <c r="P1314" s="3"/>
      <c r="Q1314" s="3"/>
      <c r="R1314" s="3"/>
      <c r="S1314" s="3"/>
      <c r="T1314" s="3"/>
      <c r="U1314" s="3"/>
      <c r="V1314" s="3"/>
      <c r="W1314" s="3"/>
      <c r="X1314" s="3"/>
      <c r="Y1314" s="3"/>
      <c r="Z1314" s="3"/>
      <c r="AA1314" s="3"/>
      <c r="AB1314" s="3"/>
      <c r="AC1314" s="3"/>
      <c r="AD1314" s="3"/>
      <c r="AE1314" s="3"/>
      <c r="AF1314" s="3"/>
      <c r="AG1314" s="3"/>
      <c r="AH1314" s="3"/>
      <c r="AI1314" s="3"/>
      <c r="AJ1314" s="3"/>
      <c r="AK1314" s="3"/>
      <c r="AL1314" s="3"/>
      <c r="AM1314" s="3"/>
      <c r="AN1314" s="3"/>
      <c r="AO1314" s="3"/>
      <c r="AP1314" s="3"/>
      <c r="AQ1314" s="3"/>
      <c r="AR1314" s="3"/>
      <c r="AS1314" s="3"/>
      <c r="AT1314" s="3"/>
      <c r="AU1314" s="3"/>
      <c r="AV1314" s="3"/>
      <c r="AW1314" s="3"/>
      <c r="AX1314" s="3"/>
      <c r="AY1314" s="3"/>
      <c r="AZ1314" s="3"/>
      <c r="BA1314" s="3"/>
      <c r="BB1314" s="3"/>
      <c r="BC1314" s="3"/>
    </row>
    <row r="1315" spans="1:55">
      <c r="A1315" s="1" t="str">
        <f>'Population Definitions'!$A$3</f>
        <v>PWID_females</v>
      </c>
      <c r="C1315" t="s">
        <v>34</v>
      </c>
      <c r="D1315" s="3"/>
      <c r="E1315" s="3">
        <v>0</v>
      </c>
      <c r="F1315" s="3"/>
      <c r="G1315" s="3"/>
      <c r="H1315" s="3"/>
      <c r="I1315" s="3"/>
      <c r="J1315" s="3"/>
      <c r="K1315" s="3"/>
      <c r="L1315" s="3"/>
      <c r="M1315" s="3"/>
      <c r="N1315" s="3"/>
      <c r="O1315" s="3"/>
      <c r="P1315" s="3"/>
      <c r="Q1315" s="3"/>
      <c r="R1315" s="3"/>
      <c r="S1315" s="3"/>
      <c r="T1315" s="3"/>
      <c r="U1315" s="3"/>
      <c r="V1315" s="3"/>
      <c r="W1315" s="3"/>
      <c r="X1315" s="3"/>
      <c r="Y1315" s="3"/>
      <c r="Z1315" s="3"/>
      <c r="AA1315" s="3"/>
      <c r="AB1315" s="3"/>
      <c r="AC1315" s="3"/>
      <c r="AD1315" s="3"/>
      <c r="AE1315" s="3"/>
      <c r="AF1315" s="3"/>
      <c r="AG1315" s="3"/>
      <c r="AH1315" s="3"/>
      <c r="AI1315" s="3"/>
      <c r="AJ1315" s="3"/>
      <c r="AK1315" s="3"/>
      <c r="AL1315" s="3"/>
      <c r="AM1315" s="3"/>
      <c r="AN1315" s="3"/>
      <c r="AO1315" s="3"/>
      <c r="AP1315" s="3"/>
      <c r="AQ1315" s="3"/>
      <c r="AR1315" s="3"/>
      <c r="AS1315" s="3"/>
      <c r="AT1315" s="3"/>
      <c r="AU1315" s="3"/>
      <c r="AV1315" s="3"/>
      <c r="AW1315" s="3"/>
      <c r="AX1315" s="3"/>
      <c r="AY1315" s="3"/>
      <c r="AZ1315" s="3"/>
      <c r="BA1315" s="3"/>
      <c r="BB1315" s="3"/>
      <c r="BC1315" s="3"/>
    </row>
    <row r="1316" spans="1:55">
      <c r="A1316" s="1" t="str">
        <f>'Population Definitions'!$A$4</f>
        <v>0-9_males</v>
      </c>
      <c r="C1316" t="s">
        <v>34</v>
      </c>
      <c r="D1316" s="3"/>
      <c r="E1316" s="3">
        <v>0</v>
      </c>
      <c r="F1316" s="3"/>
      <c r="G1316" s="3"/>
      <c r="H1316" s="3"/>
      <c r="I1316" s="3"/>
      <c r="J1316" s="3"/>
      <c r="K1316" s="3"/>
      <c r="L1316" s="3"/>
      <c r="M1316" s="3"/>
      <c r="N1316" s="3"/>
      <c r="O1316" s="3"/>
      <c r="P1316" s="3"/>
      <c r="Q1316" s="3"/>
      <c r="R1316" s="3"/>
      <c r="S1316" s="3"/>
      <c r="T1316" s="3"/>
      <c r="U1316" s="3"/>
      <c r="V1316" s="3"/>
      <c r="W1316" s="3"/>
      <c r="X1316" s="3"/>
      <c r="Y1316" s="3"/>
      <c r="Z1316" s="3"/>
      <c r="AA1316" s="3"/>
      <c r="AB1316" s="3"/>
      <c r="AC1316" s="3"/>
      <c r="AD1316" s="3"/>
      <c r="AE1316" s="3"/>
      <c r="AF1316" s="3"/>
      <c r="AG1316" s="3"/>
      <c r="AH1316" s="3"/>
      <c r="AI1316" s="3"/>
      <c r="AJ1316" s="3"/>
      <c r="AK1316" s="3"/>
      <c r="AL1316" s="3"/>
      <c r="AM1316" s="3"/>
      <c r="AN1316" s="3"/>
      <c r="AO1316" s="3"/>
      <c r="AP1316" s="3"/>
      <c r="AQ1316" s="3"/>
      <c r="AR1316" s="3"/>
      <c r="AS1316" s="3"/>
      <c r="AT1316" s="3"/>
      <c r="AU1316" s="3"/>
      <c r="AV1316" s="3"/>
      <c r="AW1316" s="3"/>
      <c r="AX1316" s="3"/>
      <c r="AY1316" s="3"/>
      <c r="AZ1316" s="3"/>
      <c r="BA1316" s="3"/>
      <c r="BB1316" s="3"/>
      <c r="BC1316" s="3"/>
    </row>
    <row r="1317" spans="1:55">
      <c r="A1317" s="1" t="str">
        <f>'Population Definitions'!$A$5</f>
        <v>0-9_females</v>
      </c>
      <c r="C1317" t="s">
        <v>34</v>
      </c>
      <c r="D1317" s="3"/>
      <c r="E1317" s="3">
        <v>0</v>
      </c>
      <c r="F1317" s="3"/>
      <c r="G1317" s="3"/>
      <c r="H1317" s="3"/>
      <c r="I1317" s="3"/>
      <c r="J1317" s="3"/>
      <c r="K1317" s="3"/>
      <c r="L1317" s="3"/>
      <c r="M1317" s="3"/>
      <c r="N1317" s="3"/>
      <c r="O1317" s="3"/>
      <c r="P1317" s="3"/>
      <c r="Q1317" s="3"/>
      <c r="R1317" s="3"/>
      <c r="S1317" s="3"/>
      <c r="T1317" s="3"/>
      <c r="U1317" s="3"/>
      <c r="V1317" s="3"/>
      <c r="W1317" s="3"/>
      <c r="X1317" s="3"/>
      <c r="Y1317" s="3"/>
      <c r="Z1317" s="3"/>
      <c r="AA1317" s="3"/>
      <c r="AB1317" s="3"/>
      <c r="AC1317" s="3"/>
      <c r="AD1317" s="3"/>
      <c r="AE1317" s="3"/>
      <c r="AF1317" s="3"/>
      <c r="AG1317" s="3"/>
      <c r="AH1317" s="3"/>
      <c r="AI1317" s="3"/>
      <c r="AJ1317" s="3"/>
      <c r="AK1317" s="3"/>
      <c r="AL1317" s="3"/>
      <c r="AM1317" s="3"/>
      <c r="AN1317" s="3"/>
      <c r="AO1317" s="3"/>
      <c r="AP1317" s="3"/>
      <c r="AQ1317" s="3"/>
      <c r="AR1317" s="3"/>
      <c r="AS1317" s="3"/>
      <c r="AT1317" s="3"/>
      <c r="AU1317" s="3"/>
      <c r="AV1317" s="3"/>
      <c r="AW1317" s="3"/>
      <c r="AX1317" s="3"/>
      <c r="AY1317" s="3"/>
      <c r="AZ1317" s="3"/>
      <c r="BA1317" s="3"/>
      <c r="BB1317" s="3"/>
      <c r="BC1317" s="3"/>
    </row>
    <row r="1318" spans="1:55">
      <c r="A1318" s="1" t="str">
        <f>'Population Definitions'!$A$6</f>
        <v>10-17_males</v>
      </c>
      <c r="C1318" t="s">
        <v>34</v>
      </c>
      <c r="D1318" s="3"/>
      <c r="E1318" s="3">
        <v>0</v>
      </c>
      <c r="F1318" s="3"/>
      <c r="G1318" s="3"/>
      <c r="H1318" s="3"/>
      <c r="I1318" s="3"/>
      <c r="J1318" s="3"/>
      <c r="K1318" s="3"/>
      <c r="L1318" s="3"/>
      <c r="M1318" s="3"/>
      <c r="N1318" s="3"/>
      <c r="O1318" s="3"/>
      <c r="P1318" s="3"/>
      <c r="Q1318" s="3"/>
      <c r="R1318" s="3"/>
      <c r="S1318" s="3"/>
      <c r="T1318" s="3"/>
      <c r="U1318" s="3"/>
      <c r="V1318" s="3"/>
      <c r="W1318" s="3"/>
      <c r="X1318" s="3"/>
      <c r="Y1318" s="3"/>
      <c r="Z1318" s="3"/>
      <c r="AA1318" s="3"/>
      <c r="AB1318" s="3"/>
      <c r="AC1318" s="3"/>
      <c r="AD1318" s="3"/>
      <c r="AE1318" s="3"/>
      <c r="AF1318" s="3"/>
      <c r="AG1318" s="3"/>
      <c r="AH1318" s="3"/>
      <c r="AI1318" s="3"/>
      <c r="AJ1318" s="3"/>
      <c r="AK1318" s="3"/>
      <c r="AL1318" s="3"/>
      <c r="AM1318" s="3"/>
      <c r="AN1318" s="3"/>
      <c r="AO1318" s="3"/>
      <c r="AP1318" s="3"/>
      <c r="AQ1318" s="3"/>
      <c r="AR1318" s="3"/>
      <c r="AS1318" s="3"/>
      <c r="AT1318" s="3"/>
      <c r="AU1318" s="3"/>
      <c r="AV1318" s="3"/>
      <c r="AW1318" s="3"/>
      <c r="AX1318" s="3"/>
      <c r="AY1318" s="3"/>
      <c r="AZ1318" s="3"/>
      <c r="BA1318" s="3"/>
      <c r="BB1318" s="3"/>
      <c r="BC1318" s="3"/>
    </row>
    <row r="1319" spans="1:55">
      <c r="A1319" s="1" t="str">
        <f>'Population Definitions'!$A$7</f>
        <v>10-17_females</v>
      </c>
      <c r="C1319" t="s">
        <v>34</v>
      </c>
      <c r="D1319" s="3"/>
      <c r="E1319" s="3">
        <v>0</v>
      </c>
      <c r="F1319" s="3"/>
      <c r="G1319" s="3"/>
      <c r="H1319" s="3"/>
      <c r="I1319" s="3"/>
      <c r="J1319" s="3"/>
      <c r="K1319" s="3"/>
      <c r="L1319" s="3"/>
      <c r="M1319" s="3"/>
      <c r="N1319" s="3"/>
      <c r="O1319" s="3"/>
      <c r="P1319" s="3"/>
      <c r="Q1319" s="3"/>
      <c r="R1319" s="3"/>
      <c r="S1319" s="3"/>
      <c r="T1319" s="3"/>
      <c r="U1319" s="3"/>
      <c r="V1319" s="3"/>
      <c r="W1319" s="3"/>
      <c r="X1319" s="3"/>
      <c r="Y1319" s="3"/>
      <c r="Z1319" s="3"/>
      <c r="AA1319" s="3"/>
      <c r="AB1319" s="3"/>
      <c r="AC1319" s="3"/>
      <c r="AD1319" s="3"/>
      <c r="AE1319" s="3"/>
      <c r="AF1319" s="3"/>
      <c r="AG1319" s="3"/>
      <c r="AH1319" s="3"/>
      <c r="AI1319" s="3"/>
      <c r="AJ1319" s="3"/>
      <c r="AK1319" s="3"/>
      <c r="AL1319" s="3"/>
      <c r="AM1319" s="3"/>
      <c r="AN1319" s="3"/>
      <c r="AO1319" s="3"/>
      <c r="AP1319" s="3"/>
      <c r="AQ1319" s="3"/>
      <c r="AR1319" s="3"/>
      <c r="AS1319" s="3"/>
      <c r="AT1319" s="3"/>
      <c r="AU1319" s="3"/>
      <c r="AV1319" s="3"/>
      <c r="AW1319" s="3"/>
      <c r="AX1319" s="3"/>
      <c r="AY1319" s="3"/>
      <c r="AZ1319" s="3"/>
      <c r="BA1319" s="3"/>
      <c r="BB1319" s="3"/>
      <c r="BC1319" s="3"/>
    </row>
    <row r="1320" spans="1:55">
      <c r="A1320" s="1" t="str">
        <f>'Population Definitions'!$A$8</f>
        <v>18-64_males</v>
      </c>
      <c r="C1320" t="s">
        <v>34</v>
      </c>
      <c r="D1320" s="3"/>
      <c r="E1320" s="3">
        <v>0</v>
      </c>
      <c r="F1320" s="3"/>
      <c r="G1320" s="3"/>
      <c r="H1320" s="3"/>
      <c r="I1320" s="3"/>
      <c r="J1320" s="3"/>
      <c r="K1320" s="3"/>
      <c r="L1320" s="3"/>
      <c r="M1320" s="3"/>
      <c r="N1320" s="3"/>
      <c r="O1320" s="3"/>
      <c r="P1320" s="3"/>
      <c r="Q1320" s="3"/>
      <c r="R1320" s="3"/>
      <c r="S1320" s="3"/>
      <c r="T1320" s="3"/>
      <c r="U1320" s="3"/>
      <c r="V1320" s="3"/>
      <c r="W1320" s="3"/>
      <c r="X1320" s="3"/>
      <c r="Y1320" s="3"/>
      <c r="Z1320" s="3"/>
      <c r="AA1320" s="3"/>
      <c r="AB1320" s="3"/>
      <c r="AC1320" s="3"/>
      <c r="AD1320" s="3"/>
      <c r="AE1320" s="3"/>
      <c r="AF1320" s="3"/>
      <c r="AG1320" s="3"/>
      <c r="AH1320" s="3"/>
      <c r="AI1320" s="3"/>
      <c r="AJ1320" s="3"/>
      <c r="AK1320" s="3"/>
      <c r="AL1320" s="3"/>
      <c r="AM1320" s="3"/>
      <c r="AN1320" s="3"/>
      <c r="AO1320" s="3"/>
      <c r="AP1320" s="3"/>
      <c r="AQ1320" s="3"/>
      <c r="AR1320" s="3"/>
      <c r="AS1320" s="3"/>
      <c r="AT1320" s="3"/>
      <c r="AU1320" s="3"/>
      <c r="AV1320" s="3"/>
      <c r="AW1320" s="3"/>
      <c r="AX1320" s="3"/>
      <c r="AY1320" s="3"/>
      <c r="AZ1320" s="3"/>
      <c r="BA1320" s="3"/>
      <c r="BB1320" s="3"/>
      <c r="BC1320" s="3"/>
    </row>
    <row r="1321" spans="1:55">
      <c r="A1321" s="1" t="str">
        <f>'Population Definitions'!$A$9</f>
        <v>18-64_females</v>
      </c>
      <c r="C1321" t="s">
        <v>34</v>
      </c>
      <c r="D1321" s="3"/>
      <c r="E1321" s="3">
        <v>0</v>
      </c>
      <c r="F1321" s="3"/>
      <c r="G1321" s="3"/>
      <c r="H1321" s="3"/>
      <c r="I1321" s="3"/>
      <c r="J1321" s="3"/>
      <c r="K1321" s="3"/>
      <c r="L1321" s="3"/>
      <c r="M1321" s="3"/>
      <c r="N1321" s="3"/>
      <c r="O1321" s="3"/>
      <c r="P1321" s="3"/>
      <c r="Q1321" s="3"/>
      <c r="R1321" s="3"/>
      <c r="S1321" s="3"/>
      <c r="T1321" s="3"/>
      <c r="U1321" s="3"/>
      <c r="V1321" s="3"/>
      <c r="W1321" s="3"/>
      <c r="X1321" s="3"/>
      <c r="Y1321" s="3"/>
      <c r="Z1321" s="3"/>
      <c r="AA1321" s="3"/>
      <c r="AB1321" s="3"/>
      <c r="AC1321" s="3"/>
      <c r="AD1321" s="3"/>
      <c r="AE1321" s="3"/>
      <c r="AF1321" s="3"/>
      <c r="AG1321" s="3"/>
      <c r="AH1321" s="3"/>
      <c r="AI1321" s="3"/>
      <c r="AJ1321" s="3"/>
      <c r="AK1321" s="3"/>
      <c r="AL1321" s="3"/>
      <c r="AM1321" s="3"/>
      <c r="AN1321" s="3"/>
      <c r="AO1321" s="3"/>
      <c r="AP1321" s="3"/>
      <c r="AQ1321" s="3"/>
      <c r="AR1321" s="3"/>
      <c r="AS1321" s="3"/>
      <c r="AT1321" s="3"/>
      <c r="AU1321" s="3"/>
      <c r="AV1321" s="3"/>
      <c r="AW1321" s="3"/>
      <c r="AX1321" s="3"/>
      <c r="AY1321" s="3"/>
      <c r="AZ1321" s="3"/>
      <c r="BA1321" s="3"/>
      <c r="BB1321" s="3"/>
      <c r="BC1321" s="3"/>
    </row>
    <row r="1322" spans="1:55">
      <c r="A1322" s="1" t="str">
        <f>'Population Definitions'!$A$10</f>
        <v>65+_males</v>
      </c>
      <c r="C1322" t="s">
        <v>34</v>
      </c>
      <c r="D1322" s="3"/>
      <c r="E1322" s="3">
        <v>0</v>
      </c>
      <c r="F1322" s="3"/>
      <c r="G1322" s="3"/>
      <c r="H1322" s="3"/>
      <c r="I1322" s="3"/>
      <c r="J1322" s="3"/>
      <c r="K1322" s="3"/>
      <c r="L1322" s="3"/>
      <c r="M1322" s="3"/>
      <c r="N1322" s="3"/>
      <c r="O1322" s="3"/>
      <c r="P1322" s="3"/>
      <c r="Q1322" s="3"/>
      <c r="R1322" s="3"/>
      <c r="S1322" s="3"/>
      <c r="T1322" s="3"/>
      <c r="U1322" s="3"/>
      <c r="V1322" s="3"/>
      <c r="W1322" s="3"/>
      <c r="X1322" s="3"/>
      <c r="Y1322" s="3"/>
      <c r="Z1322" s="3"/>
      <c r="AA1322" s="3"/>
      <c r="AB1322" s="3"/>
      <c r="AC1322" s="3"/>
      <c r="AD1322" s="3"/>
      <c r="AE1322" s="3"/>
      <c r="AF1322" s="3"/>
      <c r="AG1322" s="3"/>
      <c r="AH1322" s="3"/>
      <c r="AI1322" s="3"/>
      <c r="AJ1322" s="3"/>
      <c r="AK1322" s="3"/>
      <c r="AL1322" s="3"/>
      <c r="AM1322" s="3"/>
      <c r="AN1322" s="3"/>
      <c r="AO1322" s="3"/>
      <c r="AP1322" s="3"/>
      <c r="AQ1322" s="3"/>
      <c r="AR1322" s="3"/>
      <c r="AS1322" s="3"/>
      <c r="AT1322" s="3"/>
      <c r="AU1322" s="3"/>
      <c r="AV1322" s="3"/>
      <c r="AW1322" s="3"/>
      <c r="AX1322" s="3"/>
      <c r="AY1322" s="3"/>
      <c r="AZ1322" s="3"/>
      <c r="BA1322" s="3"/>
      <c r="BB1322" s="3"/>
      <c r="BC1322" s="3"/>
    </row>
    <row r="1323" spans="1:55">
      <c r="A1323" s="1" t="str">
        <f>'Population Definitions'!$A$11</f>
        <v>65+_females</v>
      </c>
      <c r="C1323" t="s">
        <v>34</v>
      </c>
      <c r="D1323" s="3"/>
      <c r="E1323" s="3">
        <v>0</v>
      </c>
      <c r="F1323" s="3"/>
      <c r="G1323" s="3"/>
      <c r="H1323" s="3"/>
      <c r="I1323" s="3"/>
      <c r="J1323" s="3"/>
      <c r="K1323" s="3"/>
      <c r="L1323" s="3"/>
      <c r="M1323" s="3"/>
      <c r="N1323" s="3"/>
      <c r="O1323" s="3"/>
      <c r="P1323" s="3"/>
      <c r="Q1323" s="3"/>
      <c r="R1323" s="3"/>
      <c r="S1323" s="3"/>
      <c r="T1323" s="3"/>
      <c r="U1323" s="3"/>
      <c r="V1323" s="3"/>
      <c r="W1323" s="3"/>
      <c r="X1323" s="3"/>
      <c r="Y1323" s="3"/>
      <c r="Z1323" s="3"/>
      <c r="AA1323" s="3"/>
      <c r="AB1323" s="3"/>
      <c r="AC1323" s="3"/>
      <c r="AD1323" s="3"/>
      <c r="AE1323" s="3"/>
      <c r="AF1323" s="3"/>
      <c r="AG1323" s="3"/>
      <c r="AH1323" s="3"/>
      <c r="AI1323" s="3"/>
      <c r="AJ1323" s="3"/>
      <c r="AK1323" s="3"/>
      <c r="AL1323" s="3"/>
      <c r="AM1323" s="3"/>
      <c r="AN1323" s="3"/>
      <c r="AO1323" s="3"/>
      <c r="AP1323" s="3"/>
      <c r="AQ1323" s="3"/>
      <c r="AR1323" s="3"/>
      <c r="AS1323" s="3"/>
      <c r="AT1323" s="3"/>
      <c r="AU1323" s="3"/>
      <c r="AV1323" s="3"/>
      <c r="AW1323" s="3"/>
      <c r="AX1323" s="3"/>
      <c r="AY1323" s="3"/>
      <c r="AZ1323" s="3"/>
      <c r="BA1323" s="3"/>
      <c r="BB1323" s="3"/>
      <c r="BC1323" s="3"/>
    </row>
    <row r="1324" spans="1:55">
      <c r="A1324" s="1" t="str">
        <f>'Population Definitions'!$A$12</f>
        <v>Prisoners_males</v>
      </c>
      <c r="C1324" t="s">
        <v>34</v>
      </c>
      <c r="D1324" s="3"/>
      <c r="E1324" s="3">
        <v>0</v>
      </c>
      <c r="F1324" s="3"/>
      <c r="G1324" s="3"/>
      <c r="H1324" s="3"/>
      <c r="I1324" s="3"/>
      <c r="J1324" s="3"/>
      <c r="K1324" s="3"/>
      <c r="L1324" s="3"/>
      <c r="M1324" s="3"/>
      <c r="N1324" s="3"/>
      <c r="O1324" s="3"/>
      <c r="P1324" s="3"/>
      <c r="Q1324" s="3"/>
      <c r="R1324" s="3"/>
      <c r="S1324" s="3"/>
      <c r="T1324" s="3"/>
      <c r="U1324" s="3"/>
      <c r="V1324" s="3"/>
      <c r="W1324" s="3"/>
      <c r="X1324" s="3"/>
      <c r="Y1324" s="3"/>
      <c r="Z1324" s="3"/>
      <c r="AA1324" s="3"/>
      <c r="AB1324" s="3"/>
      <c r="AC1324" s="3"/>
      <c r="AD1324" s="3"/>
      <c r="AE1324" s="3"/>
      <c r="AF1324" s="3"/>
      <c r="AG1324" s="3"/>
      <c r="AH1324" s="3"/>
      <c r="AI1324" s="3"/>
      <c r="AJ1324" s="3"/>
      <c r="AK1324" s="3"/>
      <c r="AL1324" s="3"/>
      <c r="AM1324" s="3"/>
      <c r="AN1324" s="3"/>
      <c r="AO1324" s="3"/>
      <c r="AP1324" s="3"/>
      <c r="AQ1324" s="3"/>
      <c r="AR1324" s="3"/>
      <c r="AS1324" s="3"/>
      <c r="AT1324" s="3"/>
      <c r="AU1324" s="3"/>
      <c r="AV1324" s="3"/>
      <c r="AW1324" s="3"/>
      <c r="AX1324" s="3"/>
      <c r="AY1324" s="3"/>
      <c r="AZ1324" s="3"/>
      <c r="BA1324" s="3"/>
      <c r="BB1324" s="3"/>
      <c r="BC1324" s="3"/>
    </row>
    <row r="1325" spans="1:55">
      <c r="A1325" s="1" t="str">
        <f>'Population Definitions'!$A$13</f>
        <v>Prisoners_females</v>
      </c>
      <c r="C1325" t="s">
        <v>34</v>
      </c>
      <c r="D1325" s="3"/>
      <c r="E1325" s="3">
        <v>0</v>
      </c>
      <c r="F1325" s="3"/>
      <c r="G1325" s="3"/>
      <c r="H1325" s="3"/>
      <c r="I1325" s="3"/>
      <c r="J1325" s="3"/>
      <c r="K1325" s="3"/>
      <c r="L1325" s="3"/>
      <c r="M1325" s="3"/>
      <c r="N1325" s="3"/>
      <c r="O1325" s="3"/>
      <c r="P1325" s="3"/>
      <c r="Q1325" s="3"/>
      <c r="R1325" s="3"/>
      <c r="S1325" s="3"/>
      <c r="T1325" s="3"/>
      <c r="U1325" s="3"/>
      <c r="V1325" s="3"/>
      <c r="W1325" s="3"/>
      <c r="X1325" s="3"/>
      <c r="Y1325" s="3"/>
      <c r="Z1325" s="3"/>
      <c r="AA1325" s="3"/>
      <c r="AB1325" s="3"/>
      <c r="AC1325" s="3"/>
      <c r="AD1325" s="3"/>
      <c r="AE1325" s="3"/>
      <c r="AF1325" s="3"/>
      <c r="AG1325" s="3"/>
      <c r="AH1325" s="3"/>
      <c r="AI1325" s="3"/>
      <c r="AJ1325" s="3"/>
      <c r="AK1325" s="3"/>
      <c r="AL1325" s="3"/>
      <c r="AM1325" s="3"/>
      <c r="AN1325" s="3"/>
      <c r="AO1325" s="3"/>
      <c r="AP1325" s="3"/>
      <c r="AQ1325" s="3"/>
      <c r="AR1325" s="3"/>
      <c r="AS1325" s="3"/>
      <c r="AT1325" s="3"/>
      <c r="AU1325" s="3"/>
      <c r="AV1325" s="3"/>
      <c r="AW1325" s="3"/>
      <c r="AX1325" s="3"/>
      <c r="AY1325" s="3"/>
      <c r="AZ1325" s="3"/>
      <c r="BA1325" s="3"/>
      <c r="BB1325" s="3"/>
      <c r="BC1325" s="3"/>
    </row>
    <row r="1326" spans="1:55">
      <c r="A1326" s="1" t="str">
        <f>'Population Definitions'!$A$14</f>
        <v>Prisoners_PWID_males</v>
      </c>
      <c r="C1326" t="s">
        <v>34</v>
      </c>
      <c r="D1326" s="3"/>
      <c r="E1326" s="3">
        <v>0</v>
      </c>
      <c r="F1326" s="3"/>
      <c r="G1326" s="3"/>
      <c r="H1326" s="3"/>
      <c r="I1326" s="3"/>
      <c r="J1326" s="3"/>
      <c r="K1326" s="3"/>
      <c r="L1326" s="3"/>
      <c r="M1326" s="3"/>
      <c r="N1326" s="3"/>
      <c r="O1326" s="3"/>
      <c r="P1326" s="3"/>
      <c r="Q1326" s="3"/>
      <c r="R1326" s="3"/>
      <c r="S1326" s="3"/>
      <c r="T1326" s="3"/>
      <c r="U1326" s="3"/>
      <c r="V1326" s="3"/>
      <c r="W1326" s="3"/>
      <c r="X1326" s="3"/>
      <c r="Y1326" s="3"/>
      <c r="Z1326" s="3"/>
      <c r="AA1326" s="3"/>
      <c r="AB1326" s="3"/>
      <c r="AC1326" s="3"/>
      <c r="AD1326" s="3"/>
      <c r="AE1326" s="3"/>
      <c r="AF1326" s="3"/>
      <c r="AG1326" s="3"/>
      <c r="AH1326" s="3"/>
      <c r="AI1326" s="3"/>
      <c r="AJ1326" s="3"/>
      <c r="AK1326" s="3"/>
      <c r="AL1326" s="3"/>
      <c r="AM1326" s="3"/>
      <c r="AN1326" s="3"/>
      <c r="AO1326" s="3"/>
      <c r="AP1326" s="3"/>
      <c r="AQ1326" s="3"/>
      <c r="AR1326" s="3"/>
      <c r="AS1326" s="3"/>
      <c r="AT1326" s="3"/>
      <c r="AU1326" s="3"/>
      <c r="AV1326" s="3"/>
      <c r="AW1326" s="3"/>
      <c r="AX1326" s="3"/>
      <c r="AY1326" s="3"/>
      <c r="AZ1326" s="3"/>
      <c r="BA1326" s="3"/>
      <c r="BB1326" s="3"/>
      <c r="BC1326" s="3"/>
    </row>
    <row r="1327" spans="1:55">
      <c r="A1327" s="1" t="str">
        <f>'Population Definitions'!$A$15</f>
        <v>Prisoners_PWID_females</v>
      </c>
      <c r="C1327" t="s">
        <v>34</v>
      </c>
      <c r="D1327" s="3"/>
      <c r="E1327" s="3">
        <v>0</v>
      </c>
      <c r="F1327" s="3"/>
      <c r="G1327" s="3"/>
      <c r="H1327" s="3"/>
      <c r="I1327" s="3"/>
      <c r="J1327" s="3"/>
      <c r="K1327" s="3"/>
      <c r="L1327" s="3"/>
      <c r="M1327" s="3"/>
      <c r="N1327" s="3"/>
      <c r="O1327" s="3"/>
      <c r="P1327" s="3"/>
      <c r="Q1327" s="3"/>
      <c r="R1327" s="3"/>
      <c r="S1327" s="3"/>
      <c r="T1327" s="3"/>
      <c r="U1327" s="3"/>
      <c r="V1327" s="3"/>
      <c r="W1327" s="3"/>
      <c r="X1327" s="3"/>
      <c r="Y1327" s="3"/>
      <c r="Z1327" s="3"/>
      <c r="AA1327" s="3"/>
      <c r="AB1327" s="3"/>
      <c r="AC1327" s="3"/>
      <c r="AD1327" s="3"/>
      <c r="AE1327" s="3"/>
      <c r="AF1327" s="3"/>
      <c r="AG1327" s="3"/>
      <c r="AH1327" s="3"/>
      <c r="AI1327" s="3"/>
      <c r="AJ1327" s="3"/>
      <c r="AK1327" s="3"/>
      <c r="AL1327" s="3"/>
      <c r="AM1327" s="3"/>
      <c r="AN1327" s="3"/>
      <c r="AO1327" s="3"/>
      <c r="AP1327" s="3"/>
      <c r="AQ1327" s="3"/>
      <c r="AR1327" s="3"/>
      <c r="AS1327" s="3"/>
      <c r="AT1327" s="3"/>
      <c r="AU1327" s="3"/>
      <c r="AV1327" s="3"/>
      <c r="AW1327" s="3"/>
      <c r="AX1327" s="3"/>
      <c r="AY1327" s="3"/>
      <c r="AZ1327" s="3"/>
      <c r="BA1327" s="3"/>
      <c r="BB1327" s="3"/>
      <c r="BC1327" s="3"/>
    </row>
  </sheetData>
  <conditionalFormatting sqref="E100">
    <cfRule type="expression" dxfId="0" priority="145">
      <formula>COUNTIF(G100:BE100,"&lt;&gt;" &amp; "")&gt;0</formula>
    </cfRule>
    <cfRule type="expression" dxfId="1" priority="146">
      <formula>AND(COUNTIF(G100:BE100,"&lt;&gt;" &amp; "")&gt;0,NOT(ISBLANK(E100)))</formula>
    </cfRule>
  </conditionalFormatting>
  <conditionalFormatting sqref="E101">
    <cfRule type="expression" dxfId="0" priority="147">
      <formula>COUNTIF(G101:BE101,"&lt;&gt;" &amp; "")&gt;0</formula>
    </cfRule>
    <cfRule type="expression" dxfId="1" priority="148">
      <formula>AND(COUNTIF(G101:BE101,"&lt;&gt;" &amp; "")&gt;0,NOT(ISBLANK(E101)))</formula>
    </cfRule>
  </conditionalFormatting>
  <conditionalFormatting sqref="E102">
    <cfRule type="expression" dxfId="0" priority="149">
      <formula>COUNTIF(G102:BE102,"&lt;&gt;" &amp; "")&gt;0</formula>
    </cfRule>
    <cfRule type="expression" dxfId="1" priority="150">
      <formula>AND(COUNTIF(G102:BE102,"&lt;&gt;" &amp; "")&gt;0,NOT(ISBLANK(E102)))</formula>
    </cfRule>
  </conditionalFormatting>
  <conditionalFormatting sqref="E103">
    <cfRule type="expression" dxfId="0" priority="151">
      <formula>COUNTIF(G103:BE103,"&lt;&gt;" &amp; "")&gt;0</formula>
    </cfRule>
    <cfRule type="expression" dxfId="1" priority="152">
      <formula>AND(COUNTIF(G103:BE103,"&lt;&gt;" &amp; "")&gt;0,NOT(ISBLANK(E103)))</formula>
    </cfRule>
  </conditionalFormatting>
  <conditionalFormatting sqref="E104">
    <cfRule type="expression" dxfId="0" priority="153">
      <formula>COUNTIF(G104:BE104,"&lt;&gt;" &amp; "")&gt;0</formula>
    </cfRule>
    <cfRule type="expression" dxfId="1" priority="154">
      <formula>AND(COUNTIF(G104:BE104,"&lt;&gt;" &amp; "")&gt;0,NOT(ISBLANK(E104)))</formula>
    </cfRule>
  </conditionalFormatting>
  <conditionalFormatting sqref="E105">
    <cfRule type="expression" dxfId="0" priority="155">
      <formula>COUNTIF(G105:BE105,"&lt;&gt;" &amp; "")&gt;0</formula>
    </cfRule>
    <cfRule type="expression" dxfId="1" priority="156">
      <formula>AND(COUNTIF(G105:BE105,"&lt;&gt;" &amp; "")&gt;0,NOT(ISBLANK(E105)))</formula>
    </cfRule>
  </conditionalFormatting>
  <conditionalFormatting sqref="E106">
    <cfRule type="expression" dxfId="0" priority="157">
      <formula>COUNTIF(G106:BE106,"&lt;&gt;" &amp; "")&gt;0</formula>
    </cfRule>
    <cfRule type="expression" dxfId="1" priority="158">
      <formula>AND(COUNTIF(G106:BE106,"&lt;&gt;" &amp; "")&gt;0,NOT(ISBLANK(E106)))</formula>
    </cfRule>
  </conditionalFormatting>
  <conditionalFormatting sqref="E107">
    <cfRule type="expression" dxfId="0" priority="159">
      <formula>COUNTIF(G107:BE107,"&lt;&gt;" &amp; "")&gt;0</formula>
    </cfRule>
    <cfRule type="expression" dxfId="1" priority="160">
      <formula>AND(COUNTIF(G107:BE107,"&lt;&gt;" &amp; "")&gt;0,NOT(ISBLANK(E107)))</formula>
    </cfRule>
  </conditionalFormatting>
  <conditionalFormatting sqref="E108">
    <cfRule type="expression" dxfId="0" priority="161">
      <formula>COUNTIF(G108:BE108,"&lt;&gt;" &amp; "")&gt;0</formula>
    </cfRule>
    <cfRule type="expression" dxfId="1" priority="162">
      <formula>AND(COUNTIF(G108:BE108,"&lt;&gt;" &amp; "")&gt;0,NOT(ISBLANK(E108)))</formula>
    </cfRule>
  </conditionalFormatting>
  <conditionalFormatting sqref="E109">
    <cfRule type="expression" dxfId="0" priority="163">
      <formula>COUNTIF(G109:BE109,"&lt;&gt;" &amp; "")&gt;0</formula>
    </cfRule>
    <cfRule type="expression" dxfId="1" priority="164">
      <formula>AND(COUNTIF(G109:BE109,"&lt;&gt;" &amp; "")&gt;0,NOT(ISBLANK(E109)))</formula>
    </cfRule>
  </conditionalFormatting>
  <conditionalFormatting sqref="E110">
    <cfRule type="expression" dxfId="0" priority="165">
      <formula>COUNTIF(G110:BE110,"&lt;&gt;" &amp; "")&gt;0</formula>
    </cfRule>
    <cfRule type="expression" dxfId="1" priority="166">
      <formula>AND(COUNTIF(G110:BE110,"&lt;&gt;" &amp; "")&gt;0,NOT(ISBLANK(E110)))</formula>
    </cfRule>
  </conditionalFormatting>
  <conditionalFormatting sqref="E111">
    <cfRule type="expression" dxfId="0" priority="167">
      <formula>COUNTIF(G111:BE111,"&lt;&gt;" &amp; "")&gt;0</formula>
    </cfRule>
    <cfRule type="expression" dxfId="1" priority="168">
      <formula>AND(COUNTIF(G111:BE111,"&lt;&gt;" &amp; "")&gt;0,NOT(ISBLANK(E111)))</formula>
    </cfRule>
  </conditionalFormatting>
  <conditionalFormatting sqref="E114">
    <cfRule type="expression" dxfId="0" priority="169">
      <formula>COUNTIF(G114:BE114,"&lt;&gt;" &amp; "")&gt;0</formula>
    </cfRule>
    <cfRule type="expression" dxfId="1" priority="170">
      <formula>AND(COUNTIF(G114:BE114,"&lt;&gt;" &amp; "")&gt;0,NOT(ISBLANK(E114)))</formula>
    </cfRule>
  </conditionalFormatting>
  <conditionalFormatting sqref="E115">
    <cfRule type="expression" dxfId="0" priority="171">
      <formula>COUNTIF(G115:BE115,"&lt;&gt;" &amp; "")&gt;0</formula>
    </cfRule>
    <cfRule type="expression" dxfId="1" priority="172">
      <formula>AND(COUNTIF(G115:BE115,"&lt;&gt;" &amp; "")&gt;0,NOT(ISBLANK(E115)))</formula>
    </cfRule>
  </conditionalFormatting>
  <conditionalFormatting sqref="E116">
    <cfRule type="expression" dxfId="0" priority="173">
      <formula>COUNTIF(G116:BE116,"&lt;&gt;" &amp; "")&gt;0</formula>
    </cfRule>
    <cfRule type="expression" dxfId="1" priority="174">
      <formula>AND(COUNTIF(G116:BE116,"&lt;&gt;" &amp; "")&gt;0,NOT(ISBLANK(E116)))</formula>
    </cfRule>
  </conditionalFormatting>
  <conditionalFormatting sqref="E117">
    <cfRule type="expression" dxfId="0" priority="175">
      <formula>COUNTIF(G117:BE117,"&lt;&gt;" &amp; "")&gt;0</formula>
    </cfRule>
    <cfRule type="expression" dxfId="1" priority="176">
      <formula>AND(COUNTIF(G117:BE117,"&lt;&gt;" &amp; "")&gt;0,NOT(ISBLANK(E117)))</formula>
    </cfRule>
  </conditionalFormatting>
  <conditionalFormatting sqref="E118">
    <cfRule type="expression" dxfId="0" priority="177">
      <formula>COUNTIF(G118:BE118,"&lt;&gt;" &amp; "")&gt;0</formula>
    </cfRule>
    <cfRule type="expression" dxfId="1" priority="178">
      <formula>AND(COUNTIF(G118:BE118,"&lt;&gt;" &amp; "")&gt;0,NOT(ISBLANK(E118)))</formula>
    </cfRule>
  </conditionalFormatting>
  <conditionalFormatting sqref="E119">
    <cfRule type="expression" dxfId="0" priority="179">
      <formula>COUNTIF(G119:BE119,"&lt;&gt;" &amp; "")&gt;0</formula>
    </cfRule>
    <cfRule type="expression" dxfId="1" priority="180">
      <formula>AND(COUNTIF(G119:BE119,"&lt;&gt;" &amp; "")&gt;0,NOT(ISBLANK(E119)))</formula>
    </cfRule>
  </conditionalFormatting>
  <conditionalFormatting sqref="E120">
    <cfRule type="expression" dxfId="0" priority="181">
      <formula>COUNTIF(G120:BE120,"&lt;&gt;" &amp; "")&gt;0</formula>
    </cfRule>
    <cfRule type="expression" dxfId="1" priority="182">
      <formula>AND(COUNTIF(G120:BE120,"&lt;&gt;" &amp; "")&gt;0,NOT(ISBLANK(E120)))</formula>
    </cfRule>
  </conditionalFormatting>
  <conditionalFormatting sqref="E121">
    <cfRule type="expression" dxfId="0" priority="183">
      <formula>COUNTIF(G121:BE121,"&lt;&gt;" &amp; "")&gt;0</formula>
    </cfRule>
    <cfRule type="expression" dxfId="1" priority="184">
      <formula>AND(COUNTIF(G121:BE121,"&lt;&gt;" &amp; "")&gt;0,NOT(ISBLANK(E121)))</formula>
    </cfRule>
  </conditionalFormatting>
  <conditionalFormatting sqref="E122">
    <cfRule type="expression" dxfId="0" priority="185">
      <formula>COUNTIF(G122:BE122,"&lt;&gt;" &amp; "")&gt;0</formula>
    </cfRule>
    <cfRule type="expression" dxfId="1" priority="186">
      <formula>AND(COUNTIF(G122:BE122,"&lt;&gt;" &amp; "")&gt;0,NOT(ISBLANK(E122)))</formula>
    </cfRule>
  </conditionalFormatting>
  <conditionalFormatting sqref="E123">
    <cfRule type="expression" dxfId="0" priority="187">
      <formula>COUNTIF(G123:BE123,"&lt;&gt;" &amp; "")&gt;0</formula>
    </cfRule>
    <cfRule type="expression" dxfId="1" priority="188">
      <formula>AND(COUNTIF(G123:BE123,"&lt;&gt;" &amp; "")&gt;0,NOT(ISBLANK(E123)))</formula>
    </cfRule>
  </conditionalFormatting>
  <conditionalFormatting sqref="E124">
    <cfRule type="expression" dxfId="0" priority="189">
      <formula>COUNTIF(G124:BE124,"&lt;&gt;" &amp; "")&gt;0</formula>
    </cfRule>
    <cfRule type="expression" dxfId="1" priority="190">
      <formula>AND(COUNTIF(G124:BE124,"&lt;&gt;" &amp; "")&gt;0,NOT(ISBLANK(E124)))</formula>
    </cfRule>
  </conditionalFormatting>
  <conditionalFormatting sqref="E125">
    <cfRule type="expression" dxfId="0" priority="191">
      <formula>COUNTIF(G125:BE125,"&lt;&gt;" &amp; "")&gt;0</formula>
    </cfRule>
    <cfRule type="expression" dxfId="1" priority="192">
      <formula>AND(COUNTIF(G125:BE125,"&lt;&gt;" &amp; "")&gt;0,NOT(ISBLANK(E125)))</formula>
    </cfRule>
  </conditionalFormatting>
  <conditionalFormatting sqref="E126">
    <cfRule type="expression" dxfId="0" priority="193">
      <formula>COUNTIF(G126:BE126,"&lt;&gt;" &amp; "")&gt;0</formula>
    </cfRule>
    <cfRule type="expression" dxfId="1" priority="194">
      <formula>AND(COUNTIF(G126:BE126,"&lt;&gt;" &amp; "")&gt;0,NOT(ISBLANK(E126)))</formula>
    </cfRule>
  </conditionalFormatting>
  <conditionalFormatting sqref="E127">
    <cfRule type="expression" dxfId="0" priority="195">
      <formula>COUNTIF(G127:BE127,"&lt;&gt;" &amp; "")&gt;0</formula>
    </cfRule>
    <cfRule type="expression" dxfId="1" priority="196">
      <formula>AND(COUNTIF(G127:BE127,"&lt;&gt;" &amp; "")&gt;0,NOT(ISBLANK(E127)))</formula>
    </cfRule>
  </conditionalFormatting>
  <conditionalFormatting sqref="E130">
    <cfRule type="expression" dxfId="0" priority="197">
      <formula>COUNTIF(G130:BE130,"&lt;&gt;" &amp; "")&gt;0</formula>
    </cfRule>
    <cfRule type="expression" dxfId="1" priority="198">
      <formula>AND(COUNTIF(G130:BE130,"&lt;&gt;" &amp; "")&gt;0,NOT(ISBLANK(E130)))</formula>
    </cfRule>
  </conditionalFormatting>
  <conditionalFormatting sqref="E131">
    <cfRule type="expression" dxfId="0" priority="199">
      <formula>COUNTIF(G131:BE131,"&lt;&gt;" &amp; "")&gt;0</formula>
    </cfRule>
    <cfRule type="expression" dxfId="1" priority="200">
      <formula>AND(COUNTIF(G131:BE131,"&lt;&gt;" &amp; "")&gt;0,NOT(ISBLANK(E131)))</formula>
    </cfRule>
  </conditionalFormatting>
  <conditionalFormatting sqref="E132">
    <cfRule type="expression" dxfId="0" priority="201">
      <formula>COUNTIF(G132:BE132,"&lt;&gt;" &amp; "")&gt;0</formula>
    </cfRule>
    <cfRule type="expression" dxfId="1" priority="202">
      <formula>AND(COUNTIF(G132:BE132,"&lt;&gt;" &amp; "")&gt;0,NOT(ISBLANK(E132)))</formula>
    </cfRule>
  </conditionalFormatting>
  <conditionalFormatting sqref="E133">
    <cfRule type="expression" dxfId="0" priority="203">
      <formula>COUNTIF(G133:BE133,"&lt;&gt;" &amp; "")&gt;0</formula>
    </cfRule>
    <cfRule type="expression" dxfId="1" priority="204">
      <formula>AND(COUNTIF(G133:BE133,"&lt;&gt;" &amp; "")&gt;0,NOT(ISBLANK(E133)))</formula>
    </cfRule>
  </conditionalFormatting>
  <conditionalFormatting sqref="E134">
    <cfRule type="expression" dxfId="0" priority="205">
      <formula>COUNTIF(G134:BE134,"&lt;&gt;" &amp; "")&gt;0</formula>
    </cfRule>
    <cfRule type="expression" dxfId="1" priority="206">
      <formula>AND(COUNTIF(G134:BE134,"&lt;&gt;" &amp; "")&gt;0,NOT(ISBLANK(E134)))</formula>
    </cfRule>
  </conditionalFormatting>
  <conditionalFormatting sqref="E135">
    <cfRule type="expression" dxfId="0" priority="207">
      <formula>COUNTIF(G135:BE135,"&lt;&gt;" &amp; "")&gt;0</formula>
    </cfRule>
    <cfRule type="expression" dxfId="1" priority="208">
      <formula>AND(COUNTIF(G135:BE135,"&lt;&gt;" &amp; "")&gt;0,NOT(ISBLANK(E135)))</formula>
    </cfRule>
  </conditionalFormatting>
  <conditionalFormatting sqref="E136">
    <cfRule type="expression" dxfId="0" priority="209">
      <formula>COUNTIF(G136:BE136,"&lt;&gt;" &amp; "")&gt;0</formula>
    </cfRule>
    <cfRule type="expression" dxfId="1" priority="210">
      <formula>AND(COUNTIF(G136:BE136,"&lt;&gt;" &amp; "")&gt;0,NOT(ISBLANK(E136)))</formula>
    </cfRule>
  </conditionalFormatting>
  <conditionalFormatting sqref="E137">
    <cfRule type="expression" dxfId="0" priority="211">
      <formula>COUNTIF(G137:BE137,"&lt;&gt;" &amp; "")&gt;0</formula>
    </cfRule>
    <cfRule type="expression" dxfId="1" priority="212">
      <formula>AND(COUNTIF(G137:BE137,"&lt;&gt;" &amp; "")&gt;0,NOT(ISBLANK(E137)))</formula>
    </cfRule>
  </conditionalFormatting>
  <conditionalFormatting sqref="E138">
    <cfRule type="expression" dxfId="0" priority="213">
      <formula>COUNTIF(G138:BE138,"&lt;&gt;" &amp; "")&gt;0</formula>
    </cfRule>
    <cfRule type="expression" dxfId="1" priority="214">
      <formula>AND(COUNTIF(G138:BE138,"&lt;&gt;" &amp; "")&gt;0,NOT(ISBLANK(E138)))</formula>
    </cfRule>
  </conditionalFormatting>
  <conditionalFormatting sqref="E139">
    <cfRule type="expression" dxfId="0" priority="215">
      <formula>COUNTIF(G139:BE139,"&lt;&gt;" &amp; "")&gt;0</formula>
    </cfRule>
    <cfRule type="expression" dxfId="1" priority="216">
      <formula>AND(COUNTIF(G139:BE139,"&lt;&gt;" &amp; "")&gt;0,NOT(ISBLANK(E139)))</formula>
    </cfRule>
  </conditionalFormatting>
  <conditionalFormatting sqref="E140">
    <cfRule type="expression" dxfId="0" priority="217">
      <formula>COUNTIF(G140:BE140,"&lt;&gt;" &amp; "")&gt;0</formula>
    </cfRule>
    <cfRule type="expression" dxfId="1" priority="218">
      <formula>AND(COUNTIF(G140:BE140,"&lt;&gt;" &amp; "")&gt;0,NOT(ISBLANK(E140)))</formula>
    </cfRule>
  </conditionalFormatting>
  <conditionalFormatting sqref="E141">
    <cfRule type="expression" dxfId="0" priority="219">
      <formula>COUNTIF(G141:BE141,"&lt;&gt;" &amp; "")&gt;0</formula>
    </cfRule>
    <cfRule type="expression" dxfId="1" priority="220">
      <formula>AND(COUNTIF(G141:BE141,"&lt;&gt;" &amp; "")&gt;0,NOT(ISBLANK(E141)))</formula>
    </cfRule>
  </conditionalFormatting>
  <conditionalFormatting sqref="E142">
    <cfRule type="expression" dxfId="0" priority="221">
      <formula>COUNTIF(G142:BE142,"&lt;&gt;" &amp; "")&gt;0</formula>
    </cfRule>
    <cfRule type="expression" dxfId="1" priority="222">
      <formula>AND(COUNTIF(G142:BE142,"&lt;&gt;" &amp; "")&gt;0,NOT(ISBLANK(E142)))</formula>
    </cfRule>
  </conditionalFormatting>
  <conditionalFormatting sqref="E143">
    <cfRule type="expression" dxfId="0" priority="223">
      <formula>COUNTIF(G143:BE143,"&lt;&gt;" &amp; "")&gt;0</formula>
    </cfRule>
    <cfRule type="expression" dxfId="1" priority="224">
      <formula>AND(COUNTIF(G143:BE143,"&lt;&gt;" &amp; "")&gt;0,NOT(ISBLANK(E143)))</formula>
    </cfRule>
  </conditionalFormatting>
  <conditionalFormatting sqref="E146">
    <cfRule type="expression" dxfId="0" priority="225">
      <formula>COUNTIF(G146:BE146,"&lt;&gt;" &amp; "")&gt;0</formula>
    </cfRule>
    <cfRule type="expression" dxfId="1" priority="226">
      <formula>AND(COUNTIF(G146:BE146,"&lt;&gt;" &amp; "")&gt;0,NOT(ISBLANK(E146)))</formula>
    </cfRule>
  </conditionalFormatting>
  <conditionalFormatting sqref="E147">
    <cfRule type="expression" dxfId="0" priority="227">
      <formula>COUNTIF(G147:BE147,"&lt;&gt;" &amp; "")&gt;0</formula>
    </cfRule>
    <cfRule type="expression" dxfId="1" priority="228">
      <formula>AND(COUNTIF(G147:BE147,"&lt;&gt;" &amp; "")&gt;0,NOT(ISBLANK(E147)))</formula>
    </cfRule>
  </conditionalFormatting>
  <conditionalFormatting sqref="E148">
    <cfRule type="expression" dxfId="0" priority="229">
      <formula>COUNTIF(G148:BE148,"&lt;&gt;" &amp; "")&gt;0</formula>
    </cfRule>
    <cfRule type="expression" dxfId="1" priority="230">
      <formula>AND(COUNTIF(G148:BE148,"&lt;&gt;" &amp; "")&gt;0,NOT(ISBLANK(E148)))</formula>
    </cfRule>
  </conditionalFormatting>
  <conditionalFormatting sqref="E149">
    <cfRule type="expression" dxfId="0" priority="231">
      <formula>COUNTIF(G149:BE149,"&lt;&gt;" &amp; "")&gt;0</formula>
    </cfRule>
    <cfRule type="expression" dxfId="1" priority="232">
      <formula>AND(COUNTIF(G149:BE149,"&lt;&gt;" &amp; "")&gt;0,NOT(ISBLANK(E149)))</formula>
    </cfRule>
  </conditionalFormatting>
  <conditionalFormatting sqref="E150">
    <cfRule type="expression" dxfId="0" priority="233">
      <formula>COUNTIF(G150:BE150,"&lt;&gt;" &amp; "")&gt;0</formula>
    </cfRule>
    <cfRule type="expression" dxfId="1" priority="234">
      <formula>AND(COUNTIF(G150:BE150,"&lt;&gt;" &amp; "")&gt;0,NOT(ISBLANK(E150)))</formula>
    </cfRule>
  </conditionalFormatting>
  <conditionalFormatting sqref="E151">
    <cfRule type="expression" dxfId="0" priority="235">
      <formula>COUNTIF(G151:BE151,"&lt;&gt;" &amp; "")&gt;0</formula>
    </cfRule>
    <cfRule type="expression" dxfId="1" priority="236">
      <formula>AND(COUNTIF(G151:BE151,"&lt;&gt;" &amp; "")&gt;0,NOT(ISBLANK(E151)))</formula>
    </cfRule>
  </conditionalFormatting>
  <conditionalFormatting sqref="E152">
    <cfRule type="expression" dxfId="0" priority="237">
      <formula>COUNTIF(G152:BE152,"&lt;&gt;" &amp; "")&gt;0</formula>
    </cfRule>
    <cfRule type="expression" dxfId="1" priority="238">
      <formula>AND(COUNTIF(G152:BE152,"&lt;&gt;" &amp; "")&gt;0,NOT(ISBLANK(E152)))</formula>
    </cfRule>
  </conditionalFormatting>
  <conditionalFormatting sqref="E153">
    <cfRule type="expression" dxfId="0" priority="239">
      <formula>COUNTIF(G153:BE153,"&lt;&gt;" &amp; "")&gt;0</formula>
    </cfRule>
    <cfRule type="expression" dxfId="1" priority="240">
      <formula>AND(COUNTIF(G153:BE153,"&lt;&gt;" &amp; "")&gt;0,NOT(ISBLANK(E153)))</formula>
    </cfRule>
  </conditionalFormatting>
  <conditionalFormatting sqref="E154">
    <cfRule type="expression" dxfId="0" priority="241">
      <formula>COUNTIF(G154:BE154,"&lt;&gt;" &amp; "")&gt;0</formula>
    </cfRule>
    <cfRule type="expression" dxfId="1" priority="242">
      <formula>AND(COUNTIF(G154:BE154,"&lt;&gt;" &amp; "")&gt;0,NOT(ISBLANK(E154)))</formula>
    </cfRule>
  </conditionalFormatting>
  <conditionalFormatting sqref="E155">
    <cfRule type="expression" dxfId="0" priority="243">
      <formula>COUNTIF(G155:BE155,"&lt;&gt;" &amp; "")&gt;0</formula>
    </cfRule>
    <cfRule type="expression" dxfId="1" priority="244">
      <formula>AND(COUNTIF(G155:BE155,"&lt;&gt;" &amp; "")&gt;0,NOT(ISBLANK(E155)))</formula>
    </cfRule>
  </conditionalFormatting>
  <conditionalFormatting sqref="E156">
    <cfRule type="expression" dxfId="0" priority="245">
      <formula>COUNTIF(G156:BE156,"&lt;&gt;" &amp; "")&gt;0</formula>
    </cfRule>
    <cfRule type="expression" dxfId="1" priority="246">
      <formula>AND(COUNTIF(G156:BE156,"&lt;&gt;" &amp; "")&gt;0,NOT(ISBLANK(E156)))</formula>
    </cfRule>
  </conditionalFormatting>
  <conditionalFormatting sqref="E157">
    <cfRule type="expression" dxfId="0" priority="247">
      <formula>COUNTIF(G157:BE157,"&lt;&gt;" &amp; "")&gt;0</formula>
    </cfRule>
    <cfRule type="expression" dxfId="1" priority="248">
      <formula>AND(COUNTIF(G157:BE157,"&lt;&gt;" &amp; "")&gt;0,NOT(ISBLANK(E157)))</formula>
    </cfRule>
  </conditionalFormatting>
  <conditionalFormatting sqref="E158">
    <cfRule type="expression" dxfId="0" priority="249">
      <formula>COUNTIF(G158:BE158,"&lt;&gt;" &amp; "")&gt;0</formula>
    </cfRule>
    <cfRule type="expression" dxfId="1" priority="250">
      <formula>AND(COUNTIF(G158:BE158,"&lt;&gt;" &amp; "")&gt;0,NOT(ISBLANK(E158)))</formula>
    </cfRule>
  </conditionalFormatting>
  <conditionalFormatting sqref="E159">
    <cfRule type="expression" dxfId="0" priority="251">
      <formula>COUNTIF(G159:BE159,"&lt;&gt;" &amp; "")&gt;0</formula>
    </cfRule>
    <cfRule type="expression" dxfId="1" priority="252">
      <formula>AND(COUNTIF(G159:BE159,"&lt;&gt;" &amp; "")&gt;0,NOT(ISBLANK(E159)))</formula>
    </cfRule>
  </conditionalFormatting>
  <conditionalFormatting sqref="E162">
    <cfRule type="expression" dxfId="0" priority="253">
      <formula>COUNTIF(G162:BE162,"&lt;&gt;" &amp; "")&gt;0</formula>
    </cfRule>
    <cfRule type="expression" dxfId="1" priority="254">
      <formula>AND(COUNTIF(G162:BE162,"&lt;&gt;" &amp; "")&gt;0,NOT(ISBLANK(E162)))</formula>
    </cfRule>
  </conditionalFormatting>
  <conditionalFormatting sqref="E163">
    <cfRule type="expression" dxfId="0" priority="255">
      <formula>COUNTIF(G163:BE163,"&lt;&gt;" &amp; "")&gt;0</formula>
    </cfRule>
    <cfRule type="expression" dxfId="1" priority="256">
      <formula>AND(COUNTIF(G163:BE163,"&lt;&gt;" &amp; "")&gt;0,NOT(ISBLANK(E163)))</formula>
    </cfRule>
  </conditionalFormatting>
  <conditionalFormatting sqref="E164">
    <cfRule type="expression" dxfId="0" priority="257">
      <formula>COUNTIF(G164:BE164,"&lt;&gt;" &amp; "")&gt;0</formula>
    </cfRule>
    <cfRule type="expression" dxfId="1" priority="258">
      <formula>AND(COUNTIF(G164:BE164,"&lt;&gt;" &amp; "")&gt;0,NOT(ISBLANK(E164)))</formula>
    </cfRule>
  </conditionalFormatting>
  <conditionalFormatting sqref="E165">
    <cfRule type="expression" dxfId="0" priority="259">
      <formula>COUNTIF(G165:BE165,"&lt;&gt;" &amp; "")&gt;0</formula>
    </cfRule>
    <cfRule type="expression" dxfId="1" priority="260">
      <formula>AND(COUNTIF(G165:BE165,"&lt;&gt;" &amp; "")&gt;0,NOT(ISBLANK(E165)))</formula>
    </cfRule>
  </conditionalFormatting>
  <conditionalFormatting sqref="E166">
    <cfRule type="expression" dxfId="0" priority="261">
      <formula>COUNTIF(G166:BE166,"&lt;&gt;" &amp; "")&gt;0</formula>
    </cfRule>
    <cfRule type="expression" dxfId="1" priority="262">
      <formula>AND(COUNTIF(G166:BE166,"&lt;&gt;" &amp; "")&gt;0,NOT(ISBLANK(E166)))</formula>
    </cfRule>
  </conditionalFormatting>
  <conditionalFormatting sqref="E167">
    <cfRule type="expression" dxfId="0" priority="263">
      <formula>COUNTIF(G167:BE167,"&lt;&gt;" &amp; "")&gt;0</formula>
    </cfRule>
    <cfRule type="expression" dxfId="1" priority="264">
      <formula>AND(COUNTIF(G167:BE167,"&lt;&gt;" &amp; "")&gt;0,NOT(ISBLANK(E167)))</formula>
    </cfRule>
  </conditionalFormatting>
  <conditionalFormatting sqref="E168">
    <cfRule type="expression" dxfId="0" priority="265">
      <formula>COUNTIF(G168:BE168,"&lt;&gt;" &amp; "")&gt;0</formula>
    </cfRule>
    <cfRule type="expression" dxfId="1" priority="266">
      <formula>AND(COUNTIF(G168:BE168,"&lt;&gt;" &amp; "")&gt;0,NOT(ISBLANK(E168)))</formula>
    </cfRule>
  </conditionalFormatting>
  <conditionalFormatting sqref="E169">
    <cfRule type="expression" dxfId="0" priority="267">
      <formula>COUNTIF(G169:BE169,"&lt;&gt;" &amp; "")&gt;0</formula>
    </cfRule>
    <cfRule type="expression" dxfId="1" priority="268">
      <formula>AND(COUNTIF(G169:BE169,"&lt;&gt;" &amp; "")&gt;0,NOT(ISBLANK(E169)))</formula>
    </cfRule>
  </conditionalFormatting>
  <conditionalFormatting sqref="E170">
    <cfRule type="expression" dxfId="0" priority="269">
      <formula>COUNTIF(G170:BE170,"&lt;&gt;" &amp; "")&gt;0</formula>
    </cfRule>
    <cfRule type="expression" dxfId="1" priority="270">
      <formula>AND(COUNTIF(G170:BE170,"&lt;&gt;" &amp; "")&gt;0,NOT(ISBLANK(E170)))</formula>
    </cfRule>
  </conditionalFormatting>
  <conditionalFormatting sqref="E171">
    <cfRule type="expression" dxfId="0" priority="271">
      <formula>COUNTIF(G171:BE171,"&lt;&gt;" &amp; "")&gt;0</formula>
    </cfRule>
    <cfRule type="expression" dxfId="1" priority="272">
      <formula>AND(COUNTIF(G171:BE171,"&lt;&gt;" &amp; "")&gt;0,NOT(ISBLANK(E171)))</formula>
    </cfRule>
  </conditionalFormatting>
  <conditionalFormatting sqref="E172">
    <cfRule type="expression" dxfId="0" priority="273">
      <formula>COUNTIF(G172:BE172,"&lt;&gt;" &amp; "")&gt;0</formula>
    </cfRule>
    <cfRule type="expression" dxfId="1" priority="274">
      <formula>AND(COUNTIF(G172:BE172,"&lt;&gt;" &amp; "")&gt;0,NOT(ISBLANK(E172)))</formula>
    </cfRule>
  </conditionalFormatting>
  <conditionalFormatting sqref="E173">
    <cfRule type="expression" dxfId="0" priority="275">
      <formula>COUNTIF(G173:BE173,"&lt;&gt;" &amp; "")&gt;0</formula>
    </cfRule>
    <cfRule type="expression" dxfId="1" priority="276">
      <formula>AND(COUNTIF(G173:BE173,"&lt;&gt;" &amp; "")&gt;0,NOT(ISBLANK(E173)))</formula>
    </cfRule>
  </conditionalFormatting>
  <conditionalFormatting sqref="E174">
    <cfRule type="expression" dxfId="0" priority="277">
      <formula>COUNTIF(G174:BE174,"&lt;&gt;" &amp; "")&gt;0</formula>
    </cfRule>
    <cfRule type="expression" dxfId="1" priority="278">
      <formula>AND(COUNTIF(G174:BE174,"&lt;&gt;" &amp; "")&gt;0,NOT(ISBLANK(E174)))</formula>
    </cfRule>
  </conditionalFormatting>
  <conditionalFormatting sqref="E175">
    <cfRule type="expression" dxfId="0" priority="279">
      <formula>COUNTIF(G175:BE175,"&lt;&gt;" &amp; "")&gt;0</formula>
    </cfRule>
    <cfRule type="expression" dxfId="1" priority="280">
      <formula>AND(COUNTIF(G175:BE175,"&lt;&gt;" &amp; "")&gt;0,NOT(ISBLANK(E175)))</formula>
    </cfRule>
  </conditionalFormatting>
  <conditionalFormatting sqref="E178">
    <cfRule type="expression" dxfId="0" priority="281">
      <formula>COUNTIF(G178:BE178,"&lt;&gt;" &amp; "")&gt;0</formula>
    </cfRule>
    <cfRule type="expression" dxfId="1" priority="282">
      <formula>AND(COUNTIF(G178:BE178,"&lt;&gt;" &amp; "")&gt;0,NOT(ISBLANK(E178)))</formula>
    </cfRule>
  </conditionalFormatting>
  <conditionalFormatting sqref="E179">
    <cfRule type="expression" dxfId="0" priority="283">
      <formula>COUNTIF(G179:BE179,"&lt;&gt;" &amp; "")&gt;0</formula>
    </cfRule>
    <cfRule type="expression" dxfId="1" priority="284">
      <formula>AND(COUNTIF(G179:BE179,"&lt;&gt;" &amp; "")&gt;0,NOT(ISBLANK(E179)))</formula>
    </cfRule>
  </conditionalFormatting>
  <conditionalFormatting sqref="E18">
    <cfRule type="expression" dxfId="0" priority="1">
      <formula>COUNTIF(G18:BE18,"&lt;&gt;" &amp; "")&gt;0</formula>
    </cfRule>
    <cfRule type="expression" dxfId="1" priority="2">
      <formula>AND(COUNTIF(G18:BE18,"&lt;&gt;" &amp; "")&gt;0,NOT(ISBLANK(E18)))</formula>
    </cfRule>
  </conditionalFormatting>
  <conditionalFormatting sqref="E180">
    <cfRule type="expression" dxfId="0" priority="285">
      <formula>COUNTIF(G180:BE180,"&lt;&gt;" &amp; "")&gt;0</formula>
    </cfRule>
    <cfRule type="expression" dxfId="1" priority="286">
      <formula>AND(COUNTIF(G180:BE180,"&lt;&gt;" &amp; "")&gt;0,NOT(ISBLANK(E180)))</formula>
    </cfRule>
  </conditionalFormatting>
  <conditionalFormatting sqref="E181">
    <cfRule type="expression" dxfId="0" priority="287">
      <formula>COUNTIF(G181:BE181,"&lt;&gt;" &amp; "")&gt;0</formula>
    </cfRule>
    <cfRule type="expression" dxfId="1" priority="288">
      <formula>AND(COUNTIF(G181:BE181,"&lt;&gt;" &amp; "")&gt;0,NOT(ISBLANK(E181)))</formula>
    </cfRule>
  </conditionalFormatting>
  <conditionalFormatting sqref="E182">
    <cfRule type="expression" dxfId="0" priority="289">
      <formula>COUNTIF(G182:BE182,"&lt;&gt;" &amp; "")&gt;0</formula>
    </cfRule>
    <cfRule type="expression" dxfId="1" priority="290">
      <formula>AND(COUNTIF(G182:BE182,"&lt;&gt;" &amp; "")&gt;0,NOT(ISBLANK(E182)))</formula>
    </cfRule>
  </conditionalFormatting>
  <conditionalFormatting sqref="E183">
    <cfRule type="expression" dxfId="0" priority="291">
      <formula>COUNTIF(G183:BE183,"&lt;&gt;" &amp; "")&gt;0</formula>
    </cfRule>
    <cfRule type="expression" dxfId="1" priority="292">
      <formula>AND(COUNTIF(G183:BE183,"&lt;&gt;" &amp; "")&gt;0,NOT(ISBLANK(E183)))</formula>
    </cfRule>
  </conditionalFormatting>
  <conditionalFormatting sqref="E184">
    <cfRule type="expression" dxfId="0" priority="293">
      <formula>COUNTIF(G184:BE184,"&lt;&gt;" &amp; "")&gt;0</formula>
    </cfRule>
    <cfRule type="expression" dxfId="1" priority="294">
      <formula>AND(COUNTIF(G184:BE184,"&lt;&gt;" &amp; "")&gt;0,NOT(ISBLANK(E184)))</formula>
    </cfRule>
  </conditionalFormatting>
  <conditionalFormatting sqref="E185">
    <cfRule type="expression" dxfId="0" priority="295">
      <formula>COUNTIF(G185:BE185,"&lt;&gt;" &amp; "")&gt;0</formula>
    </cfRule>
    <cfRule type="expression" dxfId="1" priority="296">
      <formula>AND(COUNTIF(G185:BE185,"&lt;&gt;" &amp; "")&gt;0,NOT(ISBLANK(E185)))</formula>
    </cfRule>
  </conditionalFormatting>
  <conditionalFormatting sqref="E186">
    <cfRule type="expression" dxfId="0" priority="297">
      <formula>COUNTIF(G186:BE186,"&lt;&gt;" &amp; "")&gt;0</formula>
    </cfRule>
    <cfRule type="expression" dxfId="1" priority="298">
      <formula>AND(COUNTIF(G186:BE186,"&lt;&gt;" &amp; "")&gt;0,NOT(ISBLANK(E186)))</formula>
    </cfRule>
  </conditionalFormatting>
  <conditionalFormatting sqref="E187">
    <cfRule type="expression" dxfId="0" priority="299">
      <formula>COUNTIF(G187:BE187,"&lt;&gt;" &amp; "")&gt;0</formula>
    </cfRule>
    <cfRule type="expression" dxfId="1" priority="300">
      <formula>AND(COUNTIF(G187:BE187,"&lt;&gt;" &amp; "")&gt;0,NOT(ISBLANK(E187)))</formula>
    </cfRule>
  </conditionalFormatting>
  <conditionalFormatting sqref="E188">
    <cfRule type="expression" dxfId="0" priority="301">
      <formula>COUNTIF(G188:BE188,"&lt;&gt;" &amp; "")&gt;0</formula>
    </cfRule>
    <cfRule type="expression" dxfId="1" priority="302">
      <formula>AND(COUNTIF(G188:BE188,"&lt;&gt;" &amp; "")&gt;0,NOT(ISBLANK(E188)))</formula>
    </cfRule>
  </conditionalFormatting>
  <conditionalFormatting sqref="E189">
    <cfRule type="expression" dxfId="0" priority="303">
      <formula>COUNTIF(G189:BE189,"&lt;&gt;" &amp; "")&gt;0</formula>
    </cfRule>
    <cfRule type="expression" dxfId="1" priority="304">
      <formula>AND(COUNTIF(G189:BE189,"&lt;&gt;" &amp; "")&gt;0,NOT(ISBLANK(E189)))</formula>
    </cfRule>
  </conditionalFormatting>
  <conditionalFormatting sqref="E19">
    <cfRule type="expression" dxfId="0" priority="3">
      <formula>COUNTIF(G19:BE19,"&lt;&gt;" &amp; "")&gt;0</formula>
    </cfRule>
    <cfRule type="expression" dxfId="1" priority="4">
      <formula>AND(COUNTIF(G19:BE19,"&lt;&gt;" &amp; "")&gt;0,NOT(ISBLANK(E19)))</formula>
    </cfRule>
  </conditionalFormatting>
  <conditionalFormatting sqref="E190">
    <cfRule type="expression" dxfId="0" priority="305">
      <formula>COUNTIF(G190:BE190,"&lt;&gt;" &amp; "")&gt;0</formula>
    </cfRule>
    <cfRule type="expression" dxfId="1" priority="306">
      <formula>AND(COUNTIF(G190:BE190,"&lt;&gt;" &amp; "")&gt;0,NOT(ISBLANK(E190)))</formula>
    </cfRule>
  </conditionalFormatting>
  <conditionalFormatting sqref="E191">
    <cfRule type="expression" dxfId="0" priority="307">
      <formula>COUNTIF(G191:BE191,"&lt;&gt;" &amp; "")&gt;0</formula>
    </cfRule>
    <cfRule type="expression" dxfId="1" priority="308">
      <formula>AND(COUNTIF(G191:BE191,"&lt;&gt;" &amp; "")&gt;0,NOT(ISBLANK(E191)))</formula>
    </cfRule>
  </conditionalFormatting>
  <conditionalFormatting sqref="E194">
    <cfRule type="expression" dxfId="0" priority="309">
      <formula>COUNTIF(G194:BE194,"&lt;&gt;" &amp; "")&gt;0</formula>
    </cfRule>
    <cfRule type="expression" dxfId="1" priority="310">
      <formula>AND(COUNTIF(G194:BE194,"&lt;&gt;" &amp; "")&gt;0,NOT(ISBLANK(E194)))</formula>
    </cfRule>
  </conditionalFormatting>
  <conditionalFormatting sqref="E195">
    <cfRule type="expression" dxfId="0" priority="311">
      <formula>COUNTIF(G195:BE195,"&lt;&gt;" &amp; "")&gt;0</formula>
    </cfRule>
    <cfRule type="expression" dxfId="1" priority="312">
      <formula>AND(COUNTIF(G195:BE195,"&lt;&gt;" &amp; "")&gt;0,NOT(ISBLANK(E195)))</formula>
    </cfRule>
  </conditionalFormatting>
  <conditionalFormatting sqref="E196">
    <cfRule type="expression" dxfId="0" priority="313">
      <formula>COUNTIF(G196:BE196,"&lt;&gt;" &amp; "")&gt;0</formula>
    </cfRule>
    <cfRule type="expression" dxfId="1" priority="314">
      <formula>AND(COUNTIF(G196:BE196,"&lt;&gt;" &amp; "")&gt;0,NOT(ISBLANK(E196)))</formula>
    </cfRule>
  </conditionalFormatting>
  <conditionalFormatting sqref="E197">
    <cfRule type="expression" dxfId="0" priority="315">
      <formula>COUNTIF(G197:BE197,"&lt;&gt;" &amp; "")&gt;0</formula>
    </cfRule>
    <cfRule type="expression" dxfId="1" priority="316">
      <formula>AND(COUNTIF(G197:BE197,"&lt;&gt;" &amp; "")&gt;0,NOT(ISBLANK(E197)))</formula>
    </cfRule>
  </conditionalFormatting>
  <conditionalFormatting sqref="E198">
    <cfRule type="expression" dxfId="0" priority="317">
      <formula>COUNTIF(G198:BE198,"&lt;&gt;" &amp; "")&gt;0</formula>
    </cfRule>
    <cfRule type="expression" dxfId="1" priority="318">
      <formula>AND(COUNTIF(G198:BE198,"&lt;&gt;" &amp; "")&gt;0,NOT(ISBLANK(E198)))</formula>
    </cfRule>
  </conditionalFormatting>
  <conditionalFormatting sqref="E199">
    <cfRule type="expression" dxfId="0" priority="319">
      <formula>COUNTIF(G199:BE199,"&lt;&gt;" &amp; "")&gt;0</formula>
    </cfRule>
    <cfRule type="expression" dxfId="1" priority="320">
      <formula>AND(COUNTIF(G199:BE199,"&lt;&gt;" &amp; "")&gt;0,NOT(ISBLANK(E199)))</formula>
    </cfRule>
  </conditionalFormatting>
  <conditionalFormatting sqref="E20">
    <cfRule type="expression" dxfId="0" priority="5">
      <formula>COUNTIF(G20:BE20,"&lt;&gt;" &amp; "")&gt;0</formula>
    </cfRule>
    <cfRule type="expression" dxfId="1" priority="6">
      <formula>AND(COUNTIF(G20:BE20,"&lt;&gt;" &amp; "")&gt;0,NOT(ISBLANK(E20)))</formula>
    </cfRule>
  </conditionalFormatting>
  <conditionalFormatting sqref="E200">
    <cfRule type="expression" dxfId="0" priority="321">
      <formula>COUNTIF(G200:BE200,"&lt;&gt;" &amp; "")&gt;0</formula>
    </cfRule>
    <cfRule type="expression" dxfId="1" priority="322">
      <formula>AND(COUNTIF(G200:BE200,"&lt;&gt;" &amp; "")&gt;0,NOT(ISBLANK(E200)))</formula>
    </cfRule>
  </conditionalFormatting>
  <conditionalFormatting sqref="E201">
    <cfRule type="expression" dxfId="0" priority="323">
      <formula>COUNTIF(G201:BE201,"&lt;&gt;" &amp; "")&gt;0</formula>
    </cfRule>
    <cfRule type="expression" dxfId="1" priority="324">
      <formula>AND(COUNTIF(G201:BE201,"&lt;&gt;" &amp; "")&gt;0,NOT(ISBLANK(E201)))</formula>
    </cfRule>
  </conditionalFormatting>
  <conditionalFormatting sqref="E202">
    <cfRule type="expression" dxfId="0" priority="325">
      <formula>COUNTIF(G202:BE202,"&lt;&gt;" &amp; "")&gt;0</formula>
    </cfRule>
    <cfRule type="expression" dxfId="1" priority="326">
      <formula>AND(COUNTIF(G202:BE202,"&lt;&gt;" &amp; "")&gt;0,NOT(ISBLANK(E202)))</formula>
    </cfRule>
  </conditionalFormatting>
  <conditionalFormatting sqref="E203">
    <cfRule type="expression" dxfId="0" priority="327">
      <formula>COUNTIF(G203:BE203,"&lt;&gt;" &amp; "")&gt;0</formula>
    </cfRule>
    <cfRule type="expression" dxfId="1" priority="328">
      <formula>AND(COUNTIF(G203:BE203,"&lt;&gt;" &amp; "")&gt;0,NOT(ISBLANK(E203)))</formula>
    </cfRule>
  </conditionalFormatting>
  <conditionalFormatting sqref="E204">
    <cfRule type="expression" dxfId="0" priority="329">
      <formula>COUNTIF(G204:BE204,"&lt;&gt;" &amp; "")&gt;0</formula>
    </cfRule>
    <cfRule type="expression" dxfId="1" priority="330">
      <formula>AND(COUNTIF(G204:BE204,"&lt;&gt;" &amp; "")&gt;0,NOT(ISBLANK(E204)))</formula>
    </cfRule>
  </conditionalFormatting>
  <conditionalFormatting sqref="E205">
    <cfRule type="expression" dxfId="0" priority="331">
      <formula>COUNTIF(G205:BE205,"&lt;&gt;" &amp; "")&gt;0</formula>
    </cfRule>
    <cfRule type="expression" dxfId="1" priority="332">
      <formula>AND(COUNTIF(G205:BE205,"&lt;&gt;" &amp; "")&gt;0,NOT(ISBLANK(E205)))</formula>
    </cfRule>
  </conditionalFormatting>
  <conditionalFormatting sqref="E206">
    <cfRule type="expression" dxfId="0" priority="333">
      <formula>COUNTIF(G206:BE206,"&lt;&gt;" &amp; "")&gt;0</formula>
    </cfRule>
    <cfRule type="expression" dxfId="1" priority="334">
      <formula>AND(COUNTIF(G206:BE206,"&lt;&gt;" &amp; "")&gt;0,NOT(ISBLANK(E206)))</formula>
    </cfRule>
  </conditionalFormatting>
  <conditionalFormatting sqref="E207">
    <cfRule type="expression" dxfId="0" priority="335">
      <formula>COUNTIF(G207:BE207,"&lt;&gt;" &amp; "")&gt;0</formula>
    </cfRule>
    <cfRule type="expression" dxfId="1" priority="336">
      <formula>AND(COUNTIF(G207:BE207,"&lt;&gt;" &amp; "")&gt;0,NOT(ISBLANK(E207)))</formula>
    </cfRule>
  </conditionalFormatting>
  <conditionalFormatting sqref="E21">
    <cfRule type="expression" dxfId="0" priority="7">
      <formula>COUNTIF(G21:BE21,"&lt;&gt;" &amp; "")&gt;0</formula>
    </cfRule>
    <cfRule type="expression" dxfId="1" priority="8">
      <formula>AND(COUNTIF(G21:BE21,"&lt;&gt;" &amp; "")&gt;0,NOT(ISBLANK(E21)))</formula>
    </cfRule>
  </conditionalFormatting>
  <conditionalFormatting sqref="E210">
    <cfRule type="expression" dxfId="0" priority="337">
      <formula>COUNTIF(G210:BE210,"&lt;&gt;" &amp; "")&gt;0</formula>
    </cfRule>
    <cfRule type="expression" dxfId="1" priority="338">
      <formula>AND(COUNTIF(G210:BE210,"&lt;&gt;" &amp; "")&gt;0,NOT(ISBLANK(E210)))</formula>
    </cfRule>
  </conditionalFormatting>
  <conditionalFormatting sqref="E211">
    <cfRule type="expression" dxfId="0" priority="339">
      <formula>COUNTIF(G211:BE211,"&lt;&gt;" &amp; "")&gt;0</formula>
    </cfRule>
    <cfRule type="expression" dxfId="1" priority="340">
      <formula>AND(COUNTIF(G211:BE211,"&lt;&gt;" &amp; "")&gt;0,NOT(ISBLANK(E211)))</formula>
    </cfRule>
  </conditionalFormatting>
  <conditionalFormatting sqref="E212">
    <cfRule type="expression" dxfId="0" priority="341">
      <formula>COUNTIF(G212:BE212,"&lt;&gt;" &amp; "")&gt;0</formula>
    </cfRule>
    <cfRule type="expression" dxfId="1" priority="342">
      <formula>AND(COUNTIF(G212:BE212,"&lt;&gt;" &amp; "")&gt;0,NOT(ISBLANK(E212)))</formula>
    </cfRule>
  </conditionalFormatting>
  <conditionalFormatting sqref="E213">
    <cfRule type="expression" dxfId="0" priority="343">
      <formula>COUNTIF(G213:BE213,"&lt;&gt;" &amp; "")&gt;0</formula>
    </cfRule>
    <cfRule type="expression" dxfId="1" priority="344">
      <formula>AND(COUNTIF(G213:BE213,"&lt;&gt;" &amp; "")&gt;0,NOT(ISBLANK(E213)))</formula>
    </cfRule>
  </conditionalFormatting>
  <conditionalFormatting sqref="E214">
    <cfRule type="expression" dxfId="0" priority="345">
      <formula>COUNTIF(G214:BE214,"&lt;&gt;" &amp; "")&gt;0</formula>
    </cfRule>
    <cfRule type="expression" dxfId="1" priority="346">
      <formula>AND(COUNTIF(G214:BE214,"&lt;&gt;" &amp; "")&gt;0,NOT(ISBLANK(E214)))</formula>
    </cfRule>
  </conditionalFormatting>
  <conditionalFormatting sqref="E215">
    <cfRule type="expression" dxfId="0" priority="347">
      <formula>COUNTIF(G215:BE215,"&lt;&gt;" &amp; "")&gt;0</formula>
    </cfRule>
    <cfRule type="expression" dxfId="1" priority="348">
      <formula>AND(COUNTIF(G215:BE215,"&lt;&gt;" &amp; "")&gt;0,NOT(ISBLANK(E215)))</formula>
    </cfRule>
  </conditionalFormatting>
  <conditionalFormatting sqref="E216">
    <cfRule type="expression" dxfId="0" priority="349">
      <formula>COUNTIF(G216:BE216,"&lt;&gt;" &amp; "")&gt;0</formula>
    </cfRule>
    <cfRule type="expression" dxfId="1" priority="350">
      <formula>AND(COUNTIF(G216:BE216,"&lt;&gt;" &amp; "")&gt;0,NOT(ISBLANK(E216)))</formula>
    </cfRule>
  </conditionalFormatting>
  <conditionalFormatting sqref="E217">
    <cfRule type="expression" dxfId="0" priority="351">
      <formula>COUNTIF(G217:BE217,"&lt;&gt;" &amp; "")&gt;0</formula>
    </cfRule>
    <cfRule type="expression" dxfId="1" priority="352">
      <formula>AND(COUNTIF(G217:BE217,"&lt;&gt;" &amp; "")&gt;0,NOT(ISBLANK(E217)))</formula>
    </cfRule>
  </conditionalFormatting>
  <conditionalFormatting sqref="E218">
    <cfRule type="expression" dxfId="0" priority="353">
      <formula>COUNTIF(G218:BE218,"&lt;&gt;" &amp; "")&gt;0</formula>
    </cfRule>
    <cfRule type="expression" dxfId="1" priority="354">
      <formula>AND(COUNTIF(G218:BE218,"&lt;&gt;" &amp; "")&gt;0,NOT(ISBLANK(E218)))</formula>
    </cfRule>
  </conditionalFormatting>
  <conditionalFormatting sqref="E219">
    <cfRule type="expression" dxfId="0" priority="355">
      <formula>COUNTIF(G219:BE219,"&lt;&gt;" &amp; "")&gt;0</formula>
    </cfRule>
    <cfRule type="expression" dxfId="1" priority="356">
      <formula>AND(COUNTIF(G219:BE219,"&lt;&gt;" &amp; "")&gt;0,NOT(ISBLANK(E219)))</formula>
    </cfRule>
  </conditionalFormatting>
  <conditionalFormatting sqref="E22">
    <cfRule type="expression" dxfId="0" priority="9">
      <formula>COUNTIF(G22:BE22,"&lt;&gt;" &amp; "")&gt;0</formula>
    </cfRule>
    <cfRule type="expression" dxfId="1" priority="10">
      <formula>AND(COUNTIF(G22:BE22,"&lt;&gt;" &amp; "")&gt;0,NOT(ISBLANK(E22)))</formula>
    </cfRule>
  </conditionalFormatting>
  <conditionalFormatting sqref="E220">
    <cfRule type="expression" dxfId="0" priority="357">
      <formula>COUNTIF(G220:BE220,"&lt;&gt;" &amp; "")&gt;0</formula>
    </cfRule>
    <cfRule type="expression" dxfId="1" priority="358">
      <formula>AND(COUNTIF(G220:BE220,"&lt;&gt;" &amp; "")&gt;0,NOT(ISBLANK(E220)))</formula>
    </cfRule>
  </conditionalFormatting>
  <conditionalFormatting sqref="E221">
    <cfRule type="expression" dxfId="0" priority="359">
      <formula>COUNTIF(G221:BE221,"&lt;&gt;" &amp; "")&gt;0</formula>
    </cfRule>
    <cfRule type="expression" dxfId="1" priority="360">
      <formula>AND(COUNTIF(G221:BE221,"&lt;&gt;" &amp; "")&gt;0,NOT(ISBLANK(E221)))</formula>
    </cfRule>
  </conditionalFormatting>
  <conditionalFormatting sqref="E222">
    <cfRule type="expression" dxfId="0" priority="361">
      <formula>COUNTIF(G222:BE222,"&lt;&gt;" &amp; "")&gt;0</formula>
    </cfRule>
    <cfRule type="expression" dxfId="1" priority="362">
      <formula>AND(COUNTIF(G222:BE222,"&lt;&gt;" &amp; "")&gt;0,NOT(ISBLANK(E222)))</formula>
    </cfRule>
  </conditionalFormatting>
  <conditionalFormatting sqref="E223">
    <cfRule type="expression" dxfId="0" priority="363">
      <formula>COUNTIF(G223:BE223,"&lt;&gt;" &amp; "")&gt;0</formula>
    </cfRule>
    <cfRule type="expression" dxfId="1" priority="364">
      <formula>AND(COUNTIF(G223:BE223,"&lt;&gt;" &amp; "")&gt;0,NOT(ISBLANK(E223)))</formula>
    </cfRule>
  </conditionalFormatting>
  <conditionalFormatting sqref="E226">
    <cfRule type="expression" dxfId="0" priority="365">
      <formula>COUNTIF(G226:BE226,"&lt;&gt;" &amp; "")&gt;0</formula>
    </cfRule>
    <cfRule type="expression" dxfId="1" priority="366">
      <formula>AND(COUNTIF(G226:BE226,"&lt;&gt;" &amp; "")&gt;0,NOT(ISBLANK(E226)))</formula>
    </cfRule>
  </conditionalFormatting>
  <conditionalFormatting sqref="E227">
    <cfRule type="expression" dxfId="0" priority="367">
      <formula>COUNTIF(G227:BE227,"&lt;&gt;" &amp; "")&gt;0</formula>
    </cfRule>
    <cfRule type="expression" dxfId="1" priority="368">
      <formula>AND(COUNTIF(G227:BE227,"&lt;&gt;" &amp; "")&gt;0,NOT(ISBLANK(E227)))</formula>
    </cfRule>
  </conditionalFormatting>
  <conditionalFormatting sqref="E228">
    <cfRule type="expression" dxfId="0" priority="369">
      <formula>COUNTIF(G228:BE228,"&lt;&gt;" &amp; "")&gt;0</formula>
    </cfRule>
    <cfRule type="expression" dxfId="1" priority="370">
      <formula>AND(COUNTIF(G228:BE228,"&lt;&gt;" &amp; "")&gt;0,NOT(ISBLANK(E228)))</formula>
    </cfRule>
  </conditionalFormatting>
  <conditionalFormatting sqref="E229">
    <cfRule type="expression" dxfId="0" priority="371">
      <formula>COUNTIF(G229:BE229,"&lt;&gt;" &amp; "")&gt;0</formula>
    </cfRule>
    <cfRule type="expression" dxfId="1" priority="372">
      <formula>AND(COUNTIF(G229:BE229,"&lt;&gt;" &amp; "")&gt;0,NOT(ISBLANK(E229)))</formula>
    </cfRule>
  </conditionalFormatting>
  <conditionalFormatting sqref="E23">
    <cfRule type="expression" dxfId="0" priority="11">
      <formula>COUNTIF(G23:BE23,"&lt;&gt;" &amp; "")&gt;0</formula>
    </cfRule>
    <cfRule type="expression" dxfId="1" priority="12">
      <formula>AND(COUNTIF(G23:BE23,"&lt;&gt;" &amp; "")&gt;0,NOT(ISBLANK(E23)))</formula>
    </cfRule>
  </conditionalFormatting>
  <conditionalFormatting sqref="E230">
    <cfRule type="expression" dxfId="0" priority="373">
      <formula>COUNTIF(G230:BE230,"&lt;&gt;" &amp; "")&gt;0</formula>
    </cfRule>
    <cfRule type="expression" dxfId="1" priority="374">
      <formula>AND(COUNTIF(G230:BE230,"&lt;&gt;" &amp; "")&gt;0,NOT(ISBLANK(E230)))</formula>
    </cfRule>
  </conditionalFormatting>
  <conditionalFormatting sqref="E231">
    <cfRule type="expression" dxfId="0" priority="375">
      <formula>COUNTIF(G231:BE231,"&lt;&gt;" &amp; "")&gt;0</formula>
    </cfRule>
    <cfRule type="expression" dxfId="1" priority="376">
      <formula>AND(COUNTIF(G231:BE231,"&lt;&gt;" &amp; "")&gt;0,NOT(ISBLANK(E231)))</formula>
    </cfRule>
  </conditionalFormatting>
  <conditionalFormatting sqref="E232">
    <cfRule type="expression" dxfId="0" priority="377">
      <formula>COUNTIF(G232:BE232,"&lt;&gt;" &amp; "")&gt;0</formula>
    </cfRule>
    <cfRule type="expression" dxfId="1" priority="378">
      <formula>AND(COUNTIF(G232:BE232,"&lt;&gt;" &amp; "")&gt;0,NOT(ISBLANK(E232)))</formula>
    </cfRule>
  </conditionalFormatting>
  <conditionalFormatting sqref="E233">
    <cfRule type="expression" dxfId="0" priority="379">
      <formula>COUNTIF(G233:BE233,"&lt;&gt;" &amp; "")&gt;0</formula>
    </cfRule>
    <cfRule type="expression" dxfId="1" priority="380">
      <formula>AND(COUNTIF(G233:BE233,"&lt;&gt;" &amp; "")&gt;0,NOT(ISBLANK(E233)))</formula>
    </cfRule>
  </conditionalFormatting>
  <conditionalFormatting sqref="E234">
    <cfRule type="expression" dxfId="0" priority="381">
      <formula>COUNTIF(G234:BE234,"&lt;&gt;" &amp; "")&gt;0</formula>
    </cfRule>
    <cfRule type="expression" dxfId="1" priority="382">
      <formula>AND(COUNTIF(G234:BE234,"&lt;&gt;" &amp; "")&gt;0,NOT(ISBLANK(E234)))</formula>
    </cfRule>
  </conditionalFormatting>
  <conditionalFormatting sqref="E235">
    <cfRule type="expression" dxfId="0" priority="383">
      <formula>COUNTIF(G235:BE235,"&lt;&gt;" &amp; "")&gt;0</formula>
    </cfRule>
    <cfRule type="expression" dxfId="1" priority="384">
      <formula>AND(COUNTIF(G235:BE235,"&lt;&gt;" &amp; "")&gt;0,NOT(ISBLANK(E235)))</formula>
    </cfRule>
  </conditionalFormatting>
  <conditionalFormatting sqref="E236">
    <cfRule type="expression" dxfId="0" priority="385">
      <formula>COUNTIF(G236:BE236,"&lt;&gt;" &amp; "")&gt;0</formula>
    </cfRule>
    <cfRule type="expression" dxfId="1" priority="386">
      <formula>AND(COUNTIF(G236:BE236,"&lt;&gt;" &amp; "")&gt;0,NOT(ISBLANK(E236)))</formula>
    </cfRule>
  </conditionalFormatting>
  <conditionalFormatting sqref="E237">
    <cfRule type="expression" dxfId="0" priority="387">
      <formula>COUNTIF(G237:BE237,"&lt;&gt;" &amp; "")&gt;0</formula>
    </cfRule>
    <cfRule type="expression" dxfId="1" priority="388">
      <formula>AND(COUNTIF(G237:BE237,"&lt;&gt;" &amp; "")&gt;0,NOT(ISBLANK(E237)))</formula>
    </cfRule>
  </conditionalFormatting>
  <conditionalFormatting sqref="E238">
    <cfRule type="expression" dxfId="0" priority="389">
      <formula>COUNTIF(G238:BE238,"&lt;&gt;" &amp; "")&gt;0</formula>
    </cfRule>
    <cfRule type="expression" dxfId="1" priority="390">
      <formula>AND(COUNTIF(G238:BE238,"&lt;&gt;" &amp; "")&gt;0,NOT(ISBLANK(E238)))</formula>
    </cfRule>
  </conditionalFormatting>
  <conditionalFormatting sqref="E239">
    <cfRule type="expression" dxfId="0" priority="391">
      <formula>COUNTIF(G239:BE239,"&lt;&gt;" &amp; "")&gt;0</formula>
    </cfRule>
    <cfRule type="expression" dxfId="1" priority="392">
      <formula>AND(COUNTIF(G239:BE239,"&lt;&gt;" &amp; "")&gt;0,NOT(ISBLANK(E239)))</formula>
    </cfRule>
  </conditionalFormatting>
  <conditionalFormatting sqref="E24">
    <cfRule type="expression" dxfId="0" priority="13">
      <formula>COUNTIF(G24:BE24,"&lt;&gt;" &amp; "")&gt;0</formula>
    </cfRule>
    <cfRule type="expression" dxfId="1" priority="14">
      <formula>AND(COUNTIF(G24:BE24,"&lt;&gt;" &amp; "")&gt;0,NOT(ISBLANK(E24)))</formula>
    </cfRule>
  </conditionalFormatting>
  <conditionalFormatting sqref="E242">
    <cfRule type="expression" dxfId="0" priority="393">
      <formula>COUNTIF(G242:BE242,"&lt;&gt;" &amp; "")&gt;0</formula>
    </cfRule>
    <cfRule type="expression" dxfId="1" priority="394">
      <formula>AND(COUNTIF(G242:BE242,"&lt;&gt;" &amp; "")&gt;0,NOT(ISBLANK(E242)))</formula>
    </cfRule>
  </conditionalFormatting>
  <conditionalFormatting sqref="E243">
    <cfRule type="expression" dxfId="0" priority="395">
      <formula>COUNTIF(G243:BE243,"&lt;&gt;" &amp; "")&gt;0</formula>
    </cfRule>
    <cfRule type="expression" dxfId="1" priority="396">
      <formula>AND(COUNTIF(G243:BE243,"&lt;&gt;" &amp; "")&gt;0,NOT(ISBLANK(E243)))</formula>
    </cfRule>
  </conditionalFormatting>
  <conditionalFormatting sqref="E244">
    <cfRule type="expression" dxfId="0" priority="397">
      <formula>COUNTIF(G244:BE244,"&lt;&gt;" &amp; "")&gt;0</formula>
    </cfRule>
    <cfRule type="expression" dxfId="1" priority="398">
      <formula>AND(COUNTIF(G244:BE244,"&lt;&gt;" &amp; "")&gt;0,NOT(ISBLANK(E244)))</formula>
    </cfRule>
  </conditionalFormatting>
  <conditionalFormatting sqref="E245">
    <cfRule type="expression" dxfId="0" priority="399">
      <formula>COUNTIF(G245:BE245,"&lt;&gt;" &amp; "")&gt;0</formula>
    </cfRule>
    <cfRule type="expression" dxfId="1" priority="400">
      <formula>AND(COUNTIF(G245:BE245,"&lt;&gt;" &amp; "")&gt;0,NOT(ISBLANK(E245)))</formula>
    </cfRule>
  </conditionalFormatting>
  <conditionalFormatting sqref="E246">
    <cfRule type="expression" dxfId="0" priority="401">
      <formula>COUNTIF(G246:BE246,"&lt;&gt;" &amp; "")&gt;0</formula>
    </cfRule>
    <cfRule type="expression" dxfId="1" priority="402">
      <formula>AND(COUNTIF(G246:BE246,"&lt;&gt;" &amp; "")&gt;0,NOT(ISBLANK(E246)))</formula>
    </cfRule>
  </conditionalFormatting>
  <conditionalFormatting sqref="E247">
    <cfRule type="expression" dxfId="0" priority="403">
      <formula>COUNTIF(G247:BE247,"&lt;&gt;" &amp; "")&gt;0</formula>
    </cfRule>
    <cfRule type="expression" dxfId="1" priority="404">
      <formula>AND(COUNTIF(G247:BE247,"&lt;&gt;" &amp; "")&gt;0,NOT(ISBLANK(E247)))</formula>
    </cfRule>
  </conditionalFormatting>
  <conditionalFormatting sqref="E248">
    <cfRule type="expression" dxfId="0" priority="405">
      <formula>COUNTIF(G248:BE248,"&lt;&gt;" &amp; "")&gt;0</formula>
    </cfRule>
    <cfRule type="expression" dxfId="1" priority="406">
      <formula>AND(COUNTIF(G248:BE248,"&lt;&gt;" &amp; "")&gt;0,NOT(ISBLANK(E248)))</formula>
    </cfRule>
  </conditionalFormatting>
  <conditionalFormatting sqref="E249">
    <cfRule type="expression" dxfId="0" priority="407">
      <formula>COUNTIF(G249:BE249,"&lt;&gt;" &amp; "")&gt;0</formula>
    </cfRule>
    <cfRule type="expression" dxfId="1" priority="408">
      <formula>AND(COUNTIF(G249:BE249,"&lt;&gt;" &amp; "")&gt;0,NOT(ISBLANK(E249)))</formula>
    </cfRule>
  </conditionalFormatting>
  <conditionalFormatting sqref="E25">
    <cfRule type="expression" dxfId="0" priority="15">
      <formula>COUNTIF(G25:BE25,"&lt;&gt;" &amp; "")&gt;0</formula>
    </cfRule>
    <cfRule type="expression" dxfId="1" priority="16">
      <formula>AND(COUNTIF(G25:BE25,"&lt;&gt;" &amp; "")&gt;0,NOT(ISBLANK(E25)))</formula>
    </cfRule>
  </conditionalFormatting>
  <conditionalFormatting sqref="E250">
    <cfRule type="expression" dxfId="0" priority="409">
      <formula>COUNTIF(G250:BE250,"&lt;&gt;" &amp; "")&gt;0</formula>
    </cfRule>
    <cfRule type="expression" dxfId="1" priority="410">
      <formula>AND(COUNTIF(G250:BE250,"&lt;&gt;" &amp; "")&gt;0,NOT(ISBLANK(E250)))</formula>
    </cfRule>
  </conditionalFormatting>
  <conditionalFormatting sqref="E251">
    <cfRule type="expression" dxfId="0" priority="411">
      <formula>COUNTIF(G251:BE251,"&lt;&gt;" &amp; "")&gt;0</formula>
    </cfRule>
    <cfRule type="expression" dxfId="1" priority="412">
      <formula>AND(COUNTIF(G251:BE251,"&lt;&gt;" &amp; "")&gt;0,NOT(ISBLANK(E251)))</formula>
    </cfRule>
  </conditionalFormatting>
  <conditionalFormatting sqref="E252">
    <cfRule type="expression" dxfId="0" priority="413">
      <formula>COUNTIF(G252:BE252,"&lt;&gt;" &amp; "")&gt;0</formula>
    </cfRule>
    <cfRule type="expression" dxfId="1" priority="414">
      <formula>AND(COUNTIF(G252:BE252,"&lt;&gt;" &amp; "")&gt;0,NOT(ISBLANK(E252)))</formula>
    </cfRule>
  </conditionalFormatting>
  <conditionalFormatting sqref="E253">
    <cfRule type="expression" dxfId="0" priority="415">
      <formula>COUNTIF(G253:BE253,"&lt;&gt;" &amp; "")&gt;0</formula>
    </cfRule>
    <cfRule type="expression" dxfId="1" priority="416">
      <formula>AND(COUNTIF(G253:BE253,"&lt;&gt;" &amp; "")&gt;0,NOT(ISBLANK(E253)))</formula>
    </cfRule>
  </conditionalFormatting>
  <conditionalFormatting sqref="E254">
    <cfRule type="expression" dxfId="0" priority="417">
      <formula>COUNTIF(G254:BE254,"&lt;&gt;" &amp; "")&gt;0</formula>
    </cfRule>
    <cfRule type="expression" dxfId="1" priority="418">
      <formula>AND(COUNTIF(G254:BE254,"&lt;&gt;" &amp; "")&gt;0,NOT(ISBLANK(E254)))</formula>
    </cfRule>
  </conditionalFormatting>
  <conditionalFormatting sqref="E255">
    <cfRule type="expression" dxfId="0" priority="419">
      <formula>COUNTIF(G255:BE255,"&lt;&gt;" &amp; "")&gt;0</formula>
    </cfRule>
    <cfRule type="expression" dxfId="1" priority="420">
      <formula>AND(COUNTIF(G255:BE255,"&lt;&gt;" &amp; "")&gt;0,NOT(ISBLANK(E255)))</formula>
    </cfRule>
  </conditionalFormatting>
  <conditionalFormatting sqref="E258">
    <cfRule type="expression" dxfId="0" priority="421">
      <formula>COUNTIF(G258:BE258,"&lt;&gt;" &amp; "")&gt;0</formula>
    </cfRule>
    <cfRule type="expression" dxfId="1" priority="422">
      <formula>AND(COUNTIF(G258:BE258,"&lt;&gt;" &amp; "")&gt;0,NOT(ISBLANK(E258)))</formula>
    </cfRule>
  </conditionalFormatting>
  <conditionalFormatting sqref="E259">
    <cfRule type="expression" dxfId="0" priority="423">
      <formula>COUNTIF(G259:BE259,"&lt;&gt;" &amp; "")&gt;0</formula>
    </cfRule>
    <cfRule type="expression" dxfId="1" priority="424">
      <formula>AND(COUNTIF(G259:BE259,"&lt;&gt;" &amp; "")&gt;0,NOT(ISBLANK(E259)))</formula>
    </cfRule>
  </conditionalFormatting>
  <conditionalFormatting sqref="E26">
    <cfRule type="expression" dxfId="0" priority="17">
      <formula>COUNTIF(G26:BE26,"&lt;&gt;" &amp; "")&gt;0</formula>
    </cfRule>
    <cfRule type="expression" dxfId="1" priority="18">
      <formula>AND(COUNTIF(G26:BE26,"&lt;&gt;" &amp; "")&gt;0,NOT(ISBLANK(E26)))</formula>
    </cfRule>
  </conditionalFormatting>
  <conditionalFormatting sqref="E260">
    <cfRule type="expression" dxfId="0" priority="425">
      <formula>COUNTIF(G260:BE260,"&lt;&gt;" &amp; "")&gt;0</formula>
    </cfRule>
    <cfRule type="expression" dxfId="1" priority="426">
      <formula>AND(COUNTIF(G260:BE260,"&lt;&gt;" &amp; "")&gt;0,NOT(ISBLANK(E260)))</formula>
    </cfRule>
  </conditionalFormatting>
  <conditionalFormatting sqref="E261">
    <cfRule type="expression" dxfId="0" priority="427">
      <formula>COUNTIF(G261:BE261,"&lt;&gt;" &amp; "")&gt;0</formula>
    </cfRule>
    <cfRule type="expression" dxfId="1" priority="428">
      <formula>AND(COUNTIF(G261:BE261,"&lt;&gt;" &amp; "")&gt;0,NOT(ISBLANK(E261)))</formula>
    </cfRule>
  </conditionalFormatting>
  <conditionalFormatting sqref="E262">
    <cfRule type="expression" dxfId="0" priority="429">
      <formula>COUNTIF(G262:BE262,"&lt;&gt;" &amp; "")&gt;0</formula>
    </cfRule>
    <cfRule type="expression" dxfId="1" priority="430">
      <formula>AND(COUNTIF(G262:BE262,"&lt;&gt;" &amp; "")&gt;0,NOT(ISBLANK(E262)))</formula>
    </cfRule>
  </conditionalFormatting>
  <conditionalFormatting sqref="E263">
    <cfRule type="expression" dxfId="0" priority="431">
      <formula>COUNTIF(G263:BE263,"&lt;&gt;" &amp; "")&gt;0</formula>
    </cfRule>
    <cfRule type="expression" dxfId="1" priority="432">
      <formula>AND(COUNTIF(G263:BE263,"&lt;&gt;" &amp; "")&gt;0,NOT(ISBLANK(E263)))</formula>
    </cfRule>
  </conditionalFormatting>
  <conditionalFormatting sqref="E264">
    <cfRule type="expression" dxfId="0" priority="433">
      <formula>COUNTIF(G264:BE264,"&lt;&gt;" &amp; "")&gt;0</formula>
    </cfRule>
    <cfRule type="expression" dxfId="1" priority="434">
      <formula>AND(COUNTIF(G264:BE264,"&lt;&gt;" &amp; "")&gt;0,NOT(ISBLANK(E264)))</formula>
    </cfRule>
  </conditionalFormatting>
  <conditionalFormatting sqref="E265">
    <cfRule type="expression" dxfId="0" priority="435">
      <formula>COUNTIF(G265:BE265,"&lt;&gt;" &amp; "")&gt;0</formula>
    </cfRule>
    <cfRule type="expression" dxfId="1" priority="436">
      <formula>AND(COUNTIF(G265:BE265,"&lt;&gt;" &amp; "")&gt;0,NOT(ISBLANK(E265)))</formula>
    </cfRule>
  </conditionalFormatting>
  <conditionalFormatting sqref="E266">
    <cfRule type="expression" dxfId="0" priority="437">
      <formula>COUNTIF(G266:BE266,"&lt;&gt;" &amp; "")&gt;0</formula>
    </cfRule>
    <cfRule type="expression" dxfId="1" priority="438">
      <formula>AND(COUNTIF(G266:BE266,"&lt;&gt;" &amp; "")&gt;0,NOT(ISBLANK(E266)))</formula>
    </cfRule>
  </conditionalFormatting>
  <conditionalFormatting sqref="E267">
    <cfRule type="expression" dxfId="0" priority="439">
      <formula>COUNTIF(G267:BE267,"&lt;&gt;" &amp; "")&gt;0</formula>
    </cfRule>
    <cfRule type="expression" dxfId="1" priority="440">
      <formula>AND(COUNTIF(G267:BE267,"&lt;&gt;" &amp; "")&gt;0,NOT(ISBLANK(E267)))</formula>
    </cfRule>
  </conditionalFormatting>
  <conditionalFormatting sqref="E268">
    <cfRule type="expression" dxfId="0" priority="441">
      <formula>COUNTIF(G268:BE268,"&lt;&gt;" &amp; "")&gt;0</formula>
    </cfRule>
    <cfRule type="expression" dxfId="1" priority="442">
      <formula>AND(COUNTIF(G268:BE268,"&lt;&gt;" &amp; "")&gt;0,NOT(ISBLANK(E268)))</formula>
    </cfRule>
  </conditionalFormatting>
  <conditionalFormatting sqref="E269">
    <cfRule type="expression" dxfId="0" priority="443">
      <formula>COUNTIF(G269:BE269,"&lt;&gt;" &amp; "")&gt;0</formula>
    </cfRule>
    <cfRule type="expression" dxfId="1" priority="444">
      <formula>AND(COUNTIF(G269:BE269,"&lt;&gt;" &amp; "")&gt;0,NOT(ISBLANK(E269)))</formula>
    </cfRule>
  </conditionalFormatting>
  <conditionalFormatting sqref="E27">
    <cfRule type="expression" dxfId="0" priority="19">
      <formula>COUNTIF(G27:BE27,"&lt;&gt;" &amp; "")&gt;0</formula>
    </cfRule>
    <cfRule type="expression" dxfId="1" priority="20">
      <formula>AND(COUNTIF(G27:BE27,"&lt;&gt;" &amp; "")&gt;0,NOT(ISBLANK(E27)))</formula>
    </cfRule>
  </conditionalFormatting>
  <conditionalFormatting sqref="E270">
    <cfRule type="expression" dxfId="0" priority="445">
      <formula>COUNTIF(G270:BE270,"&lt;&gt;" &amp; "")&gt;0</formula>
    </cfRule>
    <cfRule type="expression" dxfId="1" priority="446">
      <formula>AND(COUNTIF(G270:BE270,"&lt;&gt;" &amp; "")&gt;0,NOT(ISBLANK(E270)))</formula>
    </cfRule>
  </conditionalFormatting>
  <conditionalFormatting sqref="E271">
    <cfRule type="expression" dxfId="0" priority="447">
      <formula>COUNTIF(G271:BE271,"&lt;&gt;" &amp; "")&gt;0</formula>
    </cfRule>
    <cfRule type="expression" dxfId="1" priority="448">
      <formula>AND(COUNTIF(G271:BE271,"&lt;&gt;" &amp; "")&gt;0,NOT(ISBLANK(E271)))</formula>
    </cfRule>
  </conditionalFormatting>
  <conditionalFormatting sqref="E274">
    <cfRule type="expression" dxfId="0" priority="449">
      <formula>COUNTIF(G274:BE274,"&lt;&gt;" &amp; "")&gt;0</formula>
    </cfRule>
    <cfRule type="expression" dxfId="1" priority="450">
      <formula>AND(COUNTIF(G274:BE274,"&lt;&gt;" &amp; "")&gt;0,NOT(ISBLANK(E274)))</formula>
    </cfRule>
  </conditionalFormatting>
  <conditionalFormatting sqref="E275">
    <cfRule type="expression" dxfId="0" priority="451">
      <formula>COUNTIF(G275:BE275,"&lt;&gt;" &amp; "")&gt;0</formula>
    </cfRule>
    <cfRule type="expression" dxfId="1" priority="452">
      <formula>AND(COUNTIF(G275:BE275,"&lt;&gt;" &amp; "")&gt;0,NOT(ISBLANK(E275)))</formula>
    </cfRule>
  </conditionalFormatting>
  <conditionalFormatting sqref="E276">
    <cfRule type="expression" dxfId="0" priority="453">
      <formula>COUNTIF(G276:BE276,"&lt;&gt;" &amp; "")&gt;0</formula>
    </cfRule>
    <cfRule type="expression" dxfId="1" priority="454">
      <formula>AND(COUNTIF(G276:BE276,"&lt;&gt;" &amp; "")&gt;0,NOT(ISBLANK(E276)))</formula>
    </cfRule>
  </conditionalFormatting>
  <conditionalFormatting sqref="E277">
    <cfRule type="expression" dxfId="0" priority="455">
      <formula>COUNTIF(G277:BE277,"&lt;&gt;" &amp; "")&gt;0</formula>
    </cfRule>
    <cfRule type="expression" dxfId="1" priority="456">
      <formula>AND(COUNTIF(G277:BE277,"&lt;&gt;" &amp; "")&gt;0,NOT(ISBLANK(E277)))</formula>
    </cfRule>
  </conditionalFormatting>
  <conditionalFormatting sqref="E278">
    <cfRule type="expression" dxfId="0" priority="457">
      <formula>COUNTIF(G278:BE278,"&lt;&gt;" &amp; "")&gt;0</formula>
    </cfRule>
    <cfRule type="expression" dxfId="1" priority="458">
      <formula>AND(COUNTIF(G278:BE278,"&lt;&gt;" &amp; "")&gt;0,NOT(ISBLANK(E278)))</formula>
    </cfRule>
  </conditionalFormatting>
  <conditionalFormatting sqref="E279">
    <cfRule type="expression" dxfId="0" priority="459">
      <formula>COUNTIF(G279:BE279,"&lt;&gt;" &amp; "")&gt;0</formula>
    </cfRule>
    <cfRule type="expression" dxfId="1" priority="460">
      <formula>AND(COUNTIF(G279:BE279,"&lt;&gt;" &amp; "")&gt;0,NOT(ISBLANK(E279)))</formula>
    </cfRule>
  </conditionalFormatting>
  <conditionalFormatting sqref="E28">
    <cfRule type="expression" dxfId="0" priority="21">
      <formula>COUNTIF(G28:BE28,"&lt;&gt;" &amp; "")&gt;0</formula>
    </cfRule>
    <cfRule type="expression" dxfId="1" priority="22">
      <formula>AND(COUNTIF(G28:BE28,"&lt;&gt;" &amp; "")&gt;0,NOT(ISBLANK(E28)))</formula>
    </cfRule>
  </conditionalFormatting>
  <conditionalFormatting sqref="E280">
    <cfRule type="expression" dxfId="0" priority="461">
      <formula>COUNTIF(G280:BE280,"&lt;&gt;" &amp; "")&gt;0</formula>
    </cfRule>
    <cfRule type="expression" dxfId="1" priority="462">
      <formula>AND(COUNTIF(G280:BE280,"&lt;&gt;" &amp; "")&gt;0,NOT(ISBLANK(E280)))</formula>
    </cfRule>
  </conditionalFormatting>
  <conditionalFormatting sqref="E281">
    <cfRule type="expression" dxfId="0" priority="463">
      <formula>COUNTIF(G281:BE281,"&lt;&gt;" &amp; "")&gt;0</formula>
    </cfRule>
    <cfRule type="expression" dxfId="1" priority="464">
      <formula>AND(COUNTIF(G281:BE281,"&lt;&gt;" &amp; "")&gt;0,NOT(ISBLANK(E281)))</formula>
    </cfRule>
  </conditionalFormatting>
  <conditionalFormatting sqref="E282">
    <cfRule type="expression" dxfId="0" priority="465">
      <formula>COUNTIF(G282:BE282,"&lt;&gt;" &amp; "")&gt;0</formula>
    </cfRule>
    <cfRule type="expression" dxfId="1" priority="466">
      <formula>AND(COUNTIF(G282:BE282,"&lt;&gt;" &amp; "")&gt;0,NOT(ISBLANK(E282)))</formula>
    </cfRule>
  </conditionalFormatting>
  <conditionalFormatting sqref="E283">
    <cfRule type="expression" dxfId="0" priority="467">
      <formula>COUNTIF(G283:BE283,"&lt;&gt;" &amp; "")&gt;0</formula>
    </cfRule>
    <cfRule type="expression" dxfId="1" priority="468">
      <formula>AND(COUNTIF(G283:BE283,"&lt;&gt;" &amp; "")&gt;0,NOT(ISBLANK(E283)))</formula>
    </cfRule>
  </conditionalFormatting>
  <conditionalFormatting sqref="E284">
    <cfRule type="expression" dxfId="0" priority="469">
      <formula>COUNTIF(G284:BE284,"&lt;&gt;" &amp; "")&gt;0</formula>
    </cfRule>
    <cfRule type="expression" dxfId="1" priority="470">
      <formula>AND(COUNTIF(G284:BE284,"&lt;&gt;" &amp; "")&gt;0,NOT(ISBLANK(E284)))</formula>
    </cfRule>
  </conditionalFormatting>
  <conditionalFormatting sqref="E285">
    <cfRule type="expression" dxfId="0" priority="471">
      <formula>COUNTIF(G285:BE285,"&lt;&gt;" &amp; "")&gt;0</formula>
    </cfRule>
    <cfRule type="expression" dxfId="1" priority="472">
      <formula>AND(COUNTIF(G285:BE285,"&lt;&gt;" &amp; "")&gt;0,NOT(ISBLANK(E285)))</formula>
    </cfRule>
  </conditionalFormatting>
  <conditionalFormatting sqref="E286">
    <cfRule type="expression" dxfId="0" priority="473">
      <formula>COUNTIF(G286:BE286,"&lt;&gt;" &amp; "")&gt;0</formula>
    </cfRule>
    <cfRule type="expression" dxfId="1" priority="474">
      <formula>AND(COUNTIF(G286:BE286,"&lt;&gt;" &amp; "")&gt;0,NOT(ISBLANK(E286)))</formula>
    </cfRule>
  </conditionalFormatting>
  <conditionalFormatting sqref="E287">
    <cfRule type="expression" dxfId="0" priority="475">
      <formula>COUNTIF(G287:BE287,"&lt;&gt;" &amp; "")&gt;0</formula>
    </cfRule>
    <cfRule type="expression" dxfId="1" priority="476">
      <formula>AND(COUNTIF(G287:BE287,"&lt;&gt;" &amp; "")&gt;0,NOT(ISBLANK(E287)))</formula>
    </cfRule>
  </conditionalFormatting>
  <conditionalFormatting sqref="E29">
    <cfRule type="expression" dxfId="0" priority="23">
      <formula>COUNTIF(G29:BE29,"&lt;&gt;" &amp; "")&gt;0</formula>
    </cfRule>
    <cfRule type="expression" dxfId="1" priority="24">
      <formula>AND(COUNTIF(G29:BE29,"&lt;&gt;" &amp; "")&gt;0,NOT(ISBLANK(E29)))</formula>
    </cfRule>
  </conditionalFormatting>
  <conditionalFormatting sqref="E30">
    <cfRule type="expression" dxfId="0" priority="25">
      <formula>COUNTIF(G30:BE30,"&lt;&gt;" &amp; "")&gt;0</formula>
    </cfRule>
    <cfRule type="expression" dxfId="1" priority="26">
      <formula>AND(COUNTIF(G30:BE30,"&lt;&gt;" &amp; "")&gt;0,NOT(ISBLANK(E30)))</formula>
    </cfRule>
  </conditionalFormatting>
  <conditionalFormatting sqref="E31">
    <cfRule type="expression" dxfId="0" priority="27">
      <formula>COUNTIF(G31:BE31,"&lt;&gt;" &amp; "")&gt;0</formula>
    </cfRule>
    <cfRule type="expression" dxfId="1" priority="28">
      <formula>AND(COUNTIF(G31:BE31,"&lt;&gt;" &amp; "")&gt;0,NOT(ISBLANK(E31)))</formula>
    </cfRule>
  </conditionalFormatting>
  <conditionalFormatting sqref="E34">
    <cfRule type="expression" dxfId="0" priority="29">
      <formula>COUNTIF(G34:BE34,"&lt;&gt;" &amp; "")&gt;0</formula>
    </cfRule>
    <cfRule type="expression" dxfId="1" priority="30">
      <formula>AND(COUNTIF(G34:BE34,"&lt;&gt;" &amp; "")&gt;0,NOT(ISBLANK(E34)))</formula>
    </cfRule>
  </conditionalFormatting>
  <conditionalFormatting sqref="E35">
    <cfRule type="expression" dxfId="0" priority="31">
      <formula>COUNTIF(G35:BE35,"&lt;&gt;" &amp; "")&gt;0</formula>
    </cfRule>
    <cfRule type="expression" dxfId="1" priority="32">
      <formula>AND(COUNTIF(G35:BE35,"&lt;&gt;" &amp; "")&gt;0,NOT(ISBLANK(E35)))</formula>
    </cfRule>
  </conditionalFormatting>
  <conditionalFormatting sqref="E36">
    <cfRule type="expression" dxfId="0" priority="33">
      <formula>COUNTIF(G36:BE36,"&lt;&gt;" &amp; "")&gt;0</formula>
    </cfRule>
    <cfRule type="expression" dxfId="1" priority="34">
      <formula>AND(COUNTIF(G36:BE36,"&lt;&gt;" &amp; "")&gt;0,NOT(ISBLANK(E36)))</formula>
    </cfRule>
  </conditionalFormatting>
  <conditionalFormatting sqref="E37">
    <cfRule type="expression" dxfId="0" priority="35">
      <formula>COUNTIF(G37:BE37,"&lt;&gt;" &amp; "")&gt;0</formula>
    </cfRule>
    <cfRule type="expression" dxfId="1" priority="36">
      <formula>AND(COUNTIF(G37:BE37,"&lt;&gt;" &amp; "")&gt;0,NOT(ISBLANK(E37)))</formula>
    </cfRule>
  </conditionalFormatting>
  <conditionalFormatting sqref="E38">
    <cfRule type="expression" dxfId="0" priority="37">
      <formula>COUNTIF(G38:BE38,"&lt;&gt;" &amp; "")&gt;0</formula>
    </cfRule>
    <cfRule type="expression" dxfId="1" priority="38">
      <formula>AND(COUNTIF(G38:BE38,"&lt;&gt;" &amp; "")&gt;0,NOT(ISBLANK(E38)))</formula>
    </cfRule>
  </conditionalFormatting>
  <conditionalFormatting sqref="E39">
    <cfRule type="expression" dxfId="0" priority="39">
      <formula>COUNTIF(G39:BE39,"&lt;&gt;" &amp; "")&gt;0</formula>
    </cfRule>
    <cfRule type="expression" dxfId="1" priority="40">
      <formula>AND(COUNTIF(G39:BE39,"&lt;&gt;" &amp; "")&gt;0,NOT(ISBLANK(E39)))</formula>
    </cfRule>
  </conditionalFormatting>
  <conditionalFormatting sqref="E40">
    <cfRule type="expression" dxfId="0" priority="41">
      <formula>COUNTIF(G40:BE40,"&lt;&gt;" &amp; "")&gt;0</formula>
    </cfRule>
    <cfRule type="expression" dxfId="1" priority="42">
      <formula>AND(COUNTIF(G40:BE40,"&lt;&gt;" &amp; "")&gt;0,NOT(ISBLANK(E40)))</formula>
    </cfRule>
  </conditionalFormatting>
  <conditionalFormatting sqref="E41">
    <cfRule type="expression" dxfId="0" priority="43">
      <formula>COUNTIF(G41:BE41,"&lt;&gt;" &amp; "")&gt;0</formula>
    </cfRule>
    <cfRule type="expression" dxfId="1" priority="44">
      <formula>AND(COUNTIF(G41:BE41,"&lt;&gt;" &amp; "")&gt;0,NOT(ISBLANK(E41)))</formula>
    </cfRule>
  </conditionalFormatting>
  <conditionalFormatting sqref="E42">
    <cfRule type="expression" dxfId="0" priority="45">
      <formula>COUNTIF(G42:BE42,"&lt;&gt;" &amp; "")&gt;0</formula>
    </cfRule>
    <cfRule type="expression" dxfId="1" priority="46">
      <formula>AND(COUNTIF(G42:BE42,"&lt;&gt;" &amp; "")&gt;0,NOT(ISBLANK(E42)))</formula>
    </cfRule>
  </conditionalFormatting>
  <conditionalFormatting sqref="E43">
    <cfRule type="expression" dxfId="0" priority="47">
      <formula>COUNTIF(G43:BE43,"&lt;&gt;" &amp; "")&gt;0</formula>
    </cfRule>
    <cfRule type="expression" dxfId="1" priority="48">
      <formula>AND(COUNTIF(G43:BE43,"&lt;&gt;" &amp; "")&gt;0,NOT(ISBLANK(E43)))</formula>
    </cfRule>
  </conditionalFormatting>
  <conditionalFormatting sqref="E44">
    <cfRule type="expression" dxfId="0" priority="49">
      <formula>COUNTIF(G44:BE44,"&lt;&gt;" &amp; "")&gt;0</formula>
    </cfRule>
    <cfRule type="expression" dxfId="1" priority="50">
      <formula>AND(COUNTIF(G44:BE44,"&lt;&gt;" &amp; "")&gt;0,NOT(ISBLANK(E44)))</formula>
    </cfRule>
  </conditionalFormatting>
  <conditionalFormatting sqref="E45">
    <cfRule type="expression" dxfId="0" priority="51">
      <formula>COUNTIF(G45:BE45,"&lt;&gt;" &amp; "")&gt;0</formula>
    </cfRule>
    <cfRule type="expression" dxfId="1" priority="52">
      <formula>AND(COUNTIF(G45:BE45,"&lt;&gt;" &amp; "")&gt;0,NOT(ISBLANK(E45)))</formula>
    </cfRule>
  </conditionalFormatting>
  <conditionalFormatting sqref="E46">
    <cfRule type="expression" dxfId="0" priority="53">
      <formula>COUNTIF(G46:BE46,"&lt;&gt;" &amp; "")&gt;0</formula>
    </cfRule>
    <cfRule type="expression" dxfId="1" priority="54">
      <formula>AND(COUNTIF(G46:BE46,"&lt;&gt;" &amp; "")&gt;0,NOT(ISBLANK(E46)))</formula>
    </cfRule>
  </conditionalFormatting>
  <conditionalFormatting sqref="E47">
    <cfRule type="expression" dxfId="0" priority="55">
      <formula>COUNTIF(G47:BE47,"&lt;&gt;" &amp; "")&gt;0</formula>
    </cfRule>
    <cfRule type="expression" dxfId="1" priority="56">
      <formula>AND(COUNTIF(G47:BE47,"&lt;&gt;" &amp; "")&gt;0,NOT(ISBLANK(E47)))</formula>
    </cfRule>
  </conditionalFormatting>
  <conditionalFormatting sqref="E50">
    <cfRule type="expression" dxfId="0" priority="57">
      <formula>COUNTIF(G50:BE50,"&lt;&gt;" &amp; "")&gt;0</formula>
    </cfRule>
    <cfRule type="expression" dxfId="1" priority="58">
      <formula>AND(COUNTIF(G50:BE50,"&lt;&gt;" &amp; "")&gt;0,NOT(ISBLANK(E50)))</formula>
    </cfRule>
  </conditionalFormatting>
  <conditionalFormatting sqref="E51">
    <cfRule type="expression" dxfId="0" priority="59">
      <formula>COUNTIF(G51:BE51,"&lt;&gt;" &amp; "")&gt;0</formula>
    </cfRule>
    <cfRule type="expression" dxfId="1" priority="60">
      <formula>AND(COUNTIF(G51:BE51,"&lt;&gt;" &amp; "")&gt;0,NOT(ISBLANK(E51)))</formula>
    </cfRule>
  </conditionalFormatting>
  <conditionalFormatting sqref="E52">
    <cfRule type="expression" dxfId="0" priority="61">
      <formula>COUNTIF(G52:BE52,"&lt;&gt;" &amp; "")&gt;0</formula>
    </cfRule>
    <cfRule type="expression" dxfId="1" priority="62">
      <formula>AND(COUNTIF(G52:BE52,"&lt;&gt;" &amp; "")&gt;0,NOT(ISBLANK(E52)))</formula>
    </cfRule>
  </conditionalFormatting>
  <conditionalFormatting sqref="E53">
    <cfRule type="expression" dxfId="0" priority="63">
      <formula>COUNTIF(G53:BE53,"&lt;&gt;" &amp; "")&gt;0</formula>
    </cfRule>
    <cfRule type="expression" dxfId="1" priority="64">
      <formula>AND(COUNTIF(G53:BE53,"&lt;&gt;" &amp; "")&gt;0,NOT(ISBLANK(E53)))</formula>
    </cfRule>
  </conditionalFormatting>
  <conditionalFormatting sqref="E54">
    <cfRule type="expression" dxfId="0" priority="65">
      <formula>COUNTIF(G54:BE54,"&lt;&gt;" &amp; "")&gt;0</formula>
    </cfRule>
    <cfRule type="expression" dxfId="1" priority="66">
      <formula>AND(COUNTIF(G54:BE54,"&lt;&gt;" &amp; "")&gt;0,NOT(ISBLANK(E54)))</formula>
    </cfRule>
  </conditionalFormatting>
  <conditionalFormatting sqref="E55">
    <cfRule type="expression" dxfId="0" priority="67">
      <formula>COUNTIF(G55:BE55,"&lt;&gt;" &amp; "")&gt;0</formula>
    </cfRule>
    <cfRule type="expression" dxfId="1" priority="68">
      <formula>AND(COUNTIF(G55:BE55,"&lt;&gt;" &amp; "")&gt;0,NOT(ISBLANK(E55)))</formula>
    </cfRule>
  </conditionalFormatting>
  <conditionalFormatting sqref="E56">
    <cfRule type="expression" dxfId="0" priority="69">
      <formula>COUNTIF(G56:BE56,"&lt;&gt;" &amp; "")&gt;0</formula>
    </cfRule>
    <cfRule type="expression" dxfId="1" priority="70">
      <formula>AND(COUNTIF(G56:BE56,"&lt;&gt;" &amp; "")&gt;0,NOT(ISBLANK(E56)))</formula>
    </cfRule>
  </conditionalFormatting>
  <conditionalFormatting sqref="E57">
    <cfRule type="expression" dxfId="0" priority="71">
      <formula>COUNTIF(G57:BE57,"&lt;&gt;" &amp; "")&gt;0</formula>
    </cfRule>
    <cfRule type="expression" dxfId="1" priority="72">
      <formula>AND(COUNTIF(G57:BE57,"&lt;&gt;" &amp; "")&gt;0,NOT(ISBLANK(E57)))</formula>
    </cfRule>
  </conditionalFormatting>
  <conditionalFormatting sqref="E58">
    <cfRule type="expression" dxfId="0" priority="73">
      <formula>COUNTIF(G58:BE58,"&lt;&gt;" &amp; "")&gt;0</formula>
    </cfRule>
    <cfRule type="expression" dxfId="1" priority="74">
      <formula>AND(COUNTIF(G58:BE58,"&lt;&gt;" &amp; "")&gt;0,NOT(ISBLANK(E58)))</formula>
    </cfRule>
  </conditionalFormatting>
  <conditionalFormatting sqref="E59">
    <cfRule type="expression" dxfId="0" priority="75">
      <formula>COUNTIF(G59:BE59,"&lt;&gt;" &amp; "")&gt;0</formula>
    </cfRule>
    <cfRule type="expression" dxfId="1" priority="76">
      <formula>AND(COUNTIF(G59:BE59,"&lt;&gt;" &amp; "")&gt;0,NOT(ISBLANK(E59)))</formula>
    </cfRule>
  </conditionalFormatting>
  <conditionalFormatting sqref="E60">
    <cfRule type="expression" dxfId="0" priority="77">
      <formula>COUNTIF(G60:BE60,"&lt;&gt;" &amp; "")&gt;0</formula>
    </cfRule>
    <cfRule type="expression" dxfId="1" priority="78">
      <formula>AND(COUNTIF(G60:BE60,"&lt;&gt;" &amp; "")&gt;0,NOT(ISBLANK(E60)))</formula>
    </cfRule>
  </conditionalFormatting>
  <conditionalFormatting sqref="E61">
    <cfRule type="expression" dxfId="0" priority="79">
      <formula>COUNTIF(G61:BE61,"&lt;&gt;" &amp; "")&gt;0</formula>
    </cfRule>
    <cfRule type="expression" dxfId="1" priority="80">
      <formula>AND(COUNTIF(G61:BE61,"&lt;&gt;" &amp; "")&gt;0,NOT(ISBLANK(E61)))</formula>
    </cfRule>
  </conditionalFormatting>
  <conditionalFormatting sqref="E62">
    <cfRule type="expression" dxfId="0" priority="81">
      <formula>COUNTIF(G62:BE62,"&lt;&gt;" &amp; "")&gt;0</formula>
    </cfRule>
    <cfRule type="expression" dxfId="1" priority="82">
      <formula>AND(COUNTIF(G62:BE62,"&lt;&gt;" &amp; "")&gt;0,NOT(ISBLANK(E62)))</formula>
    </cfRule>
  </conditionalFormatting>
  <conditionalFormatting sqref="E63">
    <cfRule type="expression" dxfId="0" priority="83">
      <formula>COUNTIF(G63:BE63,"&lt;&gt;" &amp; "")&gt;0</formula>
    </cfRule>
    <cfRule type="expression" dxfId="1" priority="84">
      <formula>AND(COUNTIF(G63:BE63,"&lt;&gt;" &amp; "")&gt;0,NOT(ISBLANK(E63)))</formula>
    </cfRule>
  </conditionalFormatting>
  <conditionalFormatting sqref="E642">
    <cfRule type="expression" dxfId="0" priority="477">
      <formula>COUNTIF(G642:BE642,"&lt;&gt;" &amp; "")&gt;0</formula>
    </cfRule>
    <cfRule type="expression" dxfId="1" priority="478">
      <formula>AND(COUNTIF(G642:BE642,"&lt;&gt;" &amp; "")&gt;0,NOT(ISBLANK(E642)))</formula>
    </cfRule>
  </conditionalFormatting>
  <conditionalFormatting sqref="E643">
    <cfRule type="expression" dxfId="0" priority="479">
      <formula>COUNTIF(G643:BE643,"&lt;&gt;" &amp; "")&gt;0</formula>
    </cfRule>
    <cfRule type="expression" dxfId="1" priority="480">
      <formula>AND(COUNTIF(G643:BE643,"&lt;&gt;" &amp; "")&gt;0,NOT(ISBLANK(E643)))</formula>
    </cfRule>
  </conditionalFormatting>
  <conditionalFormatting sqref="E644">
    <cfRule type="expression" dxfId="0" priority="481">
      <formula>COUNTIF(G644:BE644,"&lt;&gt;" &amp; "")&gt;0</formula>
    </cfRule>
    <cfRule type="expression" dxfId="1" priority="482">
      <formula>AND(COUNTIF(G644:BE644,"&lt;&gt;" &amp; "")&gt;0,NOT(ISBLANK(E644)))</formula>
    </cfRule>
  </conditionalFormatting>
  <conditionalFormatting sqref="E645">
    <cfRule type="expression" dxfId="0" priority="483">
      <formula>COUNTIF(G645:BE645,"&lt;&gt;" &amp; "")&gt;0</formula>
    </cfRule>
    <cfRule type="expression" dxfId="1" priority="484">
      <formula>AND(COUNTIF(G645:BE645,"&lt;&gt;" &amp; "")&gt;0,NOT(ISBLANK(E645)))</formula>
    </cfRule>
  </conditionalFormatting>
  <conditionalFormatting sqref="E646">
    <cfRule type="expression" dxfId="0" priority="485">
      <formula>COUNTIF(G646:BE646,"&lt;&gt;" &amp; "")&gt;0</formula>
    </cfRule>
    <cfRule type="expression" dxfId="1" priority="486">
      <formula>AND(COUNTIF(G646:BE646,"&lt;&gt;" &amp; "")&gt;0,NOT(ISBLANK(E646)))</formula>
    </cfRule>
  </conditionalFormatting>
  <conditionalFormatting sqref="E647">
    <cfRule type="expression" dxfId="0" priority="487">
      <formula>COUNTIF(G647:BE647,"&lt;&gt;" &amp; "")&gt;0</formula>
    </cfRule>
    <cfRule type="expression" dxfId="1" priority="488">
      <formula>AND(COUNTIF(G647:BE647,"&lt;&gt;" &amp; "")&gt;0,NOT(ISBLANK(E647)))</formula>
    </cfRule>
  </conditionalFormatting>
  <conditionalFormatting sqref="E648">
    <cfRule type="expression" dxfId="0" priority="489">
      <formula>COUNTIF(G648:BE648,"&lt;&gt;" &amp; "")&gt;0</formula>
    </cfRule>
    <cfRule type="expression" dxfId="1" priority="490">
      <formula>AND(COUNTIF(G648:BE648,"&lt;&gt;" &amp; "")&gt;0,NOT(ISBLANK(E648)))</formula>
    </cfRule>
  </conditionalFormatting>
  <conditionalFormatting sqref="E649">
    <cfRule type="expression" dxfId="0" priority="491">
      <formula>COUNTIF(G649:BE649,"&lt;&gt;" &amp; "")&gt;0</formula>
    </cfRule>
    <cfRule type="expression" dxfId="1" priority="492">
      <formula>AND(COUNTIF(G649:BE649,"&lt;&gt;" &amp; "")&gt;0,NOT(ISBLANK(E649)))</formula>
    </cfRule>
  </conditionalFormatting>
  <conditionalFormatting sqref="E650">
    <cfRule type="expression" dxfId="0" priority="493">
      <formula>COUNTIF(G650:BE650,"&lt;&gt;" &amp; "")&gt;0</formula>
    </cfRule>
    <cfRule type="expression" dxfId="1" priority="494">
      <formula>AND(COUNTIF(G650:BE650,"&lt;&gt;" &amp; "")&gt;0,NOT(ISBLANK(E650)))</formula>
    </cfRule>
  </conditionalFormatting>
  <conditionalFormatting sqref="E651">
    <cfRule type="expression" dxfId="0" priority="495">
      <formula>COUNTIF(G651:BE651,"&lt;&gt;" &amp; "")&gt;0</formula>
    </cfRule>
    <cfRule type="expression" dxfId="1" priority="496">
      <formula>AND(COUNTIF(G651:BE651,"&lt;&gt;" &amp; "")&gt;0,NOT(ISBLANK(E651)))</formula>
    </cfRule>
  </conditionalFormatting>
  <conditionalFormatting sqref="E652">
    <cfRule type="expression" dxfId="0" priority="497">
      <formula>COUNTIF(G652:BE652,"&lt;&gt;" &amp; "")&gt;0</formula>
    </cfRule>
    <cfRule type="expression" dxfId="1" priority="498">
      <formula>AND(COUNTIF(G652:BE652,"&lt;&gt;" &amp; "")&gt;0,NOT(ISBLANK(E652)))</formula>
    </cfRule>
  </conditionalFormatting>
  <conditionalFormatting sqref="E653">
    <cfRule type="expression" dxfId="0" priority="499">
      <formula>COUNTIF(G653:BE653,"&lt;&gt;" &amp; "")&gt;0</formula>
    </cfRule>
    <cfRule type="expression" dxfId="1" priority="500">
      <formula>AND(COUNTIF(G653:BE653,"&lt;&gt;" &amp; "")&gt;0,NOT(ISBLANK(E653)))</formula>
    </cfRule>
  </conditionalFormatting>
  <conditionalFormatting sqref="E654">
    <cfRule type="expression" dxfId="0" priority="501">
      <formula>COUNTIF(G654:BE654,"&lt;&gt;" &amp; "")&gt;0</formula>
    </cfRule>
    <cfRule type="expression" dxfId="1" priority="502">
      <formula>AND(COUNTIF(G654:BE654,"&lt;&gt;" &amp; "")&gt;0,NOT(ISBLANK(E654)))</formula>
    </cfRule>
  </conditionalFormatting>
  <conditionalFormatting sqref="E655">
    <cfRule type="expression" dxfId="0" priority="503">
      <formula>COUNTIF(G655:BE655,"&lt;&gt;" &amp; "")&gt;0</formula>
    </cfRule>
    <cfRule type="expression" dxfId="1" priority="504">
      <formula>AND(COUNTIF(G655:BE655,"&lt;&gt;" &amp; "")&gt;0,NOT(ISBLANK(E655)))</formula>
    </cfRule>
  </conditionalFormatting>
  <conditionalFormatting sqref="E66">
    <cfRule type="expression" dxfId="0" priority="85">
      <formula>COUNTIF(G66:BE66,"&lt;&gt;" &amp; "")&gt;0</formula>
    </cfRule>
    <cfRule type="expression" dxfId="1" priority="86">
      <formula>AND(COUNTIF(G66:BE66,"&lt;&gt;" &amp; "")&gt;0,NOT(ISBLANK(E66)))</formula>
    </cfRule>
  </conditionalFormatting>
  <conditionalFormatting sqref="E67">
    <cfRule type="expression" dxfId="0" priority="87">
      <formula>COUNTIF(G67:BE67,"&lt;&gt;" &amp; "")&gt;0</formula>
    </cfRule>
    <cfRule type="expression" dxfId="1" priority="88">
      <formula>AND(COUNTIF(G67:BE67,"&lt;&gt;" &amp; "")&gt;0,NOT(ISBLANK(E67)))</formula>
    </cfRule>
  </conditionalFormatting>
  <conditionalFormatting sqref="E68">
    <cfRule type="expression" dxfId="0" priority="89">
      <formula>COUNTIF(G68:BE68,"&lt;&gt;" &amp; "")&gt;0</formula>
    </cfRule>
    <cfRule type="expression" dxfId="1" priority="90">
      <formula>AND(COUNTIF(G68:BE68,"&lt;&gt;" &amp; "")&gt;0,NOT(ISBLANK(E68)))</formula>
    </cfRule>
  </conditionalFormatting>
  <conditionalFormatting sqref="E69">
    <cfRule type="expression" dxfId="0" priority="91">
      <formula>COUNTIF(G69:BE69,"&lt;&gt;" &amp; "")&gt;0</formula>
    </cfRule>
    <cfRule type="expression" dxfId="1" priority="92">
      <formula>AND(COUNTIF(G69:BE69,"&lt;&gt;" &amp; "")&gt;0,NOT(ISBLANK(E69)))</formula>
    </cfRule>
  </conditionalFormatting>
  <conditionalFormatting sqref="E70">
    <cfRule type="expression" dxfId="0" priority="93">
      <formula>COUNTIF(G70:BE70,"&lt;&gt;" &amp; "")&gt;0</formula>
    </cfRule>
    <cfRule type="expression" dxfId="1" priority="94">
      <formula>AND(COUNTIF(G70:BE70,"&lt;&gt;" &amp; "")&gt;0,NOT(ISBLANK(E70)))</formula>
    </cfRule>
  </conditionalFormatting>
  <conditionalFormatting sqref="E71">
    <cfRule type="expression" dxfId="0" priority="95">
      <formula>COUNTIF(G71:BE71,"&lt;&gt;" &amp; "")&gt;0</formula>
    </cfRule>
    <cfRule type="expression" dxfId="1" priority="96">
      <formula>AND(COUNTIF(G71:BE71,"&lt;&gt;" &amp; "")&gt;0,NOT(ISBLANK(E71)))</formula>
    </cfRule>
  </conditionalFormatting>
  <conditionalFormatting sqref="E72">
    <cfRule type="expression" dxfId="0" priority="97">
      <formula>COUNTIF(G72:BE72,"&lt;&gt;" &amp; "")&gt;0</formula>
    </cfRule>
    <cfRule type="expression" dxfId="1" priority="98">
      <formula>AND(COUNTIF(G72:BE72,"&lt;&gt;" &amp; "")&gt;0,NOT(ISBLANK(E72)))</formula>
    </cfRule>
  </conditionalFormatting>
  <conditionalFormatting sqref="E73">
    <cfRule type="expression" dxfId="0" priority="99">
      <formula>COUNTIF(G73:BE73,"&lt;&gt;" &amp; "")&gt;0</formula>
    </cfRule>
    <cfRule type="expression" dxfId="1" priority="100">
      <formula>AND(COUNTIF(G73:BE73,"&lt;&gt;" &amp; "")&gt;0,NOT(ISBLANK(E73)))</formula>
    </cfRule>
  </conditionalFormatting>
  <conditionalFormatting sqref="E74">
    <cfRule type="expression" dxfId="0" priority="101">
      <formula>COUNTIF(G74:BE74,"&lt;&gt;" &amp; "")&gt;0</formula>
    </cfRule>
    <cfRule type="expression" dxfId="1" priority="102">
      <formula>AND(COUNTIF(G74:BE74,"&lt;&gt;" &amp; "")&gt;0,NOT(ISBLANK(E74)))</formula>
    </cfRule>
  </conditionalFormatting>
  <conditionalFormatting sqref="E75">
    <cfRule type="expression" dxfId="0" priority="103">
      <formula>COUNTIF(G75:BE75,"&lt;&gt;" &amp; "")&gt;0</formula>
    </cfRule>
    <cfRule type="expression" dxfId="1" priority="104">
      <formula>AND(COUNTIF(G75:BE75,"&lt;&gt;" &amp; "")&gt;0,NOT(ISBLANK(E75)))</formula>
    </cfRule>
  </conditionalFormatting>
  <conditionalFormatting sqref="E76">
    <cfRule type="expression" dxfId="0" priority="105">
      <formula>COUNTIF(G76:BE76,"&lt;&gt;" &amp; "")&gt;0</formula>
    </cfRule>
    <cfRule type="expression" dxfId="1" priority="106">
      <formula>AND(COUNTIF(G76:BE76,"&lt;&gt;" &amp; "")&gt;0,NOT(ISBLANK(E76)))</formula>
    </cfRule>
  </conditionalFormatting>
  <conditionalFormatting sqref="E77">
    <cfRule type="expression" dxfId="0" priority="107">
      <formula>COUNTIF(G77:BE77,"&lt;&gt;" &amp; "")&gt;0</formula>
    </cfRule>
    <cfRule type="expression" dxfId="1" priority="108">
      <formula>AND(COUNTIF(G77:BE77,"&lt;&gt;" &amp; "")&gt;0,NOT(ISBLANK(E77)))</formula>
    </cfRule>
  </conditionalFormatting>
  <conditionalFormatting sqref="E78">
    <cfRule type="expression" dxfId="0" priority="109">
      <formula>COUNTIF(G78:BE78,"&lt;&gt;" &amp; "")&gt;0</formula>
    </cfRule>
    <cfRule type="expression" dxfId="1" priority="110">
      <formula>AND(COUNTIF(G78:BE78,"&lt;&gt;" &amp; "")&gt;0,NOT(ISBLANK(E78)))</formula>
    </cfRule>
  </conditionalFormatting>
  <conditionalFormatting sqref="E79">
    <cfRule type="expression" dxfId="0" priority="111">
      <formula>COUNTIF(G79:BE79,"&lt;&gt;" &amp; "")&gt;0</formula>
    </cfRule>
    <cfRule type="expression" dxfId="1" priority="112">
      <formula>AND(COUNTIF(G79:BE79,"&lt;&gt;" &amp; "")&gt;0,NOT(ISBLANK(E79)))</formula>
    </cfRule>
  </conditionalFormatting>
  <conditionalFormatting sqref="E82">
    <cfRule type="expression" dxfId="0" priority="113">
      <formula>COUNTIF(G82:BE82,"&lt;&gt;" &amp; "")&gt;0</formula>
    </cfRule>
    <cfRule type="expression" dxfId="1" priority="114">
      <formula>AND(COUNTIF(G82:BE82,"&lt;&gt;" &amp; "")&gt;0,NOT(ISBLANK(E82)))</formula>
    </cfRule>
  </conditionalFormatting>
  <conditionalFormatting sqref="E83">
    <cfRule type="expression" dxfId="0" priority="115">
      <formula>COUNTIF(G83:BE83,"&lt;&gt;" &amp; "")&gt;0</formula>
    </cfRule>
    <cfRule type="expression" dxfId="1" priority="116">
      <formula>AND(COUNTIF(G83:BE83,"&lt;&gt;" &amp; "")&gt;0,NOT(ISBLANK(E83)))</formula>
    </cfRule>
  </conditionalFormatting>
  <conditionalFormatting sqref="E84">
    <cfRule type="expression" dxfId="0" priority="117">
      <formula>COUNTIF(G84:BE84,"&lt;&gt;" &amp; "")&gt;0</formula>
    </cfRule>
    <cfRule type="expression" dxfId="1" priority="118">
      <formula>AND(COUNTIF(G84:BE84,"&lt;&gt;" &amp; "")&gt;0,NOT(ISBLANK(E84)))</formula>
    </cfRule>
  </conditionalFormatting>
  <conditionalFormatting sqref="E85">
    <cfRule type="expression" dxfId="0" priority="119">
      <formula>COUNTIF(G85:BE85,"&lt;&gt;" &amp; "")&gt;0</formula>
    </cfRule>
    <cfRule type="expression" dxfId="1" priority="120">
      <formula>AND(COUNTIF(G85:BE85,"&lt;&gt;" &amp; "")&gt;0,NOT(ISBLANK(E85)))</formula>
    </cfRule>
  </conditionalFormatting>
  <conditionalFormatting sqref="E86">
    <cfRule type="expression" dxfId="0" priority="121">
      <formula>COUNTIF(G86:BE86,"&lt;&gt;" &amp; "")&gt;0</formula>
    </cfRule>
    <cfRule type="expression" dxfId="1" priority="122">
      <formula>AND(COUNTIF(G86:BE86,"&lt;&gt;" &amp; "")&gt;0,NOT(ISBLANK(E86)))</formula>
    </cfRule>
  </conditionalFormatting>
  <conditionalFormatting sqref="E87">
    <cfRule type="expression" dxfId="0" priority="123">
      <formula>COUNTIF(G87:BE87,"&lt;&gt;" &amp; "")&gt;0</formula>
    </cfRule>
    <cfRule type="expression" dxfId="1" priority="124">
      <formula>AND(COUNTIF(G87:BE87,"&lt;&gt;" &amp; "")&gt;0,NOT(ISBLANK(E87)))</formula>
    </cfRule>
  </conditionalFormatting>
  <conditionalFormatting sqref="E88">
    <cfRule type="expression" dxfId="0" priority="125">
      <formula>COUNTIF(G88:BE88,"&lt;&gt;" &amp; "")&gt;0</formula>
    </cfRule>
    <cfRule type="expression" dxfId="1" priority="126">
      <formula>AND(COUNTIF(G88:BE88,"&lt;&gt;" &amp; "")&gt;0,NOT(ISBLANK(E88)))</formula>
    </cfRule>
  </conditionalFormatting>
  <conditionalFormatting sqref="E89">
    <cfRule type="expression" dxfId="0" priority="127">
      <formula>COUNTIF(G89:BE89,"&lt;&gt;" &amp; "")&gt;0</formula>
    </cfRule>
    <cfRule type="expression" dxfId="1" priority="128">
      <formula>AND(COUNTIF(G89:BE89,"&lt;&gt;" &amp; "")&gt;0,NOT(ISBLANK(E89)))</formula>
    </cfRule>
  </conditionalFormatting>
  <conditionalFormatting sqref="E90">
    <cfRule type="expression" dxfId="0" priority="129">
      <formula>COUNTIF(G90:BE90,"&lt;&gt;" &amp; "")&gt;0</formula>
    </cfRule>
    <cfRule type="expression" dxfId="1" priority="130">
      <formula>AND(COUNTIF(G90:BE90,"&lt;&gt;" &amp; "")&gt;0,NOT(ISBLANK(E90)))</formula>
    </cfRule>
  </conditionalFormatting>
  <conditionalFormatting sqref="E91">
    <cfRule type="expression" dxfId="0" priority="131">
      <formula>COUNTIF(G91:BE91,"&lt;&gt;" &amp; "")&gt;0</formula>
    </cfRule>
    <cfRule type="expression" dxfId="1" priority="132">
      <formula>AND(COUNTIF(G91:BE91,"&lt;&gt;" &amp; "")&gt;0,NOT(ISBLANK(E91)))</formula>
    </cfRule>
  </conditionalFormatting>
  <conditionalFormatting sqref="E92">
    <cfRule type="expression" dxfId="0" priority="133">
      <formula>COUNTIF(G92:BE92,"&lt;&gt;" &amp; "")&gt;0</formula>
    </cfRule>
    <cfRule type="expression" dxfId="1" priority="134">
      <formula>AND(COUNTIF(G92:BE92,"&lt;&gt;" &amp; "")&gt;0,NOT(ISBLANK(E92)))</formula>
    </cfRule>
  </conditionalFormatting>
  <conditionalFormatting sqref="E93">
    <cfRule type="expression" dxfId="0" priority="135">
      <formula>COUNTIF(G93:BE93,"&lt;&gt;" &amp; "")&gt;0</formula>
    </cfRule>
    <cfRule type="expression" dxfId="1" priority="136">
      <formula>AND(COUNTIF(G93:BE93,"&lt;&gt;" &amp; "")&gt;0,NOT(ISBLANK(E93)))</formula>
    </cfRule>
  </conditionalFormatting>
  <conditionalFormatting sqref="E94">
    <cfRule type="expression" dxfId="0" priority="137">
      <formula>COUNTIF(G94:BE94,"&lt;&gt;" &amp; "")&gt;0</formula>
    </cfRule>
    <cfRule type="expression" dxfId="1" priority="138">
      <formula>AND(COUNTIF(G94:BE94,"&lt;&gt;" &amp; "")&gt;0,NOT(ISBLANK(E94)))</formula>
    </cfRule>
  </conditionalFormatting>
  <conditionalFormatting sqref="E95">
    <cfRule type="expression" dxfId="0" priority="139">
      <formula>COUNTIF(G95:BE95,"&lt;&gt;" &amp; "")&gt;0</formula>
    </cfRule>
    <cfRule type="expression" dxfId="1" priority="140">
      <formula>AND(COUNTIF(G95:BE95,"&lt;&gt;" &amp; "")&gt;0,NOT(ISBLANK(E95)))</formula>
    </cfRule>
  </conditionalFormatting>
  <conditionalFormatting sqref="E98">
    <cfRule type="expression" dxfId="0" priority="141">
      <formula>COUNTIF(G98:BE98,"&lt;&gt;" &amp; "")&gt;0</formula>
    </cfRule>
    <cfRule type="expression" dxfId="1" priority="142">
      <formula>AND(COUNTIF(G98:BE98,"&lt;&gt;" &amp; "")&gt;0,NOT(ISBLANK(E98)))</formula>
    </cfRule>
  </conditionalFormatting>
  <conditionalFormatting sqref="E99">
    <cfRule type="expression" dxfId="0" priority="143">
      <formula>COUNTIF(G99:BE99,"&lt;&gt;" &amp; "")&gt;0</formula>
    </cfRule>
    <cfRule type="expression" dxfId="1" priority="144">
      <formula>AND(COUNTIF(G99:BE99,"&lt;&gt;" &amp; "")&gt;0,NOT(ISBLANK(E99)))</formula>
    </cfRule>
  </conditionalFormatting>
  <dataValidations count="1162">
    <dataValidation type="list" allowBlank="1" showInputMessage="1" showErrorMessage="1" sqref="C2">
      <formula1>"Number"</formula1>
    </dataValidation>
    <dataValidation type="list" allowBlank="1" showInputMessage="1" showErrorMessage="1" sqref="C3">
      <formula1>"Number"</formula1>
    </dataValidation>
    <dataValidation type="list" allowBlank="1" showInputMessage="1" showErrorMessage="1" sqref="C4">
      <formula1>"Number"</formula1>
    </dataValidation>
    <dataValidation type="list" allowBlank="1" showInputMessage="1" showErrorMessage="1" sqref="C5">
      <formula1>"Number"</formula1>
    </dataValidation>
    <dataValidation type="list" allowBlank="1" showInputMessage="1" showErrorMessage="1" sqref="C6">
      <formula1>"Number"</formula1>
    </dataValidation>
    <dataValidation type="list" allowBlank="1" showInputMessage="1" showErrorMessage="1" sqref="C7">
      <formula1>"Number"</formula1>
    </dataValidation>
    <dataValidation type="list" allowBlank="1" showInputMessage="1" showErrorMessage="1" sqref="C8">
      <formula1>"Number"</formula1>
    </dataValidation>
    <dataValidation type="list" allowBlank="1" showInputMessage="1" showErrorMessage="1" sqref="C9">
      <formula1>"Number"</formula1>
    </dataValidation>
    <dataValidation type="list" allowBlank="1" showInputMessage="1" showErrorMessage="1" sqref="C10">
      <formula1>"Number"</formula1>
    </dataValidation>
    <dataValidation type="list" allowBlank="1" showInputMessage="1" showErrorMessage="1" sqref="C11">
      <formula1>"Number"</formula1>
    </dataValidation>
    <dataValidation type="list" allowBlank="1" showInputMessage="1" showErrorMessage="1" sqref="C12">
      <formula1>"Number"</formula1>
    </dataValidation>
    <dataValidation type="list" allowBlank="1" showInputMessage="1" showErrorMessage="1" sqref="C13">
      <formula1>"Number"</formula1>
    </dataValidation>
    <dataValidation type="list" allowBlank="1" showInputMessage="1" showErrorMessage="1" sqref="C14">
      <formula1>"Number"</formula1>
    </dataValidation>
    <dataValidation type="list" allowBlank="1" showInputMessage="1" showErrorMessage="1" sqref="C15">
      <formula1>"Number"</formula1>
    </dataValidation>
    <dataValidation type="list" allowBlank="1" showInputMessage="1" showErrorMessage="1" sqref="C18">
      <formula1>"Number"</formula1>
    </dataValidation>
    <dataValidation type="list" allowBlank="1" showInputMessage="1" showErrorMessage="1" sqref="C19">
      <formula1>"Number"</formula1>
    </dataValidation>
    <dataValidation type="list" allowBlank="1" showInputMessage="1" showErrorMessage="1" sqref="C20">
      <formula1>"Number"</formula1>
    </dataValidation>
    <dataValidation type="list" allowBlank="1" showInputMessage="1" showErrorMessage="1" sqref="C21">
      <formula1>"Number"</formula1>
    </dataValidation>
    <dataValidation type="list" allowBlank="1" showInputMessage="1" showErrorMessage="1" sqref="C22">
      <formula1>"Number"</formula1>
    </dataValidation>
    <dataValidation type="list" allowBlank="1" showInputMessage="1" showErrorMessage="1" sqref="C23">
      <formula1>"Number"</formula1>
    </dataValidation>
    <dataValidation type="list" allowBlank="1" showInputMessage="1" showErrorMessage="1" sqref="C24">
      <formula1>"Number"</formula1>
    </dataValidation>
    <dataValidation type="list" allowBlank="1" showInputMessage="1" showErrorMessage="1" sqref="C25">
      <formula1>"Number"</formula1>
    </dataValidation>
    <dataValidation type="list" allowBlank="1" showInputMessage="1" showErrorMessage="1" sqref="C26">
      <formula1>"Number"</formula1>
    </dataValidation>
    <dataValidation type="list" allowBlank="1" showInputMessage="1" showErrorMessage="1" sqref="C27">
      <formula1>"Number"</formula1>
    </dataValidation>
    <dataValidation type="list" allowBlank="1" showInputMessage="1" showErrorMessage="1" sqref="C28">
      <formula1>"Number"</formula1>
    </dataValidation>
    <dataValidation type="list" allowBlank="1" showInputMessage="1" showErrorMessage="1" sqref="C29">
      <formula1>"Number"</formula1>
    </dataValidation>
    <dataValidation type="list" allowBlank="1" showInputMessage="1" showErrorMessage="1" sqref="C30">
      <formula1>"Number"</formula1>
    </dataValidation>
    <dataValidation type="list" allowBlank="1" showInputMessage="1" showErrorMessage="1" sqref="C31">
      <formula1>"Number"</formula1>
    </dataValidation>
    <dataValidation type="list" allowBlank="1" showInputMessage="1" showErrorMessage="1" sqref="C34">
      <formula1>"Number"</formula1>
    </dataValidation>
    <dataValidation type="list" allowBlank="1" showInputMessage="1" showErrorMessage="1" sqref="C35">
      <formula1>"Number"</formula1>
    </dataValidation>
    <dataValidation type="list" allowBlank="1" showInputMessage="1" showErrorMessage="1" sqref="C36">
      <formula1>"Number"</formula1>
    </dataValidation>
    <dataValidation type="list" allowBlank="1" showInputMessage="1" showErrorMessage="1" sqref="C37">
      <formula1>"Number"</formula1>
    </dataValidation>
    <dataValidation type="list" allowBlank="1" showInputMessage="1" showErrorMessage="1" sqref="C38">
      <formula1>"Number"</formula1>
    </dataValidation>
    <dataValidation type="list" allowBlank="1" showInputMessage="1" showErrorMessage="1" sqref="C39">
      <formula1>"Number"</formula1>
    </dataValidation>
    <dataValidation type="list" allowBlank="1" showInputMessage="1" showErrorMessage="1" sqref="C40">
      <formula1>"Number"</formula1>
    </dataValidation>
    <dataValidation type="list" allowBlank="1" showInputMessage="1" showErrorMessage="1" sqref="C41">
      <formula1>"Number"</formula1>
    </dataValidation>
    <dataValidation type="list" allowBlank="1" showInputMessage="1" showErrorMessage="1" sqref="C42">
      <formula1>"Number"</formula1>
    </dataValidation>
    <dataValidation type="list" allowBlank="1" showInputMessage="1" showErrorMessage="1" sqref="C43">
      <formula1>"Number"</formula1>
    </dataValidation>
    <dataValidation type="list" allowBlank="1" showInputMessage="1" showErrorMessage="1" sqref="C44">
      <formula1>"Number"</formula1>
    </dataValidation>
    <dataValidation type="list" allowBlank="1" showInputMessage="1" showErrorMessage="1" sqref="C45">
      <formula1>"Number"</formula1>
    </dataValidation>
    <dataValidation type="list" allowBlank="1" showInputMessage="1" showErrorMessage="1" sqref="C46">
      <formula1>"Number"</formula1>
    </dataValidation>
    <dataValidation type="list" allowBlank="1" showInputMessage="1" showErrorMessage="1" sqref="C47">
      <formula1>"Number"</formula1>
    </dataValidation>
    <dataValidation type="list" allowBlank="1" showInputMessage="1" showErrorMessage="1" sqref="C50">
      <formula1>"Number"</formula1>
    </dataValidation>
    <dataValidation type="list" allowBlank="1" showInputMessage="1" showErrorMessage="1" sqref="C51">
      <formula1>"Number"</formula1>
    </dataValidation>
    <dataValidation type="list" allowBlank="1" showInputMessage="1" showErrorMessage="1" sqref="C52">
      <formula1>"Number"</formula1>
    </dataValidation>
    <dataValidation type="list" allowBlank="1" showInputMessage="1" showErrorMessage="1" sqref="C53">
      <formula1>"Number"</formula1>
    </dataValidation>
    <dataValidation type="list" allowBlank="1" showInputMessage="1" showErrorMessage="1" sqref="C54">
      <formula1>"Number"</formula1>
    </dataValidation>
    <dataValidation type="list" allowBlank="1" showInputMessage="1" showErrorMessage="1" sqref="C55">
      <formula1>"Number"</formula1>
    </dataValidation>
    <dataValidation type="list" allowBlank="1" showInputMessage="1" showErrorMessage="1" sqref="C56">
      <formula1>"Number"</formula1>
    </dataValidation>
    <dataValidation type="list" allowBlank="1" showInputMessage="1" showErrorMessage="1" sqref="C57">
      <formula1>"Number"</formula1>
    </dataValidation>
    <dataValidation type="list" allowBlank="1" showInputMessage="1" showErrorMessage="1" sqref="C58">
      <formula1>"Number"</formula1>
    </dataValidation>
    <dataValidation type="list" allowBlank="1" showInputMessage="1" showErrorMessage="1" sqref="C59">
      <formula1>"Number"</formula1>
    </dataValidation>
    <dataValidation type="list" allowBlank="1" showInputMessage="1" showErrorMessage="1" sqref="C60">
      <formula1>"Number"</formula1>
    </dataValidation>
    <dataValidation type="list" allowBlank="1" showInputMessage="1" showErrorMessage="1" sqref="C61">
      <formula1>"Number"</formula1>
    </dataValidation>
    <dataValidation type="list" allowBlank="1" showInputMessage="1" showErrorMessage="1" sqref="C62">
      <formula1>"Number"</formula1>
    </dataValidation>
    <dataValidation type="list" allowBlank="1" showInputMessage="1" showErrorMessage="1" sqref="C63">
      <formula1>"Number"</formula1>
    </dataValidation>
    <dataValidation type="list" allowBlank="1" showInputMessage="1" showErrorMessage="1" sqref="C66">
      <formula1>"Number"</formula1>
    </dataValidation>
    <dataValidation type="list" allowBlank="1" showInputMessage="1" showErrorMessage="1" sqref="C67">
      <formula1>"Number"</formula1>
    </dataValidation>
    <dataValidation type="list" allowBlank="1" showInputMessage="1" showErrorMessage="1" sqref="C68">
      <formula1>"Number"</formula1>
    </dataValidation>
    <dataValidation type="list" allowBlank="1" showInputMessage="1" showErrorMessage="1" sqref="C69">
      <formula1>"Number"</formula1>
    </dataValidation>
    <dataValidation type="list" allowBlank="1" showInputMessage="1" showErrorMessage="1" sqref="C70">
      <formula1>"Number"</formula1>
    </dataValidation>
    <dataValidation type="list" allowBlank="1" showInputMessage="1" showErrorMessage="1" sqref="C71">
      <formula1>"Number"</formula1>
    </dataValidation>
    <dataValidation type="list" allowBlank="1" showInputMessage="1" showErrorMessage="1" sqref="C72">
      <formula1>"Number"</formula1>
    </dataValidation>
    <dataValidation type="list" allowBlank="1" showInputMessage="1" showErrorMessage="1" sqref="C73">
      <formula1>"Number"</formula1>
    </dataValidation>
    <dataValidation type="list" allowBlank="1" showInputMessage="1" showErrorMessage="1" sqref="C74">
      <formula1>"Number"</formula1>
    </dataValidation>
    <dataValidation type="list" allowBlank="1" showInputMessage="1" showErrorMessage="1" sqref="C75">
      <formula1>"Number"</formula1>
    </dataValidation>
    <dataValidation type="list" allowBlank="1" showInputMessage="1" showErrorMessage="1" sqref="C76">
      <formula1>"Number"</formula1>
    </dataValidation>
    <dataValidation type="list" allowBlank="1" showInputMessage="1" showErrorMessage="1" sqref="C77">
      <formula1>"Number"</formula1>
    </dataValidation>
    <dataValidation type="list" allowBlank="1" showInputMessage="1" showErrorMessage="1" sqref="C78">
      <formula1>"Number"</formula1>
    </dataValidation>
    <dataValidation type="list" allowBlank="1" showInputMessage="1" showErrorMessage="1" sqref="C79">
      <formula1>"Number"</formula1>
    </dataValidation>
    <dataValidation type="list" allowBlank="1" showInputMessage="1" showErrorMessage="1" sqref="C82">
      <formula1>"Number"</formula1>
    </dataValidation>
    <dataValidation type="list" allowBlank="1" showInputMessage="1" showErrorMessage="1" sqref="C83">
      <formula1>"Number"</formula1>
    </dataValidation>
    <dataValidation type="list" allowBlank="1" showInputMessage="1" showErrorMessage="1" sqref="C84">
      <formula1>"Number"</formula1>
    </dataValidation>
    <dataValidation type="list" allowBlank="1" showInputMessage="1" showErrorMessage="1" sqref="C85">
      <formula1>"Number"</formula1>
    </dataValidation>
    <dataValidation type="list" allowBlank="1" showInputMessage="1" showErrorMessage="1" sqref="C86">
      <formula1>"Number"</formula1>
    </dataValidation>
    <dataValidation type="list" allowBlank="1" showInputMessage="1" showErrorMessage="1" sqref="C87">
      <formula1>"Number"</formula1>
    </dataValidation>
    <dataValidation type="list" allowBlank="1" showInputMessage="1" showErrorMessage="1" sqref="C88">
      <formula1>"Number"</formula1>
    </dataValidation>
    <dataValidation type="list" allowBlank="1" showInputMessage="1" showErrorMessage="1" sqref="C89">
      <formula1>"Number"</formula1>
    </dataValidation>
    <dataValidation type="list" allowBlank="1" showInputMessage="1" showErrorMessage="1" sqref="C90">
      <formula1>"Number"</formula1>
    </dataValidation>
    <dataValidation type="list" allowBlank="1" showInputMessage="1" showErrorMessage="1" sqref="C91">
      <formula1>"Number"</formula1>
    </dataValidation>
    <dataValidation type="list" allowBlank="1" showInputMessage="1" showErrorMessage="1" sqref="C92">
      <formula1>"Number"</formula1>
    </dataValidation>
    <dataValidation type="list" allowBlank="1" showInputMessage="1" showErrorMessage="1" sqref="C93">
      <formula1>"Number"</formula1>
    </dataValidation>
    <dataValidation type="list" allowBlank="1" showInputMessage="1" showErrorMessage="1" sqref="C94">
      <formula1>"Number"</formula1>
    </dataValidation>
    <dataValidation type="list" allowBlank="1" showInputMessage="1" showErrorMessage="1" sqref="C95">
      <formula1>"Number"</formula1>
    </dataValidation>
    <dataValidation type="list" allowBlank="1" showInputMessage="1" showErrorMessage="1" sqref="C98">
      <formula1>"Number"</formula1>
    </dataValidation>
    <dataValidation type="list" allowBlank="1" showInputMessage="1" showErrorMessage="1" sqref="C99">
      <formula1>"Number"</formula1>
    </dataValidation>
    <dataValidation type="list" allowBlank="1" showInputMessage="1" showErrorMessage="1" sqref="C100">
      <formula1>"Number"</formula1>
    </dataValidation>
    <dataValidation type="list" allowBlank="1" showInputMessage="1" showErrorMessage="1" sqref="C101">
      <formula1>"Number"</formula1>
    </dataValidation>
    <dataValidation type="list" allowBlank="1" showInputMessage="1" showErrorMessage="1" sqref="C102">
      <formula1>"Number"</formula1>
    </dataValidation>
    <dataValidation type="list" allowBlank="1" showInputMessage="1" showErrorMessage="1" sqref="C103">
      <formula1>"Number"</formula1>
    </dataValidation>
    <dataValidation type="list" allowBlank="1" showInputMessage="1" showErrorMessage="1" sqref="C104">
      <formula1>"Number"</formula1>
    </dataValidation>
    <dataValidation type="list" allowBlank="1" showInputMessage="1" showErrorMessage="1" sqref="C105">
      <formula1>"Number"</formula1>
    </dataValidation>
    <dataValidation type="list" allowBlank="1" showInputMessage="1" showErrorMessage="1" sqref="C106">
      <formula1>"Number"</formula1>
    </dataValidation>
    <dataValidation type="list" allowBlank="1" showInputMessage="1" showErrorMessage="1" sqref="C107">
      <formula1>"Number"</formula1>
    </dataValidation>
    <dataValidation type="list" allowBlank="1" showInputMessage="1" showErrorMessage="1" sqref="C108">
      <formula1>"Number"</formula1>
    </dataValidation>
    <dataValidation type="list" allowBlank="1" showInputMessage="1" showErrorMessage="1" sqref="C109">
      <formula1>"Number"</formula1>
    </dataValidation>
    <dataValidation type="list" allowBlank="1" showInputMessage="1" showErrorMessage="1" sqref="C110">
      <formula1>"Number"</formula1>
    </dataValidation>
    <dataValidation type="list" allowBlank="1" showInputMessage="1" showErrorMessage="1" sqref="C111">
      <formula1>"Number"</formula1>
    </dataValidation>
    <dataValidation type="list" allowBlank="1" showInputMessage="1" showErrorMessage="1" sqref="C114">
      <formula1>"Number"</formula1>
    </dataValidation>
    <dataValidation type="list" allowBlank="1" showInputMessage="1" showErrorMessage="1" sqref="C115">
      <formula1>"Number"</formula1>
    </dataValidation>
    <dataValidation type="list" allowBlank="1" showInputMessage="1" showErrorMessage="1" sqref="C116">
      <formula1>"Number"</formula1>
    </dataValidation>
    <dataValidation type="list" allowBlank="1" showInputMessage="1" showErrorMessage="1" sqref="C117">
      <formula1>"Number"</formula1>
    </dataValidation>
    <dataValidation type="list" allowBlank="1" showInputMessage="1" showErrorMessage="1" sqref="C118">
      <formula1>"Number"</formula1>
    </dataValidation>
    <dataValidation type="list" allowBlank="1" showInputMessage="1" showErrorMessage="1" sqref="C119">
      <formula1>"Number"</formula1>
    </dataValidation>
    <dataValidation type="list" allowBlank="1" showInputMessage="1" showErrorMessage="1" sqref="C120">
      <formula1>"Number"</formula1>
    </dataValidation>
    <dataValidation type="list" allowBlank="1" showInputMessage="1" showErrorMessage="1" sqref="C121">
      <formula1>"Number"</formula1>
    </dataValidation>
    <dataValidation type="list" allowBlank="1" showInputMessage="1" showErrorMessage="1" sqref="C122">
      <formula1>"Number"</formula1>
    </dataValidation>
    <dataValidation type="list" allowBlank="1" showInputMessage="1" showErrorMessage="1" sqref="C123">
      <formula1>"Number"</formula1>
    </dataValidation>
    <dataValidation type="list" allowBlank="1" showInputMessage="1" showErrorMessage="1" sqref="C124">
      <formula1>"Number"</formula1>
    </dataValidation>
    <dataValidation type="list" allowBlank="1" showInputMessage="1" showErrorMessage="1" sqref="C125">
      <formula1>"Number"</formula1>
    </dataValidation>
    <dataValidation type="list" allowBlank="1" showInputMessage="1" showErrorMessage="1" sqref="C126">
      <formula1>"Number"</formula1>
    </dataValidation>
    <dataValidation type="list" allowBlank="1" showInputMessage="1" showErrorMessage="1" sqref="C127">
      <formula1>"Number"</formula1>
    </dataValidation>
    <dataValidation type="list" allowBlank="1" showInputMessage="1" showErrorMessage="1" sqref="C130">
      <formula1>"Number"</formula1>
    </dataValidation>
    <dataValidation type="list" allowBlank="1" showInputMessage="1" showErrorMessage="1" sqref="C131">
      <formula1>"Number"</formula1>
    </dataValidation>
    <dataValidation type="list" allowBlank="1" showInputMessage="1" showErrorMessage="1" sqref="C132">
      <formula1>"Number"</formula1>
    </dataValidation>
    <dataValidation type="list" allowBlank="1" showInputMessage="1" showErrorMessage="1" sqref="C133">
      <formula1>"Number"</formula1>
    </dataValidation>
    <dataValidation type="list" allowBlank="1" showInputMessage="1" showErrorMessage="1" sqref="C134">
      <formula1>"Number"</formula1>
    </dataValidation>
    <dataValidation type="list" allowBlank="1" showInputMessage="1" showErrorMessage="1" sqref="C135">
      <formula1>"Number"</formula1>
    </dataValidation>
    <dataValidation type="list" allowBlank="1" showInputMessage="1" showErrorMessage="1" sqref="C136">
      <formula1>"Number"</formula1>
    </dataValidation>
    <dataValidation type="list" allowBlank="1" showInputMessage="1" showErrorMessage="1" sqref="C137">
      <formula1>"Number"</formula1>
    </dataValidation>
    <dataValidation type="list" allowBlank="1" showInputMessage="1" showErrorMessage="1" sqref="C138">
      <formula1>"Number"</formula1>
    </dataValidation>
    <dataValidation type="list" allowBlank="1" showInputMessage="1" showErrorMessage="1" sqref="C139">
      <formula1>"Number"</formula1>
    </dataValidation>
    <dataValidation type="list" allowBlank="1" showInputMessage="1" showErrorMessage="1" sqref="C140">
      <formula1>"Number"</formula1>
    </dataValidation>
    <dataValidation type="list" allowBlank="1" showInputMessage="1" showErrorMessage="1" sqref="C141">
      <formula1>"Number"</formula1>
    </dataValidation>
    <dataValidation type="list" allowBlank="1" showInputMessage="1" showErrorMessage="1" sqref="C142">
      <formula1>"Number"</formula1>
    </dataValidation>
    <dataValidation type="list" allowBlank="1" showInputMessage="1" showErrorMessage="1" sqref="C143">
      <formula1>"Number"</formula1>
    </dataValidation>
    <dataValidation type="list" allowBlank="1" showInputMessage="1" showErrorMessage="1" sqref="C146">
      <formula1>"Number"</formula1>
    </dataValidation>
    <dataValidation type="list" allowBlank="1" showInputMessage="1" showErrorMessage="1" sqref="C147">
      <formula1>"Number"</formula1>
    </dataValidation>
    <dataValidation type="list" allowBlank="1" showInputMessage="1" showErrorMessage="1" sqref="C148">
      <formula1>"Number"</formula1>
    </dataValidation>
    <dataValidation type="list" allowBlank="1" showInputMessage="1" showErrorMessage="1" sqref="C149">
      <formula1>"Number"</formula1>
    </dataValidation>
    <dataValidation type="list" allowBlank="1" showInputMessage="1" showErrorMessage="1" sqref="C150">
      <formula1>"Number"</formula1>
    </dataValidation>
    <dataValidation type="list" allowBlank="1" showInputMessage="1" showErrorMessage="1" sqref="C151">
      <formula1>"Number"</formula1>
    </dataValidation>
    <dataValidation type="list" allowBlank="1" showInputMessage="1" showErrorMessage="1" sqref="C152">
      <formula1>"Number"</formula1>
    </dataValidation>
    <dataValidation type="list" allowBlank="1" showInputMessage="1" showErrorMessage="1" sqref="C153">
      <formula1>"Number"</formula1>
    </dataValidation>
    <dataValidation type="list" allowBlank="1" showInputMessage="1" showErrorMessage="1" sqref="C154">
      <formula1>"Number"</formula1>
    </dataValidation>
    <dataValidation type="list" allowBlank="1" showInputMessage="1" showErrorMessage="1" sqref="C155">
      <formula1>"Number"</formula1>
    </dataValidation>
    <dataValidation type="list" allowBlank="1" showInputMessage="1" showErrorMessage="1" sqref="C156">
      <formula1>"Number"</formula1>
    </dataValidation>
    <dataValidation type="list" allowBlank="1" showInputMessage="1" showErrorMessage="1" sqref="C157">
      <formula1>"Number"</formula1>
    </dataValidation>
    <dataValidation type="list" allowBlank="1" showInputMessage="1" showErrorMessage="1" sqref="C158">
      <formula1>"Number"</formula1>
    </dataValidation>
    <dataValidation type="list" allowBlank="1" showInputMessage="1" showErrorMessage="1" sqref="C159">
      <formula1>"Number"</formula1>
    </dataValidation>
    <dataValidation type="list" allowBlank="1" showInputMessage="1" showErrorMessage="1" sqref="C162">
      <formula1>"Number"</formula1>
    </dataValidation>
    <dataValidation type="list" allowBlank="1" showInputMessage="1" showErrorMessage="1" sqref="C163">
      <formula1>"Number"</formula1>
    </dataValidation>
    <dataValidation type="list" allowBlank="1" showInputMessage="1" showErrorMessage="1" sqref="C164">
      <formula1>"Number"</formula1>
    </dataValidation>
    <dataValidation type="list" allowBlank="1" showInputMessage="1" showErrorMessage="1" sqref="C165">
      <formula1>"Number"</formula1>
    </dataValidation>
    <dataValidation type="list" allowBlank="1" showInputMessage="1" showErrorMessage="1" sqref="C166">
      <formula1>"Number"</formula1>
    </dataValidation>
    <dataValidation type="list" allowBlank="1" showInputMessage="1" showErrorMessage="1" sqref="C167">
      <formula1>"Number"</formula1>
    </dataValidation>
    <dataValidation type="list" allowBlank="1" showInputMessage="1" showErrorMessage="1" sqref="C168">
      <formula1>"Number"</formula1>
    </dataValidation>
    <dataValidation type="list" allowBlank="1" showInputMessage="1" showErrorMessage="1" sqref="C169">
      <formula1>"Number"</formula1>
    </dataValidation>
    <dataValidation type="list" allowBlank="1" showInputMessage="1" showErrorMessage="1" sqref="C170">
      <formula1>"Number"</formula1>
    </dataValidation>
    <dataValidation type="list" allowBlank="1" showInputMessage="1" showErrorMessage="1" sqref="C171">
      <formula1>"Number"</formula1>
    </dataValidation>
    <dataValidation type="list" allowBlank="1" showInputMessage="1" showErrorMessage="1" sqref="C172">
      <formula1>"Number"</formula1>
    </dataValidation>
    <dataValidation type="list" allowBlank="1" showInputMessage="1" showErrorMessage="1" sqref="C173">
      <formula1>"Number"</formula1>
    </dataValidation>
    <dataValidation type="list" allowBlank="1" showInputMessage="1" showErrorMessage="1" sqref="C174">
      <formula1>"Number"</formula1>
    </dataValidation>
    <dataValidation type="list" allowBlank="1" showInputMessage="1" showErrorMessage="1" sqref="C175">
      <formula1>"Number"</formula1>
    </dataValidation>
    <dataValidation type="list" allowBlank="1" showInputMessage="1" showErrorMessage="1" sqref="C178">
      <formula1>"Number"</formula1>
    </dataValidation>
    <dataValidation type="list" allowBlank="1" showInputMessage="1" showErrorMessage="1" sqref="C179">
      <formula1>"Number"</formula1>
    </dataValidation>
    <dataValidation type="list" allowBlank="1" showInputMessage="1" showErrorMessage="1" sqref="C180">
      <formula1>"Number"</formula1>
    </dataValidation>
    <dataValidation type="list" allowBlank="1" showInputMessage="1" showErrorMessage="1" sqref="C181">
      <formula1>"Number"</formula1>
    </dataValidation>
    <dataValidation type="list" allowBlank="1" showInputMessage="1" showErrorMessage="1" sqref="C182">
      <formula1>"Number"</formula1>
    </dataValidation>
    <dataValidation type="list" allowBlank="1" showInputMessage="1" showErrorMessage="1" sqref="C183">
      <formula1>"Number"</formula1>
    </dataValidation>
    <dataValidation type="list" allowBlank="1" showInputMessage="1" showErrorMessage="1" sqref="C184">
      <formula1>"Number"</formula1>
    </dataValidation>
    <dataValidation type="list" allowBlank="1" showInputMessage="1" showErrorMessage="1" sqref="C185">
      <formula1>"Number"</formula1>
    </dataValidation>
    <dataValidation type="list" allowBlank="1" showInputMessage="1" showErrorMessage="1" sqref="C186">
      <formula1>"Number"</formula1>
    </dataValidation>
    <dataValidation type="list" allowBlank="1" showInputMessage="1" showErrorMessage="1" sqref="C187">
      <formula1>"Number"</formula1>
    </dataValidation>
    <dataValidation type="list" allowBlank="1" showInputMessage="1" showErrorMessage="1" sqref="C188">
      <formula1>"Number"</formula1>
    </dataValidation>
    <dataValidation type="list" allowBlank="1" showInputMessage="1" showErrorMessage="1" sqref="C189">
      <formula1>"Number"</formula1>
    </dataValidation>
    <dataValidation type="list" allowBlank="1" showInputMessage="1" showErrorMessage="1" sqref="C190">
      <formula1>"Number"</formula1>
    </dataValidation>
    <dataValidation type="list" allowBlank="1" showInputMessage="1" showErrorMessage="1" sqref="C191">
      <formula1>"Number"</formula1>
    </dataValidation>
    <dataValidation type="list" allowBlank="1" showInputMessage="1" showErrorMessage="1" sqref="C194">
      <formula1>"Number"</formula1>
    </dataValidation>
    <dataValidation type="list" allowBlank="1" showInputMessage="1" showErrorMessage="1" sqref="C195">
      <formula1>"Number"</formula1>
    </dataValidation>
    <dataValidation type="list" allowBlank="1" showInputMessage="1" showErrorMessage="1" sqref="C196">
      <formula1>"Number"</formula1>
    </dataValidation>
    <dataValidation type="list" allowBlank="1" showInputMessage="1" showErrorMessage="1" sqref="C197">
      <formula1>"Number"</formula1>
    </dataValidation>
    <dataValidation type="list" allowBlank="1" showInputMessage="1" showErrorMessage="1" sqref="C198">
      <formula1>"Number"</formula1>
    </dataValidation>
    <dataValidation type="list" allowBlank="1" showInputMessage="1" showErrorMessage="1" sqref="C199">
      <formula1>"Number"</formula1>
    </dataValidation>
    <dataValidation type="list" allowBlank="1" showInputMessage="1" showErrorMessage="1" sqref="C200">
      <formula1>"Number"</formula1>
    </dataValidation>
    <dataValidation type="list" allowBlank="1" showInputMessage="1" showErrorMessage="1" sqref="C201">
      <formula1>"Number"</formula1>
    </dataValidation>
    <dataValidation type="list" allowBlank="1" showInputMessage="1" showErrorMessage="1" sqref="C202">
      <formula1>"Number"</formula1>
    </dataValidation>
    <dataValidation type="list" allowBlank="1" showInputMessage="1" showErrorMessage="1" sqref="C203">
      <formula1>"Number"</formula1>
    </dataValidation>
    <dataValidation type="list" allowBlank="1" showInputMessage="1" showErrorMessage="1" sqref="C204">
      <formula1>"Number"</formula1>
    </dataValidation>
    <dataValidation type="list" allowBlank="1" showInputMessage="1" showErrorMessage="1" sqref="C205">
      <formula1>"Number"</formula1>
    </dataValidation>
    <dataValidation type="list" allowBlank="1" showInputMessage="1" showErrorMessage="1" sqref="C206">
      <formula1>"Number"</formula1>
    </dataValidation>
    <dataValidation type="list" allowBlank="1" showInputMessage="1" showErrorMessage="1" sqref="C207">
      <formula1>"Number"</formula1>
    </dataValidation>
    <dataValidation type="list" allowBlank="1" showInputMessage="1" showErrorMessage="1" sqref="C210">
      <formula1>"Number"</formula1>
    </dataValidation>
    <dataValidation type="list" allowBlank="1" showInputMessage="1" showErrorMessage="1" sqref="C211">
      <formula1>"Number"</formula1>
    </dataValidation>
    <dataValidation type="list" allowBlank="1" showInputMessage="1" showErrorMessage="1" sqref="C212">
      <formula1>"Number"</formula1>
    </dataValidation>
    <dataValidation type="list" allowBlank="1" showInputMessage="1" showErrorMessage="1" sqref="C213">
      <formula1>"Number"</formula1>
    </dataValidation>
    <dataValidation type="list" allowBlank="1" showInputMessage="1" showErrorMessage="1" sqref="C214">
      <formula1>"Number"</formula1>
    </dataValidation>
    <dataValidation type="list" allowBlank="1" showInputMessage="1" showErrorMessage="1" sqref="C215">
      <formula1>"Number"</formula1>
    </dataValidation>
    <dataValidation type="list" allowBlank="1" showInputMessage="1" showErrorMessage="1" sqref="C216">
      <formula1>"Number"</formula1>
    </dataValidation>
    <dataValidation type="list" allowBlank="1" showInputMessage="1" showErrorMessage="1" sqref="C217">
      <formula1>"Number"</formula1>
    </dataValidation>
    <dataValidation type="list" allowBlank="1" showInputMessage="1" showErrorMessage="1" sqref="C218">
      <formula1>"Number"</formula1>
    </dataValidation>
    <dataValidation type="list" allowBlank="1" showInputMessage="1" showErrorMessage="1" sqref="C219">
      <formula1>"Number"</formula1>
    </dataValidation>
    <dataValidation type="list" allowBlank="1" showInputMessage="1" showErrorMessage="1" sqref="C220">
      <formula1>"Number"</formula1>
    </dataValidation>
    <dataValidation type="list" allowBlank="1" showInputMessage="1" showErrorMessage="1" sqref="C221">
      <formula1>"Number"</formula1>
    </dataValidation>
    <dataValidation type="list" allowBlank="1" showInputMessage="1" showErrorMessage="1" sqref="C222">
      <formula1>"Number"</formula1>
    </dataValidation>
    <dataValidation type="list" allowBlank="1" showInputMessage="1" showErrorMessage="1" sqref="C223">
      <formula1>"Number"</formula1>
    </dataValidation>
    <dataValidation type="list" allowBlank="1" showInputMessage="1" showErrorMessage="1" sqref="C226">
      <formula1>"Number"</formula1>
    </dataValidation>
    <dataValidation type="list" allowBlank="1" showInputMessage="1" showErrorMessage="1" sqref="C227">
      <formula1>"Number"</formula1>
    </dataValidation>
    <dataValidation type="list" allowBlank="1" showInputMessage="1" showErrorMessage="1" sqref="C228">
      <formula1>"Number"</formula1>
    </dataValidation>
    <dataValidation type="list" allowBlank="1" showInputMessage="1" showErrorMessage="1" sqref="C229">
      <formula1>"Number"</formula1>
    </dataValidation>
    <dataValidation type="list" allowBlank="1" showInputMessage="1" showErrorMessage="1" sqref="C230">
      <formula1>"Number"</formula1>
    </dataValidation>
    <dataValidation type="list" allowBlank="1" showInputMessage="1" showErrorMessage="1" sqref="C231">
      <formula1>"Number"</formula1>
    </dataValidation>
    <dataValidation type="list" allowBlank="1" showInputMessage="1" showErrorMessage="1" sqref="C232">
      <formula1>"Number"</formula1>
    </dataValidation>
    <dataValidation type="list" allowBlank="1" showInputMessage="1" showErrorMessage="1" sqref="C233">
      <formula1>"Number"</formula1>
    </dataValidation>
    <dataValidation type="list" allowBlank="1" showInputMessage="1" showErrorMessage="1" sqref="C234">
      <formula1>"Number"</formula1>
    </dataValidation>
    <dataValidation type="list" allowBlank="1" showInputMessage="1" showErrorMessage="1" sqref="C235">
      <formula1>"Number"</formula1>
    </dataValidation>
    <dataValidation type="list" allowBlank="1" showInputMessage="1" showErrorMessage="1" sqref="C236">
      <formula1>"Number"</formula1>
    </dataValidation>
    <dataValidation type="list" allowBlank="1" showInputMessage="1" showErrorMessage="1" sqref="C237">
      <formula1>"Number"</formula1>
    </dataValidation>
    <dataValidation type="list" allowBlank="1" showInputMessage="1" showErrorMessage="1" sqref="C238">
      <formula1>"Number"</formula1>
    </dataValidation>
    <dataValidation type="list" allowBlank="1" showInputMessage="1" showErrorMessage="1" sqref="C239">
      <formula1>"Number"</formula1>
    </dataValidation>
    <dataValidation type="list" allowBlank="1" showInputMessage="1" showErrorMessage="1" sqref="C242">
      <formula1>"Number"</formula1>
    </dataValidation>
    <dataValidation type="list" allowBlank="1" showInputMessage="1" showErrorMessage="1" sqref="C243">
      <formula1>"Number"</formula1>
    </dataValidation>
    <dataValidation type="list" allowBlank="1" showInputMessage="1" showErrorMessage="1" sqref="C244">
      <formula1>"Number"</formula1>
    </dataValidation>
    <dataValidation type="list" allowBlank="1" showInputMessage="1" showErrorMessage="1" sqref="C245">
      <formula1>"Number"</formula1>
    </dataValidation>
    <dataValidation type="list" allowBlank="1" showInputMessage="1" showErrorMessage="1" sqref="C246">
      <formula1>"Number"</formula1>
    </dataValidation>
    <dataValidation type="list" allowBlank="1" showInputMessage="1" showErrorMessage="1" sqref="C247">
      <formula1>"Number"</formula1>
    </dataValidation>
    <dataValidation type="list" allowBlank="1" showInputMessage="1" showErrorMessage="1" sqref="C248">
      <formula1>"Number"</formula1>
    </dataValidation>
    <dataValidation type="list" allowBlank="1" showInputMessage="1" showErrorMessage="1" sqref="C249">
      <formula1>"Number"</formula1>
    </dataValidation>
    <dataValidation type="list" allowBlank="1" showInputMessage="1" showErrorMessage="1" sqref="C250">
      <formula1>"Number"</formula1>
    </dataValidation>
    <dataValidation type="list" allowBlank="1" showInputMessage="1" showErrorMessage="1" sqref="C251">
      <formula1>"Number"</formula1>
    </dataValidation>
    <dataValidation type="list" allowBlank="1" showInputMessage="1" showErrorMessage="1" sqref="C252">
      <formula1>"Number"</formula1>
    </dataValidation>
    <dataValidation type="list" allowBlank="1" showInputMessage="1" showErrorMessage="1" sqref="C253">
      <formula1>"Number"</formula1>
    </dataValidation>
    <dataValidation type="list" allowBlank="1" showInputMessage="1" showErrorMessage="1" sqref="C254">
      <formula1>"Number"</formula1>
    </dataValidation>
    <dataValidation type="list" allowBlank="1" showInputMessage="1" showErrorMessage="1" sqref="C255">
      <formula1>"Number"</formula1>
    </dataValidation>
    <dataValidation type="list" allowBlank="1" showInputMessage="1" showErrorMessage="1" sqref="C258">
      <formula1>"Number"</formula1>
    </dataValidation>
    <dataValidation type="list" allowBlank="1" showInputMessage="1" showErrorMessage="1" sqref="C259">
      <formula1>"Number"</formula1>
    </dataValidation>
    <dataValidation type="list" allowBlank="1" showInputMessage="1" showErrorMessage="1" sqref="C260">
      <formula1>"Number"</formula1>
    </dataValidation>
    <dataValidation type="list" allowBlank="1" showInputMessage="1" showErrorMessage="1" sqref="C261">
      <formula1>"Number"</formula1>
    </dataValidation>
    <dataValidation type="list" allowBlank="1" showInputMessage="1" showErrorMessage="1" sqref="C262">
      <formula1>"Number"</formula1>
    </dataValidation>
    <dataValidation type="list" allowBlank="1" showInputMessage="1" showErrorMessage="1" sqref="C263">
      <formula1>"Number"</formula1>
    </dataValidation>
    <dataValidation type="list" allowBlank="1" showInputMessage="1" showErrorMessage="1" sqref="C264">
      <formula1>"Number"</formula1>
    </dataValidation>
    <dataValidation type="list" allowBlank="1" showInputMessage="1" showErrorMessage="1" sqref="C265">
      <formula1>"Number"</formula1>
    </dataValidation>
    <dataValidation type="list" allowBlank="1" showInputMessage="1" showErrorMessage="1" sqref="C266">
      <formula1>"Number"</formula1>
    </dataValidation>
    <dataValidation type="list" allowBlank="1" showInputMessage="1" showErrorMessage="1" sqref="C267">
      <formula1>"Number"</formula1>
    </dataValidation>
    <dataValidation type="list" allowBlank="1" showInputMessage="1" showErrorMessage="1" sqref="C268">
      <formula1>"Number"</formula1>
    </dataValidation>
    <dataValidation type="list" allowBlank="1" showInputMessage="1" showErrorMessage="1" sqref="C269">
      <formula1>"Number"</formula1>
    </dataValidation>
    <dataValidation type="list" allowBlank="1" showInputMessage="1" showErrorMessage="1" sqref="C270">
      <formula1>"Number"</formula1>
    </dataValidation>
    <dataValidation type="list" allowBlank="1" showInputMessage="1" showErrorMessage="1" sqref="C271">
      <formula1>"Number"</formula1>
    </dataValidation>
    <dataValidation type="list" allowBlank="1" showInputMessage="1" showErrorMessage="1" sqref="C274">
      <formula1>"Number"</formula1>
    </dataValidation>
    <dataValidation type="list" allowBlank="1" showInputMessage="1" showErrorMessage="1" sqref="C275">
      <formula1>"Number"</formula1>
    </dataValidation>
    <dataValidation type="list" allowBlank="1" showInputMessage="1" showErrorMessage="1" sqref="C276">
      <formula1>"Number"</formula1>
    </dataValidation>
    <dataValidation type="list" allowBlank="1" showInputMessage="1" showErrorMessage="1" sqref="C277">
      <formula1>"Number"</formula1>
    </dataValidation>
    <dataValidation type="list" allowBlank="1" showInputMessage="1" showErrorMessage="1" sqref="C278">
      <formula1>"Number"</formula1>
    </dataValidation>
    <dataValidation type="list" allowBlank="1" showInputMessage="1" showErrorMessage="1" sqref="C279">
      <formula1>"Number"</formula1>
    </dataValidation>
    <dataValidation type="list" allowBlank="1" showInputMessage="1" showErrorMessage="1" sqref="C280">
      <formula1>"Number"</formula1>
    </dataValidation>
    <dataValidation type="list" allowBlank="1" showInputMessage="1" showErrorMessage="1" sqref="C281">
      <formula1>"Number"</formula1>
    </dataValidation>
    <dataValidation type="list" allowBlank="1" showInputMessage="1" showErrorMessage="1" sqref="C282">
      <formula1>"Number"</formula1>
    </dataValidation>
    <dataValidation type="list" allowBlank="1" showInputMessage="1" showErrorMessage="1" sqref="C283">
      <formula1>"Number"</formula1>
    </dataValidation>
    <dataValidation type="list" allowBlank="1" showInputMessage="1" showErrorMessage="1" sqref="C284">
      <formula1>"Number"</formula1>
    </dataValidation>
    <dataValidation type="list" allowBlank="1" showInputMessage="1" showErrorMessage="1" sqref="C285">
      <formula1>"Number"</formula1>
    </dataValidation>
    <dataValidation type="list" allowBlank="1" showInputMessage="1" showErrorMessage="1" sqref="C286">
      <formula1>"Number"</formula1>
    </dataValidation>
    <dataValidation type="list" allowBlank="1" showInputMessage="1" showErrorMessage="1" sqref="C287">
      <formula1>"Number"</formula1>
    </dataValidation>
    <dataValidation type="list" allowBlank="1" showInputMessage="1" showErrorMessage="1" sqref="C290">
      <formula1>"Number"</formula1>
    </dataValidation>
    <dataValidation type="list" allowBlank="1" showInputMessage="1" showErrorMessage="1" sqref="C291">
      <formula1>"Number"</formula1>
    </dataValidation>
    <dataValidation type="list" allowBlank="1" showInputMessage="1" showErrorMessage="1" sqref="C292">
      <formula1>"Number"</formula1>
    </dataValidation>
    <dataValidation type="list" allowBlank="1" showInputMessage="1" showErrorMessage="1" sqref="C293">
      <formula1>"Number"</formula1>
    </dataValidation>
    <dataValidation type="list" allowBlank="1" showInputMessage="1" showErrorMessage="1" sqref="C294">
      <formula1>"Number"</formula1>
    </dataValidation>
    <dataValidation type="list" allowBlank="1" showInputMessage="1" showErrorMessage="1" sqref="C295">
      <formula1>"Number"</formula1>
    </dataValidation>
    <dataValidation type="list" allowBlank="1" showInputMessage="1" showErrorMessage="1" sqref="C296">
      <formula1>"Number"</formula1>
    </dataValidation>
    <dataValidation type="list" allowBlank="1" showInputMessage="1" showErrorMessage="1" sqref="C297">
      <formula1>"Number"</formula1>
    </dataValidation>
    <dataValidation type="list" allowBlank="1" showInputMessage="1" showErrorMessage="1" sqref="C298">
      <formula1>"Number"</formula1>
    </dataValidation>
    <dataValidation type="list" allowBlank="1" showInputMessage="1" showErrorMessage="1" sqref="C299">
      <formula1>"Number"</formula1>
    </dataValidation>
    <dataValidation type="list" allowBlank="1" showInputMessage="1" showErrorMessage="1" sqref="C300">
      <formula1>"Number"</formula1>
    </dataValidation>
    <dataValidation type="list" allowBlank="1" showInputMessage="1" showErrorMessage="1" sqref="C301">
      <formula1>"Number"</formula1>
    </dataValidation>
    <dataValidation type="list" allowBlank="1" showInputMessage="1" showErrorMessage="1" sqref="C302">
      <formula1>"Number"</formula1>
    </dataValidation>
    <dataValidation type="list" allowBlank="1" showInputMessage="1" showErrorMessage="1" sqref="C303">
      <formula1>"Number"</formula1>
    </dataValidation>
    <dataValidation type="list" allowBlank="1" showInputMessage="1" showErrorMessage="1" sqref="C306">
      <formula1>"Number"</formula1>
    </dataValidation>
    <dataValidation type="list" allowBlank="1" showInputMessage="1" showErrorMessage="1" sqref="C307">
      <formula1>"Number"</formula1>
    </dataValidation>
    <dataValidation type="list" allowBlank="1" showInputMessage="1" showErrorMessage="1" sqref="C308">
      <formula1>"Number"</formula1>
    </dataValidation>
    <dataValidation type="list" allowBlank="1" showInputMessage="1" showErrorMessage="1" sqref="C309">
      <formula1>"Number"</formula1>
    </dataValidation>
    <dataValidation type="list" allowBlank="1" showInputMessage="1" showErrorMessage="1" sqref="C310">
      <formula1>"Number"</formula1>
    </dataValidation>
    <dataValidation type="list" allowBlank="1" showInputMessage="1" showErrorMessage="1" sqref="C311">
      <formula1>"Number"</formula1>
    </dataValidation>
    <dataValidation type="list" allowBlank="1" showInputMessage="1" showErrorMessage="1" sqref="C312">
      <formula1>"Number"</formula1>
    </dataValidation>
    <dataValidation type="list" allowBlank="1" showInputMessage="1" showErrorMessage="1" sqref="C313">
      <formula1>"Number"</formula1>
    </dataValidation>
    <dataValidation type="list" allowBlank="1" showInputMessage="1" showErrorMessage="1" sqref="C314">
      <formula1>"Number"</formula1>
    </dataValidation>
    <dataValidation type="list" allowBlank="1" showInputMessage="1" showErrorMessage="1" sqref="C315">
      <formula1>"Number"</formula1>
    </dataValidation>
    <dataValidation type="list" allowBlank="1" showInputMessage="1" showErrorMessage="1" sqref="C316">
      <formula1>"Number"</formula1>
    </dataValidation>
    <dataValidation type="list" allowBlank="1" showInputMessage="1" showErrorMessage="1" sqref="C317">
      <formula1>"Number"</formula1>
    </dataValidation>
    <dataValidation type="list" allowBlank="1" showInputMessage="1" showErrorMessage="1" sqref="C318">
      <formula1>"Number"</formula1>
    </dataValidation>
    <dataValidation type="list" allowBlank="1" showInputMessage="1" showErrorMessage="1" sqref="C319">
      <formula1>"Number"</formula1>
    </dataValidation>
    <dataValidation type="list" allowBlank="1" showInputMessage="1" showErrorMessage="1" sqref="C322">
      <formula1>"Number"</formula1>
    </dataValidation>
    <dataValidation type="list" allowBlank="1" showInputMessage="1" showErrorMessage="1" sqref="C323">
      <formula1>"Number"</formula1>
    </dataValidation>
    <dataValidation type="list" allowBlank="1" showInputMessage="1" showErrorMessage="1" sqref="C324">
      <formula1>"Number"</formula1>
    </dataValidation>
    <dataValidation type="list" allowBlank="1" showInputMessage="1" showErrorMessage="1" sqref="C325">
      <formula1>"Number"</formula1>
    </dataValidation>
    <dataValidation type="list" allowBlank="1" showInputMessage="1" showErrorMessage="1" sqref="C326">
      <formula1>"Number"</formula1>
    </dataValidation>
    <dataValidation type="list" allowBlank="1" showInputMessage="1" showErrorMessage="1" sqref="C327">
      <formula1>"Number"</formula1>
    </dataValidation>
    <dataValidation type="list" allowBlank="1" showInputMessage="1" showErrorMessage="1" sqref="C328">
      <formula1>"Number"</formula1>
    </dataValidation>
    <dataValidation type="list" allowBlank="1" showInputMessage="1" showErrorMessage="1" sqref="C329">
      <formula1>"Number"</formula1>
    </dataValidation>
    <dataValidation type="list" allowBlank="1" showInputMessage="1" showErrorMessage="1" sqref="C330">
      <formula1>"Number"</formula1>
    </dataValidation>
    <dataValidation type="list" allowBlank="1" showInputMessage="1" showErrorMessage="1" sqref="C331">
      <formula1>"Number"</formula1>
    </dataValidation>
    <dataValidation type="list" allowBlank="1" showInputMessage="1" showErrorMessage="1" sqref="C332">
      <formula1>"Number"</formula1>
    </dataValidation>
    <dataValidation type="list" allowBlank="1" showInputMessage="1" showErrorMessage="1" sqref="C333">
      <formula1>"Number"</formula1>
    </dataValidation>
    <dataValidation type="list" allowBlank="1" showInputMessage="1" showErrorMessage="1" sqref="C334">
      <formula1>"Number"</formula1>
    </dataValidation>
    <dataValidation type="list" allowBlank="1" showInputMessage="1" showErrorMessage="1" sqref="C335">
      <formula1>"Number"</formula1>
    </dataValidation>
    <dataValidation type="list" allowBlank="1" showInputMessage="1" showErrorMessage="1" sqref="C338">
      <formula1>"Number"</formula1>
    </dataValidation>
    <dataValidation type="list" allowBlank="1" showInputMessage="1" showErrorMessage="1" sqref="C339">
      <formula1>"Number"</formula1>
    </dataValidation>
    <dataValidation type="list" allowBlank="1" showInputMessage="1" showErrorMessage="1" sqref="C340">
      <formula1>"Number"</formula1>
    </dataValidation>
    <dataValidation type="list" allowBlank="1" showInputMessage="1" showErrorMessage="1" sqref="C341">
      <formula1>"Number"</formula1>
    </dataValidation>
    <dataValidation type="list" allowBlank="1" showInputMessage="1" showErrorMessage="1" sqref="C342">
      <formula1>"Number"</formula1>
    </dataValidation>
    <dataValidation type="list" allowBlank="1" showInputMessage="1" showErrorMessage="1" sqref="C343">
      <formula1>"Number"</formula1>
    </dataValidation>
    <dataValidation type="list" allowBlank="1" showInputMessage="1" showErrorMessage="1" sqref="C344">
      <formula1>"Number"</formula1>
    </dataValidation>
    <dataValidation type="list" allowBlank="1" showInputMessage="1" showErrorMessage="1" sqref="C345">
      <formula1>"Number"</formula1>
    </dataValidation>
    <dataValidation type="list" allowBlank="1" showInputMessage="1" showErrorMessage="1" sqref="C346">
      <formula1>"Number"</formula1>
    </dataValidation>
    <dataValidation type="list" allowBlank="1" showInputMessage="1" showErrorMessage="1" sqref="C347">
      <formula1>"Number"</formula1>
    </dataValidation>
    <dataValidation type="list" allowBlank="1" showInputMessage="1" showErrorMessage="1" sqref="C348">
      <formula1>"Number"</formula1>
    </dataValidation>
    <dataValidation type="list" allowBlank="1" showInputMessage="1" showErrorMessage="1" sqref="C349">
      <formula1>"Number"</formula1>
    </dataValidation>
    <dataValidation type="list" allowBlank="1" showInputMessage="1" showErrorMessage="1" sqref="C350">
      <formula1>"Number"</formula1>
    </dataValidation>
    <dataValidation type="list" allowBlank="1" showInputMessage="1" showErrorMessage="1" sqref="C351">
      <formula1>"Number"</formula1>
    </dataValidation>
    <dataValidation type="list" allowBlank="1" showInputMessage="1" showErrorMessage="1" sqref="C354">
      <formula1>"Number"</formula1>
    </dataValidation>
    <dataValidation type="list" allowBlank="1" showInputMessage="1" showErrorMessage="1" sqref="C355">
      <formula1>"Number"</formula1>
    </dataValidation>
    <dataValidation type="list" allowBlank="1" showInputMessage="1" showErrorMessage="1" sqref="C356">
      <formula1>"Number"</formula1>
    </dataValidation>
    <dataValidation type="list" allowBlank="1" showInputMessage="1" showErrorMessage="1" sqref="C357">
      <formula1>"Number"</formula1>
    </dataValidation>
    <dataValidation type="list" allowBlank="1" showInputMessage="1" showErrorMessage="1" sqref="C358">
      <formula1>"Number"</formula1>
    </dataValidation>
    <dataValidation type="list" allowBlank="1" showInputMessage="1" showErrorMessage="1" sqref="C359">
      <formula1>"Number"</formula1>
    </dataValidation>
    <dataValidation type="list" allowBlank="1" showInputMessage="1" showErrorMessage="1" sqref="C360">
      <formula1>"Number"</formula1>
    </dataValidation>
    <dataValidation type="list" allowBlank="1" showInputMessage="1" showErrorMessage="1" sqref="C361">
      <formula1>"Number"</formula1>
    </dataValidation>
    <dataValidation type="list" allowBlank="1" showInputMessage="1" showErrorMessage="1" sqref="C362">
      <formula1>"Number"</formula1>
    </dataValidation>
    <dataValidation type="list" allowBlank="1" showInputMessage="1" showErrorMessage="1" sqref="C363">
      <formula1>"Number"</formula1>
    </dataValidation>
    <dataValidation type="list" allowBlank="1" showInputMessage="1" showErrorMessage="1" sqref="C364">
      <formula1>"Number"</formula1>
    </dataValidation>
    <dataValidation type="list" allowBlank="1" showInputMessage="1" showErrorMessage="1" sqref="C365">
      <formula1>"Number"</formula1>
    </dataValidation>
    <dataValidation type="list" allowBlank="1" showInputMessage="1" showErrorMessage="1" sqref="C366">
      <formula1>"Number"</formula1>
    </dataValidation>
    <dataValidation type="list" allowBlank="1" showInputMessage="1" showErrorMessage="1" sqref="C367">
      <formula1>"Number"</formula1>
    </dataValidation>
    <dataValidation type="list" allowBlank="1" showInputMessage="1" showErrorMessage="1" sqref="C370">
      <formula1>"Number"</formula1>
    </dataValidation>
    <dataValidation type="list" allowBlank="1" showInputMessage="1" showErrorMessage="1" sqref="C371">
      <formula1>"Number"</formula1>
    </dataValidation>
    <dataValidation type="list" allowBlank="1" showInputMessage="1" showErrorMessage="1" sqref="C372">
      <formula1>"Number"</formula1>
    </dataValidation>
    <dataValidation type="list" allowBlank="1" showInputMessage="1" showErrorMessage="1" sqref="C373">
      <formula1>"Number"</formula1>
    </dataValidation>
    <dataValidation type="list" allowBlank="1" showInputMessage="1" showErrorMessage="1" sqref="C374">
      <formula1>"Number"</formula1>
    </dataValidation>
    <dataValidation type="list" allowBlank="1" showInputMessage="1" showErrorMessage="1" sqref="C375">
      <formula1>"Number"</formula1>
    </dataValidation>
    <dataValidation type="list" allowBlank="1" showInputMessage="1" showErrorMessage="1" sqref="C376">
      <formula1>"Number"</formula1>
    </dataValidation>
    <dataValidation type="list" allowBlank="1" showInputMessage="1" showErrorMessage="1" sqref="C377">
      <formula1>"Number"</formula1>
    </dataValidation>
    <dataValidation type="list" allowBlank="1" showInputMessage="1" showErrorMessage="1" sqref="C378">
      <formula1>"Number"</formula1>
    </dataValidation>
    <dataValidation type="list" allowBlank="1" showInputMessage="1" showErrorMessage="1" sqref="C379">
      <formula1>"Number"</formula1>
    </dataValidation>
    <dataValidation type="list" allowBlank="1" showInputMessage="1" showErrorMessage="1" sqref="C380">
      <formula1>"Number"</formula1>
    </dataValidation>
    <dataValidation type="list" allowBlank="1" showInputMessage="1" showErrorMessage="1" sqref="C381">
      <formula1>"Number"</formula1>
    </dataValidation>
    <dataValidation type="list" allowBlank="1" showInputMessage="1" showErrorMessage="1" sqref="C382">
      <formula1>"Number"</formula1>
    </dataValidation>
    <dataValidation type="list" allowBlank="1" showInputMessage="1" showErrorMessage="1" sqref="C383">
      <formula1>"Number"</formula1>
    </dataValidation>
    <dataValidation type="list" allowBlank="1" showInputMessage="1" showErrorMessage="1" sqref="C386">
      <formula1>"Number"</formula1>
    </dataValidation>
    <dataValidation type="list" allowBlank="1" showInputMessage="1" showErrorMessage="1" sqref="C387">
      <formula1>"Number"</formula1>
    </dataValidation>
    <dataValidation type="list" allowBlank="1" showInputMessage="1" showErrorMessage="1" sqref="C388">
      <formula1>"Number"</formula1>
    </dataValidation>
    <dataValidation type="list" allowBlank="1" showInputMessage="1" showErrorMessage="1" sqref="C389">
      <formula1>"Number"</formula1>
    </dataValidation>
    <dataValidation type="list" allowBlank="1" showInputMessage="1" showErrorMessage="1" sqref="C390">
      <formula1>"Number"</formula1>
    </dataValidation>
    <dataValidation type="list" allowBlank="1" showInputMessage="1" showErrorMessage="1" sqref="C391">
      <formula1>"Number"</formula1>
    </dataValidation>
    <dataValidation type="list" allowBlank="1" showInputMessage="1" showErrorMessage="1" sqref="C392">
      <formula1>"Number"</formula1>
    </dataValidation>
    <dataValidation type="list" allowBlank="1" showInputMessage="1" showErrorMessage="1" sqref="C393">
      <formula1>"Number"</formula1>
    </dataValidation>
    <dataValidation type="list" allowBlank="1" showInputMessage="1" showErrorMessage="1" sqref="C394">
      <formula1>"Number"</formula1>
    </dataValidation>
    <dataValidation type="list" allowBlank="1" showInputMessage="1" showErrorMessage="1" sqref="C395">
      <formula1>"Number"</formula1>
    </dataValidation>
    <dataValidation type="list" allowBlank="1" showInputMessage="1" showErrorMessage="1" sqref="C396">
      <formula1>"Number"</formula1>
    </dataValidation>
    <dataValidation type="list" allowBlank="1" showInputMessage="1" showErrorMessage="1" sqref="C397">
      <formula1>"Number"</formula1>
    </dataValidation>
    <dataValidation type="list" allowBlank="1" showInputMessage="1" showErrorMessage="1" sqref="C398">
      <formula1>"Number"</formula1>
    </dataValidation>
    <dataValidation type="list" allowBlank="1" showInputMessage="1" showErrorMessage="1" sqref="C399">
      <formula1>"Number"</formula1>
    </dataValidation>
    <dataValidation type="list" allowBlank="1" showInputMessage="1" showErrorMessage="1" sqref="C402">
      <formula1>"Number"</formula1>
    </dataValidation>
    <dataValidation type="list" allowBlank="1" showInputMessage="1" showErrorMessage="1" sqref="C403">
      <formula1>"Number"</formula1>
    </dataValidation>
    <dataValidation type="list" allowBlank="1" showInputMessage="1" showErrorMessage="1" sqref="C404">
      <formula1>"Number"</formula1>
    </dataValidation>
    <dataValidation type="list" allowBlank="1" showInputMessage="1" showErrorMessage="1" sqref="C405">
      <formula1>"Number"</formula1>
    </dataValidation>
    <dataValidation type="list" allowBlank="1" showInputMessage="1" showErrorMessage="1" sqref="C406">
      <formula1>"Number"</formula1>
    </dataValidation>
    <dataValidation type="list" allowBlank="1" showInputMessage="1" showErrorMessage="1" sqref="C407">
      <formula1>"Number"</formula1>
    </dataValidation>
    <dataValidation type="list" allowBlank="1" showInputMessage="1" showErrorMessage="1" sqref="C408">
      <formula1>"Number"</formula1>
    </dataValidation>
    <dataValidation type="list" allowBlank="1" showInputMessage="1" showErrorMessage="1" sqref="C409">
      <formula1>"Number"</formula1>
    </dataValidation>
    <dataValidation type="list" allowBlank="1" showInputMessage="1" showErrorMessage="1" sqref="C410">
      <formula1>"Number"</formula1>
    </dataValidation>
    <dataValidation type="list" allowBlank="1" showInputMessage="1" showErrorMessage="1" sqref="C411">
      <formula1>"Number"</formula1>
    </dataValidation>
    <dataValidation type="list" allowBlank="1" showInputMessage="1" showErrorMessage="1" sqref="C412">
      <formula1>"Number"</formula1>
    </dataValidation>
    <dataValidation type="list" allowBlank="1" showInputMessage="1" showErrorMessage="1" sqref="C413">
      <formula1>"Number"</formula1>
    </dataValidation>
    <dataValidation type="list" allowBlank="1" showInputMessage="1" showErrorMessage="1" sqref="C414">
      <formula1>"Number"</formula1>
    </dataValidation>
    <dataValidation type="list" allowBlank="1" showInputMessage="1" showErrorMessage="1" sqref="C415">
      <formula1>"Number"</formula1>
    </dataValidation>
    <dataValidation type="list" allowBlank="1" showInputMessage="1" showErrorMessage="1" sqref="C418">
      <formula1>"Number"</formula1>
    </dataValidation>
    <dataValidation type="list" allowBlank="1" showInputMessage="1" showErrorMessage="1" sqref="C419">
      <formula1>"Number"</formula1>
    </dataValidation>
    <dataValidation type="list" allowBlank="1" showInputMessage="1" showErrorMessage="1" sqref="C420">
      <formula1>"Number"</formula1>
    </dataValidation>
    <dataValidation type="list" allowBlank="1" showInputMessage="1" showErrorMessage="1" sqref="C421">
      <formula1>"Number"</formula1>
    </dataValidation>
    <dataValidation type="list" allowBlank="1" showInputMessage="1" showErrorMessage="1" sqref="C422">
      <formula1>"Number"</formula1>
    </dataValidation>
    <dataValidation type="list" allowBlank="1" showInputMessage="1" showErrorMessage="1" sqref="C423">
      <formula1>"Number"</formula1>
    </dataValidation>
    <dataValidation type="list" allowBlank="1" showInputMessage="1" showErrorMessage="1" sqref="C424">
      <formula1>"Number"</formula1>
    </dataValidation>
    <dataValidation type="list" allowBlank="1" showInputMessage="1" showErrorMessage="1" sqref="C425">
      <formula1>"Number"</formula1>
    </dataValidation>
    <dataValidation type="list" allowBlank="1" showInputMessage="1" showErrorMessage="1" sqref="C426">
      <formula1>"Number"</formula1>
    </dataValidation>
    <dataValidation type="list" allowBlank="1" showInputMessage="1" showErrorMessage="1" sqref="C427">
      <formula1>"Number"</formula1>
    </dataValidation>
    <dataValidation type="list" allowBlank="1" showInputMessage="1" showErrorMessage="1" sqref="C428">
      <formula1>"Number"</formula1>
    </dataValidation>
    <dataValidation type="list" allowBlank="1" showInputMessage="1" showErrorMessage="1" sqref="C429">
      <formula1>"Number"</formula1>
    </dataValidation>
    <dataValidation type="list" allowBlank="1" showInputMessage="1" showErrorMessage="1" sqref="C430">
      <formula1>"Number"</formula1>
    </dataValidation>
    <dataValidation type="list" allowBlank="1" showInputMessage="1" showErrorMessage="1" sqref="C431">
      <formula1>"Number"</formula1>
    </dataValidation>
    <dataValidation type="list" allowBlank="1" showInputMessage="1" showErrorMessage="1" sqref="C434">
      <formula1>"Number"</formula1>
    </dataValidation>
    <dataValidation type="list" allowBlank="1" showInputMessage="1" showErrorMessage="1" sqref="C435">
      <formula1>"Number"</formula1>
    </dataValidation>
    <dataValidation type="list" allowBlank="1" showInputMessage="1" showErrorMessage="1" sqref="C436">
      <formula1>"Number"</formula1>
    </dataValidation>
    <dataValidation type="list" allowBlank="1" showInputMessage="1" showErrorMessage="1" sqref="C437">
      <formula1>"Number"</formula1>
    </dataValidation>
    <dataValidation type="list" allowBlank="1" showInputMessage="1" showErrorMessage="1" sqref="C438">
      <formula1>"Number"</formula1>
    </dataValidation>
    <dataValidation type="list" allowBlank="1" showInputMessage="1" showErrorMessage="1" sqref="C439">
      <formula1>"Number"</formula1>
    </dataValidation>
    <dataValidation type="list" allowBlank="1" showInputMessage="1" showErrorMessage="1" sqref="C440">
      <formula1>"Number"</formula1>
    </dataValidation>
    <dataValidation type="list" allowBlank="1" showInputMessage="1" showErrorMessage="1" sqref="C441">
      <formula1>"Number"</formula1>
    </dataValidation>
    <dataValidation type="list" allowBlank="1" showInputMessage="1" showErrorMessage="1" sqref="C442">
      <formula1>"Number"</formula1>
    </dataValidation>
    <dataValidation type="list" allowBlank="1" showInputMessage="1" showErrorMessage="1" sqref="C443">
      <formula1>"Number"</formula1>
    </dataValidation>
    <dataValidation type="list" allowBlank="1" showInputMessage="1" showErrorMessage="1" sqref="C444">
      <formula1>"Number"</formula1>
    </dataValidation>
    <dataValidation type="list" allowBlank="1" showInputMessage="1" showErrorMessage="1" sqref="C445">
      <formula1>"Number"</formula1>
    </dataValidation>
    <dataValidation type="list" allowBlank="1" showInputMessage="1" showErrorMessage="1" sqref="C446">
      <formula1>"Number"</formula1>
    </dataValidation>
    <dataValidation type="list" allowBlank="1" showInputMessage="1" showErrorMessage="1" sqref="C447">
      <formula1>"Number"</formula1>
    </dataValidation>
    <dataValidation type="list" allowBlank="1" showInputMessage="1" showErrorMessage="1" sqref="C450">
      <formula1>"Number"</formula1>
    </dataValidation>
    <dataValidation type="list" allowBlank="1" showInputMessage="1" showErrorMessage="1" sqref="C451">
      <formula1>"Number"</formula1>
    </dataValidation>
    <dataValidation type="list" allowBlank="1" showInputMessage="1" showErrorMessage="1" sqref="C452">
      <formula1>"Number"</formula1>
    </dataValidation>
    <dataValidation type="list" allowBlank="1" showInputMessage="1" showErrorMessage="1" sqref="C453">
      <formula1>"Number"</formula1>
    </dataValidation>
    <dataValidation type="list" allowBlank="1" showInputMessage="1" showErrorMessage="1" sqref="C454">
      <formula1>"Number"</formula1>
    </dataValidation>
    <dataValidation type="list" allowBlank="1" showInputMessage="1" showErrorMessage="1" sqref="C455">
      <formula1>"Number"</formula1>
    </dataValidation>
    <dataValidation type="list" allowBlank="1" showInputMessage="1" showErrorMessage="1" sqref="C456">
      <formula1>"Number"</formula1>
    </dataValidation>
    <dataValidation type="list" allowBlank="1" showInputMessage="1" showErrorMessage="1" sqref="C457">
      <formula1>"Number"</formula1>
    </dataValidation>
    <dataValidation type="list" allowBlank="1" showInputMessage="1" showErrorMessage="1" sqref="C458">
      <formula1>"Number"</formula1>
    </dataValidation>
    <dataValidation type="list" allowBlank="1" showInputMessage="1" showErrorMessage="1" sqref="C459">
      <formula1>"Number"</formula1>
    </dataValidation>
    <dataValidation type="list" allowBlank="1" showInputMessage="1" showErrorMessage="1" sqref="C460">
      <formula1>"Number"</formula1>
    </dataValidation>
    <dataValidation type="list" allowBlank="1" showInputMessage="1" showErrorMessage="1" sqref="C461">
      <formula1>"Number"</formula1>
    </dataValidation>
    <dataValidation type="list" allowBlank="1" showInputMessage="1" showErrorMessage="1" sqref="C462">
      <formula1>"Number"</formula1>
    </dataValidation>
    <dataValidation type="list" allowBlank="1" showInputMessage="1" showErrorMessage="1" sqref="C463">
      <formula1>"Number"</formula1>
    </dataValidation>
    <dataValidation type="list" allowBlank="1" showInputMessage="1" showErrorMessage="1" sqref="C466">
      <formula1>"Number"</formula1>
    </dataValidation>
    <dataValidation type="list" allowBlank="1" showInputMessage="1" showErrorMessage="1" sqref="C467">
      <formula1>"Number"</formula1>
    </dataValidation>
    <dataValidation type="list" allowBlank="1" showInputMessage="1" showErrorMessage="1" sqref="C468">
      <formula1>"Number"</formula1>
    </dataValidation>
    <dataValidation type="list" allowBlank="1" showInputMessage="1" showErrorMessage="1" sqref="C469">
      <formula1>"Number"</formula1>
    </dataValidation>
    <dataValidation type="list" allowBlank="1" showInputMessage="1" showErrorMessage="1" sqref="C470">
      <formula1>"Number"</formula1>
    </dataValidation>
    <dataValidation type="list" allowBlank="1" showInputMessage="1" showErrorMessage="1" sqref="C471">
      <formula1>"Number"</formula1>
    </dataValidation>
    <dataValidation type="list" allowBlank="1" showInputMessage="1" showErrorMessage="1" sqref="C472">
      <formula1>"Number"</formula1>
    </dataValidation>
    <dataValidation type="list" allowBlank="1" showInputMessage="1" showErrorMessage="1" sqref="C473">
      <formula1>"Number"</formula1>
    </dataValidation>
    <dataValidation type="list" allowBlank="1" showInputMessage="1" showErrorMessage="1" sqref="C474">
      <formula1>"Number"</formula1>
    </dataValidation>
    <dataValidation type="list" allowBlank="1" showInputMessage="1" showErrorMessage="1" sqref="C475">
      <formula1>"Number"</formula1>
    </dataValidation>
    <dataValidation type="list" allowBlank="1" showInputMessage="1" showErrorMessage="1" sqref="C476">
      <formula1>"Number"</formula1>
    </dataValidation>
    <dataValidation type="list" allowBlank="1" showInputMessage="1" showErrorMessage="1" sqref="C477">
      <formula1>"Number"</formula1>
    </dataValidation>
    <dataValidation type="list" allowBlank="1" showInputMessage="1" showErrorMessage="1" sqref="C478">
      <formula1>"Number"</formula1>
    </dataValidation>
    <dataValidation type="list" allowBlank="1" showInputMessage="1" showErrorMessage="1" sqref="C479">
      <formula1>"Number"</formula1>
    </dataValidation>
    <dataValidation type="list" allowBlank="1" showInputMessage="1" showErrorMessage="1" sqref="C482">
      <formula1>"Number"</formula1>
    </dataValidation>
    <dataValidation type="list" allowBlank="1" showInputMessage="1" showErrorMessage="1" sqref="C483">
      <formula1>"Number"</formula1>
    </dataValidation>
    <dataValidation type="list" allowBlank="1" showInputMessage="1" showErrorMessage="1" sqref="C484">
      <formula1>"Number"</formula1>
    </dataValidation>
    <dataValidation type="list" allowBlank="1" showInputMessage="1" showErrorMessage="1" sqref="C485">
      <formula1>"Number"</formula1>
    </dataValidation>
    <dataValidation type="list" allowBlank="1" showInputMessage="1" showErrorMessage="1" sqref="C486">
      <formula1>"Number"</formula1>
    </dataValidation>
    <dataValidation type="list" allowBlank="1" showInputMessage="1" showErrorMessage="1" sqref="C487">
      <formula1>"Number"</formula1>
    </dataValidation>
    <dataValidation type="list" allowBlank="1" showInputMessage="1" showErrorMessage="1" sqref="C488">
      <formula1>"Number"</formula1>
    </dataValidation>
    <dataValidation type="list" allowBlank="1" showInputMessage="1" showErrorMessage="1" sqref="C489">
      <formula1>"Number"</formula1>
    </dataValidation>
    <dataValidation type="list" allowBlank="1" showInputMessage="1" showErrorMessage="1" sqref="C490">
      <formula1>"Number"</formula1>
    </dataValidation>
    <dataValidation type="list" allowBlank="1" showInputMessage="1" showErrorMessage="1" sqref="C491">
      <formula1>"Number"</formula1>
    </dataValidation>
    <dataValidation type="list" allowBlank="1" showInputMessage="1" showErrorMessage="1" sqref="C492">
      <formula1>"Number"</formula1>
    </dataValidation>
    <dataValidation type="list" allowBlank="1" showInputMessage="1" showErrorMessage="1" sqref="C493">
      <formula1>"Number"</formula1>
    </dataValidation>
    <dataValidation type="list" allowBlank="1" showInputMessage="1" showErrorMessage="1" sqref="C494">
      <formula1>"Number"</formula1>
    </dataValidation>
    <dataValidation type="list" allowBlank="1" showInputMessage="1" showErrorMessage="1" sqref="C495">
      <formula1>"Number"</formula1>
    </dataValidation>
    <dataValidation type="list" allowBlank="1" showInputMessage="1" showErrorMessage="1" sqref="C498">
      <formula1>"Number"</formula1>
    </dataValidation>
    <dataValidation type="list" allowBlank="1" showInputMessage="1" showErrorMessage="1" sqref="C499">
      <formula1>"Number"</formula1>
    </dataValidation>
    <dataValidation type="list" allowBlank="1" showInputMessage="1" showErrorMessage="1" sqref="C500">
      <formula1>"Number"</formula1>
    </dataValidation>
    <dataValidation type="list" allowBlank="1" showInputMessage="1" showErrorMessage="1" sqref="C501">
      <formula1>"Number"</formula1>
    </dataValidation>
    <dataValidation type="list" allowBlank="1" showInputMessage="1" showErrorMessage="1" sqref="C502">
      <formula1>"Number"</formula1>
    </dataValidation>
    <dataValidation type="list" allowBlank="1" showInputMessage="1" showErrorMessage="1" sqref="C503">
      <formula1>"Number"</formula1>
    </dataValidation>
    <dataValidation type="list" allowBlank="1" showInputMessage="1" showErrorMessage="1" sqref="C504">
      <formula1>"Number"</formula1>
    </dataValidation>
    <dataValidation type="list" allowBlank="1" showInputMessage="1" showErrorMessage="1" sqref="C505">
      <formula1>"Number"</formula1>
    </dataValidation>
    <dataValidation type="list" allowBlank="1" showInputMessage="1" showErrorMessage="1" sqref="C506">
      <formula1>"Number"</formula1>
    </dataValidation>
    <dataValidation type="list" allowBlank="1" showInputMessage="1" showErrorMessage="1" sqref="C507">
      <formula1>"Number"</formula1>
    </dataValidation>
    <dataValidation type="list" allowBlank="1" showInputMessage="1" showErrorMessage="1" sqref="C508">
      <formula1>"Number"</formula1>
    </dataValidation>
    <dataValidation type="list" allowBlank="1" showInputMessage="1" showErrorMessage="1" sqref="C509">
      <formula1>"Number"</formula1>
    </dataValidation>
    <dataValidation type="list" allowBlank="1" showInputMessage="1" showErrorMessage="1" sqref="C510">
      <formula1>"Number"</formula1>
    </dataValidation>
    <dataValidation type="list" allowBlank="1" showInputMessage="1" showErrorMessage="1" sqref="C511">
      <formula1>"Number"</formula1>
    </dataValidation>
    <dataValidation type="list" allowBlank="1" showInputMessage="1" showErrorMessage="1" sqref="C514">
      <formula1>"Number"</formula1>
    </dataValidation>
    <dataValidation type="list" allowBlank="1" showInputMessage="1" showErrorMessage="1" sqref="C515">
      <formula1>"Number"</formula1>
    </dataValidation>
    <dataValidation type="list" allowBlank="1" showInputMessage="1" showErrorMessage="1" sqref="C516">
      <formula1>"Number"</formula1>
    </dataValidation>
    <dataValidation type="list" allowBlank="1" showInputMessage="1" showErrorMessage="1" sqref="C517">
      <formula1>"Number"</formula1>
    </dataValidation>
    <dataValidation type="list" allowBlank="1" showInputMessage="1" showErrorMessage="1" sqref="C518">
      <formula1>"Number"</formula1>
    </dataValidation>
    <dataValidation type="list" allowBlank="1" showInputMessage="1" showErrorMessage="1" sqref="C519">
      <formula1>"Number"</formula1>
    </dataValidation>
    <dataValidation type="list" allowBlank="1" showInputMessage="1" showErrorMessage="1" sqref="C520">
      <formula1>"Number"</formula1>
    </dataValidation>
    <dataValidation type="list" allowBlank="1" showInputMessage="1" showErrorMessage="1" sqref="C521">
      <formula1>"Number"</formula1>
    </dataValidation>
    <dataValidation type="list" allowBlank="1" showInputMessage="1" showErrorMessage="1" sqref="C522">
      <formula1>"Number"</formula1>
    </dataValidation>
    <dataValidation type="list" allowBlank="1" showInputMessage="1" showErrorMessage="1" sqref="C523">
      <formula1>"Number"</formula1>
    </dataValidation>
    <dataValidation type="list" allowBlank="1" showInputMessage="1" showErrorMessage="1" sqref="C524">
      <formula1>"Number"</formula1>
    </dataValidation>
    <dataValidation type="list" allowBlank="1" showInputMessage="1" showErrorMessage="1" sqref="C525">
      <formula1>"Number"</formula1>
    </dataValidation>
    <dataValidation type="list" allowBlank="1" showInputMessage="1" showErrorMessage="1" sqref="C526">
      <formula1>"Number"</formula1>
    </dataValidation>
    <dataValidation type="list" allowBlank="1" showInputMessage="1" showErrorMessage="1" sqref="C527">
      <formula1>"Number"</formula1>
    </dataValidation>
    <dataValidation type="list" allowBlank="1" showInputMessage="1" showErrorMessage="1" sqref="C530">
      <formula1>"Number"</formula1>
    </dataValidation>
    <dataValidation type="list" allowBlank="1" showInputMessage="1" showErrorMessage="1" sqref="C531">
      <formula1>"Number"</formula1>
    </dataValidation>
    <dataValidation type="list" allowBlank="1" showInputMessage="1" showErrorMessage="1" sqref="C532">
      <formula1>"Number"</formula1>
    </dataValidation>
    <dataValidation type="list" allowBlank="1" showInputMessage="1" showErrorMessage="1" sqref="C533">
      <formula1>"Number"</formula1>
    </dataValidation>
    <dataValidation type="list" allowBlank="1" showInputMessage="1" showErrorMessage="1" sqref="C534">
      <formula1>"Number"</formula1>
    </dataValidation>
    <dataValidation type="list" allowBlank="1" showInputMessage="1" showErrorMessage="1" sqref="C535">
      <formula1>"Number"</formula1>
    </dataValidation>
    <dataValidation type="list" allowBlank="1" showInputMessage="1" showErrorMessage="1" sqref="C536">
      <formula1>"Number"</formula1>
    </dataValidation>
    <dataValidation type="list" allowBlank="1" showInputMessage="1" showErrorMessage="1" sqref="C537">
      <formula1>"Number"</formula1>
    </dataValidation>
    <dataValidation type="list" allowBlank="1" showInputMessage="1" showErrorMessage="1" sqref="C538">
      <formula1>"Number"</formula1>
    </dataValidation>
    <dataValidation type="list" allowBlank="1" showInputMessage="1" showErrorMessage="1" sqref="C539">
      <formula1>"Number"</formula1>
    </dataValidation>
    <dataValidation type="list" allowBlank="1" showInputMessage="1" showErrorMessage="1" sqref="C540">
      <formula1>"Number"</formula1>
    </dataValidation>
    <dataValidation type="list" allowBlank="1" showInputMessage="1" showErrorMessage="1" sqref="C541">
      <formula1>"Number"</formula1>
    </dataValidation>
    <dataValidation type="list" allowBlank="1" showInputMessage="1" showErrorMessage="1" sqref="C542">
      <formula1>"Number"</formula1>
    </dataValidation>
    <dataValidation type="list" allowBlank="1" showInputMessage="1" showErrorMessage="1" sqref="C543">
      <formula1>"Number"</formula1>
    </dataValidation>
    <dataValidation type="list" allowBlank="1" showInputMessage="1" showErrorMessage="1" sqref="C546">
      <formula1>"Number"</formula1>
    </dataValidation>
    <dataValidation type="list" allowBlank="1" showInputMessage="1" showErrorMessage="1" sqref="C547">
      <formula1>"Number"</formula1>
    </dataValidation>
    <dataValidation type="list" allowBlank="1" showInputMessage="1" showErrorMessage="1" sqref="C548">
      <formula1>"Number"</formula1>
    </dataValidation>
    <dataValidation type="list" allowBlank="1" showInputMessage="1" showErrorMessage="1" sqref="C549">
      <formula1>"Number"</formula1>
    </dataValidation>
    <dataValidation type="list" allowBlank="1" showInputMessage="1" showErrorMessage="1" sqref="C550">
      <formula1>"Number"</formula1>
    </dataValidation>
    <dataValidation type="list" allowBlank="1" showInputMessage="1" showErrorMessage="1" sqref="C551">
      <formula1>"Number"</formula1>
    </dataValidation>
    <dataValidation type="list" allowBlank="1" showInputMessage="1" showErrorMessage="1" sqref="C552">
      <formula1>"Number"</formula1>
    </dataValidation>
    <dataValidation type="list" allowBlank="1" showInputMessage="1" showErrorMessage="1" sqref="C553">
      <formula1>"Number"</formula1>
    </dataValidation>
    <dataValidation type="list" allowBlank="1" showInputMessage="1" showErrorMessage="1" sqref="C554">
      <formula1>"Number"</formula1>
    </dataValidation>
    <dataValidation type="list" allowBlank="1" showInputMessage="1" showErrorMessage="1" sqref="C555">
      <formula1>"Number"</formula1>
    </dataValidation>
    <dataValidation type="list" allowBlank="1" showInputMessage="1" showErrorMessage="1" sqref="C556">
      <formula1>"Number"</formula1>
    </dataValidation>
    <dataValidation type="list" allowBlank="1" showInputMessage="1" showErrorMessage="1" sqref="C557">
      <formula1>"Number"</formula1>
    </dataValidation>
    <dataValidation type="list" allowBlank="1" showInputMessage="1" showErrorMessage="1" sqref="C558">
      <formula1>"Number"</formula1>
    </dataValidation>
    <dataValidation type="list" allowBlank="1" showInputMessage="1" showErrorMessage="1" sqref="C559">
      <formula1>"Number"</formula1>
    </dataValidation>
    <dataValidation type="list" allowBlank="1" showInputMessage="1" showErrorMessage="1" sqref="C562">
      <formula1>"Number"</formula1>
    </dataValidation>
    <dataValidation type="list" allowBlank="1" showInputMessage="1" showErrorMessage="1" sqref="C563">
      <formula1>"Number"</formula1>
    </dataValidation>
    <dataValidation type="list" allowBlank="1" showInputMessage="1" showErrorMessage="1" sqref="C564">
      <formula1>"Number"</formula1>
    </dataValidation>
    <dataValidation type="list" allowBlank="1" showInputMessage="1" showErrorMessage="1" sqref="C565">
      <formula1>"Number"</formula1>
    </dataValidation>
    <dataValidation type="list" allowBlank="1" showInputMessage="1" showErrorMessage="1" sqref="C566">
      <formula1>"Number"</formula1>
    </dataValidation>
    <dataValidation type="list" allowBlank="1" showInputMessage="1" showErrorMessage="1" sqref="C567">
      <formula1>"Number"</formula1>
    </dataValidation>
    <dataValidation type="list" allowBlank="1" showInputMessage="1" showErrorMessage="1" sqref="C568">
      <formula1>"Number"</formula1>
    </dataValidation>
    <dataValidation type="list" allowBlank="1" showInputMessage="1" showErrorMessage="1" sqref="C569">
      <formula1>"Number"</formula1>
    </dataValidation>
    <dataValidation type="list" allowBlank="1" showInputMessage="1" showErrorMessage="1" sqref="C570">
      <formula1>"Number"</formula1>
    </dataValidation>
    <dataValidation type="list" allowBlank="1" showInputMessage="1" showErrorMessage="1" sqref="C571">
      <formula1>"Number"</formula1>
    </dataValidation>
    <dataValidation type="list" allowBlank="1" showInputMessage="1" showErrorMessage="1" sqref="C572">
      <formula1>"Number"</formula1>
    </dataValidation>
    <dataValidation type="list" allowBlank="1" showInputMessage="1" showErrorMessage="1" sqref="C573">
      <formula1>"Number"</formula1>
    </dataValidation>
    <dataValidation type="list" allowBlank="1" showInputMessage="1" showErrorMessage="1" sqref="C574">
      <formula1>"Number"</formula1>
    </dataValidation>
    <dataValidation type="list" allowBlank="1" showInputMessage="1" showErrorMessage="1" sqref="C575">
      <formula1>"Number"</formula1>
    </dataValidation>
    <dataValidation type="list" allowBlank="1" showInputMessage="1" showErrorMessage="1" sqref="C578">
      <formula1>"Number"</formula1>
    </dataValidation>
    <dataValidation type="list" allowBlank="1" showInputMessage="1" showErrorMessage="1" sqref="C579">
      <formula1>"Number"</formula1>
    </dataValidation>
    <dataValidation type="list" allowBlank="1" showInputMessage="1" showErrorMessage="1" sqref="C580">
      <formula1>"Number"</formula1>
    </dataValidation>
    <dataValidation type="list" allowBlank="1" showInputMessage="1" showErrorMessage="1" sqref="C581">
      <formula1>"Number"</formula1>
    </dataValidation>
    <dataValidation type="list" allowBlank="1" showInputMessage="1" showErrorMessage="1" sqref="C582">
      <formula1>"Number"</formula1>
    </dataValidation>
    <dataValidation type="list" allowBlank="1" showInputMessage="1" showErrorMessage="1" sqref="C583">
      <formula1>"Number"</formula1>
    </dataValidation>
    <dataValidation type="list" allowBlank="1" showInputMessage="1" showErrorMessage="1" sqref="C584">
      <formula1>"Number"</formula1>
    </dataValidation>
    <dataValidation type="list" allowBlank="1" showInputMessage="1" showErrorMessage="1" sqref="C585">
      <formula1>"Number"</formula1>
    </dataValidation>
    <dataValidation type="list" allowBlank="1" showInputMessage="1" showErrorMessage="1" sqref="C586">
      <formula1>"Number"</formula1>
    </dataValidation>
    <dataValidation type="list" allowBlank="1" showInputMessage="1" showErrorMessage="1" sqref="C587">
      <formula1>"Number"</formula1>
    </dataValidation>
    <dataValidation type="list" allowBlank="1" showInputMessage="1" showErrorMessage="1" sqref="C588">
      <formula1>"Number"</formula1>
    </dataValidation>
    <dataValidation type="list" allowBlank="1" showInputMessage="1" showErrorMessage="1" sqref="C589">
      <formula1>"Number"</formula1>
    </dataValidation>
    <dataValidation type="list" allowBlank="1" showInputMessage="1" showErrorMessage="1" sqref="C590">
      <formula1>"Number"</formula1>
    </dataValidation>
    <dataValidation type="list" allowBlank="1" showInputMessage="1" showErrorMessage="1" sqref="C591">
      <formula1>"Number"</formula1>
    </dataValidation>
    <dataValidation type="list" allowBlank="1" showInputMessage="1" showErrorMessage="1" sqref="C594">
      <formula1>"Number"</formula1>
    </dataValidation>
    <dataValidation type="list" allowBlank="1" showInputMessage="1" showErrorMessage="1" sqref="C595">
      <formula1>"Number"</formula1>
    </dataValidation>
    <dataValidation type="list" allowBlank="1" showInputMessage="1" showErrorMessage="1" sqref="C596">
      <formula1>"Number"</formula1>
    </dataValidation>
    <dataValidation type="list" allowBlank="1" showInputMessage="1" showErrorMessage="1" sqref="C597">
      <formula1>"Number"</formula1>
    </dataValidation>
    <dataValidation type="list" allowBlank="1" showInputMessage="1" showErrorMessage="1" sqref="C598">
      <formula1>"Number"</formula1>
    </dataValidation>
    <dataValidation type="list" allowBlank="1" showInputMessage="1" showErrorMessage="1" sqref="C599">
      <formula1>"Number"</formula1>
    </dataValidation>
    <dataValidation type="list" allowBlank="1" showInputMessage="1" showErrorMessage="1" sqref="C600">
      <formula1>"Number"</formula1>
    </dataValidation>
    <dataValidation type="list" allowBlank="1" showInputMessage="1" showErrorMessage="1" sqref="C601">
      <formula1>"Number"</formula1>
    </dataValidation>
    <dataValidation type="list" allowBlank="1" showInputMessage="1" showErrorMessage="1" sqref="C602">
      <formula1>"Number"</formula1>
    </dataValidation>
    <dataValidation type="list" allowBlank="1" showInputMessage="1" showErrorMessage="1" sqref="C603">
      <formula1>"Number"</formula1>
    </dataValidation>
    <dataValidation type="list" allowBlank="1" showInputMessage="1" showErrorMessage="1" sqref="C604">
      <formula1>"Number"</formula1>
    </dataValidation>
    <dataValidation type="list" allowBlank="1" showInputMessage="1" showErrorMessage="1" sqref="C605">
      <formula1>"Number"</formula1>
    </dataValidation>
    <dataValidation type="list" allowBlank="1" showInputMessage="1" showErrorMessage="1" sqref="C606">
      <formula1>"Number"</formula1>
    </dataValidation>
    <dataValidation type="list" allowBlank="1" showInputMessage="1" showErrorMessage="1" sqref="C607">
      <formula1>"Number"</formula1>
    </dataValidation>
    <dataValidation type="list" allowBlank="1" showInputMessage="1" showErrorMessage="1" sqref="C610">
      <formula1>"Number"</formula1>
    </dataValidation>
    <dataValidation type="list" allowBlank="1" showInputMessage="1" showErrorMessage="1" sqref="C611">
      <formula1>"Number"</formula1>
    </dataValidation>
    <dataValidation type="list" allowBlank="1" showInputMessage="1" showErrorMessage="1" sqref="C612">
      <formula1>"Number"</formula1>
    </dataValidation>
    <dataValidation type="list" allowBlank="1" showInputMessage="1" showErrorMessage="1" sqref="C613">
      <formula1>"Number"</formula1>
    </dataValidation>
    <dataValidation type="list" allowBlank="1" showInputMessage="1" showErrorMessage="1" sqref="C614">
      <formula1>"Number"</formula1>
    </dataValidation>
    <dataValidation type="list" allowBlank="1" showInputMessage="1" showErrorMessage="1" sqref="C615">
      <formula1>"Number"</formula1>
    </dataValidation>
    <dataValidation type="list" allowBlank="1" showInputMessage="1" showErrorMessage="1" sqref="C616">
      <formula1>"Number"</formula1>
    </dataValidation>
    <dataValidation type="list" allowBlank="1" showInputMessage="1" showErrorMessage="1" sqref="C617">
      <formula1>"Number"</formula1>
    </dataValidation>
    <dataValidation type="list" allowBlank="1" showInputMessage="1" showErrorMessage="1" sqref="C618">
      <formula1>"Number"</formula1>
    </dataValidation>
    <dataValidation type="list" allowBlank="1" showInputMessage="1" showErrorMessage="1" sqref="C619">
      <formula1>"Number"</formula1>
    </dataValidation>
    <dataValidation type="list" allowBlank="1" showInputMessage="1" showErrorMessage="1" sqref="C620">
      <formula1>"Number"</formula1>
    </dataValidation>
    <dataValidation type="list" allowBlank="1" showInputMessage="1" showErrorMessage="1" sqref="C621">
      <formula1>"Number"</formula1>
    </dataValidation>
    <dataValidation type="list" allowBlank="1" showInputMessage="1" showErrorMessage="1" sqref="C622">
      <formula1>"Number"</formula1>
    </dataValidation>
    <dataValidation type="list" allowBlank="1" showInputMessage="1" showErrorMessage="1" sqref="C623">
      <formula1>"Number"</formula1>
    </dataValidation>
    <dataValidation type="list" allowBlank="1" showInputMessage="1" showErrorMessage="1" sqref="C626">
      <formula1>"Number"</formula1>
    </dataValidation>
    <dataValidation type="list" allowBlank="1" showInputMessage="1" showErrorMessage="1" sqref="C627">
      <formula1>"Number"</formula1>
    </dataValidation>
    <dataValidation type="list" allowBlank="1" showInputMessage="1" showErrorMessage="1" sqref="C628">
      <formula1>"Number"</formula1>
    </dataValidation>
    <dataValidation type="list" allowBlank="1" showInputMessage="1" showErrorMessage="1" sqref="C629">
      <formula1>"Number"</formula1>
    </dataValidation>
    <dataValidation type="list" allowBlank="1" showInputMessage="1" showErrorMessage="1" sqref="C630">
      <formula1>"Number"</formula1>
    </dataValidation>
    <dataValidation type="list" allowBlank="1" showInputMessage="1" showErrorMessage="1" sqref="C631">
      <formula1>"Number"</formula1>
    </dataValidation>
    <dataValidation type="list" allowBlank="1" showInputMessage="1" showErrorMessage="1" sqref="C632">
      <formula1>"Number"</formula1>
    </dataValidation>
    <dataValidation type="list" allowBlank="1" showInputMessage="1" showErrorMessage="1" sqref="C633">
      <formula1>"Number"</formula1>
    </dataValidation>
    <dataValidation type="list" allowBlank="1" showInputMessage="1" showErrorMessage="1" sqref="C634">
      <formula1>"Number"</formula1>
    </dataValidation>
    <dataValidation type="list" allowBlank="1" showInputMessage="1" showErrorMessage="1" sqref="C635">
      <formula1>"Number"</formula1>
    </dataValidation>
    <dataValidation type="list" allowBlank="1" showInputMessage="1" showErrorMessage="1" sqref="C636">
      <formula1>"Number"</formula1>
    </dataValidation>
    <dataValidation type="list" allowBlank="1" showInputMessage="1" showErrorMessage="1" sqref="C637">
      <formula1>"Number"</formula1>
    </dataValidation>
    <dataValidation type="list" allowBlank="1" showInputMessage="1" showErrorMessage="1" sqref="C638">
      <formula1>"Number"</formula1>
    </dataValidation>
    <dataValidation type="list" allowBlank="1" showInputMessage="1" showErrorMessage="1" sqref="C639">
      <formula1>"Number"</formula1>
    </dataValidation>
    <dataValidation type="list" allowBlank="1" showInputMessage="1" showErrorMessage="1" sqref="C642">
      <formula1>"Number"</formula1>
    </dataValidation>
    <dataValidation type="list" allowBlank="1" showInputMessage="1" showErrorMessage="1" sqref="C643">
      <formula1>"Number"</formula1>
    </dataValidation>
    <dataValidation type="list" allowBlank="1" showInputMessage="1" showErrorMessage="1" sqref="C644">
      <formula1>"Number"</formula1>
    </dataValidation>
    <dataValidation type="list" allowBlank="1" showInputMessage="1" showErrorMessage="1" sqref="C645">
      <formula1>"Number"</formula1>
    </dataValidation>
    <dataValidation type="list" allowBlank="1" showInputMessage="1" showErrorMessage="1" sqref="C646">
      <formula1>"Number"</formula1>
    </dataValidation>
    <dataValidation type="list" allowBlank="1" showInputMessage="1" showErrorMessage="1" sqref="C647">
      <formula1>"Number"</formula1>
    </dataValidation>
    <dataValidation type="list" allowBlank="1" showInputMessage="1" showErrorMessage="1" sqref="C648">
      <formula1>"Number"</formula1>
    </dataValidation>
    <dataValidation type="list" allowBlank="1" showInputMessage="1" showErrorMessage="1" sqref="C649">
      <formula1>"Number"</formula1>
    </dataValidation>
    <dataValidation type="list" allowBlank="1" showInputMessage="1" showErrorMessage="1" sqref="C650">
      <formula1>"Number"</formula1>
    </dataValidation>
    <dataValidation type="list" allowBlank="1" showInputMessage="1" showErrorMessage="1" sqref="C651">
      <formula1>"Number"</formula1>
    </dataValidation>
    <dataValidation type="list" allowBlank="1" showInputMessage="1" showErrorMessage="1" sqref="C652">
      <formula1>"Number"</formula1>
    </dataValidation>
    <dataValidation type="list" allowBlank="1" showInputMessage="1" showErrorMessage="1" sqref="C653">
      <formula1>"Number"</formula1>
    </dataValidation>
    <dataValidation type="list" allowBlank="1" showInputMessage="1" showErrorMessage="1" sqref="C654">
      <formula1>"Number"</formula1>
    </dataValidation>
    <dataValidation type="list" allowBlank="1" showInputMessage="1" showErrorMessage="1" sqref="C655">
      <formula1>"Number"</formula1>
    </dataValidation>
    <dataValidation type="list" allowBlank="1" showInputMessage="1" showErrorMessage="1" sqref="C658">
      <formula1>"Number"</formula1>
    </dataValidation>
    <dataValidation type="list" allowBlank="1" showInputMessage="1" showErrorMessage="1" sqref="C659">
      <formula1>"Number"</formula1>
    </dataValidation>
    <dataValidation type="list" allowBlank="1" showInputMessage="1" showErrorMessage="1" sqref="C660">
      <formula1>"Number"</formula1>
    </dataValidation>
    <dataValidation type="list" allowBlank="1" showInputMessage="1" showErrorMessage="1" sqref="C661">
      <formula1>"Number"</formula1>
    </dataValidation>
    <dataValidation type="list" allowBlank="1" showInputMessage="1" showErrorMessage="1" sqref="C662">
      <formula1>"Number"</formula1>
    </dataValidation>
    <dataValidation type="list" allowBlank="1" showInputMessage="1" showErrorMessage="1" sqref="C663">
      <formula1>"Number"</formula1>
    </dataValidation>
    <dataValidation type="list" allowBlank="1" showInputMessage="1" showErrorMessage="1" sqref="C664">
      <formula1>"Number"</formula1>
    </dataValidation>
    <dataValidation type="list" allowBlank="1" showInputMessage="1" showErrorMessage="1" sqref="C665">
      <formula1>"Number"</formula1>
    </dataValidation>
    <dataValidation type="list" allowBlank="1" showInputMessage="1" showErrorMessage="1" sqref="C666">
      <formula1>"Number"</formula1>
    </dataValidation>
    <dataValidation type="list" allowBlank="1" showInputMessage="1" showErrorMessage="1" sqref="C667">
      <formula1>"Number"</formula1>
    </dataValidation>
    <dataValidation type="list" allowBlank="1" showInputMessage="1" showErrorMessage="1" sqref="C668">
      <formula1>"Number"</formula1>
    </dataValidation>
    <dataValidation type="list" allowBlank="1" showInputMessage="1" showErrorMessage="1" sqref="C669">
      <formula1>"Number"</formula1>
    </dataValidation>
    <dataValidation type="list" allowBlank="1" showInputMessage="1" showErrorMessage="1" sqref="C670">
      <formula1>"Number"</formula1>
    </dataValidation>
    <dataValidation type="list" allowBlank="1" showInputMessage="1" showErrorMessage="1" sqref="C671">
      <formula1>"Number"</formula1>
    </dataValidation>
    <dataValidation type="list" allowBlank="1" showInputMessage="1" showErrorMessage="1" sqref="C674">
      <formula1>"Number"</formula1>
    </dataValidation>
    <dataValidation type="list" allowBlank="1" showInputMessage="1" showErrorMessage="1" sqref="C675">
      <formula1>"Number"</formula1>
    </dataValidation>
    <dataValidation type="list" allowBlank="1" showInputMessage="1" showErrorMessage="1" sqref="C676">
      <formula1>"Number"</formula1>
    </dataValidation>
    <dataValidation type="list" allowBlank="1" showInputMessage="1" showErrorMessage="1" sqref="C677">
      <formula1>"Number"</formula1>
    </dataValidation>
    <dataValidation type="list" allowBlank="1" showInputMessage="1" showErrorMessage="1" sqref="C678">
      <formula1>"Number"</formula1>
    </dataValidation>
    <dataValidation type="list" allowBlank="1" showInputMessage="1" showErrorMessage="1" sqref="C679">
      <formula1>"Number"</formula1>
    </dataValidation>
    <dataValidation type="list" allowBlank="1" showInputMessage="1" showErrorMessage="1" sqref="C680">
      <formula1>"Number"</formula1>
    </dataValidation>
    <dataValidation type="list" allowBlank="1" showInputMessage="1" showErrorMessage="1" sqref="C681">
      <formula1>"Number"</formula1>
    </dataValidation>
    <dataValidation type="list" allowBlank="1" showInputMessage="1" showErrorMessage="1" sqref="C682">
      <formula1>"Number"</formula1>
    </dataValidation>
    <dataValidation type="list" allowBlank="1" showInputMessage="1" showErrorMessage="1" sqref="C683">
      <formula1>"Number"</formula1>
    </dataValidation>
    <dataValidation type="list" allowBlank="1" showInputMessage="1" showErrorMessage="1" sqref="C684">
      <formula1>"Number"</formula1>
    </dataValidation>
    <dataValidation type="list" allowBlank="1" showInputMessage="1" showErrorMessage="1" sqref="C685">
      <formula1>"Number"</formula1>
    </dataValidation>
    <dataValidation type="list" allowBlank="1" showInputMessage="1" showErrorMessage="1" sqref="C686">
      <formula1>"Number"</formula1>
    </dataValidation>
    <dataValidation type="list" allowBlank="1" showInputMessage="1" showErrorMessage="1" sqref="C687">
      <formula1>"Number"</formula1>
    </dataValidation>
    <dataValidation type="list" allowBlank="1" showInputMessage="1" showErrorMessage="1" sqref="C690">
      <formula1>"Number"</formula1>
    </dataValidation>
    <dataValidation type="list" allowBlank="1" showInputMessage="1" showErrorMessage="1" sqref="C691">
      <formula1>"Number"</formula1>
    </dataValidation>
    <dataValidation type="list" allowBlank="1" showInputMessage="1" showErrorMessage="1" sqref="C692">
      <formula1>"Number"</formula1>
    </dataValidation>
    <dataValidation type="list" allowBlank="1" showInputMessage="1" showErrorMessage="1" sqref="C693">
      <formula1>"Number"</formula1>
    </dataValidation>
    <dataValidation type="list" allowBlank="1" showInputMessage="1" showErrorMessage="1" sqref="C694">
      <formula1>"Number"</formula1>
    </dataValidation>
    <dataValidation type="list" allowBlank="1" showInputMessage="1" showErrorMessage="1" sqref="C695">
      <formula1>"Number"</formula1>
    </dataValidation>
    <dataValidation type="list" allowBlank="1" showInputMessage="1" showErrorMessage="1" sqref="C696">
      <formula1>"Number"</formula1>
    </dataValidation>
    <dataValidation type="list" allowBlank="1" showInputMessage="1" showErrorMessage="1" sqref="C697">
      <formula1>"Number"</formula1>
    </dataValidation>
    <dataValidation type="list" allowBlank="1" showInputMessage="1" showErrorMessage="1" sqref="C698">
      <formula1>"Number"</formula1>
    </dataValidation>
    <dataValidation type="list" allowBlank="1" showInputMessage="1" showErrorMessage="1" sqref="C699">
      <formula1>"Number"</formula1>
    </dataValidation>
    <dataValidation type="list" allowBlank="1" showInputMessage="1" showErrorMessage="1" sqref="C700">
      <formula1>"Number"</formula1>
    </dataValidation>
    <dataValidation type="list" allowBlank="1" showInputMessage="1" showErrorMessage="1" sqref="C701">
      <formula1>"Number"</formula1>
    </dataValidation>
    <dataValidation type="list" allowBlank="1" showInputMessage="1" showErrorMessage="1" sqref="C702">
      <formula1>"Number"</formula1>
    </dataValidation>
    <dataValidation type="list" allowBlank="1" showInputMessage="1" showErrorMessage="1" sqref="C703">
      <formula1>"Number"</formula1>
    </dataValidation>
    <dataValidation type="list" allowBlank="1" showInputMessage="1" showErrorMessage="1" sqref="C706">
      <formula1>"Number"</formula1>
    </dataValidation>
    <dataValidation type="list" allowBlank="1" showInputMessage="1" showErrorMessage="1" sqref="C707">
      <formula1>"Number"</formula1>
    </dataValidation>
    <dataValidation type="list" allowBlank="1" showInputMessage="1" showErrorMessage="1" sqref="C708">
      <formula1>"Number"</formula1>
    </dataValidation>
    <dataValidation type="list" allowBlank="1" showInputMessage="1" showErrorMessage="1" sqref="C709">
      <formula1>"Number"</formula1>
    </dataValidation>
    <dataValidation type="list" allowBlank="1" showInputMessage="1" showErrorMessage="1" sqref="C710">
      <formula1>"Number"</formula1>
    </dataValidation>
    <dataValidation type="list" allowBlank="1" showInputMessage="1" showErrorMessage="1" sqref="C711">
      <formula1>"Number"</formula1>
    </dataValidation>
    <dataValidation type="list" allowBlank="1" showInputMessage="1" showErrorMessage="1" sqref="C712">
      <formula1>"Number"</formula1>
    </dataValidation>
    <dataValidation type="list" allowBlank="1" showInputMessage="1" showErrorMessage="1" sqref="C713">
      <formula1>"Number"</formula1>
    </dataValidation>
    <dataValidation type="list" allowBlank="1" showInputMessage="1" showErrorMessage="1" sqref="C714">
      <formula1>"Number"</formula1>
    </dataValidation>
    <dataValidation type="list" allowBlank="1" showInputMessage="1" showErrorMessage="1" sqref="C715">
      <formula1>"Number"</formula1>
    </dataValidation>
    <dataValidation type="list" allowBlank="1" showInputMessage="1" showErrorMessage="1" sqref="C716">
      <formula1>"Number"</formula1>
    </dataValidation>
    <dataValidation type="list" allowBlank="1" showInputMessage="1" showErrorMessage="1" sqref="C717">
      <formula1>"Number"</formula1>
    </dataValidation>
    <dataValidation type="list" allowBlank="1" showInputMessage="1" showErrorMessage="1" sqref="C718">
      <formula1>"Number"</formula1>
    </dataValidation>
    <dataValidation type="list" allowBlank="1" showInputMessage="1" showErrorMessage="1" sqref="C719">
      <formula1>"Number"</formula1>
    </dataValidation>
    <dataValidation type="list" allowBlank="1" showInputMessage="1" showErrorMessage="1" sqref="C722">
      <formula1>"Number"</formula1>
    </dataValidation>
    <dataValidation type="list" allowBlank="1" showInputMessage="1" showErrorMessage="1" sqref="C723">
      <formula1>"Number"</formula1>
    </dataValidation>
    <dataValidation type="list" allowBlank="1" showInputMessage="1" showErrorMessage="1" sqref="C724">
      <formula1>"Number"</formula1>
    </dataValidation>
    <dataValidation type="list" allowBlank="1" showInputMessage="1" showErrorMessage="1" sqref="C725">
      <formula1>"Number"</formula1>
    </dataValidation>
    <dataValidation type="list" allowBlank="1" showInputMessage="1" showErrorMessage="1" sqref="C726">
      <formula1>"Number"</formula1>
    </dataValidation>
    <dataValidation type="list" allowBlank="1" showInputMessage="1" showErrorMessage="1" sqref="C727">
      <formula1>"Number"</formula1>
    </dataValidation>
    <dataValidation type="list" allowBlank="1" showInputMessage="1" showErrorMessage="1" sqref="C728">
      <formula1>"Number"</formula1>
    </dataValidation>
    <dataValidation type="list" allowBlank="1" showInputMessage="1" showErrorMessage="1" sqref="C729">
      <formula1>"Number"</formula1>
    </dataValidation>
    <dataValidation type="list" allowBlank="1" showInputMessage="1" showErrorMessage="1" sqref="C730">
      <formula1>"Number"</formula1>
    </dataValidation>
    <dataValidation type="list" allowBlank="1" showInputMessage="1" showErrorMessage="1" sqref="C731">
      <formula1>"Number"</formula1>
    </dataValidation>
    <dataValidation type="list" allowBlank="1" showInputMessage="1" showErrorMessage="1" sqref="C732">
      <formula1>"Number"</formula1>
    </dataValidation>
    <dataValidation type="list" allowBlank="1" showInputMessage="1" showErrorMessage="1" sqref="C733">
      <formula1>"Number"</formula1>
    </dataValidation>
    <dataValidation type="list" allowBlank="1" showInputMessage="1" showErrorMessage="1" sqref="C734">
      <formula1>"Number"</formula1>
    </dataValidation>
    <dataValidation type="list" allowBlank="1" showInputMessage="1" showErrorMessage="1" sqref="C735">
      <formula1>"Number"</formula1>
    </dataValidation>
    <dataValidation type="list" allowBlank="1" showInputMessage="1" showErrorMessage="1" sqref="C738">
      <formula1>"Number"</formula1>
    </dataValidation>
    <dataValidation type="list" allowBlank="1" showInputMessage="1" showErrorMessage="1" sqref="C739">
      <formula1>"Number"</formula1>
    </dataValidation>
    <dataValidation type="list" allowBlank="1" showInputMessage="1" showErrorMessage="1" sqref="C740">
      <formula1>"Number"</formula1>
    </dataValidation>
    <dataValidation type="list" allowBlank="1" showInputMessage="1" showErrorMessage="1" sqref="C741">
      <formula1>"Number"</formula1>
    </dataValidation>
    <dataValidation type="list" allowBlank="1" showInputMessage="1" showErrorMessage="1" sqref="C742">
      <formula1>"Number"</formula1>
    </dataValidation>
    <dataValidation type="list" allowBlank="1" showInputMessage="1" showErrorMessage="1" sqref="C743">
      <formula1>"Number"</formula1>
    </dataValidation>
    <dataValidation type="list" allowBlank="1" showInputMessage="1" showErrorMessage="1" sqref="C744">
      <formula1>"Number"</formula1>
    </dataValidation>
    <dataValidation type="list" allowBlank="1" showInputMessage="1" showErrorMessage="1" sqref="C745">
      <formula1>"Number"</formula1>
    </dataValidation>
    <dataValidation type="list" allowBlank="1" showInputMessage="1" showErrorMessage="1" sqref="C746">
      <formula1>"Number"</formula1>
    </dataValidation>
    <dataValidation type="list" allowBlank="1" showInputMessage="1" showErrorMessage="1" sqref="C747">
      <formula1>"Number"</formula1>
    </dataValidation>
    <dataValidation type="list" allowBlank="1" showInputMessage="1" showErrorMessage="1" sqref="C748">
      <formula1>"Number"</formula1>
    </dataValidation>
    <dataValidation type="list" allowBlank="1" showInputMessage="1" showErrorMessage="1" sqref="C749">
      <formula1>"Number"</formula1>
    </dataValidation>
    <dataValidation type="list" allowBlank="1" showInputMessage="1" showErrorMessage="1" sqref="C750">
      <formula1>"Number"</formula1>
    </dataValidation>
    <dataValidation type="list" allowBlank="1" showInputMessage="1" showErrorMessage="1" sqref="C751">
      <formula1>"Number"</formula1>
    </dataValidation>
    <dataValidation type="list" allowBlank="1" showInputMessage="1" showErrorMessage="1" sqref="C754">
      <formula1>"Number"</formula1>
    </dataValidation>
    <dataValidation type="list" allowBlank="1" showInputMessage="1" showErrorMessage="1" sqref="C755">
      <formula1>"Number"</formula1>
    </dataValidation>
    <dataValidation type="list" allowBlank="1" showInputMessage="1" showErrorMessage="1" sqref="C756">
      <formula1>"Number"</formula1>
    </dataValidation>
    <dataValidation type="list" allowBlank="1" showInputMessage="1" showErrorMessage="1" sqref="C757">
      <formula1>"Number"</formula1>
    </dataValidation>
    <dataValidation type="list" allowBlank="1" showInputMessage="1" showErrorMessage="1" sqref="C758">
      <formula1>"Number"</formula1>
    </dataValidation>
    <dataValidation type="list" allowBlank="1" showInputMessage="1" showErrorMessage="1" sqref="C759">
      <formula1>"Number"</formula1>
    </dataValidation>
    <dataValidation type="list" allowBlank="1" showInputMessage="1" showErrorMessage="1" sqref="C760">
      <formula1>"Number"</formula1>
    </dataValidation>
    <dataValidation type="list" allowBlank="1" showInputMessage="1" showErrorMessage="1" sqref="C761">
      <formula1>"Number"</formula1>
    </dataValidation>
    <dataValidation type="list" allowBlank="1" showInputMessage="1" showErrorMessage="1" sqref="C762">
      <formula1>"Number"</formula1>
    </dataValidation>
    <dataValidation type="list" allowBlank="1" showInputMessage="1" showErrorMessage="1" sqref="C763">
      <formula1>"Number"</formula1>
    </dataValidation>
    <dataValidation type="list" allowBlank="1" showInputMessage="1" showErrorMessage="1" sqref="C764">
      <formula1>"Number"</formula1>
    </dataValidation>
    <dataValidation type="list" allowBlank="1" showInputMessage="1" showErrorMessage="1" sqref="C765">
      <formula1>"Number"</formula1>
    </dataValidation>
    <dataValidation type="list" allowBlank="1" showInputMessage="1" showErrorMessage="1" sqref="C766">
      <formula1>"Number"</formula1>
    </dataValidation>
    <dataValidation type="list" allowBlank="1" showInputMessage="1" showErrorMessage="1" sqref="C767">
      <formula1>"Number"</formula1>
    </dataValidation>
    <dataValidation type="list" allowBlank="1" showInputMessage="1" showErrorMessage="1" sqref="C770">
      <formula1>"Number"</formula1>
    </dataValidation>
    <dataValidation type="list" allowBlank="1" showInputMessage="1" showErrorMessage="1" sqref="C771">
      <formula1>"Number"</formula1>
    </dataValidation>
    <dataValidation type="list" allowBlank="1" showInputMessage="1" showErrorMessage="1" sqref="C772">
      <formula1>"Number"</formula1>
    </dataValidation>
    <dataValidation type="list" allowBlank="1" showInputMessage="1" showErrorMessage="1" sqref="C773">
      <formula1>"Number"</formula1>
    </dataValidation>
    <dataValidation type="list" allowBlank="1" showInputMessage="1" showErrorMessage="1" sqref="C774">
      <formula1>"Number"</formula1>
    </dataValidation>
    <dataValidation type="list" allowBlank="1" showInputMessage="1" showErrorMessage="1" sqref="C775">
      <formula1>"Number"</formula1>
    </dataValidation>
    <dataValidation type="list" allowBlank="1" showInputMessage="1" showErrorMessage="1" sqref="C776">
      <formula1>"Number"</formula1>
    </dataValidation>
    <dataValidation type="list" allowBlank="1" showInputMessage="1" showErrorMessage="1" sqref="C777">
      <formula1>"Number"</formula1>
    </dataValidation>
    <dataValidation type="list" allowBlank="1" showInputMessage="1" showErrorMessage="1" sqref="C778">
      <formula1>"Number"</formula1>
    </dataValidation>
    <dataValidation type="list" allowBlank="1" showInputMessage="1" showErrorMessage="1" sqref="C779">
      <formula1>"Number"</formula1>
    </dataValidation>
    <dataValidation type="list" allowBlank="1" showInputMessage="1" showErrorMessage="1" sqref="C780">
      <formula1>"Number"</formula1>
    </dataValidation>
    <dataValidation type="list" allowBlank="1" showInputMessage="1" showErrorMessage="1" sqref="C781">
      <formula1>"Number"</formula1>
    </dataValidation>
    <dataValidation type="list" allowBlank="1" showInputMessage="1" showErrorMessage="1" sqref="C782">
      <formula1>"Number"</formula1>
    </dataValidation>
    <dataValidation type="list" allowBlank="1" showInputMessage="1" showErrorMessage="1" sqref="C783">
      <formula1>"Number"</formula1>
    </dataValidation>
    <dataValidation type="list" allowBlank="1" showInputMessage="1" showErrorMessage="1" sqref="C786">
      <formula1>"Number"</formula1>
    </dataValidation>
    <dataValidation type="list" allowBlank="1" showInputMessage="1" showErrorMessage="1" sqref="C787">
      <formula1>"Number"</formula1>
    </dataValidation>
    <dataValidation type="list" allowBlank="1" showInputMessage="1" showErrorMessage="1" sqref="C788">
      <formula1>"Number"</formula1>
    </dataValidation>
    <dataValidation type="list" allowBlank="1" showInputMessage="1" showErrorMessage="1" sqref="C789">
      <formula1>"Number"</formula1>
    </dataValidation>
    <dataValidation type="list" allowBlank="1" showInputMessage="1" showErrorMessage="1" sqref="C790">
      <formula1>"Number"</formula1>
    </dataValidation>
    <dataValidation type="list" allowBlank="1" showInputMessage="1" showErrorMessage="1" sqref="C791">
      <formula1>"Number"</formula1>
    </dataValidation>
    <dataValidation type="list" allowBlank="1" showInputMessage="1" showErrorMessage="1" sqref="C792">
      <formula1>"Number"</formula1>
    </dataValidation>
    <dataValidation type="list" allowBlank="1" showInputMessage="1" showErrorMessage="1" sqref="C793">
      <formula1>"Number"</formula1>
    </dataValidation>
    <dataValidation type="list" allowBlank="1" showInputMessage="1" showErrorMessage="1" sqref="C794">
      <formula1>"Number"</formula1>
    </dataValidation>
    <dataValidation type="list" allowBlank="1" showInputMessage="1" showErrorMessage="1" sqref="C795">
      <formula1>"Number"</formula1>
    </dataValidation>
    <dataValidation type="list" allowBlank="1" showInputMessage="1" showErrorMessage="1" sqref="C796">
      <formula1>"Number"</formula1>
    </dataValidation>
    <dataValidation type="list" allowBlank="1" showInputMessage="1" showErrorMessage="1" sqref="C797">
      <formula1>"Number"</formula1>
    </dataValidation>
    <dataValidation type="list" allowBlank="1" showInputMessage="1" showErrorMessage="1" sqref="C798">
      <formula1>"Number"</formula1>
    </dataValidation>
    <dataValidation type="list" allowBlank="1" showInputMessage="1" showErrorMessage="1" sqref="C799">
      <formula1>"Number"</formula1>
    </dataValidation>
    <dataValidation type="list" allowBlank="1" showInputMessage="1" showErrorMessage="1" sqref="C802">
      <formula1>"Number"</formula1>
    </dataValidation>
    <dataValidation type="list" allowBlank="1" showInputMessage="1" showErrorMessage="1" sqref="C803">
      <formula1>"Number"</formula1>
    </dataValidation>
    <dataValidation type="list" allowBlank="1" showInputMessage="1" showErrorMessage="1" sqref="C804">
      <formula1>"Number"</formula1>
    </dataValidation>
    <dataValidation type="list" allowBlank="1" showInputMessage="1" showErrorMessage="1" sqref="C805">
      <formula1>"Number"</formula1>
    </dataValidation>
    <dataValidation type="list" allowBlank="1" showInputMessage="1" showErrorMessage="1" sqref="C806">
      <formula1>"Number"</formula1>
    </dataValidation>
    <dataValidation type="list" allowBlank="1" showInputMessage="1" showErrorMessage="1" sqref="C807">
      <formula1>"Number"</formula1>
    </dataValidation>
    <dataValidation type="list" allowBlank="1" showInputMessage="1" showErrorMessage="1" sqref="C808">
      <formula1>"Number"</formula1>
    </dataValidation>
    <dataValidation type="list" allowBlank="1" showInputMessage="1" showErrorMessage="1" sqref="C809">
      <formula1>"Number"</formula1>
    </dataValidation>
    <dataValidation type="list" allowBlank="1" showInputMessage="1" showErrorMessage="1" sqref="C810">
      <formula1>"Number"</formula1>
    </dataValidation>
    <dataValidation type="list" allowBlank="1" showInputMessage="1" showErrorMessage="1" sqref="C811">
      <formula1>"Number"</formula1>
    </dataValidation>
    <dataValidation type="list" allowBlank="1" showInputMessage="1" showErrorMessage="1" sqref="C812">
      <formula1>"Number"</formula1>
    </dataValidation>
    <dataValidation type="list" allowBlank="1" showInputMessage="1" showErrorMessage="1" sqref="C813">
      <formula1>"Number"</formula1>
    </dataValidation>
    <dataValidation type="list" allowBlank="1" showInputMessage="1" showErrorMessage="1" sqref="C814">
      <formula1>"Number"</formula1>
    </dataValidation>
    <dataValidation type="list" allowBlank="1" showInputMessage="1" showErrorMessage="1" sqref="C815">
      <formula1>"Number"</formula1>
    </dataValidation>
    <dataValidation type="list" allowBlank="1" showInputMessage="1" showErrorMessage="1" sqref="C818">
      <formula1>"Number"</formula1>
    </dataValidation>
    <dataValidation type="list" allowBlank="1" showInputMessage="1" showErrorMessage="1" sqref="C819">
      <formula1>"Number"</formula1>
    </dataValidation>
    <dataValidation type="list" allowBlank="1" showInputMessage="1" showErrorMessage="1" sqref="C820">
      <formula1>"Number"</formula1>
    </dataValidation>
    <dataValidation type="list" allowBlank="1" showInputMessage="1" showErrorMessage="1" sqref="C821">
      <formula1>"Number"</formula1>
    </dataValidation>
    <dataValidation type="list" allowBlank="1" showInputMessage="1" showErrorMessage="1" sqref="C822">
      <formula1>"Number"</formula1>
    </dataValidation>
    <dataValidation type="list" allowBlank="1" showInputMessage="1" showErrorMessage="1" sqref="C823">
      <formula1>"Number"</formula1>
    </dataValidation>
    <dataValidation type="list" allowBlank="1" showInputMessage="1" showErrorMessage="1" sqref="C824">
      <formula1>"Number"</formula1>
    </dataValidation>
    <dataValidation type="list" allowBlank="1" showInputMessage="1" showErrorMessage="1" sqref="C825">
      <formula1>"Number"</formula1>
    </dataValidation>
    <dataValidation type="list" allowBlank="1" showInputMessage="1" showErrorMessage="1" sqref="C826">
      <formula1>"Number"</formula1>
    </dataValidation>
    <dataValidation type="list" allowBlank="1" showInputMessage="1" showErrorMessage="1" sqref="C827">
      <formula1>"Number"</formula1>
    </dataValidation>
    <dataValidation type="list" allowBlank="1" showInputMessage="1" showErrorMessage="1" sqref="C828">
      <formula1>"Number"</formula1>
    </dataValidation>
    <dataValidation type="list" allowBlank="1" showInputMessage="1" showErrorMessage="1" sqref="C829">
      <formula1>"Number"</formula1>
    </dataValidation>
    <dataValidation type="list" allowBlank="1" showInputMessage="1" showErrorMessage="1" sqref="C830">
      <formula1>"Number"</formula1>
    </dataValidation>
    <dataValidation type="list" allowBlank="1" showInputMessage="1" showErrorMessage="1" sqref="C831">
      <formula1>"Number"</formula1>
    </dataValidation>
    <dataValidation type="list" allowBlank="1" showInputMessage="1" showErrorMessage="1" sqref="C834">
      <formula1>"Number"</formula1>
    </dataValidation>
    <dataValidation type="list" allowBlank="1" showInputMessage="1" showErrorMessage="1" sqref="C835">
      <formula1>"Number"</formula1>
    </dataValidation>
    <dataValidation type="list" allowBlank="1" showInputMessage="1" showErrorMessage="1" sqref="C836">
      <formula1>"Number"</formula1>
    </dataValidation>
    <dataValidation type="list" allowBlank="1" showInputMessage="1" showErrorMessage="1" sqref="C837">
      <formula1>"Number"</formula1>
    </dataValidation>
    <dataValidation type="list" allowBlank="1" showInputMessage="1" showErrorMessage="1" sqref="C838">
      <formula1>"Number"</formula1>
    </dataValidation>
    <dataValidation type="list" allowBlank="1" showInputMessage="1" showErrorMessage="1" sqref="C839">
      <formula1>"Number"</formula1>
    </dataValidation>
    <dataValidation type="list" allowBlank="1" showInputMessage="1" showErrorMessage="1" sqref="C840">
      <formula1>"Number"</formula1>
    </dataValidation>
    <dataValidation type="list" allowBlank="1" showInputMessage="1" showErrorMessage="1" sqref="C841">
      <formula1>"Number"</formula1>
    </dataValidation>
    <dataValidation type="list" allowBlank="1" showInputMessage="1" showErrorMessage="1" sqref="C842">
      <formula1>"Number"</formula1>
    </dataValidation>
    <dataValidation type="list" allowBlank="1" showInputMessage="1" showErrorMessage="1" sqref="C843">
      <formula1>"Number"</formula1>
    </dataValidation>
    <dataValidation type="list" allowBlank="1" showInputMessage="1" showErrorMessage="1" sqref="C844">
      <formula1>"Number"</formula1>
    </dataValidation>
    <dataValidation type="list" allowBlank="1" showInputMessage="1" showErrorMessage="1" sqref="C845">
      <formula1>"Number"</formula1>
    </dataValidation>
    <dataValidation type="list" allowBlank="1" showInputMessage="1" showErrorMessage="1" sqref="C846">
      <formula1>"Number"</formula1>
    </dataValidation>
    <dataValidation type="list" allowBlank="1" showInputMessage="1" showErrorMessage="1" sqref="C847">
      <formula1>"Number"</formula1>
    </dataValidation>
    <dataValidation type="list" allowBlank="1" showInputMessage="1" showErrorMessage="1" sqref="C850">
      <formula1>"Number"</formula1>
    </dataValidation>
    <dataValidation type="list" allowBlank="1" showInputMessage="1" showErrorMessage="1" sqref="C851">
      <formula1>"Number"</formula1>
    </dataValidation>
    <dataValidation type="list" allowBlank="1" showInputMessage="1" showErrorMessage="1" sqref="C852">
      <formula1>"Number"</formula1>
    </dataValidation>
    <dataValidation type="list" allowBlank="1" showInputMessage="1" showErrorMessage="1" sqref="C853">
      <formula1>"Number"</formula1>
    </dataValidation>
    <dataValidation type="list" allowBlank="1" showInputMessage="1" showErrorMessage="1" sqref="C854">
      <formula1>"Number"</formula1>
    </dataValidation>
    <dataValidation type="list" allowBlank="1" showInputMessage="1" showErrorMessage="1" sqref="C855">
      <formula1>"Number"</formula1>
    </dataValidation>
    <dataValidation type="list" allowBlank="1" showInputMessage="1" showErrorMessage="1" sqref="C856">
      <formula1>"Number"</formula1>
    </dataValidation>
    <dataValidation type="list" allowBlank="1" showInputMessage="1" showErrorMessage="1" sqref="C857">
      <formula1>"Number"</formula1>
    </dataValidation>
    <dataValidation type="list" allowBlank="1" showInputMessage="1" showErrorMessage="1" sqref="C858">
      <formula1>"Number"</formula1>
    </dataValidation>
    <dataValidation type="list" allowBlank="1" showInputMessage="1" showErrorMessage="1" sqref="C859">
      <formula1>"Number"</formula1>
    </dataValidation>
    <dataValidation type="list" allowBlank="1" showInputMessage="1" showErrorMessage="1" sqref="C860">
      <formula1>"Number"</formula1>
    </dataValidation>
    <dataValidation type="list" allowBlank="1" showInputMessage="1" showErrorMessage="1" sqref="C861">
      <formula1>"Number"</formula1>
    </dataValidation>
    <dataValidation type="list" allowBlank="1" showInputMessage="1" showErrorMessage="1" sqref="C862">
      <formula1>"Number"</formula1>
    </dataValidation>
    <dataValidation type="list" allowBlank="1" showInputMessage="1" showErrorMessage="1" sqref="C863">
      <formula1>"Number"</formula1>
    </dataValidation>
    <dataValidation type="list" allowBlank="1" showInputMessage="1" showErrorMessage="1" sqref="C866">
      <formula1>"Number"</formula1>
    </dataValidation>
    <dataValidation type="list" allowBlank="1" showInputMessage="1" showErrorMessage="1" sqref="C867">
      <formula1>"Number"</formula1>
    </dataValidation>
    <dataValidation type="list" allowBlank="1" showInputMessage="1" showErrorMessage="1" sqref="C868">
      <formula1>"Number"</formula1>
    </dataValidation>
    <dataValidation type="list" allowBlank="1" showInputMessage="1" showErrorMessage="1" sqref="C869">
      <formula1>"Number"</formula1>
    </dataValidation>
    <dataValidation type="list" allowBlank="1" showInputMessage="1" showErrorMessage="1" sqref="C870">
      <formula1>"Number"</formula1>
    </dataValidation>
    <dataValidation type="list" allowBlank="1" showInputMessage="1" showErrorMessage="1" sqref="C871">
      <formula1>"Number"</formula1>
    </dataValidation>
    <dataValidation type="list" allowBlank="1" showInputMessage="1" showErrorMessage="1" sqref="C872">
      <formula1>"Number"</formula1>
    </dataValidation>
    <dataValidation type="list" allowBlank="1" showInputMessage="1" showErrorMessage="1" sqref="C873">
      <formula1>"Number"</formula1>
    </dataValidation>
    <dataValidation type="list" allowBlank="1" showInputMessage="1" showErrorMessage="1" sqref="C874">
      <formula1>"Number"</formula1>
    </dataValidation>
    <dataValidation type="list" allowBlank="1" showInputMessage="1" showErrorMessage="1" sqref="C875">
      <formula1>"Number"</formula1>
    </dataValidation>
    <dataValidation type="list" allowBlank="1" showInputMessage="1" showErrorMessage="1" sqref="C876">
      <formula1>"Number"</formula1>
    </dataValidation>
    <dataValidation type="list" allowBlank="1" showInputMessage="1" showErrorMessage="1" sqref="C877">
      <formula1>"Number"</formula1>
    </dataValidation>
    <dataValidation type="list" allowBlank="1" showInputMessage="1" showErrorMessage="1" sqref="C878">
      <formula1>"Number"</formula1>
    </dataValidation>
    <dataValidation type="list" allowBlank="1" showInputMessage="1" showErrorMessage="1" sqref="C879">
      <formula1>"Number"</formula1>
    </dataValidation>
    <dataValidation type="list" allowBlank="1" showInputMessage="1" showErrorMessage="1" sqref="C882">
      <formula1>"Number"</formula1>
    </dataValidation>
    <dataValidation type="list" allowBlank="1" showInputMessage="1" showErrorMessage="1" sqref="C883">
      <formula1>"Number"</formula1>
    </dataValidation>
    <dataValidation type="list" allowBlank="1" showInputMessage="1" showErrorMessage="1" sqref="C884">
      <formula1>"Number"</formula1>
    </dataValidation>
    <dataValidation type="list" allowBlank="1" showInputMessage="1" showErrorMessage="1" sqref="C885">
      <formula1>"Number"</formula1>
    </dataValidation>
    <dataValidation type="list" allowBlank="1" showInputMessage="1" showErrorMessage="1" sqref="C886">
      <formula1>"Number"</formula1>
    </dataValidation>
    <dataValidation type="list" allowBlank="1" showInputMessage="1" showErrorMessage="1" sqref="C887">
      <formula1>"Number"</formula1>
    </dataValidation>
    <dataValidation type="list" allowBlank="1" showInputMessage="1" showErrorMessage="1" sqref="C888">
      <formula1>"Number"</formula1>
    </dataValidation>
    <dataValidation type="list" allowBlank="1" showInputMessage="1" showErrorMessage="1" sqref="C889">
      <formula1>"Number"</formula1>
    </dataValidation>
    <dataValidation type="list" allowBlank="1" showInputMessage="1" showErrorMessage="1" sqref="C890">
      <formula1>"Number"</formula1>
    </dataValidation>
    <dataValidation type="list" allowBlank="1" showInputMessage="1" showErrorMessage="1" sqref="C891">
      <formula1>"Number"</formula1>
    </dataValidation>
    <dataValidation type="list" allowBlank="1" showInputMessage="1" showErrorMessage="1" sqref="C892">
      <formula1>"Number"</formula1>
    </dataValidation>
    <dataValidation type="list" allowBlank="1" showInputMessage="1" showErrorMessage="1" sqref="C893">
      <formula1>"Number"</formula1>
    </dataValidation>
    <dataValidation type="list" allowBlank="1" showInputMessage="1" showErrorMessage="1" sqref="C894">
      <formula1>"Number"</formula1>
    </dataValidation>
    <dataValidation type="list" allowBlank="1" showInputMessage="1" showErrorMessage="1" sqref="C895">
      <formula1>"Number"</formula1>
    </dataValidation>
    <dataValidation type="list" allowBlank="1" showInputMessage="1" showErrorMessage="1" sqref="C898">
      <formula1>"Number"</formula1>
    </dataValidation>
    <dataValidation type="list" allowBlank="1" showInputMessage="1" showErrorMessage="1" sqref="C899">
      <formula1>"Number"</formula1>
    </dataValidation>
    <dataValidation type="list" allowBlank="1" showInputMessage="1" showErrorMessage="1" sqref="C900">
      <formula1>"Number"</formula1>
    </dataValidation>
    <dataValidation type="list" allowBlank="1" showInputMessage="1" showErrorMessage="1" sqref="C901">
      <formula1>"Number"</formula1>
    </dataValidation>
    <dataValidation type="list" allowBlank="1" showInputMessage="1" showErrorMessage="1" sqref="C902">
      <formula1>"Number"</formula1>
    </dataValidation>
    <dataValidation type="list" allowBlank="1" showInputMessage="1" showErrorMessage="1" sqref="C903">
      <formula1>"Number"</formula1>
    </dataValidation>
    <dataValidation type="list" allowBlank="1" showInputMessage="1" showErrorMessage="1" sqref="C904">
      <formula1>"Number"</formula1>
    </dataValidation>
    <dataValidation type="list" allowBlank="1" showInputMessage="1" showErrorMessage="1" sqref="C905">
      <formula1>"Number"</formula1>
    </dataValidation>
    <dataValidation type="list" allowBlank="1" showInputMessage="1" showErrorMessage="1" sqref="C906">
      <formula1>"Number"</formula1>
    </dataValidation>
    <dataValidation type="list" allowBlank="1" showInputMessage="1" showErrorMessage="1" sqref="C907">
      <formula1>"Number"</formula1>
    </dataValidation>
    <dataValidation type="list" allowBlank="1" showInputMessage="1" showErrorMessage="1" sqref="C908">
      <formula1>"Number"</formula1>
    </dataValidation>
    <dataValidation type="list" allowBlank="1" showInputMessage="1" showErrorMessage="1" sqref="C909">
      <formula1>"Number"</formula1>
    </dataValidation>
    <dataValidation type="list" allowBlank="1" showInputMessage="1" showErrorMessage="1" sqref="C910">
      <formula1>"Number"</formula1>
    </dataValidation>
    <dataValidation type="list" allowBlank="1" showInputMessage="1" showErrorMessage="1" sqref="C911">
      <formula1>"Number"</formula1>
    </dataValidation>
    <dataValidation type="list" allowBlank="1" showInputMessage="1" showErrorMessage="1" sqref="C914">
      <formula1>"Number"</formula1>
    </dataValidation>
    <dataValidation type="list" allowBlank="1" showInputMessage="1" showErrorMessage="1" sqref="C915">
      <formula1>"Number"</formula1>
    </dataValidation>
    <dataValidation type="list" allowBlank="1" showInputMessage="1" showErrorMessage="1" sqref="C916">
      <formula1>"Number"</formula1>
    </dataValidation>
    <dataValidation type="list" allowBlank="1" showInputMessage="1" showErrorMessage="1" sqref="C917">
      <formula1>"Number"</formula1>
    </dataValidation>
    <dataValidation type="list" allowBlank="1" showInputMessage="1" showErrorMessage="1" sqref="C918">
      <formula1>"Number"</formula1>
    </dataValidation>
    <dataValidation type="list" allowBlank="1" showInputMessage="1" showErrorMessage="1" sqref="C919">
      <formula1>"Number"</formula1>
    </dataValidation>
    <dataValidation type="list" allowBlank="1" showInputMessage="1" showErrorMessage="1" sqref="C920">
      <formula1>"Number"</formula1>
    </dataValidation>
    <dataValidation type="list" allowBlank="1" showInputMessage="1" showErrorMessage="1" sqref="C921">
      <formula1>"Number"</formula1>
    </dataValidation>
    <dataValidation type="list" allowBlank="1" showInputMessage="1" showErrorMessage="1" sqref="C922">
      <formula1>"Number"</formula1>
    </dataValidation>
    <dataValidation type="list" allowBlank="1" showInputMessage="1" showErrorMessage="1" sqref="C923">
      <formula1>"Number"</formula1>
    </dataValidation>
    <dataValidation type="list" allowBlank="1" showInputMessage="1" showErrorMessage="1" sqref="C924">
      <formula1>"Number"</formula1>
    </dataValidation>
    <dataValidation type="list" allowBlank="1" showInputMessage="1" showErrorMessage="1" sqref="C925">
      <formula1>"Number"</formula1>
    </dataValidation>
    <dataValidation type="list" allowBlank="1" showInputMessage="1" showErrorMessage="1" sqref="C926">
      <formula1>"Number"</formula1>
    </dataValidation>
    <dataValidation type="list" allowBlank="1" showInputMessage="1" showErrorMessage="1" sqref="C927">
      <formula1>"Number"</formula1>
    </dataValidation>
    <dataValidation type="list" allowBlank="1" showInputMessage="1" showErrorMessage="1" sqref="C930">
      <formula1>"Number"</formula1>
    </dataValidation>
    <dataValidation type="list" allowBlank="1" showInputMessage="1" showErrorMessage="1" sqref="C931">
      <formula1>"Number"</formula1>
    </dataValidation>
    <dataValidation type="list" allowBlank="1" showInputMessage="1" showErrorMessage="1" sqref="C932">
      <formula1>"Number"</formula1>
    </dataValidation>
    <dataValidation type="list" allowBlank="1" showInputMessage="1" showErrorMessage="1" sqref="C933">
      <formula1>"Number"</formula1>
    </dataValidation>
    <dataValidation type="list" allowBlank="1" showInputMessage="1" showErrorMessage="1" sqref="C934">
      <formula1>"Number"</formula1>
    </dataValidation>
    <dataValidation type="list" allowBlank="1" showInputMessage="1" showErrorMessage="1" sqref="C935">
      <formula1>"Number"</formula1>
    </dataValidation>
    <dataValidation type="list" allowBlank="1" showInputMessage="1" showErrorMessage="1" sqref="C936">
      <formula1>"Number"</formula1>
    </dataValidation>
    <dataValidation type="list" allowBlank="1" showInputMessage="1" showErrorMessage="1" sqref="C937">
      <formula1>"Number"</formula1>
    </dataValidation>
    <dataValidation type="list" allowBlank="1" showInputMessage="1" showErrorMessage="1" sqref="C938">
      <formula1>"Number"</formula1>
    </dataValidation>
    <dataValidation type="list" allowBlank="1" showInputMessage="1" showErrorMessage="1" sqref="C939">
      <formula1>"Number"</formula1>
    </dataValidation>
    <dataValidation type="list" allowBlank="1" showInputMessage="1" showErrorMessage="1" sqref="C940">
      <formula1>"Number"</formula1>
    </dataValidation>
    <dataValidation type="list" allowBlank="1" showInputMessage="1" showErrorMessage="1" sqref="C941">
      <formula1>"Number"</formula1>
    </dataValidation>
    <dataValidation type="list" allowBlank="1" showInputMessage="1" showErrorMessage="1" sqref="C942">
      <formula1>"Number"</formula1>
    </dataValidation>
    <dataValidation type="list" allowBlank="1" showInputMessage="1" showErrorMessage="1" sqref="C943">
      <formula1>"Number"</formula1>
    </dataValidation>
    <dataValidation type="list" allowBlank="1" showInputMessage="1" showErrorMessage="1" sqref="C946">
      <formula1>"Number"</formula1>
    </dataValidation>
    <dataValidation type="list" allowBlank="1" showInputMessage="1" showErrorMessage="1" sqref="C947">
      <formula1>"Number"</formula1>
    </dataValidation>
    <dataValidation type="list" allowBlank="1" showInputMessage="1" showErrorMessage="1" sqref="C948">
      <formula1>"Number"</formula1>
    </dataValidation>
    <dataValidation type="list" allowBlank="1" showInputMessage="1" showErrorMessage="1" sqref="C949">
      <formula1>"Number"</formula1>
    </dataValidation>
    <dataValidation type="list" allowBlank="1" showInputMessage="1" showErrorMessage="1" sqref="C950">
      <formula1>"Number"</formula1>
    </dataValidation>
    <dataValidation type="list" allowBlank="1" showInputMessage="1" showErrorMessage="1" sqref="C951">
      <formula1>"Number"</formula1>
    </dataValidation>
    <dataValidation type="list" allowBlank="1" showInputMessage="1" showErrorMessage="1" sqref="C952">
      <formula1>"Number"</formula1>
    </dataValidation>
    <dataValidation type="list" allowBlank="1" showInputMessage="1" showErrorMessage="1" sqref="C953">
      <formula1>"Number"</formula1>
    </dataValidation>
    <dataValidation type="list" allowBlank="1" showInputMessage="1" showErrorMessage="1" sqref="C954">
      <formula1>"Number"</formula1>
    </dataValidation>
    <dataValidation type="list" allowBlank="1" showInputMessage="1" showErrorMessage="1" sqref="C955">
      <formula1>"Number"</formula1>
    </dataValidation>
    <dataValidation type="list" allowBlank="1" showInputMessage="1" showErrorMessage="1" sqref="C956">
      <formula1>"Number"</formula1>
    </dataValidation>
    <dataValidation type="list" allowBlank="1" showInputMessage="1" showErrorMessage="1" sqref="C957">
      <formula1>"Number"</formula1>
    </dataValidation>
    <dataValidation type="list" allowBlank="1" showInputMessage="1" showErrorMessage="1" sqref="C958">
      <formula1>"Number"</formula1>
    </dataValidation>
    <dataValidation type="list" allowBlank="1" showInputMessage="1" showErrorMessage="1" sqref="C959">
      <formula1>"Number"</formula1>
    </dataValidation>
    <dataValidation type="list" allowBlank="1" showInputMessage="1" showErrorMessage="1" sqref="C962">
      <formula1>"Number"</formula1>
    </dataValidation>
    <dataValidation type="list" allowBlank="1" showInputMessage="1" showErrorMessage="1" sqref="C963">
      <formula1>"Number"</formula1>
    </dataValidation>
    <dataValidation type="list" allowBlank="1" showInputMessage="1" showErrorMessage="1" sqref="C964">
      <formula1>"Number"</formula1>
    </dataValidation>
    <dataValidation type="list" allowBlank="1" showInputMessage="1" showErrorMessage="1" sqref="C965">
      <formula1>"Number"</formula1>
    </dataValidation>
    <dataValidation type="list" allowBlank="1" showInputMessage="1" showErrorMessage="1" sqref="C966">
      <formula1>"Number"</formula1>
    </dataValidation>
    <dataValidation type="list" allowBlank="1" showInputMessage="1" showErrorMessage="1" sqref="C967">
      <formula1>"Number"</formula1>
    </dataValidation>
    <dataValidation type="list" allowBlank="1" showInputMessage="1" showErrorMessage="1" sqref="C968">
      <formula1>"Number"</formula1>
    </dataValidation>
    <dataValidation type="list" allowBlank="1" showInputMessage="1" showErrorMessage="1" sqref="C969">
      <formula1>"Number"</formula1>
    </dataValidation>
    <dataValidation type="list" allowBlank="1" showInputMessage="1" showErrorMessage="1" sqref="C970">
      <formula1>"Number"</formula1>
    </dataValidation>
    <dataValidation type="list" allowBlank="1" showInputMessage="1" showErrorMessage="1" sqref="C971">
      <formula1>"Number"</formula1>
    </dataValidation>
    <dataValidation type="list" allowBlank="1" showInputMessage="1" showErrorMessage="1" sqref="C972">
      <formula1>"Number"</formula1>
    </dataValidation>
    <dataValidation type="list" allowBlank="1" showInputMessage="1" showErrorMessage="1" sqref="C973">
      <formula1>"Number"</formula1>
    </dataValidation>
    <dataValidation type="list" allowBlank="1" showInputMessage="1" showErrorMessage="1" sqref="C974">
      <formula1>"Number"</formula1>
    </dataValidation>
    <dataValidation type="list" allowBlank="1" showInputMessage="1" showErrorMessage="1" sqref="C975">
      <formula1>"Number"</formula1>
    </dataValidation>
    <dataValidation type="list" allowBlank="1" showInputMessage="1" showErrorMessage="1" sqref="C978">
      <formula1>"Number"</formula1>
    </dataValidation>
    <dataValidation type="list" allowBlank="1" showInputMessage="1" showErrorMessage="1" sqref="C979">
      <formula1>"Number"</formula1>
    </dataValidation>
    <dataValidation type="list" allowBlank="1" showInputMessage="1" showErrorMessage="1" sqref="C980">
      <formula1>"Number"</formula1>
    </dataValidation>
    <dataValidation type="list" allowBlank="1" showInputMessage="1" showErrorMessage="1" sqref="C981">
      <formula1>"Number"</formula1>
    </dataValidation>
    <dataValidation type="list" allowBlank="1" showInputMessage="1" showErrorMessage="1" sqref="C982">
      <formula1>"Number"</formula1>
    </dataValidation>
    <dataValidation type="list" allowBlank="1" showInputMessage="1" showErrorMessage="1" sqref="C983">
      <formula1>"Number"</formula1>
    </dataValidation>
    <dataValidation type="list" allowBlank="1" showInputMessage="1" showErrorMessage="1" sqref="C984">
      <formula1>"Number"</formula1>
    </dataValidation>
    <dataValidation type="list" allowBlank="1" showInputMessage="1" showErrorMessage="1" sqref="C985">
      <formula1>"Number"</formula1>
    </dataValidation>
    <dataValidation type="list" allowBlank="1" showInputMessage="1" showErrorMessage="1" sqref="C986">
      <formula1>"Number"</formula1>
    </dataValidation>
    <dataValidation type="list" allowBlank="1" showInputMessage="1" showErrorMessage="1" sqref="C987">
      <formula1>"Number"</formula1>
    </dataValidation>
    <dataValidation type="list" allowBlank="1" showInputMessage="1" showErrorMessage="1" sqref="C988">
      <formula1>"Number"</formula1>
    </dataValidation>
    <dataValidation type="list" allowBlank="1" showInputMessage="1" showErrorMessage="1" sqref="C989">
      <formula1>"Number"</formula1>
    </dataValidation>
    <dataValidation type="list" allowBlank="1" showInputMessage="1" showErrorMessage="1" sqref="C990">
      <formula1>"Number"</formula1>
    </dataValidation>
    <dataValidation type="list" allowBlank="1" showInputMessage="1" showErrorMessage="1" sqref="C991">
      <formula1>"Number"</formula1>
    </dataValidation>
    <dataValidation type="list" allowBlank="1" showInputMessage="1" showErrorMessage="1" sqref="C994">
      <formula1>"Number"</formula1>
    </dataValidation>
    <dataValidation type="list" allowBlank="1" showInputMessage="1" showErrorMessage="1" sqref="C995">
      <formula1>"Number"</formula1>
    </dataValidation>
    <dataValidation type="list" allowBlank="1" showInputMessage="1" showErrorMessage="1" sqref="C996">
      <formula1>"Number"</formula1>
    </dataValidation>
    <dataValidation type="list" allowBlank="1" showInputMessage="1" showErrorMessage="1" sqref="C997">
      <formula1>"Number"</formula1>
    </dataValidation>
    <dataValidation type="list" allowBlank="1" showInputMessage="1" showErrorMessage="1" sqref="C998">
      <formula1>"Number"</formula1>
    </dataValidation>
    <dataValidation type="list" allowBlank="1" showInputMessage="1" showErrorMessage="1" sqref="C999">
      <formula1>"Number"</formula1>
    </dataValidation>
    <dataValidation type="list" allowBlank="1" showInputMessage="1" showErrorMessage="1" sqref="C1000">
      <formula1>"Number"</formula1>
    </dataValidation>
    <dataValidation type="list" allowBlank="1" showInputMessage="1" showErrorMessage="1" sqref="C1001">
      <formula1>"Number"</formula1>
    </dataValidation>
    <dataValidation type="list" allowBlank="1" showInputMessage="1" showErrorMessage="1" sqref="C1002">
      <formula1>"Number"</formula1>
    </dataValidation>
    <dataValidation type="list" allowBlank="1" showInputMessage="1" showErrorMessage="1" sqref="C1003">
      <formula1>"Number"</formula1>
    </dataValidation>
    <dataValidation type="list" allowBlank="1" showInputMessage="1" showErrorMessage="1" sqref="C1004">
      <formula1>"Number"</formula1>
    </dataValidation>
    <dataValidation type="list" allowBlank="1" showInputMessage="1" showErrorMessage="1" sqref="C1005">
      <formula1>"Number"</formula1>
    </dataValidation>
    <dataValidation type="list" allowBlank="1" showInputMessage="1" showErrorMessage="1" sqref="C1006">
      <formula1>"Number"</formula1>
    </dataValidation>
    <dataValidation type="list" allowBlank="1" showInputMessage="1" showErrorMessage="1" sqref="C1007">
      <formula1>"Number"</formula1>
    </dataValidation>
    <dataValidation type="list" allowBlank="1" showInputMessage="1" showErrorMessage="1" sqref="C1010">
      <formula1>"Number"</formula1>
    </dataValidation>
    <dataValidation type="list" allowBlank="1" showInputMessage="1" showErrorMessage="1" sqref="C1011">
      <formula1>"Number"</formula1>
    </dataValidation>
    <dataValidation type="list" allowBlank="1" showInputMessage="1" showErrorMessage="1" sqref="C1012">
      <formula1>"Number"</formula1>
    </dataValidation>
    <dataValidation type="list" allowBlank="1" showInputMessage="1" showErrorMessage="1" sqref="C1013">
      <formula1>"Number"</formula1>
    </dataValidation>
    <dataValidation type="list" allowBlank="1" showInputMessage="1" showErrorMessage="1" sqref="C1014">
      <formula1>"Number"</formula1>
    </dataValidation>
    <dataValidation type="list" allowBlank="1" showInputMessage="1" showErrorMessage="1" sqref="C1015">
      <formula1>"Number"</formula1>
    </dataValidation>
    <dataValidation type="list" allowBlank="1" showInputMessage="1" showErrorMessage="1" sqref="C1016">
      <formula1>"Number"</formula1>
    </dataValidation>
    <dataValidation type="list" allowBlank="1" showInputMessage="1" showErrorMessage="1" sqref="C1017">
      <formula1>"Number"</formula1>
    </dataValidation>
    <dataValidation type="list" allowBlank="1" showInputMessage="1" showErrorMessage="1" sqref="C1018">
      <formula1>"Number"</formula1>
    </dataValidation>
    <dataValidation type="list" allowBlank="1" showInputMessage="1" showErrorMessage="1" sqref="C1019">
      <formula1>"Number"</formula1>
    </dataValidation>
    <dataValidation type="list" allowBlank="1" showInputMessage="1" showErrorMessage="1" sqref="C1020">
      <formula1>"Number"</formula1>
    </dataValidation>
    <dataValidation type="list" allowBlank="1" showInputMessage="1" showErrorMessage="1" sqref="C1021">
      <formula1>"Number"</formula1>
    </dataValidation>
    <dataValidation type="list" allowBlank="1" showInputMessage="1" showErrorMessage="1" sqref="C1022">
      <formula1>"Number"</formula1>
    </dataValidation>
    <dataValidation type="list" allowBlank="1" showInputMessage="1" showErrorMessage="1" sqref="C1023">
      <formula1>"Number"</formula1>
    </dataValidation>
    <dataValidation type="list" allowBlank="1" showInputMessage="1" showErrorMessage="1" sqref="C1026">
      <formula1>"Number"</formula1>
    </dataValidation>
    <dataValidation type="list" allowBlank="1" showInputMessage="1" showErrorMessage="1" sqref="C1027">
      <formula1>"Number"</formula1>
    </dataValidation>
    <dataValidation type="list" allowBlank="1" showInputMessage="1" showErrorMessage="1" sqref="C1028">
      <formula1>"Number"</formula1>
    </dataValidation>
    <dataValidation type="list" allowBlank="1" showInputMessage="1" showErrorMessage="1" sqref="C1029">
      <formula1>"Number"</formula1>
    </dataValidation>
    <dataValidation type="list" allowBlank="1" showInputMessage="1" showErrorMessage="1" sqref="C1030">
      <formula1>"Number"</formula1>
    </dataValidation>
    <dataValidation type="list" allowBlank="1" showInputMessage="1" showErrorMessage="1" sqref="C1031">
      <formula1>"Number"</formula1>
    </dataValidation>
    <dataValidation type="list" allowBlank="1" showInputMessage="1" showErrorMessage="1" sqref="C1032">
      <formula1>"Number"</formula1>
    </dataValidation>
    <dataValidation type="list" allowBlank="1" showInputMessage="1" showErrorMessage="1" sqref="C1033">
      <formula1>"Number"</formula1>
    </dataValidation>
    <dataValidation type="list" allowBlank="1" showInputMessage="1" showErrorMessage="1" sqref="C1034">
      <formula1>"Number"</formula1>
    </dataValidation>
    <dataValidation type="list" allowBlank="1" showInputMessage="1" showErrorMessage="1" sqref="C1035">
      <formula1>"Number"</formula1>
    </dataValidation>
    <dataValidation type="list" allowBlank="1" showInputMessage="1" showErrorMessage="1" sqref="C1036">
      <formula1>"Number"</formula1>
    </dataValidation>
    <dataValidation type="list" allowBlank="1" showInputMessage="1" showErrorMessage="1" sqref="C1037">
      <formula1>"Number"</formula1>
    </dataValidation>
    <dataValidation type="list" allowBlank="1" showInputMessage="1" showErrorMessage="1" sqref="C1038">
      <formula1>"Number"</formula1>
    </dataValidation>
    <dataValidation type="list" allowBlank="1" showInputMessage="1" showErrorMessage="1" sqref="C1039">
      <formula1>"Number"</formula1>
    </dataValidation>
    <dataValidation type="list" allowBlank="1" showInputMessage="1" showErrorMessage="1" sqref="C1042">
      <formula1>"Number"</formula1>
    </dataValidation>
    <dataValidation type="list" allowBlank="1" showInputMessage="1" showErrorMessage="1" sqref="C1043">
      <formula1>"Number"</formula1>
    </dataValidation>
    <dataValidation type="list" allowBlank="1" showInputMessage="1" showErrorMessage="1" sqref="C1044">
      <formula1>"Number"</formula1>
    </dataValidation>
    <dataValidation type="list" allowBlank="1" showInputMessage="1" showErrorMessage="1" sqref="C1045">
      <formula1>"Number"</formula1>
    </dataValidation>
    <dataValidation type="list" allowBlank="1" showInputMessage="1" showErrorMessage="1" sqref="C1046">
      <formula1>"Number"</formula1>
    </dataValidation>
    <dataValidation type="list" allowBlank="1" showInputMessage="1" showErrorMessage="1" sqref="C1047">
      <formula1>"Number"</formula1>
    </dataValidation>
    <dataValidation type="list" allowBlank="1" showInputMessage="1" showErrorMessage="1" sqref="C1048">
      <formula1>"Number"</formula1>
    </dataValidation>
    <dataValidation type="list" allowBlank="1" showInputMessage="1" showErrorMessage="1" sqref="C1049">
      <formula1>"Number"</formula1>
    </dataValidation>
    <dataValidation type="list" allowBlank="1" showInputMessage="1" showErrorMessage="1" sqref="C1050">
      <formula1>"Number"</formula1>
    </dataValidation>
    <dataValidation type="list" allowBlank="1" showInputMessage="1" showErrorMessage="1" sqref="C1051">
      <formula1>"Number"</formula1>
    </dataValidation>
    <dataValidation type="list" allowBlank="1" showInputMessage="1" showErrorMessage="1" sqref="C1052">
      <formula1>"Number"</formula1>
    </dataValidation>
    <dataValidation type="list" allowBlank="1" showInputMessage="1" showErrorMessage="1" sqref="C1053">
      <formula1>"Number"</formula1>
    </dataValidation>
    <dataValidation type="list" allowBlank="1" showInputMessage="1" showErrorMessage="1" sqref="C1054">
      <formula1>"Number"</formula1>
    </dataValidation>
    <dataValidation type="list" allowBlank="1" showInputMessage="1" showErrorMessage="1" sqref="C1055">
      <formula1>"Number"</formula1>
    </dataValidation>
    <dataValidation type="list" allowBlank="1" showInputMessage="1" showErrorMessage="1" sqref="C1058">
      <formula1>"Number"</formula1>
    </dataValidation>
    <dataValidation type="list" allowBlank="1" showInputMessage="1" showErrorMessage="1" sqref="C1059">
      <formula1>"Number"</formula1>
    </dataValidation>
    <dataValidation type="list" allowBlank="1" showInputMessage="1" showErrorMessage="1" sqref="C1060">
      <formula1>"Number"</formula1>
    </dataValidation>
    <dataValidation type="list" allowBlank="1" showInputMessage="1" showErrorMessage="1" sqref="C1061">
      <formula1>"Number"</formula1>
    </dataValidation>
    <dataValidation type="list" allowBlank="1" showInputMessage="1" showErrorMessage="1" sqref="C1062">
      <formula1>"Number"</formula1>
    </dataValidation>
    <dataValidation type="list" allowBlank="1" showInputMessage="1" showErrorMessage="1" sqref="C1063">
      <formula1>"Number"</formula1>
    </dataValidation>
    <dataValidation type="list" allowBlank="1" showInputMessage="1" showErrorMessage="1" sqref="C1064">
      <formula1>"Number"</formula1>
    </dataValidation>
    <dataValidation type="list" allowBlank="1" showInputMessage="1" showErrorMessage="1" sqref="C1065">
      <formula1>"Number"</formula1>
    </dataValidation>
    <dataValidation type="list" allowBlank="1" showInputMessage="1" showErrorMessage="1" sqref="C1066">
      <formula1>"Number"</formula1>
    </dataValidation>
    <dataValidation type="list" allowBlank="1" showInputMessage="1" showErrorMessage="1" sqref="C1067">
      <formula1>"Number"</formula1>
    </dataValidation>
    <dataValidation type="list" allowBlank="1" showInputMessage="1" showErrorMessage="1" sqref="C1068">
      <formula1>"Number"</formula1>
    </dataValidation>
    <dataValidation type="list" allowBlank="1" showInputMessage="1" showErrorMessage="1" sqref="C1069">
      <formula1>"Number"</formula1>
    </dataValidation>
    <dataValidation type="list" allowBlank="1" showInputMessage="1" showErrorMessage="1" sqref="C1070">
      <formula1>"Number"</formula1>
    </dataValidation>
    <dataValidation type="list" allowBlank="1" showInputMessage="1" showErrorMessage="1" sqref="C1071">
      <formula1>"Number"</formula1>
    </dataValidation>
    <dataValidation type="list" allowBlank="1" showInputMessage="1" showErrorMessage="1" sqref="C1074">
      <formula1>"Number"</formula1>
    </dataValidation>
    <dataValidation type="list" allowBlank="1" showInputMessage="1" showErrorMessage="1" sqref="C1075">
      <formula1>"Number"</formula1>
    </dataValidation>
    <dataValidation type="list" allowBlank="1" showInputMessage="1" showErrorMessage="1" sqref="C1076">
      <formula1>"Number"</formula1>
    </dataValidation>
    <dataValidation type="list" allowBlank="1" showInputMessage="1" showErrorMessage="1" sqref="C1077">
      <formula1>"Number"</formula1>
    </dataValidation>
    <dataValidation type="list" allowBlank="1" showInputMessage="1" showErrorMessage="1" sqref="C1078">
      <formula1>"Number"</formula1>
    </dataValidation>
    <dataValidation type="list" allowBlank="1" showInputMessage="1" showErrorMessage="1" sqref="C1079">
      <formula1>"Number"</formula1>
    </dataValidation>
    <dataValidation type="list" allowBlank="1" showInputMessage="1" showErrorMessage="1" sqref="C1080">
      <formula1>"Number"</formula1>
    </dataValidation>
    <dataValidation type="list" allowBlank="1" showInputMessage="1" showErrorMessage="1" sqref="C1081">
      <formula1>"Number"</formula1>
    </dataValidation>
    <dataValidation type="list" allowBlank="1" showInputMessage="1" showErrorMessage="1" sqref="C1082">
      <formula1>"Number"</formula1>
    </dataValidation>
    <dataValidation type="list" allowBlank="1" showInputMessage="1" showErrorMessage="1" sqref="C1083">
      <formula1>"Number"</formula1>
    </dataValidation>
    <dataValidation type="list" allowBlank="1" showInputMessage="1" showErrorMessage="1" sqref="C1084">
      <formula1>"Number"</formula1>
    </dataValidation>
    <dataValidation type="list" allowBlank="1" showInputMessage="1" showErrorMessage="1" sqref="C1085">
      <formula1>"Number"</formula1>
    </dataValidation>
    <dataValidation type="list" allowBlank="1" showInputMessage="1" showErrorMessage="1" sqref="C1086">
      <formula1>"Number"</formula1>
    </dataValidation>
    <dataValidation type="list" allowBlank="1" showInputMessage="1" showErrorMessage="1" sqref="C1087">
      <formula1>"Number"</formula1>
    </dataValidation>
    <dataValidation type="list" allowBlank="1" showInputMessage="1" showErrorMessage="1" sqref="C1090">
      <formula1>"Number"</formula1>
    </dataValidation>
    <dataValidation type="list" allowBlank="1" showInputMessage="1" showErrorMessage="1" sqref="C1091">
      <formula1>"Number"</formula1>
    </dataValidation>
    <dataValidation type="list" allowBlank="1" showInputMessage="1" showErrorMessage="1" sqref="C1092">
      <formula1>"Number"</formula1>
    </dataValidation>
    <dataValidation type="list" allowBlank="1" showInputMessage="1" showErrorMessage="1" sqref="C1093">
      <formula1>"Number"</formula1>
    </dataValidation>
    <dataValidation type="list" allowBlank="1" showInputMessage="1" showErrorMessage="1" sqref="C1094">
      <formula1>"Number"</formula1>
    </dataValidation>
    <dataValidation type="list" allowBlank="1" showInputMessage="1" showErrorMessage="1" sqref="C1095">
      <formula1>"Number"</formula1>
    </dataValidation>
    <dataValidation type="list" allowBlank="1" showInputMessage="1" showErrorMessage="1" sqref="C1096">
      <formula1>"Number"</formula1>
    </dataValidation>
    <dataValidation type="list" allowBlank="1" showInputMessage="1" showErrorMessage="1" sqref="C1097">
      <formula1>"Number"</formula1>
    </dataValidation>
    <dataValidation type="list" allowBlank="1" showInputMessage="1" showErrorMessage="1" sqref="C1098">
      <formula1>"Number"</formula1>
    </dataValidation>
    <dataValidation type="list" allowBlank="1" showInputMessage="1" showErrorMessage="1" sqref="C1099">
      <formula1>"Number"</formula1>
    </dataValidation>
    <dataValidation type="list" allowBlank="1" showInputMessage="1" showErrorMessage="1" sqref="C1100">
      <formula1>"Number"</formula1>
    </dataValidation>
    <dataValidation type="list" allowBlank="1" showInputMessage="1" showErrorMessage="1" sqref="C1101">
      <formula1>"Number"</formula1>
    </dataValidation>
    <dataValidation type="list" allowBlank="1" showInputMessage="1" showErrorMessage="1" sqref="C1102">
      <formula1>"Number"</formula1>
    </dataValidation>
    <dataValidation type="list" allowBlank="1" showInputMessage="1" showErrorMessage="1" sqref="C1103">
      <formula1>"Number"</formula1>
    </dataValidation>
    <dataValidation type="list" allowBlank="1" showInputMessage="1" showErrorMessage="1" sqref="C1106">
      <formula1>"Number"</formula1>
    </dataValidation>
    <dataValidation type="list" allowBlank="1" showInputMessage="1" showErrorMessage="1" sqref="C1107">
      <formula1>"Number"</formula1>
    </dataValidation>
    <dataValidation type="list" allowBlank="1" showInputMessage="1" showErrorMessage="1" sqref="C1108">
      <formula1>"Number"</formula1>
    </dataValidation>
    <dataValidation type="list" allowBlank="1" showInputMessage="1" showErrorMessage="1" sqref="C1109">
      <formula1>"Number"</formula1>
    </dataValidation>
    <dataValidation type="list" allowBlank="1" showInputMessage="1" showErrorMessage="1" sqref="C1110">
      <formula1>"Number"</formula1>
    </dataValidation>
    <dataValidation type="list" allowBlank="1" showInputMessage="1" showErrorMessage="1" sqref="C1111">
      <formula1>"Number"</formula1>
    </dataValidation>
    <dataValidation type="list" allowBlank="1" showInputMessage="1" showErrorMessage="1" sqref="C1112">
      <formula1>"Number"</formula1>
    </dataValidation>
    <dataValidation type="list" allowBlank="1" showInputMessage="1" showErrorMessage="1" sqref="C1113">
      <formula1>"Number"</formula1>
    </dataValidation>
    <dataValidation type="list" allowBlank="1" showInputMessage="1" showErrorMessage="1" sqref="C1114">
      <formula1>"Number"</formula1>
    </dataValidation>
    <dataValidation type="list" allowBlank="1" showInputMessage="1" showErrorMessage="1" sqref="C1115">
      <formula1>"Number"</formula1>
    </dataValidation>
    <dataValidation type="list" allowBlank="1" showInputMessage="1" showErrorMessage="1" sqref="C1116">
      <formula1>"Number"</formula1>
    </dataValidation>
    <dataValidation type="list" allowBlank="1" showInputMessage="1" showErrorMessage="1" sqref="C1117">
      <formula1>"Number"</formula1>
    </dataValidation>
    <dataValidation type="list" allowBlank="1" showInputMessage="1" showErrorMessage="1" sqref="C1118">
      <formula1>"Number"</formula1>
    </dataValidation>
    <dataValidation type="list" allowBlank="1" showInputMessage="1" showErrorMessage="1" sqref="C1119">
      <formula1>"Number"</formula1>
    </dataValidation>
    <dataValidation type="list" allowBlank="1" showInputMessage="1" showErrorMessage="1" sqref="C1122">
      <formula1>"Number"</formula1>
    </dataValidation>
    <dataValidation type="list" allowBlank="1" showInputMessage="1" showErrorMessage="1" sqref="C1123">
      <formula1>"Number"</formula1>
    </dataValidation>
    <dataValidation type="list" allowBlank="1" showInputMessage="1" showErrorMessage="1" sqref="C1124">
      <formula1>"Number"</formula1>
    </dataValidation>
    <dataValidation type="list" allowBlank="1" showInputMessage="1" showErrorMessage="1" sqref="C1125">
      <formula1>"Number"</formula1>
    </dataValidation>
    <dataValidation type="list" allowBlank="1" showInputMessage="1" showErrorMessage="1" sqref="C1126">
      <formula1>"Number"</formula1>
    </dataValidation>
    <dataValidation type="list" allowBlank="1" showInputMessage="1" showErrorMessage="1" sqref="C1127">
      <formula1>"Number"</formula1>
    </dataValidation>
    <dataValidation type="list" allowBlank="1" showInputMessage="1" showErrorMessage="1" sqref="C1128">
      <formula1>"Number"</formula1>
    </dataValidation>
    <dataValidation type="list" allowBlank="1" showInputMessage="1" showErrorMessage="1" sqref="C1129">
      <formula1>"Number"</formula1>
    </dataValidation>
    <dataValidation type="list" allowBlank="1" showInputMessage="1" showErrorMessage="1" sqref="C1130">
      <formula1>"Number"</formula1>
    </dataValidation>
    <dataValidation type="list" allowBlank="1" showInputMessage="1" showErrorMessage="1" sqref="C1131">
      <formula1>"Number"</formula1>
    </dataValidation>
    <dataValidation type="list" allowBlank="1" showInputMessage="1" showErrorMessage="1" sqref="C1132">
      <formula1>"Number"</formula1>
    </dataValidation>
    <dataValidation type="list" allowBlank="1" showInputMessage="1" showErrorMessage="1" sqref="C1133">
      <formula1>"Number"</formula1>
    </dataValidation>
    <dataValidation type="list" allowBlank="1" showInputMessage="1" showErrorMessage="1" sqref="C1134">
      <formula1>"Number"</formula1>
    </dataValidation>
    <dataValidation type="list" allowBlank="1" showInputMessage="1" showErrorMessage="1" sqref="C1135">
      <formula1>"Number"</formula1>
    </dataValidation>
    <dataValidation type="list" allowBlank="1" showInputMessage="1" showErrorMessage="1" sqref="C1138">
      <formula1>"Number"</formula1>
    </dataValidation>
    <dataValidation type="list" allowBlank="1" showInputMessage="1" showErrorMessage="1" sqref="C1139">
      <formula1>"Number"</formula1>
    </dataValidation>
    <dataValidation type="list" allowBlank="1" showInputMessage="1" showErrorMessage="1" sqref="C1140">
      <formula1>"Number"</formula1>
    </dataValidation>
    <dataValidation type="list" allowBlank="1" showInputMessage="1" showErrorMessage="1" sqref="C1141">
      <formula1>"Number"</formula1>
    </dataValidation>
    <dataValidation type="list" allowBlank="1" showInputMessage="1" showErrorMessage="1" sqref="C1142">
      <formula1>"Number"</formula1>
    </dataValidation>
    <dataValidation type="list" allowBlank="1" showInputMessage="1" showErrorMessage="1" sqref="C1143">
      <formula1>"Number"</formula1>
    </dataValidation>
    <dataValidation type="list" allowBlank="1" showInputMessage="1" showErrorMessage="1" sqref="C1144">
      <formula1>"Number"</formula1>
    </dataValidation>
    <dataValidation type="list" allowBlank="1" showInputMessage="1" showErrorMessage="1" sqref="C1145">
      <formula1>"Number"</formula1>
    </dataValidation>
    <dataValidation type="list" allowBlank="1" showInputMessage="1" showErrorMessage="1" sqref="C1146">
      <formula1>"Number"</formula1>
    </dataValidation>
    <dataValidation type="list" allowBlank="1" showInputMessage="1" showErrorMessage="1" sqref="C1147">
      <formula1>"Number"</formula1>
    </dataValidation>
    <dataValidation type="list" allowBlank="1" showInputMessage="1" showErrorMessage="1" sqref="C1148">
      <formula1>"Number"</formula1>
    </dataValidation>
    <dataValidation type="list" allowBlank="1" showInputMessage="1" showErrorMessage="1" sqref="C1149">
      <formula1>"Number"</formula1>
    </dataValidation>
    <dataValidation type="list" allowBlank="1" showInputMessage="1" showErrorMessage="1" sqref="C1150">
      <formula1>"Number"</formula1>
    </dataValidation>
    <dataValidation type="list" allowBlank="1" showInputMessage="1" showErrorMessage="1" sqref="C1151">
      <formula1>"Number"</formula1>
    </dataValidation>
    <dataValidation type="list" allowBlank="1" showInputMessage="1" showErrorMessage="1" sqref="C1154">
      <formula1>"Number"</formula1>
    </dataValidation>
    <dataValidation type="list" allowBlank="1" showInputMessage="1" showErrorMessage="1" sqref="C1155">
      <formula1>"Number"</formula1>
    </dataValidation>
    <dataValidation type="list" allowBlank="1" showInputMessage="1" showErrorMessage="1" sqref="C1156">
      <formula1>"Number"</formula1>
    </dataValidation>
    <dataValidation type="list" allowBlank="1" showInputMessage="1" showErrorMessage="1" sqref="C1157">
      <formula1>"Number"</formula1>
    </dataValidation>
    <dataValidation type="list" allowBlank="1" showInputMessage="1" showErrorMessage="1" sqref="C1158">
      <formula1>"Number"</formula1>
    </dataValidation>
    <dataValidation type="list" allowBlank="1" showInputMessage="1" showErrorMessage="1" sqref="C1159">
      <formula1>"Number"</formula1>
    </dataValidation>
    <dataValidation type="list" allowBlank="1" showInputMessage="1" showErrorMessage="1" sqref="C1160">
      <formula1>"Number"</formula1>
    </dataValidation>
    <dataValidation type="list" allowBlank="1" showInputMessage="1" showErrorMessage="1" sqref="C1161">
      <formula1>"Number"</formula1>
    </dataValidation>
    <dataValidation type="list" allowBlank="1" showInputMessage="1" showErrorMessage="1" sqref="C1162">
      <formula1>"Number"</formula1>
    </dataValidation>
    <dataValidation type="list" allowBlank="1" showInputMessage="1" showErrorMessage="1" sqref="C1163">
      <formula1>"Number"</formula1>
    </dataValidation>
    <dataValidation type="list" allowBlank="1" showInputMessage="1" showErrorMessage="1" sqref="C1164">
      <formula1>"Number"</formula1>
    </dataValidation>
    <dataValidation type="list" allowBlank="1" showInputMessage="1" showErrorMessage="1" sqref="C1165">
      <formula1>"Number"</formula1>
    </dataValidation>
    <dataValidation type="list" allowBlank="1" showInputMessage="1" showErrorMessage="1" sqref="C1166">
      <formula1>"Number"</formula1>
    </dataValidation>
    <dataValidation type="list" allowBlank="1" showInputMessage="1" showErrorMessage="1" sqref="C1167">
      <formula1>"Number"</formula1>
    </dataValidation>
    <dataValidation type="list" allowBlank="1" showInputMessage="1" showErrorMessage="1" sqref="C1170">
      <formula1>"Number"</formula1>
    </dataValidation>
    <dataValidation type="list" allowBlank="1" showInputMessage="1" showErrorMessage="1" sqref="C1171">
      <formula1>"Number"</formula1>
    </dataValidation>
    <dataValidation type="list" allowBlank="1" showInputMessage="1" showErrorMessage="1" sqref="C1172">
      <formula1>"Number"</formula1>
    </dataValidation>
    <dataValidation type="list" allowBlank="1" showInputMessage="1" showErrorMessage="1" sqref="C1173">
      <formula1>"Number"</formula1>
    </dataValidation>
    <dataValidation type="list" allowBlank="1" showInputMessage="1" showErrorMessage="1" sqref="C1174">
      <formula1>"Number"</formula1>
    </dataValidation>
    <dataValidation type="list" allowBlank="1" showInputMessage="1" showErrorMessage="1" sqref="C1175">
      <formula1>"Number"</formula1>
    </dataValidation>
    <dataValidation type="list" allowBlank="1" showInputMessage="1" showErrorMessage="1" sqref="C1176">
      <formula1>"Number"</formula1>
    </dataValidation>
    <dataValidation type="list" allowBlank="1" showInputMessage="1" showErrorMessage="1" sqref="C1177">
      <formula1>"Number"</formula1>
    </dataValidation>
    <dataValidation type="list" allowBlank="1" showInputMessage="1" showErrorMessage="1" sqref="C1178">
      <formula1>"Number"</formula1>
    </dataValidation>
    <dataValidation type="list" allowBlank="1" showInputMessage="1" showErrorMessage="1" sqref="C1179">
      <formula1>"Number"</formula1>
    </dataValidation>
    <dataValidation type="list" allowBlank="1" showInputMessage="1" showErrorMessage="1" sqref="C1180">
      <formula1>"Number"</formula1>
    </dataValidation>
    <dataValidation type="list" allowBlank="1" showInputMessage="1" showErrorMessage="1" sqref="C1181">
      <formula1>"Number"</formula1>
    </dataValidation>
    <dataValidation type="list" allowBlank="1" showInputMessage="1" showErrorMessage="1" sqref="C1182">
      <formula1>"Number"</formula1>
    </dataValidation>
    <dataValidation type="list" allowBlank="1" showInputMessage="1" showErrorMessage="1" sqref="C1183">
      <formula1>"Number"</formula1>
    </dataValidation>
    <dataValidation type="list" allowBlank="1" showInputMessage="1" showErrorMessage="1" sqref="C1186">
      <formula1>"Number"</formula1>
    </dataValidation>
    <dataValidation type="list" allowBlank="1" showInputMessage="1" showErrorMessage="1" sqref="C1187">
      <formula1>"Number"</formula1>
    </dataValidation>
    <dataValidation type="list" allowBlank="1" showInputMessage="1" showErrorMessage="1" sqref="C1188">
      <formula1>"Number"</formula1>
    </dataValidation>
    <dataValidation type="list" allowBlank="1" showInputMessage="1" showErrorMessage="1" sqref="C1189">
      <formula1>"Number"</formula1>
    </dataValidation>
    <dataValidation type="list" allowBlank="1" showInputMessage="1" showErrorMessage="1" sqref="C1190">
      <formula1>"Number"</formula1>
    </dataValidation>
    <dataValidation type="list" allowBlank="1" showInputMessage="1" showErrorMessage="1" sqref="C1191">
      <formula1>"Number"</formula1>
    </dataValidation>
    <dataValidation type="list" allowBlank="1" showInputMessage="1" showErrorMessage="1" sqref="C1192">
      <formula1>"Number"</formula1>
    </dataValidation>
    <dataValidation type="list" allowBlank="1" showInputMessage="1" showErrorMessage="1" sqref="C1193">
      <formula1>"Number"</formula1>
    </dataValidation>
    <dataValidation type="list" allowBlank="1" showInputMessage="1" showErrorMessage="1" sqref="C1194">
      <formula1>"Number"</formula1>
    </dataValidation>
    <dataValidation type="list" allowBlank="1" showInputMessage="1" showErrorMessage="1" sqref="C1195">
      <formula1>"Number"</formula1>
    </dataValidation>
    <dataValidation type="list" allowBlank="1" showInputMessage="1" showErrorMessage="1" sqref="C1196">
      <formula1>"Number"</formula1>
    </dataValidation>
    <dataValidation type="list" allowBlank="1" showInputMessage="1" showErrorMessage="1" sqref="C1197">
      <formula1>"Number"</formula1>
    </dataValidation>
    <dataValidation type="list" allowBlank="1" showInputMessage="1" showErrorMessage="1" sqref="C1198">
      <formula1>"Number"</formula1>
    </dataValidation>
    <dataValidation type="list" allowBlank="1" showInputMessage="1" showErrorMessage="1" sqref="C1199">
      <formula1>"Number"</formula1>
    </dataValidation>
    <dataValidation type="list" allowBlank="1" showInputMessage="1" showErrorMessage="1" sqref="C1202">
      <formula1>"Number"</formula1>
    </dataValidation>
    <dataValidation type="list" allowBlank="1" showInputMessage="1" showErrorMessage="1" sqref="C1203">
      <formula1>"Number"</formula1>
    </dataValidation>
    <dataValidation type="list" allowBlank="1" showInputMessage="1" showErrorMessage="1" sqref="C1204">
      <formula1>"Number"</formula1>
    </dataValidation>
    <dataValidation type="list" allowBlank="1" showInputMessage="1" showErrorMessage="1" sqref="C1205">
      <formula1>"Number"</formula1>
    </dataValidation>
    <dataValidation type="list" allowBlank="1" showInputMessage="1" showErrorMessage="1" sqref="C1206">
      <formula1>"Number"</formula1>
    </dataValidation>
    <dataValidation type="list" allowBlank="1" showInputMessage="1" showErrorMessage="1" sqref="C1207">
      <formula1>"Number"</formula1>
    </dataValidation>
    <dataValidation type="list" allowBlank="1" showInputMessage="1" showErrorMessage="1" sqref="C1208">
      <formula1>"Number"</formula1>
    </dataValidation>
    <dataValidation type="list" allowBlank="1" showInputMessage="1" showErrorMessage="1" sqref="C1209">
      <formula1>"Number"</formula1>
    </dataValidation>
    <dataValidation type="list" allowBlank="1" showInputMessage="1" showErrorMessage="1" sqref="C1210">
      <formula1>"Number"</formula1>
    </dataValidation>
    <dataValidation type="list" allowBlank="1" showInputMessage="1" showErrorMessage="1" sqref="C1211">
      <formula1>"Number"</formula1>
    </dataValidation>
    <dataValidation type="list" allowBlank="1" showInputMessage="1" showErrorMessage="1" sqref="C1212">
      <formula1>"Number"</formula1>
    </dataValidation>
    <dataValidation type="list" allowBlank="1" showInputMessage="1" showErrorMessage="1" sqref="C1213">
      <formula1>"Number"</formula1>
    </dataValidation>
    <dataValidation type="list" allowBlank="1" showInputMessage="1" showErrorMessage="1" sqref="C1214">
      <formula1>"Number"</formula1>
    </dataValidation>
    <dataValidation type="list" allowBlank="1" showInputMessage="1" showErrorMessage="1" sqref="C1215">
      <formula1>"Number"</formula1>
    </dataValidation>
    <dataValidation type="list" allowBlank="1" showInputMessage="1" showErrorMessage="1" sqref="C1218">
      <formula1>"Number"</formula1>
    </dataValidation>
    <dataValidation type="list" allowBlank="1" showInputMessage="1" showErrorMessage="1" sqref="C1219">
      <formula1>"Number"</formula1>
    </dataValidation>
    <dataValidation type="list" allowBlank="1" showInputMessage="1" showErrorMessage="1" sqref="C1220">
      <formula1>"Number"</formula1>
    </dataValidation>
    <dataValidation type="list" allowBlank="1" showInputMessage="1" showErrorMessage="1" sqref="C1221">
      <formula1>"Number"</formula1>
    </dataValidation>
    <dataValidation type="list" allowBlank="1" showInputMessage="1" showErrorMessage="1" sqref="C1222">
      <formula1>"Number"</formula1>
    </dataValidation>
    <dataValidation type="list" allowBlank="1" showInputMessage="1" showErrorMessage="1" sqref="C1223">
      <formula1>"Number"</formula1>
    </dataValidation>
    <dataValidation type="list" allowBlank="1" showInputMessage="1" showErrorMessage="1" sqref="C1224">
      <formula1>"Number"</formula1>
    </dataValidation>
    <dataValidation type="list" allowBlank="1" showInputMessage="1" showErrorMessage="1" sqref="C1225">
      <formula1>"Number"</formula1>
    </dataValidation>
    <dataValidation type="list" allowBlank="1" showInputMessage="1" showErrorMessage="1" sqref="C1226">
      <formula1>"Number"</formula1>
    </dataValidation>
    <dataValidation type="list" allowBlank="1" showInputMessage="1" showErrorMessage="1" sqref="C1227">
      <formula1>"Number"</formula1>
    </dataValidation>
    <dataValidation type="list" allowBlank="1" showInputMessage="1" showErrorMessage="1" sqref="C1228">
      <formula1>"Number"</formula1>
    </dataValidation>
    <dataValidation type="list" allowBlank="1" showInputMessage="1" showErrorMessage="1" sqref="C1229">
      <formula1>"Number"</formula1>
    </dataValidation>
    <dataValidation type="list" allowBlank="1" showInputMessage="1" showErrorMessage="1" sqref="C1230">
      <formula1>"Number"</formula1>
    </dataValidation>
    <dataValidation type="list" allowBlank="1" showInputMessage="1" showErrorMessage="1" sqref="C1231">
      <formula1>"Number"</formula1>
    </dataValidation>
    <dataValidation type="list" allowBlank="1" showInputMessage="1" showErrorMessage="1" sqref="C1234">
      <formula1>"Number"</formula1>
    </dataValidation>
    <dataValidation type="list" allowBlank="1" showInputMessage="1" showErrorMessage="1" sqref="C1235">
      <formula1>"Number"</formula1>
    </dataValidation>
    <dataValidation type="list" allowBlank="1" showInputMessage="1" showErrorMessage="1" sqref="C1236">
      <formula1>"Number"</formula1>
    </dataValidation>
    <dataValidation type="list" allowBlank="1" showInputMessage="1" showErrorMessage="1" sqref="C1237">
      <formula1>"Number"</formula1>
    </dataValidation>
    <dataValidation type="list" allowBlank="1" showInputMessage="1" showErrorMessage="1" sqref="C1238">
      <formula1>"Number"</formula1>
    </dataValidation>
    <dataValidation type="list" allowBlank="1" showInputMessage="1" showErrorMessage="1" sqref="C1239">
      <formula1>"Number"</formula1>
    </dataValidation>
    <dataValidation type="list" allowBlank="1" showInputMessage="1" showErrorMessage="1" sqref="C1240">
      <formula1>"Number"</formula1>
    </dataValidation>
    <dataValidation type="list" allowBlank="1" showInputMessage="1" showErrorMessage="1" sqref="C1241">
      <formula1>"Number"</formula1>
    </dataValidation>
    <dataValidation type="list" allowBlank="1" showInputMessage="1" showErrorMessage="1" sqref="C1242">
      <formula1>"Number"</formula1>
    </dataValidation>
    <dataValidation type="list" allowBlank="1" showInputMessage="1" showErrorMessage="1" sqref="C1243">
      <formula1>"Number"</formula1>
    </dataValidation>
    <dataValidation type="list" allowBlank="1" showInputMessage="1" showErrorMessage="1" sqref="C1244">
      <formula1>"Number"</formula1>
    </dataValidation>
    <dataValidation type="list" allowBlank="1" showInputMessage="1" showErrorMessage="1" sqref="C1245">
      <formula1>"Number"</formula1>
    </dataValidation>
    <dataValidation type="list" allowBlank="1" showInputMessage="1" showErrorMessage="1" sqref="C1246">
      <formula1>"Number"</formula1>
    </dataValidation>
    <dataValidation type="list" allowBlank="1" showInputMessage="1" showErrorMessage="1" sqref="C1247">
      <formula1>"Number"</formula1>
    </dataValidation>
    <dataValidation type="list" allowBlank="1" showInputMessage="1" showErrorMessage="1" sqref="C1250">
      <formula1>"Number"</formula1>
    </dataValidation>
    <dataValidation type="list" allowBlank="1" showInputMessage="1" showErrorMessage="1" sqref="C1251">
      <formula1>"Number"</formula1>
    </dataValidation>
    <dataValidation type="list" allowBlank="1" showInputMessage="1" showErrorMessage="1" sqref="C1252">
      <formula1>"Number"</formula1>
    </dataValidation>
    <dataValidation type="list" allowBlank="1" showInputMessage="1" showErrorMessage="1" sqref="C1253">
      <formula1>"Number"</formula1>
    </dataValidation>
    <dataValidation type="list" allowBlank="1" showInputMessage="1" showErrorMessage="1" sqref="C1254">
      <formula1>"Number"</formula1>
    </dataValidation>
    <dataValidation type="list" allowBlank="1" showInputMessage="1" showErrorMessage="1" sqref="C1255">
      <formula1>"Number"</formula1>
    </dataValidation>
    <dataValidation type="list" allowBlank="1" showInputMessage="1" showErrorMessage="1" sqref="C1256">
      <formula1>"Number"</formula1>
    </dataValidation>
    <dataValidation type="list" allowBlank="1" showInputMessage="1" showErrorMessage="1" sqref="C1257">
      <formula1>"Number"</formula1>
    </dataValidation>
    <dataValidation type="list" allowBlank="1" showInputMessage="1" showErrorMessage="1" sqref="C1258">
      <formula1>"Number"</formula1>
    </dataValidation>
    <dataValidation type="list" allowBlank="1" showInputMessage="1" showErrorMessage="1" sqref="C1259">
      <formula1>"Number"</formula1>
    </dataValidation>
    <dataValidation type="list" allowBlank="1" showInputMessage="1" showErrorMessage="1" sqref="C1260">
      <formula1>"Number"</formula1>
    </dataValidation>
    <dataValidation type="list" allowBlank="1" showInputMessage="1" showErrorMessage="1" sqref="C1261">
      <formula1>"Number"</formula1>
    </dataValidation>
    <dataValidation type="list" allowBlank="1" showInputMessage="1" showErrorMessage="1" sqref="C1262">
      <formula1>"Number"</formula1>
    </dataValidation>
    <dataValidation type="list" allowBlank="1" showInputMessage="1" showErrorMessage="1" sqref="C1263">
      <formula1>"Number"</formula1>
    </dataValidation>
    <dataValidation type="list" allowBlank="1" showInputMessage="1" showErrorMessage="1" sqref="C1266">
      <formula1>"Number"</formula1>
    </dataValidation>
    <dataValidation type="list" allowBlank="1" showInputMessage="1" showErrorMessage="1" sqref="C1267">
      <formula1>"Number"</formula1>
    </dataValidation>
    <dataValidation type="list" allowBlank="1" showInputMessage="1" showErrorMessage="1" sqref="C1268">
      <formula1>"Number"</formula1>
    </dataValidation>
    <dataValidation type="list" allowBlank="1" showInputMessage="1" showErrorMessage="1" sqref="C1269">
      <formula1>"Number"</formula1>
    </dataValidation>
    <dataValidation type="list" allowBlank="1" showInputMessage="1" showErrorMessage="1" sqref="C1270">
      <formula1>"Number"</formula1>
    </dataValidation>
    <dataValidation type="list" allowBlank="1" showInputMessage="1" showErrorMessage="1" sqref="C1271">
      <formula1>"Number"</formula1>
    </dataValidation>
    <dataValidation type="list" allowBlank="1" showInputMessage="1" showErrorMessage="1" sqref="C1272">
      <formula1>"Number"</formula1>
    </dataValidation>
    <dataValidation type="list" allowBlank="1" showInputMessage="1" showErrorMessage="1" sqref="C1273">
      <formula1>"Number"</formula1>
    </dataValidation>
    <dataValidation type="list" allowBlank="1" showInputMessage="1" showErrorMessage="1" sqref="C1274">
      <formula1>"Number"</formula1>
    </dataValidation>
    <dataValidation type="list" allowBlank="1" showInputMessage="1" showErrorMessage="1" sqref="C1275">
      <formula1>"Number"</formula1>
    </dataValidation>
    <dataValidation type="list" allowBlank="1" showInputMessage="1" showErrorMessage="1" sqref="C1276">
      <formula1>"Number"</formula1>
    </dataValidation>
    <dataValidation type="list" allowBlank="1" showInputMessage="1" showErrorMessage="1" sqref="C1277">
      <formula1>"Number"</formula1>
    </dataValidation>
    <dataValidation type="list" allowBlank="1" showInputMessage="1" showErrorMessage="1" sqref="C1278">
      <formula1>"Number"</formula1>
    </dataValidation>
    <dataValidation type="list" allowBlank="1" showInputMessage="1" showErrorMessage="1" sqref="C1279">
      <formula1>"Number"</formula1>
    </dataValidation>
    <dataValidation type="list" allowBlank="1" showInputMessage="1" showErrorMessage="1" sqref="C1282">
      <formula1>"Number"</formula1>
    </dataValidation>
    <dataValidation type="list" allowBlank="1" showInputMessage="1" showErrorMessage="1" sqref="C1283">
      <formula1>"Number"</formula1>
    </dataValidation>
    <dataValidation type="list" allowBlank="1" showInputMessage="1" showErrorMessage="1" sqref="C1284">
      <formula1>"Number"</formula1>
    </dataValidation>
    <dataValidation type="list" allowBlank="1" showInputMessage="1" showErrorMessage="1" sqref="C1285">
      <formula1>"Number"</formula1>
    </dataValidation>
    <dataValidation type="list" allowBlank="1" showInputMessage="1" showErrorMessage="1" sqref="C1286">
      <formula1>"Number"</formula1>
    </dataValidation>
    <dataValidation type="list" allowBlank="1" showInputMessage="1" showErrorMessage="1" sqref="C1287">
      <formula1>"Number"</formula1>
    </dataValidation>
    <dataValidation type="list" allowBlank="1" showInputMessage="1" showErrorMessage="1" sqref="C1288">
      <formula1>"Number"</formula1>
    </dataValidation>
    <dataValidation type="list" allowBlank="1" showInputMessage="1" showErrorMessage="1" sqref="C1289">
      <formula1>"Number"</formula1>
    </dataValidation>
    <dataValidation type="list" allowBlank="1" showInputMessage="1" showErrorMessage="1" sqref="C1290">
      <formula1>"Number"</formula1>
    </dataValidation>
    <dataValidation type="list" allowBlank="1" showInputMessage="1" showErrorMessage="1" sqref="C1291">
      <formula1>"Number"</formula1>
    </dataValidation>
    <dataValidation type="list" allowBlank="1" showInputMessage="1" showErrorMessage="1" sqref="C1292">
      <formula1>"Number"</formula1>
    </dataValidation>
    <dataValidation type="list" allowBlank="1" showInputMessage="1" showErrorMessage="1" sqref="C1293">
      <formula1>"Number"</formula1>
    </dataValidation>
    <dataValidation type="list" allowBlank="1" showInputMessage="1" showErrorMessage="1" sqref="C1294">
      <formula1>"Number"</formula1>
    </dataValidation>
    <dataValidation type="list" allowBlank="1" showInputMessage="1" showErrorMessage="1" sqref="C1295">
      <formula1>"Number"</formula1>
    </dataValidation>
    <dataValidation type="list" allowBlank="1" showInputMessage="1" showErrorMessage="1" sqref="C1298">
      <formula1>"Number"</formula1>
    </dataValidation>
    <dataValidation type="list" allowBlank="1" showInputMessage="1" showErrorMessage="1" sqref="C1299">
      <formula1>"Number"</formula1>
    </dataValidation>
    <dataValidation type="list" allowBlank="1" showInputMessage="1" showErrorMessage="1" sqref="C1300">
      <formula1>"Number"</formula1>
    </dataValidation>
    <dataValidation type="list" allowBlank="1" showInputMessage="1" showErrorMessage="1" sqref="C1301">
      <formula1>"Number"</formula1>
    </dataValidation>
    <dataValidation type="list" allowBlank="1" showInputMessage="1" showErrorMessage="1" sqref="C1302">
      <formula1>"Number"</formula1>
    </dataValidation>
    <dataValidation type="list" allowBlank="1" showInputMessage="1" showErrorMessage="1" sqref="C1303">
      <formula1>"Number"</formula1>
    </dataValidation>
    <dataValidation type="list" allowBlank="1" showInputMessage="1" showErrorMessage="1" sqref="C1304">
      <formula1>"Number"</formula1>
    </dataValidation>
    <dataValidation type="list" allowBlank="1" showInputMessage="1" showErrorMessage="1" sqref="C1305">
      <formula1>"Number"</formula1>
    </dataValidation>
    <dataValidation type="list" allowBlank="1" showInputMessage="1" showErrorMessage="1" sqref="C1306">
      <formula1>"Number"</formula1>
    </dataValidation>
    <dataValidation type="list" allowBlank="1" showInputMessage="1" showErrorMessage="1" sqref="C1307">
      <formula1>"Number"</formula1>
    </dataValidation>
    <dataValidation type="list" allowBlank="1" showInputMessage="1" showErrorMessage="1" sqref="C1308">
      <formula1>"Number"</formula1>
    </dataValidation>
    <dataValidation type="list" allowBlank="1" showInputMessage="1" showErrorMessage="1" sqref="C1309">
      <formula1>"Number"</formula1>
    </dataValidation>
    <dataValidation type="list" allowBlank="1" showInputMessage="1" showErrorMessage="1" sqref="C1310">
      <formula1>"Number"</formula1>
    </dataValidation>
    <dataValidation type="list" allowBlank="1" showInputMessage="1" showErrorMessage="1" sqref="C1311">
      <formula1>"Number"</formula1>
    </dataValidation>
    <dataValidation type="list" allowBlank="1" showInputMessage="1" showErrorMessage="1" sqref="C1314">
      <formula1>"Number"</formula1>
    </dataValidation>
    <dataValidation type="list" allowBlank="1" showInputMessage="1" showErrorMessage="1" sqref="C1315">
      <formula1>"Number"</formula1>
    </dataValidation>
    <dataValidation type="list" allowBlank="1" showInputMessage="1" showErrorMessage="1" sqref="C1316">
      <formula1>"Number"</formula1>
    </dataValidation>
    <dataValidation type="list" allowBlank="1" showInputMessage="1" showErrorMessage="1" sqref="C1317">
      <formula1>"Number"</formula1>
    </dataValidation>
    <dataValidation type="list" allowBlank="1" showInputMessage="1" showErrorMessage="1" sqref="C1318">
      <formula1>"Number"</formula1>
    </dataValidation>
    <dataValidation type="list" allowBlank="1" showInputMessage="1" showErrorMessage="1" sqref="C1319">
      <formula1>"Number"</formula1>
    </dataValidation>
    <dataValidation type="list" allowBlank="1" showInputMessage="1" showErrorMessage="1" sqref="C1320">
      <formula1>"Number"</formula1>
    </dataValidation>
    <dataValidation type="list" allowBlank="1" showInputMessage="1" showErrorMessage="1" sqref="C1321">
      <formula1>"Number"</formula1>
    </dataValidation>
    <dataValidation type="list" allowBlank="1" showInputMessage="1" showErrorMessage="1" sqref="C1322">
      <formula1>"Number"</formula1>
    </dataValidation>
    <dataValidation type="list" allowBlank="1" showInputMessage="1" showErrorMessage="1" sqref="C1323">
      <formula1>"Number"</formula1>
    </dataValidation>
    <dataValidation type="list" allowBlank="1" showInputMessage="1" showErrorMessage="1" sqref="C1324">
      <formula1>"Number"</formula1>
    </dataValidation>
    <dataValidation type="list" allowBlank="1" showInputMessage="1" showErrorMessage="1" sqref="C1325">
      <formula1>"Number"</formula1>
    </dataValidation>
    <dataValidation type="list" allowBlank="1" showInputMessage="1" showErrorMessage="1" sqref="C1326">
      <formula1>"Number"</formula1>
    </dataValidation>
    <dataValidation type="list" allowBlank="1" showInputMessage="1" showErrorMessage="1" sqref="C1327">
      <formula1>"Number"</formula1>
    </dataValidation>
  </dataValidation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sheetPr>
    <tabColor rgb="FF808080"/>
  </sheetPr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sheetPr>
    <tabColor rgb="FF808080"/>
  </sheetPr>
  <dimension ref="A1:BE95"/>
  <sheetViews>
    <sheetView workbookViewId="0"/>
  </sheetViews>
  <sheetFormatPr defaultRowHeight="15"/>
  <cols>
    <col min="1" max="1" width="85.28515625" customWidth="1"/>
    <col min="2" max="2" width="30.28515625" customWidth="1"/>
    <col min="3" max="3" width="20.42578125" customWidth="1"/>
    <col min="4" max="4" width="13.85546875" customWidth="1"/>
    <col min="5" max="5" width="10.5703125" customWidth="1"/>
    <col min="6" max="6" width="3.85546875" customWidth="1"/>
    <col min="7" max="57" width="9.42578125" customWidth="1"/>
  </cols>
  <sheetData>
    <row r="1" spans="1:57">
      <c r="A1" s="1" t="s">
        <v>210</v>
      </c>
      <c r="B1" s="1" t="s">
        <v>31</v>
      </c>
      <c r="C1" s="1" t="s">
        <v>32</v>
      </c>
      <c r="D1" s="1" t="s">
        <v>33</v>
      </c>
      <c r="E1" s="1" t="s">
        <v>38</v>
      </c>
      <c r="F1" s="1"/>
      <c r="G1" s="1">
        <v>2000</v>
      </c>
      <c r="H1" s="1">
        <v>2001</v>
      </c>
      <c r="I1" s="1">
        <v>2002</v>
      </c>
      <c r="J1" s="1">
        <v>2003</v>
      </c>
      <c r="K1" s="1">
        <v>2004</v>
      </c>
      <c r="L1" s="1">
        <v>2005</v>
      </c>
      <c r="M1" s="1">
        <v>2006</v>
      </c>
      <c r="N1" s="1">
        <v>2007</v>
      </c>
      <c r="O1" s="1">
        <v>2008</v>
      </c>
      <c r="P1" s="1">
        <v>2009</v>
      </c>
      <c r="Q1" s="1">
        <v>2010</v>
      </c>
      <c r="R1" s="1">
        <v>2011</v>
      </c>
      <c r="S1" s="1">
        <v>2012</v>
      </c>
      <c r="T1" s="1">
        <v>2013</v>
      </c>
      <c r="U1" s="1">
        <v>2014</v>
      </c>
      <c r="V1" s="1">
        <v>2015</v>
      </c>
      <c r="W1" s="1">
        <v>2016</v>
      </c>
      <c r="X1" s="1">
        <v>2017</v>
      </c>
      <c r="Y1" s="1">
        <v>2018</v>
      </c>
      <c r="Z1" s="1">
        <v>2019</v>
      </c>
      <c r="AA1" s="1">
        <v>2020</v>
      </c>
      <c r="AB1" s="1">
        <v>2021</v>
      </c>
      <c r="AC1" s="1">
        <v>2022</v>
      </c>
      <c r="AD1" s="1">
        <v>2023</v>
      </c>
      <c r="AE1" s="1">
        <v>2024</v>
      </c>
      <c r="AF1" s="1">
        <v>2025</v>
      </c>
      <c r="AG1" s="1">
        <v>2026</v>
      </c>
      <c r="AH1" s="1">
        <v>2027</v>
      </c>
      <c r="AI1" s="1">
        <v>2028</v>
      </c>
      <c r="AJ1" s="1">
        <v>2029</v>
      </c>
      <c r="AK1" s="1">
        <v>2030</v>
      </c>
      <c r="AL1" s="1">
        <v>2031</v>
      </c>
      <c r="AM1" s="1">
        <v>2032</v>
      </c>
      <c r="AN1" s="1">
        <v>2033</v>
      </c>
      <c r="AO1" s="1">
        <v>2034</v>
      </c>
      <c r="AP1" s="1">
        <v>2035</v>
      </c>
      <c r="AQ1" s="1">
        <v>2036</v>
      </c>
      <c r="AR1" s="1">
        <v>2037</v>
      </c>
      <c r="AS1" s="1">
        <v>2038</v>
      </c>
      <c r="AT1" s="1">
        <v>2039</v>
      </c>
      <c r="AU1" s="1">
        <v>2040</v>
      </c>
      <c r="AV1" s="1">
        <v>2041</v>
      </c>
      <c r="AW1" s="1">
        <v>2042</v>
      </c>
      <c r="AX1" s="1">
        <v>2043</v>
      </c>
      <c r="AY1" s="1">
        <v>2044</v>
      </c>
      <c r="AZ1" s="1">
        <v>2045</v>
      </c>
      <c r="BA1" s="1">
        <v>2046</v>
      </c>
      <c r="BB1" s="1">
        <v>2047</v>
      </c>
      <c r="BC1" s="1">
        <v>2048</v>
      </c>
      <c r="BD1" s="1">
        <v>2049</v>
      </c>
      <c r="BE1" s="1">
        <v>2050</v>
      </c>
    </row>
    <row r="2" spans="1:57">
      <c r="A2" s="1" t="str">
        <f>'Population Definitions'!$A$2</f>
        <v>PWID_males</v>
      </c>
      <c r="B2" t="s">
        <v>62</v>
      </c>
      <c r="C2" t="s">
        <v>58</v>
      </c>
      <c r="D2" s="3"/>
      <c r="E2" s="3">
        <v>1</v>
      </c>
      <c r="F2" s="4" t="s">
        <v>39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</row>
    <row r="3" spans="1:57">
      <c r="A3" s="1" t="str">
        <f>'Population Definitions'!$A$3</f>
        <v>PWID_females</v>
      </c>
      <c r="B3" t="s">
        <v>62</v>
      </c>
      <c r="C3" t="s">
        <v>58</v>
      </c>
      <c r="D3" s="3"/>
      <c r="E3" s="3">
        <v>1</v>
      </c>
      <c r="F3" s="4" t="s">
        <v>39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</row>
    <row r="4" spans="1:57">
      <c r="A4" s="1" t="str">
        <f>'Population Definitions'!$A$4</f>
        <v>0-9_males</v>
      </c>
      <c r="B4" t="s">
        <v>62</v>
      </c>
      <c r="C4" t="s">
        <v>58</v>
      </c>
      <c r="D4" s="3"/>
      <c r="E4" s="3">
        <v>1</v>
      </c>
      <c r="F4" s="4" t="s">
        <v>39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</row>
    <row r="5" spans="1:57">
      <c r="A5" s="1" t="str">
        <f>'Population Definitions'!$A$5</f>
        <v>0-9_females</v>
      </c>
      <c r="B5" t="s">
        <v>62</v>
      </c>
      <c r="C5" t="s">
        <v>58</v>
      </c>
      <c r="D5" s="3"/>
      <c r="E5" s="3">
        <v>1</v>
      </c>
      <c r="F5" s="4" t="s">
        <v>39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</row>
    <row r="6" spans="1:57">
      <c r="A6" s="1" t="str">
        <f>'Population Definitions'!$A$6</f>
        <v>10-17_males</v>
      </c>
      <c r="B6" t="s">
        <v>62</v>
      </c>
      <c r="C6" t="s">
        <v>58</v>
      </c>
      <c r="D6" s="3"/>
      <c r="E6" s="3">
        <v>1</v>
      </c>
      <c r="F6" s="4" t="s">
        <v>39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</row>
    <row r="7" spans="1:57">
      <c r="A7" s="1" t="str">
        <f>'Population Definitions'!$A$7</f>
        <v>10-17_females</v>
      </c>
      <c r="B7" t="s">
        <v>62</v>
      </c>
      <c r="C7" t="s">
        <v>58</v>
      </c>
      <c r="D7" s="3"/>
      <c r="E7" s="3">
        <v>1</v>
      </c>
      <c r="F7" s="4" t="s">
        <v>39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</row>
    <row r="8" spans="1:57">
      <c r="A8" s="1" t="str">
        <f>'Population Definitions'!$A$8</f>
        <v>18-64_males</v>
      </c>
      <c r="B8" t="s">
        <v>62</v>
      </c>
      <c r="C8" t="s">
        <v>58</v>
      </c>
      <c r="D8" s="3"/>
      <c r="E8" s="3">
        <v>1</v>
      </c>
      <c r="F8" s="4" t="s">
        <v>39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</row>
    <row r="9" spans="1:57">
      <c r="A9" s="1" t="str">
        <f>'Population Definitions'!$A$9</f>
        <v>18-64_females</v>
      </c>
      <c r="B9" t="s">
        <v>62</v>
      </c>
      <c r="C9" t="s">
        <v>58</v>
      </c>
      <c r="D9" s="3"/>
      <c r="E9" s="3">
        <v>1</v>
      </c>
      <c r="F9" s="4" t="s">
        <v>39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</row>
    <row r="10" spans="1:57">
      <c r="A10" s="1" t="str">
        <f>'Population Definitions'!$A$10</f>
        <v>65+_males</v>
      </c>
      <c r="B10" t="s">
        <v>62</v>
      </c>
      <c r="C10" t="s">
        <v>58</v>
      </c>
      <c r="D10" s="3"/>
      <c r="E10" s="3">
        <v>1</v>
      </c>
      <c r="F10" s="4" t="s">
        <v>39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</row>
    <row r="11" spans="1:57">
      <c r="A11" s="1" t="str">
        <f>'Population Definitions'!$A$11</f>
        <v>65+_females</v>
      </c>
      <c r="B11" t="s">
        <v>62</v>
      </c>
      <c r="C11" t="s">
        <v>58</v>
      </c>
      <c r="D11" s="3"/>
      <c r="E11" s="3">
        <v>1</v>
      </c>
      <c r="F11" s="4" t="s">
        <v>39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</row>
    <row r="12" spans="1:57">
      <c r="A12" s="1" t="str">
        <f>'Population Definitions'!$A$12</f>
        <v>Prisoners_males</v>
      </c>
      <c r="B12" t="s">
        <v>62</v>
      </c>
      <c r="C12" t="s">
        <v>58</v>
      </c>
      <c r="D12" s="3"/>
      <c r="E12" s="3">
        <v>1</v>
      </c>
      <c r="F12" s="4" t="s">
        <v>39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</row>
    <row r="13" spans="1:57">
      <c r="A13" s="1" t="str">
        <f>'Population Definitions'!$A$13</f>
        <v>Prisoners_females</v>
      </c>
      <c r="B13" t="s">
        <v>62</v>
      </c>
      <c r="C13" t="s">
        <v>58</v>
      </c>
      <c r="D13" s="3"/>
      <c r="E13" s="3">
        <v>1</v>
      </c>
      <c r="F13" s="4" t="s">
        <v>39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</row>
    <row r="14" spans="1:57">
      <c r="A14" s="1" t="str">
        <f>'Population Definitions'!$A$14</f>
        <v>Prisoners_PWID_males</v>
      </c>
      <c r="B14" t="s">
        <v>62</v>
      </c>
      <c r="C14" t="s">
        <v>58</v>
      </c>
      <c r="D14" s="3"/>
      <c r="E14" s="3">
        <v>1</v>
      </c>
      <c r="F14" s="4" t="s">
        <v>39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</row>
    <row r="15" spans="1:57">
      <c r="A15" s="1" t="str">
        <f>'Population Definitions'!$A$15</f>
        <v>Prisoners_PWID_females</v>
      </c>
      <c r="B15" t="s">
        <v>62</v>
      </c>
      <c r="C15" t="s">
        <v>58</v>
      </c>
      <c r="D15" s="3"/>
      <c r="E15" s="3">
        <v>1</v>
      </c>
      <c r="F15" s="4" t="s">
        <v>39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</row>
    <row r="17" spans="1:57">
      <c r="A17" s="1" t="s">
        <v>211</v>
      </c>
      <c r="B17" s="1" t="s">
        <v>31</v>
      </c>
      <c r="C17" s="1" t="s">
        <v>32</v>
      </c>
      <c r="D17" s="1" t="s">
        <v>33</v>
      </c>
      <c r="E17" s="1" t="s">
        <v>38</v>
      </c>
      <c r="F17" s="1"/>
      <c r="G17" s="1">
        <v>2000</v>
      </c>
      <c r="H17" s="1">
        <v>2001</v>
      </c>
      <c r="I17" s="1">
        <v>2002</v>
      </c>
      <c r="J17" s="1">
        <v>2003</v>
      </c>
      <c r="K17" s="1">
        <v>2004</v>
      </c>
      <c r="L17" s="1">
        <v>2005</v>
      </c>
      <c r="M17" s="1">
        <v>2006</v>
      </c>
      <c r="N17" s="1">
        <v>2007</v>
      </c>
      <c r="O17" s="1">
        <v>2008</v>
      </c>
      <c r="P17" s="1">
        <v>2009</v>
      </c>
      <c r="Q17" s="1">
        <v>2010</v>
      </c>
      <c r="R17" s="1">
        <v>2011</v>
      </c>
      <c r="S17" s="1">
        <v>2012</v>
      </c>
      <c r="T17" s="1">
        <v>2013</v>
      </c>
      <c r="U17" s="1">
        <v>2014</v>
      </c>
      <c r="V17" s="1">
        <v>2015</v>
      </c>
      <c r="W17" s="1">
        <v>2016</v>
      </c>
      <c r="X17" s="1">
        <v>2017</v>
      </c>
      <c r="Y17" s="1">
        <v>2018</v>
      </c>
      <c r="Z17" s="1">
        <v>2019</v>
      </c>
      <c r="AA17" s="1">
        <v>2020</v>
      </c>
      <c r="AB17" s="1">
        <v>2021</v>
      </c>
      <c r="AC17" s="1">
        <v>2022</v>
      </c>
      <c r="AD17" s="1">
        <v>2023</v>
      </c>
      <c r="AE17" s="1">
        <v>2024</v>
      </c>
      <c r="AF17" s="1">
        <v>2025</v>
      </c>
      <c r="AG17" s="1">
        <v>2026</v>
      </c>
      <c r="AH17" s="1">
        <v>2027</v>
      </c>
      <c r="AI17" s="1">
        <v>2028</v>
      </c>
      <c r="AJ17" s="1">
        <v>2029</v>
      </c>
      <c r="AK17" s="1">
        <v>2030</v>
      </c>
      <c r="AL17" s="1">
        <v>2031</v>
      </c>
      <c r="AM17" s="1">
        <v>2032</v>
      </c>
      <c r="AN17" s="1">
        <v>2033</v>
      </c>
      <c r="AO17" s="1">
        <v>2034</v>
      </c>
      <c r="AP17" s="1">
        <v>2035</v>
      </c>
      <c r="AQ17" s="1">
        <v>2036</v>
      </c>
      <c r="AR17" s="1">
        <v>2037</v>
      </c>
      <c r="AS17" s="1">
        <v>2038</v>
      </c>
      <c r="AT17" s="1">
        <v>2039</v>
      </c>
      <c r="AU17" s="1">
        <v>2040</v>
      </c>
      <c r="AV17" s="1">
        <v>2041</v>
      </c>
      <c r="AW17" s="1">
        <v>2042</v>
      </c>
      <c r="AX17" s="1">
        <v>2043</v>
      </c>
      <c r="AY17" s="1">
        <v>2044</v>
      </c>
      <c r="AZ17" s="1">
        <v>2045</v>
      </c>
      <c r="BA17" s="1">
        <v>2046</v>
      </c>
      <c r="BB17" s="1">
        <v>2047</v>
      </c>
      <c r="BC17" s="1">
        <v>2048</v>
      </c>
      <c r="BD17" s="1">
        <v>2049</v>
      </c>
      <c r="BE17" s="1">
        <v>2050</v>
      </c>
    </row>
    <row r="18" spans="1:57">
      <c r="A18" s="1" t="str">
        <f>'Population Definitions'!$A$2</f>
        <v>PWID_males</v>
      </c>
      <c r="B18" t="s">
        <v>62</v>
      </c>
      <c r="C18" t="s">
        <v>58</v>
      </c>
      <c r="D18" s="3"/>
      <c r="E18" s="3">
        <v>1</v>
      </c>
      <c r="F18" s="4" t="s">
        <v>39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</row>
    <row r="19" spans="1:57">
      <c r="A19" s="1" t="str">
        <f>'Population Definitions'!$A$3</f>
        <v>PWID_females</v>
      </c>
      <c r="B19" t="s">
        <v>62</v>
      </c>
      <c r="C19" t="s">
        <v>58</v>
      </c>
      <c r="D19" s="3"/>
      <c r="E19" s="3">
        <v>1</v>
      </c>
      <c r="F19" s="4" t="s">
        <v>39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</row>
    <row r="20" spans="1:57">
      <c r="A20" s="1" t="str">
        <f>'Population Definitions'!$A$4</f>
        <v>0-9_males</v>
      </c>
      <c r="B20" t="s">
        <v>62</v>
      </c>
      <c r="C20" t="s">
        <v>58</v>
      </c>
      <c r="D20" s="3"/>
      <c r="E20" s="3">
        <v>1</v>
      </c>
      <c r="F20" s="4" t="s">
        <v>39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</row>
    <row r="21" spans="1:57">
      <c r="A21" s="1" t="str">
        <f>'Population Definitions'!$A$5</f>
        <v>0-9_females</v>
      </c>
      <c r="B21" t="s">
        <v>62</v>
      </c>
      <c r="C21" t="s">
        <v>58</v>
      </c>
      <c r="D21" s="3"/>
      <c r="E21" s="3">
        <v>1</v>
      </c>
      <c r="F21" s="4" t="s">
        <v>39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</row>
    <row r="22" spans="1:57">
      <c r="A22" s="1" t="str">
        <f>'Population Definitions'!$A$6</f>
        <v>10-17_males</v>
      </c>
      <c r="B22" t="s">
        <v>62</v>
      </c>
      <c r="C22" t="s">
        <v>58</v>
      </c>
      <c r="D22" s="3"/>
      <c r="E22" s="3">
        <v>1</v>
      </c>
      <c r="F22" s="4" t="s">
        <v>39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</row>
    <row r="23" spans="1:57">
      <c r="A23" s="1" t="str">
        <f>'Population Definitions'!$A$7</f>
        <v>10-17_females</v>
      </c>
      <c r="B23" t="s">
        <v>62</v>
      </c>
      <c r="C23" t="s">
        <v>58</v>
      </c>
      <c r="D23" s="3"/>
      <c r="E23" s="3">
        <v>1</v>
      </c>
      <c r="F23" s="4" t="s">
        <v>39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</row>
    <row r="24" spans="1:57">
      <c r="A24" s="1" t="str">
        <f>'Population Definitions'!$A$8</f>
        <v>18-64_males</v>
      </c>
      <c r="B24" t="s">
        <v>62</v>
      </c>
      <c r="C24" t="s">
        <v>58</v>
      </c>
      <c r="D24" s="3"/>
      <c r="E24" s="3">
        <v>1</v>
      </c>
      <c r="F24" s="4" t="s">
        <v>39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</row>
    <row r="25" spans="1:57">
      <c r="A25" s="1" t="str">
        <f>'Population Definitions'!$A$9</f>
        <v>18-64_females</v>
      </c>
      <c r="B25" t="s">
        <v>62</v>
      </c>
      <c r="C25" t="s">
        <v>58</v>
      </c>
      <c r="D25" s="3"/>
      <c r="E25" s="3">
        <v>1</v>
      </c>
      <c r="F25" s="4" t="s">
        <v>39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</row>
    <row r="26" spans="1:57">
      <c r="A26" s="1" t="str">
        <f>'Population Definitions'!$A$10</f>
        <v>65+_males</v>
      </c>
      <c r="B26" t="s">
        <v>62</v>
      </c>
      <c r="C26" t="s">
        <v>58</v>
      </c>
      <c r="D26" s="3"/>
      <c r="E26" s="3">
        <v>1</v>
      </c>
      <c r="F26" s="4" t="s">
        <v>39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</row>
    <row r="27" spans="1:57">
      <c r="A27" s="1" t="str">
        <f>'Population Definitions'!$A$11</f>
        <v>65+_females</v>
      </c>
      <c r="B27" t="s">
        <v>62</v>
      </c>
      <c r="C27" t="s">
        <v>58</v>
      </c>
      <c r="D27" s="3"/>
      <c r="E27" s="3">
        <v>1</v>
      </c>
      <c r="F27" s="4" t="s">
        <v>39</v>
      </c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</row>
    <row r="28" spans="1:57">
      <c r="A28" s="1" t="str">
        <f>'Population Definitions'!$A$12</f>
        <v>Prisoners_males</v>
      </c>
      <c r="B28" t="s">
        <v>62</v>
      </c>
      <c r="C28" t="s">
        <v>58</v>
      </c>
      <c r="D28" s="3"/>
      <c r="E28" s="3">
        <v>1</v>
      </c>
      <c r="F28" s="4" t="s">
        <v>39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</row>
    <row r="29" spans="1:57">
      <c r="A29" s="1" t="str">
        <f>'Population Definitions'!$A$13</f>
        <v>Prisoners_females</v>
      </c>
      <c r="B29" t="s">
        <v>62</v>
      </c>
      <c r="C29" t="s">
        <v>58</v>
      </c>
      <c r="D29" s="3"/>
      <c r="E29" s="3">
        <v>1</v>
      </c>
      <c r="F29" s="4" t="s">
        <v>39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</row>
    <row r="30" spans="1:57">
      <c r="A30" s="1" t="str">
        <f>'Population Definitions'!$A$14</f>
        <v>Prisoners_PWID_males</v>
      </c>
      <c r="B30" t="s">
        <v>62</v>
      </c>
      <c r="C30" t="s">
        <v>58</v>
      </c>
      <c r="D30" s="3"/>
      <c r="E30" s="3">
        <v>1</v>
      </c>
      <c r="F30" s="4" t="s">
        <v>39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</row>
    <row r="31" spans="1:57">
      <c r="A31" s="1" t="str">
        <f>'Population Definitions'!$A$15</f>
        <v>Prisoners_PWID_females</v>
      </c>
      <c r="B31" t="s">
        <v>62</v>
      </c>
      <c r="C31" t="s">
        <v>58</v>
      </c>
      <c r="D31" s="3"/>
      <c r="E31" s="3">
        <v>1</v>
      </c>
      <c r="F31" s="4" t="s">
        <v>39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</row>
    <row r="33" spans="1:57">
      <c r="A33" s="1" t="s">
        <v>212</v>
      </c>
      <c r="B33" s="1" t="s">
        <v>31</v>
      </c>
      <c r="C33" s="1" t="s">
        <v>32</v>
      </c>
      <c r="D33" s="1" t="s">
        <v>33</v>
      </c>
      <c r="E33" s="1" t="s">
        <v>38</v>
      </c>
      <c r="F33" s="1"/>
      <c r="G33" s="1">
        <v>2000</v>
      </c>
      <c r="H33" s="1">
        <v>2001</v>
      </c>
      <c r="I33" s="1">
        <v>2002</v>
      </c>
      <c r="J33" s="1">
        <v>2003</v>
      </c>
      <c r="K33" s="1">
        <v>2004</v>
      </c>
      <c r="L33" s="1">
        <v>2005</v>
      </c>
      <c r="M33" s="1">
        <v>2006</v>
      </c>
      <c r="N33" s="1">
        <v>2007</v>
      </c>
      <c r="O33" s="1">
        <v>2008</v>
      </c>
      <c r="P33" s="1">
        <v>2009</v>
      </c>
      <c r="Q33" s="1">
        <v>2010</v>
      </c>
      <c r="R33" s="1">
        <v>2011</v>
      </c>
      <c r="S33" s="1">
        <v>2012</v>
      </c>
      <c r="T33" s="1">
        <v>2013</v>
      </c>
      <c r="U33" s="1">
        <v>2014</v>
      </c>
      <c r="V33" s="1">
        <v>2015</v>
      </c>
      <c r="W33" s="1">
        <v>2016</v>
      </c>
      <c r="X33" s="1">
        <v>2017</v>
      </c>
      <c r="Y33" s="1">
        <v>2018</v>
      </c>
      <c r="Z33" s="1">
        <v>2019</v>
      </c>
      <c r="AA33" s="1">
        <v>2020</v>
      </c>
      <c r="AB33" s="1">
        <v>2021</v>
      </c>
      <c r="AC33" s="1">
        <v>2022</v>
      </c>
      <c r="AD33" s="1">
        <v>2023</v>
      </c>
      <c r="AE33" s="1">
        <v>2024</v>
      </c>
      <c r="AF33" s="1">
        <v>2025</v>
      </c>
      <c r="AG33" s="1">
        <v>2026</v>
      </c>
      <c r="AH33" s="1">
        <v>2027</v>
      </c>
      <c r="AI33" s="1">
        <v>2028</v>
      </c>
      <c r="AJ33" s="1">
        <v>2029</v>
      </c>
      <c r="AK33" s="1">
        <v>2030</v>
      </c>
      <c r="AL33" s="1">
        <v>2031</v>
      </c>
      <c r="AM33" s="1">
        <v>2032</v>
      </c>
      <c r="AN33" s="1">
        <v>2033</v>
      </c>
      <c r="AO33" s="1">
        <v>2034</v>
      </c>
      <c r="AP33" s="1">
        <v>2035</v>
      </c>
      <c r="AQ33" s="1">
        <v>2036</v>
      </c>
      <c r="AR33" s="1">
        <v>2037</v>
      </c>
      <c r="AS33" s="1">
        <v>2038</v>
      </c>
      <c r="AT33" s="1">
        <v>2039</v>
      </c>
      <c r="AU33" s="1">
        <v>2040</v>
      </c>
      <c r="AV33" s="1">
        <v>2041</v>
      </c>
      <c r="AW33" s="1">
        <v>2042</v>
      </c>
      <c r="AX33" s="1">
        <v>2043</v>
      </c>
      <c r="AY33" s="1">
        <v>2044</v>
      </c>
      <c r="AZ33" s="1">
        <v>2045</v>
      </c>
      <c r="BA33" s="1">
        <v>2046</v>
      </c>
      <c r="BB33" s="1">
        <v>2047</v>
      </c>
      <c r="BC33" s="1">
        <v>2048</v>
      </c>
      <c r="BD33" s="1">
        <v>2049</v>
      </c>
      <c r="BE33" s="1">
        <v>2050</v>
      </c>
    </row>
    <row r="34" spans="1:57">
      <c r="A34" s="1" t="str">
        <f>'Population Definitions'!$A$2</f>
        <v>PWID_males</v>
      </c>
      <c r="C34" t="s">
        <v>58</v>
      </c>
      <c r="D34" s="3"/>
      <c r="E34" s="3">
        <v>0</v>
      </c>
      <c r="F34" s="4" t="s">
        <v>39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</row>
    <row r="35" spans="1:57">
      <c r="A35" s="1" t="str">
        <f>'Population Definitions'!$A$3</f>
        <v>PWID_females</v>
      </c>
      <c r="C35" t="s">
        <v>58</v>
      </c>
      <c r="D35" s="3"/>
      <c r="E35" s="3">
        <v>0</v>
      </c>
      <c r="F35" s="4" t="s">
        <v>39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</row>
    <row r="36" spans="1:57">
      <c r="A36" s="1" t="str">
        <f>'Population Definitions'!$A$4</f>
        <v>0-9_males</v>
      </c>
      <c r="C36" t="s">
        <v>58</v>
      </c>
      <c r="D36" s="3"/>
      <c r="E36" s="3">
        <v>1</v>
      </c>
      <c r="F36" s="4" t="s">
        <v>39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</row>
    <row r="37" spans="1:57">
      <c r="A37" s="1" t="str">
        <f>'Population Definitions'!$A$5</f>
        <v>0-9_females</v>
      </c>
      <c r="C37" t="s">
        <v>58</v>
      </c>
      <c r="D37" s="3"/>
      <c r="E37" s="3">
        <v>1</v>
      </c>
      <c r="F37" s="4" t="s">
        <v>39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</row>
    <row r="38" spans="1:57">
      <c r="A38" s="1" t="str">
        <f>'Population Definitions'!$A$6</f>
        <v>10-17_males</v>
      </c>
      <c r="C38" t="s">
        <v>58</v>
      </c>
      <c r="D38" s="3"/>
      <c r="E38" s="3">
        <v>1</v>
      </c>
      <c r="F38" s="4" t="s">
        <v>39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</row>
    <row r="39" spans="1:57">
      <c r="A39" s="1" t="str">
        <f>'Population Definitions'!$A$7</f>
        <v>10-17_females</v>
      </c>
      <c r="C39" t="s">
        <v>58</v>
      </c>
      <c r="D39" s="3"/>
      <c r="E39" s="3">
        <v>1</v>
      </c>
      <c r="F39" s="4" t="s">
        <v>39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</row>
    <row r="40" spans="1:57">
      <c r="A40" s="1" t="str">
        <f>'Population Definitions'!$A$8</f>
        <v>18-64_males</v>
      </c>
      <c r="C40" t="s">
        <v>58</v>
      </c>
      <c r="D40" s="3"/>
      <c r="E40" s="3">
        <v>1</v>
      </c>
      <c r="F40" s="4" t="s">
        <v>39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</row>
    <row r="41" spans="1:57">
      <c r="A41" s="1" t="str">
        <f>'Population Definitions'!$A$9</f>
        <v>18-64_females</v>
      </c>
      <c r="C41" t="s">
        <v>58</v>
      </c>
      <c r="D41" s="3"/>
      <c r="E41" s="3">
        <v>1</v>
      </c>
      <c r="F41" s="4" t="s">
        <v>39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</row>
    <row r="42" spans="1:57">
      <c r="A42" s="1" t="str">
        <f>'Population Definitions'!$A$10</f>
        <v>65+_males</v>
      </c>
      <c r="C42" t="s">
        <v>58</v>
      </c>
      <c r="D42" s="3"/>
      <c r="E42" s="3">
        <v>1</v>
      </c>
      <c r="F42" s="4" t="s">
        <v>39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</row>
    <row r="43" spans="1:57">
      <c r="A43" s="1" t="str">
        <f>'Population Definitions'!$A$11</f>
        <v>65+_females</v>
      </c>
      <c r="C43" t="s">
        <v>58</v>
      </c>
      <c r="D43" s="3"/>
      <c r="E43" s="3">
        <v>1</v>
      </c>
      <c r="F43" s="4" t="s">
        <v>39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</row>
    <row r="44" spans="1:57">
      <c r="A44" s="1" t="str">
        <f>'Population Definitions'!$A$12</f>
        <v>Prisoners_males</v>
      </c>
      <c r="C44" t="s">
        <v>58</v>
      </c>
      <c r="D44" s="3"/>
      <c r="E44" s="3">
        <v>0</v>
      </c>
      <c r="F44" s="4" t="s">
        <v>39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</row>
    <row r="45" spans="1:57">
      <c r="A45" s="1" t="str">
        <f>'Population Definitions'!$A$13</f>
        <v>Prisoners_females</v>
      </c>
      <c r="C45" t="s">
        <v>58</v>
      </c>
      <c r="D45" s="3"/>
      <c r="E45" s="3">
        <v>0</v>
      </c>
      <c r="F45" s="4" t="s">
        <v>39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</row>
    <row r="46" spans="1:57">
      <c r="A46" s="1" t="str">
        <f>'Population Definitions'!$A$14</f>
        <v>Prisoners_PWID_males</v>
      </c>
      <c r="C46" t="s">
        <v>58</v>
      </c>
      <c r="D46" s="3"/>
      <c r="E46" s="3">
        <v>0</v>
      </c>
      <c r="F46" s="4" t="s">
        <v>39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</row>
    <row r="47" spans="1:57">
      <c r="A47" s="1" t="str">
        <f>'Population Definitions'!$A$15</f>
        <v>Prisoners_PWID_females</v>
      </c>
      <c r="C47" t="s">
        <v>58</v>
      </c>
      <c r="D47" s="3"/>
      <c r="E47" s="3">
        <v>0</v>
      </c>
      <c r="F47" s="4" t="s">
        <v>39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</row>
    <row r="49" spans="1:57">
      <c r="A49" s="1" t="s">
        <v>213</v>
      </c>
      <c r="B49" s="1" t="s">
        <v>31</v>
      </c>
      <c r="C49" s="1" t="s">
        <v>32</v>
      </c>
      <c r="D49" s="1" t="s">
        <v>33</v>
      </c>
      <c r="E49" s="1" t="s">
        <v>38</v>
      </c>
      <c r="F49" s="1"/>
      <c r="G49" s="1">
        <v>2000</v>
      </c>
      <c r="H49" s="1">
        <v>2001</v>
      </c>
      <c r="I49" s="1">
        <v>2002</v>
      </c>
      <c r="J49" s="1">
        <v>2003</v>
      </c>
      <c r="K49" s="1">
        <v>2004</v>
      </c>
      <c r="L49" s="1">
        <v>2005</v>
      </c>
      <c r="M49" s="1">
        <v>2006</v>
      </c>
      <c r="N49" s="1">
        <v>2007</v>
      </c>
      <c r="O49" s="1">
        <v>2008</v>
      </c>
      <c r="P49" s="1">
        <v>2009</v>
      </c>
      <c r="Q49" s="1">
        <v>2010</v>
      </c>
      <c r="R49" s="1">
        <v>2011</v>
      </c>
      <c r="S49" s="1">
        <v>2012</v>
      </c>
      <c r="T49" s="1">
        <v>2013</v>
      </c>
      <c r="U49" s="1">
        <v>2014</v>
      </c>
      <c r="V49" s="1">
        <v>2015</v>
      </c>
      <c r="W49" s="1">
        <v>2016</v>
      </c>
      <c r="X49" s="1">
        <v>2017</v>
      </c>
      <c r="Y49" s="1">
        <v>2018</v>
      </c>
      <c r="Z49" s="1">
        <v>2019</v>
      </c>
      <c r="AA49" s="1">
        <v>2020</v>
      </c>
      <c r="AB49" s="1">
        <v>2021</v>
      </c>
      <c r="AC49" s="1">
        <v>2022</v>
      </c>
      <c r="AD49" s="1">
        <v>2023</v>
      </c>
      <c r="AE49" s="1">
        <v>2024</v>
      </c>
      <c r="AF49" s="1">
        <v>2025</v>
      </c>
      <c r="AG49" s="1">
        <v>2026</v>
      </c>
      <c r="AH49" s="1">
        <v>2027</v>
      </c>
      <c r="AI49" s="1">
        <v>2028</v>
      </c>
      <c r="AJ49" s="1">
        <v>2029</v>
      </c>
      <c r="AK49" s="1">
        <v>2030</v>
      </c>
      <c r="AL49" s="1">
        <v>2031</v>
      </c>
      <c r="AM49" s="1">
        <v>2032</v>
      </c>
      <c r="AN49" s="1">
        <v>2033</v>
      </c>
      <c r="AO49" s="1">
        <v>2034</v>
      </c>
      <c r="AP49" s="1">
        <v>2035</v>
      </c>
      <c r="AQ49" s="1">
        <v>2036</v>
      </c>
      <c r="AR49" s="1">
        <v>2037</v>
      </c>
      <c r="AS49" s="1">
        <v>2038</v>
      </c>
      <c r="AT49" s="1">
        <v>2039</v>
      </c>
      <c r="AU49" s="1">
        <v>2040</v>
      </c>
      <c r="AV49" s="1">
        <v>2041</v>
      </c>
      <c r="AW49" s="1">
        <v>2042</v>
      </c>
      <c r="AX49" s="1">
        <v>2043</v>
      </c>
      <c r="AY49" s="1">
        <v>2044</v>
      </c>
      <c r="AZ49" s="1">
        <v>2045</v>
      </c>
      <c r="BA49" s="1">
        <v>2046</v>
      </c>
      <c r="BB49" s="1">
        <v>2047</v>
      </c>
      <c r="BC49" s="1">
        <v>2048</v>
      </c>
      <c r="BD49" s="1">
        <v>2049</v>
      </c>
      <c r="BE49" s="1">
        <v>2050</v>
      </c>
    </row>
    <row r="50" spans="1:57">
      <c r="A50" s="1" t="str">
        <f>'Population Definitions'!$A$2</f>
        <v>PWID_males</v>
      </c>
      <c r="C50" t="s">
        <v>58</v>
      </c>
      <c r="D50" s="3"/>
      <c r="E50" s="3">
        <v>1</v>
      </c>
      <c r="F50" s="4" t="s">
        <v>39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</row>
    <row r="51" spans="1:57">
      <c r="A51" s="1" t="str">
        <f>'Population Definitions'!$A$3</f>
        <v>PWID_females</v>
      </c>
      <c r="C51" t="s">
        <v>58</v>
      </c>
      <c r="D51" s="3"/>
      <c r="E51" s="3">
        <v>1</v>
      </c>
      <c r="F51" s="4" t="s">
        <v>39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</row>
    <row r="52" spans="1:57">
      <c r="A52" s="1" t="str">
        <f>'Population Definitions'!$A$4</f>
        <v>0-9_males</v>
      </c>
      <c r="C52" t="s">
        <v>58</v>
      </c>
      <c r="D52" s="3"/>
      <c r="E52" s="3">
        <v>0</v>
      </c>
      <c r="F52" s="4" t="s">
        <v>39</v>
      </c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</row>
    <row r="53" spans="1:57">
      <c r="A53" s="1" t="str">
        <f>'Population Definitions'!$A$5</f>
        <v>0-9_females</v>
      </c>
      <c r="C53" t="s">
        <v>58</v>
      </c>
      <c r="D53" s="3"/>
      <c r="E53" s="3">
        <v>0</v>
      </c>
      <c r="F53" s="4" t="s">
        <v>39</v>
      </c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</row>
    <row r="54" spans="1:57">
      <c r="A54" s="1" t="str">
        <f>'Population Definitions'!$A$6</f>
        <v>10-17_males</v>
      </c>
      <c r="C54" t="s">
        <v>58</v>
      </c>
      <c r="D54" s="3"/>
      <c r="E54" s="3">
        <v>0</v>
      </c>
      <c r="F54" s="4" t="s">
        <v>39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</row>
    <row r="55" spans="1:57">
      <c r="A55" s="1" t="str">
        <f>'Population Definitions'!$A$7</f>
        <v>10-17_females</v>
      </c>
      <c r="C55" t="s">
        <v>58</v>
      </c>
      <c r="D55" s="3"/>
      <c r="E55" s="3">
        <v>0</v>
      </c>
      <c r="F55" s="4" t="s">
        <v>39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</row>
    <row r="56" spans="1:57">
      <c r="A56" s="1" t="str">
        <f>'Population Definitions'!$A$8</f>
        <v>18-64_males</v>
      </c>
      <c r="C56" t="s">
        <v>58</v>
      </c>
      <c r="D56" s="3"/>
      <c r="E56" s="3">
        <v>0</v>
      </c>
      <c r="F56" s="4" t="s">
        <v>39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</row>
    <row r="57" spans="1:57">
      <c r="A57" s="1" t="str">
        <f>'Population Definitions'!$A$9</f>
        <v>18-64_females</v>
      </c>
      <c r="C57" t="s">
        <v>58</v>
      </c>
      <c r="D57" s="3"/>
      <c r="E57" s="3">
        <v>0</v>
      </c>
      <c r="F57" s="4" t="s">
        <v>39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</row>
    <row r="58" spans="1:57">
      <c r="A58" s="1" t="str">
        <f>'Population Definitions'!$A$10</f>
        <v>65+_males</v>
      </c>
      <c r="C58" t="s">
        <v>58</v>
      </c>
      <c r="D58" s="3"/>
      <c r="E58" s="3">
        <v>0</v>
      </c>
      <c r="F58" s="4" t="s">
        <v>39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</row>
    <row r="59" spans="1:57">
      <c r="A59" s="1" t="str">
        <f>'Population Definitions'!$A$11</f>
        <v>65+_females</v>
      </c>
      <c r="C59" t="s">
        <v>58</v>
      </c>
      <c r="D59" s="3"/>
      <c r="E59" s="3">
        <v>0</v>
      </c>
      <c r="F59" s="4" t="s">
        <v>39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</row>
    <row r="60" spans="1:57">
      <c r="A60" s="1" t="str">
        <f>'Population Definitions'!$A$12</f>
        <v>Prisoners_males</v>
      </c>
      <c r="C60" t="s">
        <v>58</v>
      </c>
      <c r="D60" s="3"/>
      <c r="E60" s="3">
        <v>1</v>
      </c>
      <c r="F60" s="4" t="s">
        <v>39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</row>
    <row r="61" spans="1:57">
      <c r="A61" s="1" t="str">
        <f>'Population Definitions'!$A$13</f>
        <v>Prisoners_females</v>
      </c>
      <c r="C61" t="s">
        <v>58</v>
      </c>
      <c r="D61" s="3"/>
      <c r="E61" s="3">
        <v>1</v>
      </c>
      <c r="F61" s="4" t="s">
        <v>39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</row>
    <row r="62" spans="1:57">
      <c r="A62" s="1" t="str">
        <f>'Population Definitions'!$A$14</f>
        <v>Prisoners_PWID_males</v>
      </c>
      <c r="C62" t="s">
        <v>58</v>
      </c>
      <c r="D62" s="3"/>
      <c r="E62" s="3">
        <v>1</v>
      </c>
      <c r="F62" s="4" t="s">
        <v>39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</row>
    <row r="63" spans="1:57">
      <c r="A63" s="1" t="str">
        <f>'Population Definitions'!$A$15</f>
        <v>Prisoners_PWID_females</v>
      </c>
      <c r="C63" t="s">
        <v>58</v>
      </c>
      <c r="D63" s="3"/>
      <c r="E63" s="3">
        <v>1</v>
      </c>
      <c r="F63" s="4" t="s">
        <v>39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</row>
    <row r="65" spans="1:57">
      <c r="A65" s="1" t="s">
        <v>214</v>
      </c>
      <c r="B65" s="1" t="s">
        <v>31</v>
      </c>
      <c r="C65" s="1" t="s">
        <v>32</v>
      </c>
      <c r="D65" s="1" t="s">
        <v>33</v>
      </c>
      <c r="E65" s="1" t="s">
        <v>38</v>
      </c>
      <c r="F65" s="1"/>
      <c r="G65" s="1">
        <v>2000</v>
      </c>
      <c r="H65" s="1">
        <v>2001</v>
      </c>
      <c r="I65" s="1">
        <v>2002</v>
      </c>
      <c r="J65" s="1">
        <v>2003</v>
      </c>
      <c r="K65" s="1">
        <v>2004</v>
      </c>
      <c r="L65" s="1">
        <v>2005</v>
      </c>
      <c r="M65" s="1">
        <v>2006</v>
      </c>
      <c r="N65" s="1">
        <v>2007</v>
      </c>
      <c r="O65" s="1">
        <v>2008</v>
      </c>
      <c r="P65" s="1">
        <v>2009</v>
      </c>
      <c r="Q65" s="1">
        <v>2010</v>
      </c>
      <c r="R65" s="1">
        <v>2011</v>
      </c>
      <c r="S65" s="1">
        <v>2012</v>
      </c>
      <c r="T65" s="1">
        <v>2013</v>
      </c>
      <c r="U65" s="1">
        <v>2014</v>
      </c>
      <c r="V65" s="1">
        <v>2015</v>
      </c>
      <c r="W65" s="1">
        <v>2016</v>
      </c>
      <c r="X65" s="1">
        <v>2017</v>
      </c>
      <c r="Y65" s="1">
        <v>2018</v>
      </c>
      <c r="Z65" s="1">
        <v>2019</v>
      </c>
      <c r="AA65" s="1">
        <v>2020</v>
      </c>
      <c r="AB65" s="1">
        <v>2021</v>
      </c>
      <c r="AC65" s="1">
        <v>2022</v>
      </c>
      <c r="AD65" s="1">
        <v>2023</v>
      </c>
      <c r="AE65" s="1">
        <v>2024</v>
      </c>
      <c r="AF65" s="1">
        <v>2025</v>
      </c>
      <c r="AG65" s="1">
        <v>2026</v>
      </c>
      <c r="AH65" s="1">
        <v>2027</v>
      </c>
      <c r="AI65" s="1">
        <v>2028</v>
      </c>
      <c r="AJ65" s="1">
        <v>2029</v>
      </c>
      <c r="AK65" s="1">
        <v>2030</v>
      </c>
      <c r="AL65" s="1">
        <v>2031</v>
      </c>
      <c r="AM65" s="1">
        <v>2032</v>
      </c>
      <c r="AN65" s="1">
        <v>2033</v>
      </c>
      <c r="AO65" s="1">
        <v>2034</v>
      </c>
      <c r="AP65" s="1">
        <v>2035</v>
      </c>
      <c r="AQ65" s="1">
        <v>2036</v>
      </c>
      <c r="AR65" s="1">
        <v>2037</v>
      </c>
      <c r="AS65" s="1">
        <v>2038</v>
      </c>
      <c r="AT65" s="1">
        <v>2039</v>
      </c>
      <c r="AU65" s="1">
        <v>2040</v>
      </c>
      <c r="AV65" s="1">
        <v>2041</v>
      </c>
      <c r="AW65" s="1">
        <v>2042</v>
      </c>
      <c r="AX65" s="1">
        <v>2043</v>
      </c>
      <c r="AY65" s="1">
        <v>2044</v>
      </c>
      <c r="AZ65" s="1">
        <v>2045</v>
      </c>
      <c r="BA65" s="1">
        <v>2046</v>
      </c>
      <c r="BB65" s="1">
        <v>2047</v>
      </c>
      <c r="BC65" s="1">
        <v>2048</v>
      </c>
      <c r="BD65" s="1">
        <v>2049</v>
      </c>
      <c r="BE65" s="1">
        <v>2050</v>
      </c>
    </row>
    <row r="66" spans="1:57">
      <c r="A66" s="1" t="str">
        <f>'Population Definitions'!$A$2</f>
        <v>PWID_males</v>
      </c>
      <c r="C66" t="s">
        <v>53</v>
      </c>
      <c r="D66" s="3">
        <v>122.1700168228031</v>
      </c>
      <c r="E66" s="3"/>
      <c r="F66" s="4" t="s">
        <v>39</v>
      </c>
      <c r="G66" s="3">
        <v>26.922</v>
      </c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>
        <v>26.922</v>
      </c>
      <c r="V66" s="3">
        <v>80.76600000000001</v>
      </c>
      <c r="W66" s="3">
        <v>43.501</v>
      </c>
      <c r="X66" s="3">
        <v>48.138</v>
      </c>
      <c r="Y66" s="3">
        <v>25.888</v>
      </c>
      <c r="Z66" s="3">
        <v>1</v>
      </c>
      <c r="AA66" s="3">
        <v>2072</v>
      </c>
      <c r="AB66" s="3">
        <v>54.039</v>
      </c>
      <c r="AC66" s="3">
        <v>1</v>
      </c>
      <c r="AD66" s="3">
        <v>1</v>
      </c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</row>
    <row r="67" spans="1:57">
      <c r="A67" s="1" t="str">
        <f>'Population Definitions'!$A$3</f>
        <v>PWID_females</v>
      </c>
      <c r="C67" t="s">
        <v>53</v>
      </c>
      <c r="D67" s="3">
        <v>34.47597991433562</v>
      </c>
      <c r="E67" s="3"/>
      <c r="F67" s="4" t="s">
        <v>39</v>
      </c>
      <c r="G67" s="3">
        <v>26.922</v>
      </c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>
        <v>26.922</v>
      </c>
      <c r="V67" s="3">
        <v>80.76600000000001</v>
      </c>
      <c r="W67" s="3">
        <v>43.501</v>
      </c>
      <c r="X67" s="3">
        <v>48.138</v>
      </c>
      <c r="Y67" s="3">
        <v>25.888</v>
      </c>
      <c r="Z67" s="3">
        <v>1</v>
      </c>
      <c r="AA67" s="3">
        <v>2072</v>
      </c>
      <c r="AB67" s="3">
        <v>54.039</v>
      </c>
      <c r="AC67" s="3">
        <v>1</v>
      </c>
      <c r="AD67" s="3">
        <v>1</v>
      </c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</row>
    <row r="68" spans="1:57">
      <c r="A68" s="1" t="str">
        <f>'Population Definitions'!$A$4</f>
        <v>0-9_males</v>
      </c>
      <c r="C68" t="s">
        <v>53</v>
      </c>
      <c r="D68" s="3">
        <v>0</v>
      </c>
      <c r="E68" s="3"/>
      <c r="F68" s="4" t="s">
        <v>39</v>
      </c>
      <c r="G68" s="3">
        <v>26.922</v>
      </c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>
        <v>26.922</v>
      </c>
      <c r="V68" s="3">
        <v>80.76600000000001</v>
      </c>
      <c r="W68" s="3">
        <v>43.501</v>
      </c>
      <c r="X68" s="3">
        <v>48.138</v>
      </c>
      <c r="Y68" s="3">
        <v>25.888</v>
      </c>
      <c r="Z68" s="3">
        <v>1</v>
      </c>
      <c r="AA68" s="3">
        <v>2072</v>
      </c>
      <c r="AB68" s="3">
        <v>54.039</v>
      </c>
      <c r="AC68" s="3">
        <v>1</v>
      </c>
      <c r="AD68" s="3">
        <v>1</v>
      </c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</row>
    <row r="69" spans="1:57">
      <c r="A69" s="1" t="str">
        <f>'Population Definitions'!$A$5</f>
        <v>0-9_females</v>
      </c>
      <c r="C69" t="s">
        <v>53</v>
      </c>
      <c r="D69" s="3">
        <v>0</v>
      </c>
      <c r="E69" s="3"/>
      <c r="F69" s="4" t="s">
        <v>39</v>
      </c>
      <c r="G69" s="3">
        <v>26.922</v>
      </c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>
        <v>26.922</v>
      </c>
      <c r="V69" s="3">
        <v>80.76600000000001</v>
      </c>
      <c r="W69" s="3">
        <v>43.501</v>
      </c>
      <c r="X69" s="3">
        <v>48.138</v>
      </c>
      <c r="Y69" s="3">
        <v>25.888</v>
      </c>
      <c r="Z69" s="3">
        <v>1</v>
      </c>
      <c r="AA69" s="3">
        <v>2072</v>
      </c>
      <c r="AB69" s="3">
        <v>54.039</v>
      </c>
      <c r="AC69" s="3">
        <v>1</v>
      </c>
      <c r="AD69" s="3">
        <v>1</v>
      </c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</row>
    <row r="70" spans="1:57">
      <c r="A70" s="1" t="str">
        <f>'Population Definitions'!$A$6</f>
        <v>10-17_males</v>
      </c>
      <c r="C70" t="s">
        <v>53</v>
      </c>
      <c r="D70" s="3">
        <v>0</v>
      </c>
      <c r="E70" s="3"/>
      <c r="F70" s="4" t="s">
        <v>39</v>
      </c>
      <c r="G70" s="3">
        <v>26.922</v>
      </c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>
        <v>26.922</v>
      </c>
      <c r="V70" s="3">
        <v>80.76600000000001</v>
      </c>
      <c r="W70" s="3">
        <v>43.501</v>
      </c>
      <c r="X70" s="3">
        <v>48.138</v>
      </c>
      <c r="Y70" s="3">
        <v>25.888</v>
      </c>
      <c r="Z70" s="3">
        <v>1</v>
      </c>
      <c r="AA70" s="3">
        <v>2072</v>
      </c>
      <c r="AB70" s="3">
        <v>54.039</v>
      </c>
      <c r="AC70" s="3">
        <v>1</v>
      </c>
      <c r="AD70" s="3">
        <v>1</v>
      </c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</row>
    <row r="71" spans="1:57">
      <c r="A71" s="1" t="str">
        <f>'Population Definitions'!$A$7</f>
        <v>10-17_females</v>
      </c>
      <c r="C71" t="s">
        <v>53</v>
      </c>
      <c r="D71" s="3">
        <v>0</v>
      </c>
      <c r="E71" s="3"/>
      <c r="F71" s="4" t="s">
        <v>39</v>
      </c>
      <c r="G71" s="3">
        <v>26.922</v>
      </c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>
        <v>26.922</v>
      </c>
      <c r="V71" s="3">
        <v>80.76600000000001</v>
      </c>
      <c r="W71" s="3">
        <v>43.501</v>
      </c>
      <c r="X71" s="3">
        <v>48.138</v>
      </c>
      <c r="Y71" s="3">
        <v>25.888</v>
      </c>
      <c r="Z71" s="3">
        <v>1</v>
      </c>
      <c r="AA71" s="3">
        <v>2072</v>
      </c>
      <c r="AB71" s="3">
        <v>54.039</v>
      </c>
      <c r="AC71" s="3">
        <v>1</v>
      </c>
      <c r="AD71" s="3">
        <v>1</v>
      </c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</row>
    <row r="72" spans="1:57">
      <c r="A72" s="1" t="str">
        <f>'Population Definitions'!$A$8</f>
        <v>18-64_males</v>
      </c>
      <c r="C72" t="s">
        <v>53</v>
      </c>
      <c r="D72" s="3">
        <v>78.54645524944952</v>
      </c>
      <c r="E72" s="3"/>
      <c r="F72" s="4" t="s">
        <v>39</v>
      </c>
      <c r="G72" s="3">
        <v>26.922</v>
      </c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>
        <v>26.922</v>
      </c>
      <c r="V72" s="3">
        <v>80.76600000000001</v>
      </c>
      <c r="W72" s="3">
        <v>43.501</v>
      </c>
      <c r="X72" s="3">
        <v>48.138</v>
      </c>
      <c r="Y72" s="3">
        <v>25.888</v>
      </c>
      <c r="Z72" s="3">
        <v>1</v>
      </c>
      <c r="AA72" s="3">
        <v>2072</v>
      </c>
      <c r="AB72" s="3">
        <v>54.039</v>
      </c>
      <c r="AC72" s="3">
        <v>1</v>
      </c>
      <c r="AD72" s="3">
        <v>1</v>
      </c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</row>
    <row r="73" spans="1:57">
      <c r="A73" s="1" t="str">
        <f>'Population Definitions'!$A$9</f>
        <v>18-64_females</v>
      </c>
      <c r="C73" t="s">
        <v>53</v>
      </c>
      <c r="D73" s="3">
        <v>83.09350459471227</v>
      </c>
      <c r="E73" s="3"/>
      <c r="F73" s="4" t="s">
        <v>39</v>
      </c>
      <c r="G73" s="3">
        <v>26.922</v>
      </c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>
        <v>26.922</v>
      </c>
      <c r="V73" s="3">
        <v>80.76600000000001</v>
      </c>
      <c r="W73" s="3">
        <v>43.501</v>
      </c>
      <c r="X73" s="3">
        <v>48.138</v>
      </c>
      <c r="Y73" s="3">
        <v>25.888</v>
      </c>
      <c r="Z73" s="3">
        <v>1</v>
      </c>
      <c r="AA73" s="3">
        <v>2072</v>
      </c>
      <c r="AB73" s="3">
        <v>54.039</v>
      </c>
      <c r="AC73" s="3">
        <v>1</v>
      </c>
      <c r="AD73" s="3">
        <v>1</v>
      </c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</row>
    <row r="74" spans="1:57">
      <c r="A74" s="1" t="str">
        <f>'Population Definitions'!$A$10</f>
        <v>65+_males</v>
      </c>
      <c r="C74" t="s">
        <v>53</v>
      </c>
      <c r="D74" s="3">
        <v>4.50037371170942</v>
      </c>
      <c r="E74" s="3"/>
      <c r="F74" s="4" t="s">
        <v>39</v>
      </c>
      <c r="G74" s="3">
        <v>26.922</v>
      </c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>
        <v>26.922</v>
      </c>
      <c r="V74" s="3">
        <v>80.76600000000001</v>
      </c>
      <c r="W74" s="3">
        <v>43.501</v>
      </c>
      <c r="X74" s="3">
        <v>48.138</v>
      </c>
      <c r="Y74" s="3">
        <v>25.888</v>
      </c>
      <c r="Z74" s="3">
        <v>1</v>
      </c>
      <c r="AA74" s="3">
        <v>2072</v>
      </c>
      <c r="AB74" s="3">
        <v>54.039</v>
      </c>
      <c r="AC74" s="3">
        <v>1</v>
      </c>
      <c r="AD74" s="3">
        <v>1</v>
      </c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</row>
    <row r="75" spans="1:57">
      <c r="A75" s="1" t="str">
        <f>'Population Definitions'!$A$11</f>
        <v>65+_females</v>
      </c>
      <c r="C75" t="s">
        <v>53</v>
      </c>
      <c r="D75" s="3">
        <v>5.538863374638641</v>
      </c>
      <c r="E75" s="3"/>
      <c r="F75" s="4" t="s">
        <v>39</v>
      </c>
      <c r="G75" s="3">
        <v>26.922</v>
      </c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>
        <v>26.922</v>
      </c>
      <c r="V75" s="3">
        <v>80.76600000000001</v>
      </c>
      <c r="W75" s="3">
        <v>43.501</v>
      </c>
      <c r="X75" s="3">
        <v>48.138</v>
      </c>
      <c r="Y75" s="3">
        <v>25.888</v>
      </c>
      <c r="Z75" s="3">
        <v>1</v>
      </c>
      <c r="AA75" s="3">
        <v>2072</v>
      </c>
      <c r="AB75" s="3">
        <v>54.039</v>
      </c>
      <c r="AC75" s="3">
        <v>1</v>
      </c>
      <c r="AD75" s="3">
        <v>1</v>
      </c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</row>
    <row r="76" spans="1:57">
      <c r="A76" s="1" t="str">
        <f>'Population Definitions'!$A$12</f>
        <v>Prisoners_males</v>
      </c>
      <c r="C76" t="s">
        <v>53</v>
      </c>
      <c r="D76" s="3">
        <v>0.3471115811281114</v>
      </c>
      <c r="E76" s="3"/>
      <c r="F76" s="4" t="s">
        <v>39</v>
      </c>
      <c r="G76" s="3">
        <v>26.922</v>
      </c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>
        <v>26.922</v>
      </c>
      <c r="V76" s="3">
        <v>80.76600000000001</v>
      </c>
      <c r="W76" s="3">
        <v>43.501</v>
      </c>
      <c r="X76" s="3">
        <v>48.138</v>
      </c>
      <c r="Y76" s="3">
        <v>25.888</v>
      </c>
      <c r="Z76" s="3">
        <v>1</v>
      </c>
      <c r="AA76" s="3">
        <v>2072</v>
      </c>
      <c r="AB76" s="3">
        <v>54.039</v>
      </c>
      <c r="AC76" s="3">
        <v>1</v>
      </c>
      <c r="AD76" s="3">
        <v>1</v>
      </c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</row>
    <row r="77" spans="1:57">
      <c r="A77" s="1" t="str">
        <f>'Population Definitions'!$A$13</f>
        <v>Prisoners_females</v>
      </c>
      <c r="C77" t="s">
        <v>53</v>
      </c>
      <c r="D77" s="3">
        <v>0.01184558653281042</v>
      </c>
      <c r="E77" s="3"/>
      <c r="F77" s="4" t="s">
        <v>39</v>
      </c>
      <c r="G77" s="3">
        <v>26.922</v>
      </c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>
        <v>26.922</v>
      </c>
      <c r="V77" s="3">
        <v>80.76600000000001</v>
      </c>
      <c r="W77" s="3">
        <v>43.501</v>
      </c>
      <c r="X77" s="3">
        <v>48.138</v>
      </c>
      <c r="Y77" s="3">
        <v>25.888</v>
      </c>
      <c r="Z77" s="3">
        <v>1</v>
      </c>
      <c r="AA77" s="3">
        <v>2072</v>
      </c>
      <c r="AB77" s="3">
        <v>54.039</v>
      </c>
      <c r="AC77" s="3">
        <v>1</v>
      </c>
      <c r="AD77" s="3">
        <v>1</v>
      </c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</row>
    <row r="78" spans="1:57">
      <c r="A78" s="1" t="str">
        <f>'Population Definitions'!$A$14</f>
        <v>Prisoners_PWID_males</v>
      </c>
      <c r="C78" t="s">
        <v>53</v>
      </c>
      <c r="D78" s="3">
        <v>37.38708039391835</v>
      </c>
      <c r="E78" s="3"/>
      <c r="F78" s="4" t="s">
        <v>39</v>
      </c>
      <c r="G78" s="3">
        <v>26.922</v>
      </c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>
        <v>26.922</v>
      </c>
      <c r="V78" s="3">
        <v>80.76600000000001</v>
      </c>
      <c r="W78" s="3">
        <v>43.501</v>
      </c>
      <c r="X78" s="3">
        <v>48.138</v>
      </c>
      <c r="Y78" s="3">
        <v>25.888</v>
      </c>
      <c r="Z78" s="3">
        <v>1</v>
      </c>
      <c r="AA78" s="3">
        <v>2072</v>
      </c>
      <c r="AB78" s="3">
        <v>54.039</v>
      </c>
      <c r="AC78" s="3">
        <v>1</v>
      </c>
      <c r="AD78" s="3">
        <v>1</v>
      </c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/>
      <c r="BC78" s="3"/>
      <c r="BD78" s="3"/>
      <c r="BE78" s="3"/>
    </row>
    <row r="79" spans="1:57">
      <c r="A79" s="1" t="str">
        <f>'Population Definitions'!$A$15</f>
        <v>Prisoners_PWID_females</v>
      </c>
      <c r="C79" t="s">
        <v>53</v>
      </c>
      <c r="D79" s="3">
        <v>1.275877614270224</v>
      </c>
      <c r="E79" s="3"/>
      <c r="F79" s="4" t="s">
        <v>39</v>
      </c>
      <c r="G79" s="3">
        <v>26.922</v>
      </c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>
        <v>26.922</v>
      </c>
      <c r="V79" s="3">
        <v>80.76600000000001</v>
      </c>
      <c r="W79" s="3">
        <v>43.501</v>
      </c>
      <c r="X79" s="3">
        <v>48.138</v>
      </c>
      <c r="Y79" s="3">
        <v>25.888</v>
      </c>
      <c r="Z79" s="3">
        <v>1</v>
      </c>
      <c r="AA79" s="3">
        <v>2072</v>
      </c>
      <c r="AB79" s="3">
        <v>54.039</v>
      </c>
      <c r="AC79" s="3">
        <v>1</v>
      </c>
      <c r="AD79" s="3">
        <v>1</v>
      </c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3"/>
      <c r="BC79" s="3"/>
      <c r="BD79" s="3"/>
      <c r="BE79" s="3"/>
    </row>
    <row r="81" spans="1:57">
      <c r="A81" s="1" t="s">
        <v>215</v>
      </c>
      <c r="B81" s="1" t="s">
        <v>31</v>
      </c>
      <c r="C81" s="1" t="s">
        <v>32</v>
      </c>
      <c r="D81" s="1" t="s">
        <v>33</v>
      </c>
      <c r="E81" s="1" t="s">
        <v>38</v>
      </c>
      <c r="F81" s="1"/>
      <c r="G81" s="1">
        <v>2000</v>
      </c>
      <c r="H81" s="1">
        <v>2001</v>
      </c>
      <c r="I81" s="1">
        <v>2002</v>
      </c>
      <c r="J81" s="1">
        <v>2003</v>
      </c>
      <c r="K81" s="1">
        <v>2004</v>
      </c>
      <c r="L81" s="1">
        <v>2005</v>
      </c>
      <c r="M81" s="1">
        <v>2006</v>
      </c>
      <c r="N81" s="1">
        <v>2007</v>
      </c>
      <c r="O81" s="1">
        <v>2008</v>
      </c>
      <c r="P81" s="1">
        <v>2009</v>
      </c>
      <c r="Q81" s="1">
        <v>2010</v>
      </c>
      <c r="R81" s="1">
        <v>2011</v>
      </c>
      <c r="S81" s="1">
        <v>2012</v>
      </c>
      <c r="T81" s="1">
        <v>2013</v>
      </c>
      <c r="U81" s="1">
        <v>2014</v>
      </c>
      <c r="V81" s="1">
        <v>2015</v>
      </c>
      <c r="W81" s="1">
        <v>2016</v>
      </c>
      <c r="X81" s="1">
        <v>2017</v>
      </c>
      <c r="Y81" s="1">
        <v>2018</v>
      </c>
      <c r="Z81" s="1">
        <v>2019</v>
      </c>
      <c r="AA81" s="1">
        <v>2020</v>
      </c>
      <c r="AB81" s="1">
        <v>2021</v>
      </c>
      <c r="AC81" s="1">
        <v>2022</v>
      </c>
      <c r="AD81" s="1">
        <v>2023</v>
      </c>
      <c r="AE81" s="1">
        <v>2024</v>
      </c>
      <c r="AF81" s="1">
        <v>2025</v>
      </c>
      <c r="AG81" s="1">
        <v>2026</v>
      </c>
      <c r="AH81" s="1">
        <v>2027</v>
      </c>
      <c r="AI81" s="1">
        <v>2028</v>
      </c>
      <c r="AJ81" s="1">
        <v>2029</v>
      </c>
      <c r="AK81" s="1">
        <v>2030</v>
      </c>
      <c r="AL81" s="1">
        <v>2031</v>
      </c>
      <c r="AM81" s="1">
        <v>2032</v>
      </c>
      <c r="AN81" s="1">
        <v>2033</v>
      </c>
      <c r="AO81" s="1">
        <v>2034</v>
      </c>
      <c r="AP81" s="1">
        <v>2035</v>
      </c>
      <c r="AQ81" s="1">
        <v>2036</v>
      </c>
      <c r="AR81" s="1">
        <v>2037</v>
      </c>
      <c r="AS81" s="1">
        <v>2038</v>
      </c>
      <c r="AT81" s="1">
        <v>2039</v>
      </c>
      <c r="AU81" s="1">
        <v>2040</v>
      </c>
      <c r="AV81" s="1">
        <v>2041</v>
      </c>
      <c r="AW81" s="1">
        <v>2042</v>
      </c>
      <c r="AX81" s="1">
        <v>2043</v>
      </c>
      <c r="AY81" s="1">
        <v>2044</v>
      </c>
      <c r="AZ81" s="1">
        <v>2045</v>
      </c>
      <c r="BA81" s="1">
        <v>2046</v>
      </c>
      <c r="BB81" s="1">
        <v>2047</v>
      </c>
      <c r="BC81" s="1">
        <v>2048</v>
      </c>
      <c r="BD81" s="1">
        <v>2049</v>
      </c>
      <c r="BE81" s="1">
        <v>2050</v>
      </c>
    </row>
    <row r="82" spans="1:57">
      <c r="A82" s="1" t="str">
        <f>'Population Definitions'!$A$2</f>
        <v>PWID_males</v>
      </c>
      <c r="C82" t="s">
        <v>53</v>
      </c>
      <c r="D82" s="3"/>
      <c r="E82" s="3"/>
      <c r="F82" s="4" t="s">
        <v>39</v>
      </c>
      <c r="G82" s="3">
        <v>0.208</v>
      </c>
      <c r="H82" s="3"/>
      <c r="I82" s="3"/>
      <c r="J82" s="3"/>
      <c r="K82" s="3"/>
      <c r="L82" s="3"/>
      <c r="M82" s="3"/>
      <c r="N82" s="3"/>
      <c r="O82" s="3"/>
      <c r="P82" s="3"/>
      <c r="Q82" s="3">
        <v>0.208</v>
      </c>
      <c r="R82" s="3"/>
      <c r="S82" s="3"/>
      <c r="T82" s="3"/>
      <c r="U82" s="3"/>
      <c r="V82" s="3">
        <v>0.208</v>
      </c>
      <c r="W82" s="3"/>
      <c r="X82" s="3">
        <v>0.171</v>
      </c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</row>
    <row r="83" spans="1:57">
      <c r="A83" s="1" t="str">
        <f>'Population Definitions'!$A$3</f>
        <v>PWID_females</v>
      </c>
      <c r="C83" t="s">
        <v>53</v>
      </c>
      <c r="D83" s="3"/>
      <c r="E83" s="3"/>
      <c r="F83" s="4" t="s">
        <v>39</v>
      </c>
      <c r="G83" s="3">
        <v>0.208</v>
      </c>
      <c r="H83" s="3"/>
      <c r="I83" s="3"/>
      <c r="J83" s="3"/>
      <c r="K83" s="3"/>
      <c r="L83" s="3"/>
      <c r="M83" s="3"/>
      <c r="N83" s="3"/>
      <c r="O83" s="3"/>
      <c r="P83" s="3"/>
      <c r="Q83" s="3">
        <v>0.208</v>
      </c>
      <c r="R83" s="3"/>
      <c r="S83" s="3"/>
      <c r="T83" s="3"/>
      <c r="U83" s="3"/>
      <c r="V83" s="3">
        <v>0.208</v>
      </c>
      <c r="W83" s="3"/>
      <c r="X83" s="3">
        <v>0.171</v>
      </c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</row>
    <row r="84" spans="1:57">
      <c r="A84" s="1" t="str">
        <f>'Population Definitions'!$A$4</f>
        <v>0-9_males</v>
      </c>
      <c r="C84" t="s">
        <v>53</v>
      </c>
      <c r="D84" s="3"/>
      <c r="E84" s="3"/>
      <c r="F84" s="4" t="s">
        <v>39</v>
      </c>
      <c r="G84" s="3">
        <v>0</v>
      </c>
      <c r="H84" s="3"/>
      <c r="I84" s="3"/>
      <c r="J84" s="3"/>
      <c r="K84" s="3"/>
      <c r="L84" s="3"/>
      <c r="M84" s="3"/>
      <c r="N84" s="3"/>
      <c r="O84" s="3"/>
      <c r="P84" s="3"/>
      <c r="Q84" s="3">
        <v>0</v>
      </c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</row>
    <row r="85" spans="1:57">
      <c r="A85" s="1" t="str">
        <f>'Population Definitions'!$A$5</f>
        <v>0-9_females</v>
      </c>
      <c r="C85" t="s">
        <v>53</v>
      </c>
      <c r="D85" s="3"/>
      <c r="E85" s="3"/>
      <c r="F85" s="4" t="s">
        <v>39</v>
      </c>
      <c r="G85" s="3">
        <v>0</v>
      </c>
      <c r="H85" s="3"/>
      <c r="I85" s="3"/>
      <c r="J85" s="3"/>
      <c r="K85" s="3"/>
      <c r="L85" s="3"/>
      <c r="M85" s="3"/>
      <c r="N85" s="3"/>
      <c r="O85" s="3"/>
      <c r="P85" s="3"/>
      <c r="Q85" s="3">
        <v>0</v>
      </c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</row>
    <row r="86" spans="1:57">
      <c r="A86" s="1" t="str">
        <f>'Population Definitions'!$A$6</f>
        <v>10-17_males</v>
      </c>
      <c r="C86" t="s">
        <v>53</v>
      </c>
      <c r="D86" s="3"/>
      <c r="E86" s="3"/>
      <c r="F86" s="4" t="s">
        <v>39</v>
      </c>
      <c r="G86" s="3">
        <v>0</v>
      </c>
      <c r="H86" s="3"/>
      <c r="I86" s="3"/>
      <c r="J86" s="3"/>
      <c r="K86" s="3"/>
      <c r="L86" s="3"/>
      <c r="M86" s="3"/>
      <c r="N86" s="3"/>
      <c r="O86" s="3"/>
      <c r="P86" s="3"/>
      <c r="Q86" s="3">
        <v>0</v>
      </c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</row>
    <row r="87" spans="1:57">
      <c r="A87" s="1" t="str">
        <f>'Population Definitions'!$A$7</f>
        <v>10-17_females</v>
      </c>
      <c r="C87" t="s">
        <v>53</v>
      </c>
      <c r="D87" s="3"/>
      <c r="E87" s="3"/>
      <c r="F87" s="4" t="s">
        <v>39</v>
      </c>
      <c r="G87" s="3">
        <v>0</v>
      </c>
      <c r="H87" s="3"/>
      <c r="I87" s="3"/>
      <c r="J87" s="3"/>
      <c r="K87" s="3"/>
      <c r="L87" s="3"/>
      <c r="M87" s="3"/>
      <c r="N87" s="3"/>
      <c r="O87" s="3"/>
      <c r="P87" s="3"/>
      <c r="Q87" s="3">
        <v>0</v>
      </c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</row>
    <row r="88" spans="1:57">
      <c r="A88" s="1" t="str">
        <f>'Population Definitions'!$A$8</f>
        <v>18-64_males</v>
      </c>
      <c r="C88" t="s">
        <v>53</v>
      </c>
      <c r="D88" s="3"/>
      <c r="E88" s="3"/>
      <c r="F88" s="4" t="s">
        <v>39</v>
      </c>
      <c r="G88" s="3">
        <v>0.004762828208101721</v>
      </c>
      <c r="H88" s="3"/>
      <c r="I88" s="3"/>
      <c r="J88" s="3"/>
      <c r="K88" s="3"/>
      <c r="L88" s="3"/>
      <c r="M88" s="3"/>
      <c r="N88" s="3"/>
      <c r="O88" s="3"/>
      <c r="P88" s="3"/>
      <c r="Q88" s="3">
        <v>0</v>
      </c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</row>
    <row r="89" spans="1:57">
      <c r="A89" s="1" t="str">
        <f>'Population Definitions'!$A$9</f>
        <v>18-64_females</v>
      </c>
      <c r="C89" t="s">
        <v>53</v>
      </c>
      <c r="D89" s="3"/>
      <c r="E89" s="3"/>
      <c r="F89" s="4" t="s">
        <v>39</v>
      </c>
      <c r="G89" s="3">
        <v>0.004762828208101721</v>
      </c>
      <c r="H89" s="3"/>
      <c r="I89" s="3"/>
      <c r="J89" s="3"/>
      <c r="K89" s="3"/>
      <c r="L89" s="3"/>
      <c r="M89" s="3"/>
      <c r="N89" s="3"/>
      <c r="O89" s="3"/>
      <c r="P89" s="3"/>
      <c r="Q89" s="3">
        <v>0</v>
      </c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</row>
    <row r="90" spans="1:57">
      <c r="A90" s="1" t="str">
        <f>'Population Definitions'!$A$10</f>
        <v>65+_males</v>
      </c>
      <c r="C90" t="s">
        <v>53</v>
      </c>
      <c r="D90" s="3"/>
      <c r="E90" s="3"/>
      <c r="F90" s="4" t="s">
        <v>39</v>
      </c>
      <c r="G90" s="3">
        <v>0.004762828208101721</v>
      </c>
      <c r="H90" s="3"/>
      <c r="I90" s="3"/>
      <c r="J90" s="3"/>
      <c r="K90" s="3"/>
      <c r="L90" s="3"/>
      <c r="M90" s="3"/>
      <c r="N90" s="3"/>
      <c r="O90" s="3"/>
      <c r="P90" s="3"/>
      <c r="Q90" s="3">
        <v>0</v>
      </c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</row>
    <row r="91" spans="1:57">
      <c r="A91" s="1" t="str">
        <f>'Population Definitions'!$A$11</f>
        <v>65+_females</v>
      </c>
      <c r="C91" t="s">
        <v>53</v>
      </c>
      <c r="D91" s="3"/>
      <c r="E91" s="3"/>
      <c r="F91" s="4" t="s">
        <v>39</v>
      </c>
      <c r="G91" s="3">
        <v>0.004762828208101721</v>
      </c>
      <c r="H91" s="3"/>
      <c r="I91" s="3"/>
      <c r="J91" s="3"/>
      <c r="K91" s="3"/>
      <c r="L91" s="3"/>
      <c r="M91" s="3"/>
      <c r="N91" s="3"/>
      <c r="O91" s="3"/>
      <c r="P91" s="3"/>
      <c r="Q91" s="3">
        <v>0</v>
      </c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</row>
    <row r="92" spans="1:57">
      <c r="A92" s="1" t="str">
        <f>'Population Definitions'!$A$12</f>
        <v>Prisoners_males</v>
      </c>
      <c r="C92" t="s">
        <v>53</v>
      </c>
      <c r="D92" s="3"/>
      <c r="E92" s="3"/>
      <c r="F92" s="4" t="s">
        <v>39</v>
      </c>
      <c r="G92" s="3">
        <v>0.004762828208101721</v>
      </c>
      <c r="H92" s="3"/>
      <c r="I92" s="3"/>
      <c r="J92" s="3"/>
      <c r="K92" s="3"/>
      <c r="L92" s="3"/>
      <c r="M92" s="3"/>
      <c r="N92" s="3"/>
      <c r="O92" s="3"/>
      <c r="P92" s="3"/>
      <c r="Q92" s="3">
        <v>0</v>
      </c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</row>
    <row r="93" spans="1:57">
      <c r="A93" s="1" t="str">
        <f>'Population Definitions'!$A$13</f>
        <v>Prisoners_females</v>
      </c>
      <c r="C93" t="s">
        <v>53</v>
      </c>
      <c r="D93" s="3"/>
      <c r="E93" s="3"/>
      <c r="F93" s="4" t="s">
        <v>39</v>
      </c>
      <c r="G93" s="3">
        <v>0.004762828208101721</v>
      </c>
      <c r="H93" s="3"/>
      <c r="I93" s="3"/>
      <c r="J93" s="3"/>
      <c r="K93" s="3"/>
      <c r="L93" s="3"/>
      <c r="M93" s="3"/>
      <c r="N93" s="3"/>
      <c r="O93" s="3"/>
      <c r="P93" s="3"/>
      <c r="Q93" s="3">
        <v>0</v>
      </c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</row>
    <row r="94" spans="1:57">
      <c r="A94" s="1" t="str">
        <f>'Population Definitions'!$A$14</f>
        <v>Prisoners_PWID_males</v>
      </c>
      <c r="C94" t="s">
        <v>53</v>
      </c>
      <c r="D94" s="3"/>
      <c r="E94" s="3"/>
      <c r="F94" s="4" t="s">
        <v>39</v>
      </c>
      <c r="G94" s="3">
        <v>0.171</v>
      </c>
      <c r="H94" s="3"/>
      <c r="I94" s="3"/>
      <c r="J94" s="3"/>
      <c r="K94" s="3"/>
      <c r="L94" s="3"/>
      <c r="M94" s="3"/>
      <c r="N94" s="3"/>
      <c r="O94" s="3"/>
      <c r="P94" s="3"/>
      <c r="Q94" s="3">
        <v>0.171</v>
      </c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</row>
    <row r="95" spans="1:57">
      <c r="A95" s="1" t="str">
        <f>'Population Definitions'!$A$15</f>
        <v>Prisoners_PWID_females</v>
      </c>
      <c r="C95" t="s">
        <v>53</v>
      </c>
      <c r="D95" s="3"/>
      <c r="E95" s="3"/>
      <c r="F95" s="4" t="s">
        <v>39</v>
      </c>
      <c r="G95" s="3">
        <v>0.171</v>
      </c>
      <c r="H95" s="3"/>
      <c r="I95" s="3"/>
      <c r="J95" s="3"/>
      <c r="K95" s="3"/>
      <c r="L95" s="3"/>
      <c r="M95" s="3"/>
      <c r="N95" s="3"/>
      <c r="O95" s="3"/>
      <c r="P95" s="3"/>
      <c r="Q95" s="3">
        <v>0.171</v>
      </c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</row>
  </sheetData>
  <conditionalFormatting sqref="E10">
    <cfRule type="expression" dxfId="0" priority="17">
      <formula>COUNTIF(G10:BE10,"&lt;&gt;" &amp; "")&gt;0</formula>
    </cfRule>
    <cfRule type="expression" dxfId="1" priority="18">
      <formula>AND(COUNTIF(G10:BE10,"&lt;&gt;" &amp; "")&gt;0,NOT(ISBLANK(E10)))</formula>
    </cfRule>
  </conditionalFormatting>
  <conditionalFormatting sqref="E11">
    <cfRule type="expression" dxfId="0" priority="19">
      <formula>COUNTIF(G11:BE11,"&lt;&gt;" &amp; "")&gt;0</formula>
    </cfRule>
    <cfRule type="expression" dxfId="1" priority="20">
      <formula>AND(COUNTIF(G11:BE11,"&lt;&gt;" &amp; "")&gt;0,NOT(ISBLANK(E11)))</formula>
    </cfRule>
  </conditionalFormatting>
  <conditionalFormatting sqref="E12">
    <cfRule type="expression" dxfId="0" priority="21">
      <formula>COUNTIF(G12:BE12,"&lt;&gt;" &amp; "")&gt;0</formula>
    </cfRule>
    <cfRule type="expression" dxfId="1" priority="22">
      <formula>AND(COUNTIF(G12:BE12,"&lt;&gt;" &amp; "")&gt;0,NOT(ISBLANK(E12)))</formula>
    </cfRule>
  </conditionalFormatting>
  <conditionalFormatting sqref="E13">
    <cfRule type="expression" dxfId="0" priority="23">
      <formula>COUNTIF(G13:BE13,"&lt;&gt;" &amp; "")&gt;0</formula>
    </cfRule>
    <cfRule type="expression" dxfId="1" priority="24">
      <formula>AND(COUNTIF(G13:BE13,"&lt;&gt;" &amp; "")&gt;0,NOT(ISBLANK(E13)))</formula>
    </cfRule>
  </conditionalFormatting>
  <conditionalFormatting sqref="E14">
    <cfRule type="expression" dxfId="0" priority="25">
      <formula>COUNTIF(G14:BE14,"&lt;&gt;" &amp; "")&gt;0</formula>
    </cfRule>
    <cfRule type="expression" dxfId="1" priority="26">
      <formula>AND(COUNTIF(G14:BE14,"&lt;&gt;" &amp; "")&gt;0,NOT(ISBLANK(E14)))</formula>
    </cfRule>
  </conditionalFormatting>
  <conditionalFormatting sqref="E15">
    <cfRule type="expression" dxfId="0" priority="27">
      <formula>COUNTIF(G15:BE15,"&lt;&gt;" &amp; "")&gt;0</formula>
    </cfRule>
    <cfRule type="expression" dxfId="1" priority="28">
      <formula>AND(COUNTIF(G15:BE15,"&lt;&gt;" &amp; "")&gt;0,NOT(ISBLANK(E15)))</formula>
    </cfRule>
  </conditionalFormatting>
  <conditionalFormatting sqref="E18">
    <cfRule type="expression" dxfId="0" priority="29">
      <formula>COUNTIF(G18:BE18,"&lt;&gt;" &amp; "")&gt;0</formula>
    </cfRule>
    <cfRule type="expression" dxfId="1" priority="30">
      <formula>AND(COUNTIF(G18:BE18,"&lt;&gt;" &amp; "")&gt;0,NOT(ISBLANK(E18)))</formula>
    </cfRule>
  </conditionalFormatting>
  <conditionalFormatting sqref="E19">
    <cfRule type="expression" dxfId="0" priority="31">
      <formula>COUNTIF(G19:BE19,"&lt;&gt;" &amp; "")&gt;0</formula>
    </cfRule>
    <cfRule type="expression" dxfId="1" priority="32">
      <formula>AND(COUNTIF(G19:BE19,"&lt;&gt;" &amp; "")&gt;0,NOT(ISBLANK(E19)))</formula>
    </cfRule>
  </conditionalFormatting>
  <conditionalFormatting sqref="E2">
    <cfRule type="expression" dxfId="0" priority="1">
      <formula>COUNTIF(G2:BE2,"&lt;&gt;" &amp; "")&gt;0</formula>
    </cfRule>
    <cfRule type="expression" dxfId="1" priority="2">
      <formula>AND(COUNTIF(G2:BE2,"&lt;&gt;" &amp; "")&gt;0,NOT(ISBLANK(E2)))</formula>
    </cfRule>
  </conditionalFormatting>
  <conditionalFormatting sqref="E20">
    <cfRule type="expression" dxfId="0" priority="33">
      <formula>COUNTIF(G20:BE20,"&lt;&gt;" &amp; "")&gt;0</formula>
    </cfRule>
    <cfRule type="expression" dxfId="1" priority="34">
      <formula>AND(COUNTIF(G20:BE20,"&lt;&gt;" &amp; "")&gt;0,NOT(ISBLANK(E20)))</formula>
    </cfRule>
  </conditionalFormatting>
  <conditionalFormatting sqref="E21">
    <cfRule type="expression" dxfId="0" priority="35">
      <formula>COUNTIF(G21:BE21,"&lt;&gt;" &amp; "")&gt;0</formula>
    </cfRule>
    <cfRule type="expression" dxfId="1" priority="36">
      <formula>AND(COUNTIF(G21:BE21,"&lt;&gt;" &amp; "")&gt;0,NOT(ISBLANK(E21)))</formula>
    </cfRule>
  </conditionalFormatting>
  <conditionalFormatting sqref="E22">
    <cfRule type="expression" dxfId="0" priority="37">
      <formula>COUNTIF(G22:BE22,"&lt;&gt;" &amp; "")&gt;0</formula>
    </cfRule>
    <cfRule type="expression" dxfId="1" priority="38">
      <formula>AND(COUNTIF(G22:BE22,"&lt;&gt;" &amp; "")&gt;0,NOT(ISBLANK(E22)))</formula>
    </cfRule>
  </conditionalFormatting>
  <conditionalFormatting sqref="E23">
    <cfRule type="expression" dxfId="0" priority="39">
      <formula>COUNTIF(G23:BE23,"&lt;&gt;" &amp; "")&gt;0</formula>
    </cfRule>
    <cfRule type="expression" dxfId="1" priority="40">
      <formula>AND(COUNTIF(G23:BE23,"&lt;&gt;" &amp; "")&gt;0,NOT(ISBLANK(E23)))</formula>
    </cfRule>
  </conditionalFormatting>
  <conditionalFormatting sqref="E24">
    <cfRule type="expression" dxfId="0" priority="41">
      <formula>COUNTIF(G24:BE24,"&lt;&gt;" &amp; "")&gt;0</formula>
    </cfRule>
    <cfRule type="expression" dxfId="1" priority="42">
      <formula>AND(COUNTIF(G24:BE24,"&lt;&gt;" &amp; "")&gt;0,NOT(ISBLANK(E24)))</formula>
    </cfRule>
  </conditionalFormatting>
  <conditionalFormatting sqref="E25">
    <cfRule type="expression" dxfId="0" priority="43">
      <formula>COUNTIF(G25:BE25,"&lt;&gt;" &amp; "")&gt;0</formula>
    </cfRule>
    <cfRule type="expression" dxfId="1" priority="44">
      <formula>AND(COUNTIF(G25:BE25,"&lt;&gt;" &amp; "")&gt;0,NOT(ISBLANK(E25)))</formula>
    </cfRule>
  </conditionalFormatting>
  <conditionalFormatting sqref="E26">
    <cfRule type="expression" dxfId="0" priority="45">
      <formula>COUNTIF(G26:BE26,"&lt;&gt;" &amp; "")&gt;0</formula>
    </cfRule>
    <cfRule type="expression" dxfId="1" priority="46">
      <formula>AND(COUNTIF(G26:BE26,"&lt;&gt;" &amp; "")&gt;0,NOT(ISBLANK(E26)))</formula>
    </cfRule>
  </conditionalFormatting>
  <conditionalFormatting sqref="E27">
    <cfRule type="expression" dxfId="0" priority="47">
      <formula>COUNTIF(G27:BE27,"&lt;&gt;" &amp; "")&gt;0</formula>
    </cfRule>
    <cfRule type="expression" dxfId="1" priority="48">
      <formula>AND(COUNTIF(G27:BE27,"&lt;&gt;" &amp; "")&gt;0,NOT(ISBLANK(E27)))</formula>
    </cfRule>
  </conditionalFormatting>
  <conditionalFormatting sqref="E28">
    <cfRule type="expression" dxfId="0" priority="49">
      <formula>COUNTIF(G28:BE28,"&lt;&gt;" &amp; "")&gt;0</formula>
    </cfRule>
    <cfRule type="expression" dxfId="1" priority="50">
      <formula>AND(COUNTIF(G28:BE28,"&lt;&gt;" &amp; "")&gt;0,NOT(ISBLANK(E28)))</formula>
    </cfRule>
  </conditionalFormatting>
  <conditionalFormatting sqref="E29">
    <cfRule type="expression" dxfId="0" priority="51">
      <formula>COUNTIF(G29:BE29,"&lt;&gt;" &amp; "")&gt;0</formula>
    </cfRule>
    <cfRule type="expression" dxfId="1" priority="52">
      <formula>AND(COUNTIF(G29:BE29,"&lt;&gt;" &amp; "")&gt;0,NOT(ISBLANK(E29)))</formula>
    </cfRule>
  </conditionalFormatting>
  <conditionalFormatting sqref="E3">
    <cfRule type="expression" dxfId="0" priority="3">
      <formula>COUNTIF(G3:BE3,"&lt;&gt;" &amp; "")&gt;0</formula>
    </cfRule>
    <cfRule type="expression" dxfId="1" priority="4">
      <formula>AND(COUNTIF(G3:BE3,"&lt;&gt;" &amp; "")&gt;0,NOT(ISBLANK(E3)))</formula>
    </cfRule>
  </conditionalFormatting>
  <conditionalFormatting sqref="E30">
    <cfRule type="expression" dxfId="0" priority="53">
      <formula>COUNTIF(G30:BE30,"&lt;&gt;" &amp; "")&gt;0</formula>
    </cfRule>
    <cfRule type="expression" dxfId="1" priority="54">
      <formula>AND(COUNTIF(G30:BE30,"&lt;&gt;" &amp; "")&gt;0,NOT(ISBLANK(E30)))</formula>
    </cfRule>
  </conditionalFormatting>
  <conditionalFormatting sqref="E31">
    <cfRule type="expression" dxfId="0" priority="55">
      <formula>COUNTIF(G31:BE31,"&lt;&gt;" &amp; "")&gt;0</formula>
    </cfRule>
    <cfRule type="expression" dxfId="1" priority="56">
      <formula>AND(COUNTIF(G31:BE31,"&lt;&gt;" &amp; "")&gt;0,NOT(ISBLANK(E31)))</formula>
    </cfRule>
  </conditionalFormatting>
  <conditionalFormatting sqref="E34">
    <cfRule type="expression" dxfId="0" priority="57">
      <formula>COUNTIF(G34:BE34,"&lt;&gt;" &amp; "")&gt;0</formula>
    </cfRule>
    <cfRule type="expression" dxfId="1" priority="58">
      <formula>AND(COUNTIF(G34:BE34,"&lt;&gt;" &amp; "")&gt;0,NOT(ISBLANK(E34)))</formula>
    </cfRule>
  </conditionalFormatting>
  <conditionalFormatting sqref="E35">
    <cfRule type="expression" dxfId="0" priority="59">
      <formula>COUNTIF(G35:BE35,"&lt;&gt;" &amp; "")&gt;0</formula>
    </cfRule>
    <cfRule type="expression" dxfId="1" priority="60">
      <formula>AND(COUNTIF(G35:BE35,"&lt;&gt;" &amp; "")&gt;0,NOT(ISBLANK(E35)))</formula>
    </cfRule>
  </conditionalFormatting>
  <conditionalFormatting sqref="E36">
    <cfRule type="expression" dxfId="0" priority="61">
      <formula>COUNTIF(G36:BE36,"&lt;&gt;" &amp; "")&gt;0</formula>
    </cfRule>
    <cfRule type="expression" dxfId="1" priority="62">
      <formula>AND(COUNTIF(G36:BE36,"&lt;&gt;" &amp; "")&gt;0,NOT(ISBLANK(E36)))</formula>
    </cfRule>
  </conditionalFormatting>
  <conditionalFormatting sqref="E37">
    <cfRule type="expression" dxfId="0" priority="63">
      <formula>COUNTIF(G37:BE37,"&lt;&gt;" &amp; "")&gt;0</formula>
    </cfRule>
    <cfRule type="expression" dxfId="1" priority="64">
      <formula>AND(COUNTIF(G37:BE37,"&lt;&gt;" &amp; "")&gt;0,NOT(ISBLANK(E37)))</formula>
    </cfRule>
  </conditionalFormatting>
  <conditionalFormatting sqref="E38">
    <cfRule type="expression" dxfId="0" priority="65">
      <formula>COUNTIF(G38:BE38,"&lt;&gt;" &amp; "")&gt;0</formula>
    </cfRule>
    <cfRule type="expression" dxfId="1" priority="66">
      <formula>AND(COUNTIF(G38:BE38,"&lt;&gt;" &amp; "")&gt;0,NOT(ISBLANK(E38)))</formula>
    </cfRule>
  </conditionalFormatting>
  <conditionalFormatting sqref="E39">
    <cfRule type="expression" dxfId="0" priority="67">
      <formula>COUNTIF(G39:BE39,"&lt;&gt;" &amp; "")&gt;0</formula>
    </cfRule>
    <cfRule type="expression" dxfId="1" priority="68">
      <formula>AND(COUNTIF(G39:BE39,"&lt;&gt;" &amp; "")&gt;0,NOT(ISBLANK(E39)))</formula>
    </cfRule>
  </conditionalFormatting>
  <conditionalFormatting sqref="E4">
    <cfRule type="expression" dxfId="0" priority="5">
      <formula>COUNTIF(G4:BE4,"&lt;&gt;" &amp; "")&gt;0</formula>
    </cfRule>
    <cfRule type="expression" dxfId="1" priority="6">
      <formula>AND(COUNTIF(G4:BE4,"&lt;&gt;" &amp; "")&gt;0,NOT(ISBLANK(E4)))</formula>
    </cfRule>
  </conditionalFormatting>
  <conditionalFormatting sqref="E40">
    <cfRule type="expression" dxfId="0" priority="69">
      <formula>COUNTIF(G40:BE40,"&lt;&gt;" &amp; "")&gt;0</formula>
    </cfRule>
    <cfRule type="expression" dxfId="1" priority="70">
      <formula>AND(COUNTIF(G40:BE40,"&lt;&gt;" &amp; "")&gt;0,NOT(ISBLANK(E40)))</formula>
    </cfRule>
  </conditionalFormatting>
  <conditionalFormatting sqref="E41">
    <cfRule type="expression" dxfId="0" priority="71">
      <formula>COUNTIF(G41:BE41,"&lt;&gt;" &amp; "")&gt;0</formula>
    </cfRule>
    <cfRule type="expression" dxfId="1" priority="72">
      <formula>AND(COUNTIF(G41:BE41,"&lt;&gt;" &amp; "")&gt;0,NOT(ISBLANK(E41)))</formula>
    </cfRule>
  </conditionalFormatting>
  <conditionalFormatting sqref="E42">
    <cfRule type="expression" dxfId="0" priority="73">
      <formula>COUNTIF(G42:BE42,"&lt;&gt;" &amp; "")&gt;0</formula>
    </cfRule>
    <cfRule type="expression" dxfId="1" priority="74">
      <formula>AND(COUNTIF(G42:BE42,"&lt;&gt;" &amp; "")&gt;0,NOT(ISBLANK(E42)))</formula>
    </cfRule>
  </conditionalFormatting>
  <conditionalFormatting sqref="E43">
    <cfRule type="expression" dxfId="0" priority="75">
      <formula>COUNTIF(G43:BE43,"&lt;&gt;" &amp; "")&gt;0</formula>
    </cfRule>
    <cfRule type="expression" dxfId="1" priority="76">
      <formula>AND(COUNTIF(G43:BE43,"&lt;&gt;" &amp; "")&gt;0,NOT(ISBLANK(E43)))</formula>
    </cfRule>
  </conditionalFormatting>
  <conditionalFormatting sqref="E44">
    <cfRule type="expression" dxfId="0" priority="77">
      <formula>COUNTIF(G44:BE44,"&lt;&gt;" &amp; "")&gt;0</formula>
    </cfRule>
    <cfRule type="expression" dxfId="1" priority="78">
      <formula>AND(COUNTIF(G44:BE44,"&lt;&gt;" &amp; "")&gt;0,NOT(ISBLANK(E44)))</formula>
    </cfRule>
  </conditionalFormatting>
  <conditionalFormatting sqref="E45">
    <cfRule type="expression" dxfId="0" priority="79">
      <formula>COUNTIF(G45:BE45,"&lt;&gt;" &amp; "")&gt;0</formula>
    </cfRule>
    <cfRule type="expression" dxfId="1" priority="80">
      <formula>AND(COUNTIF(G45:BE45,"&lt;&gt;" &amp; "")&gt;0,NOT(ISBLANK(E45)))</formula>
    </cfRule>
  </conditionalFormatting>
  <conditionalFormatting sqref="E46">
    <cfRule type="expression" dxfId="0" priority="81">
      <formula>COUNTIF(G46:BE46,"&lt;&gt;" &amp; "")&gt;0</formula>
    </cfRule>
    <cfRule type="expression" dxfId="1" priority="82">
      <formula>AND(COUNTIF(G46:BE46,"&lt;&gt;" &amp; "")&gt;0,NOT(ISBLANK(E46)))</formula>
    </cfRule>
  </conditionalFormatting>
  <conditionalFormatting sqref="E47">
    <cfRule type="expression" dxfId="0" priority="83">
      <formula>COUNTIF(G47:BE47,"&lt;&gt;" &amp; "")&gt;0</formula>
    </cfRule>
    <cfRule type="expression" dxfId="1" priority="84">
      <formula>AND(COUNTIF(G47:BE47,"&lt;&gt;" &amp; "")&gt;0,NOT(ISBLANK(E47)))</formula>
    </cfRule>
  </conditionalFormatting>
  <conditionalFormatting sqref="E5">
    <cfRule type="expression" dxfId="0" priority="7">
      <formula>COUNTIF(G5:BE5,"&lt;&gt;" &amp; "")&gt;0</formula>
    </cfRule>
    <cfRule type="expression" dxfId="1" priority="8">
      <formula>AND(COUNTIF(G5:BE5,"&lt;&gt;" &amp; "")&gt;0,NOT(ISBLANK(E5)))</formula>
    </cfRule>
  </conditionalFormatting>
  <conditionalFormatting sqref="E50">
    <cfRule type="expression" dxfId="0" priority="85">
      <formula>COUNTIF(G50:BE50,"&lt;&gt;" &amp; "")&gt;0</formula>
    </cfRule>
    <cfRule type="expression" dxfId="1" priority="86">
      <formula>AND(COUNTIF(G50:BE50,"&lt;&gt;" &amp; "")&gt;0,NOT(ISBLANK(E50)))</formula>
    </cfRule>
  </conditionalFormatting>
  <conditionalFormatting sqref="E51">
    <cfRule type="expression" dxfId="0" priority="87">
      <formula>COUNTIF(G51:BE51,"&lt;&gt;" &amp; "")&gt;0</formula>
    </cfRule>
    <cfRule type="expression" dxfId="1" priority="88">
      <formula>AND(COUNTIF(G51:BE51,"&lt;&gt;" &amp; "")&gt;0,NOT(ISBLANK(E51)))</formula>
    </cfRule>
  </conditionalFormatting>
  <conditionalFormatting sqref="E52">
    <cfRule type="expression" dxfId="0" priority="89">
      <formula>COUNTIF(G52:BE52,"&lt;&gt;" &amp; "")&gt;0</formula>
    </cfRule>
    <cfRule type="expression" dxfId="1" priority="90">
      <formula>AND(COUNTIF(G52:BE52,"&lt;&gt;" &amp; "")&gt;0,NOT(ISBLANK(E52)))</formula>
    </cfRule>
  </conditionalFormatting>
  <conditionalFormatting sqref="E53">
    <cfRule type="expression" dxfId="0" priority="91">
      <formula>COUNTIF(G53:BE53,"&lt;&gt;" &amp; "")&gt;0</formula>
    </cfRule>
    <cfRule type="expression" dxfId="1" priority="92">
      <formula>AND(COUNTIF(G53:BE53,"&lt;&gt;" &amp; "")&gt;0,NOT(ISBLANK(E53)))</formula>
    </cfRule>
  </conditionalFormatting>
  <conditionalFormatting sqref="E54">
    <cfRule type="expression" dxfId="0" priority="93">
      <formula>COUNTIF(G54:BE54,"&lt;&gt;" &amp; "")&gt;0</formula>
    </cfRule>
    <cfRule type="expression" dxfId="1" priority="94">
      <formula>AND(COUNTIF(G54:BE54,"&lt;&gt;" &amp; "")&gt;0,NOT(ISBLANK(E54)))</formula>
    </cfRule>
  </conditionalFormatting>
  <conditionalFormatting sqref="E55">
    <cfRule type="expression" dxfId="0" priority="95">
      <formula>COUNTIF(G55:BE55,"&lt;&gt;" &amp; "")&gt;0</formula>
    </cfRule>
    <cfRule type="expression" dxfId="1" priority="96">
      <formula>AND(COUNTIF(G55:BE55,"&lt;&gt;" &amp; "")&gt;0,NOT(ISBLANK(E55)))</formula>
    </cfRule>
  </conditionalFormatting>
  <conditionalFormatting sqref="E56">
    <cfRule type="expression" dxfId="0" priority="97">
      <formula>COUNTIF(G56:BE56,"&lt;&gt;" &amp; "")&gt;0</formula>
    </cfRule>
    <cfRule type="expression" dxfId="1" priority="98">
      <formula>AND(COUNTIF(G56:BE56,"&lt;&gt;" &amp; "")&gt;0,NOT(ISBLANK(E56)))</formula>
    </cfRule>
  </conditionalFormatting>
  <conditionalFormatting sqref="E57">
    <cfRule type="expression" dxfId="0" priority="99">
      <formula>COUNTIF(G57:BE57,"&lt;&gt;" &amp; "")&gt;0</formula>
    </cfRule>
    <cfRule type="expression" dxfId="1" priority="100">
      <formula>AND(COUNTIF(G57:BE57,"&lt;&gt;" &amp; "")&gt;0,NOT(ISBLANK(E57)))</formula>
    </cfRule>
  </conditionalFormatting>
  <conditionalFormatting sqref="E58">
    <cfRule type="expression" dxfId="0" priority="101">
      <formula>COUNTIF(G58:BE58,"&lt;&gt;" &amp; "")&gt;0</formula>
    </cfRule>
    <cfRule type="expression" dxfId="1" priority="102">
      <formula>AND(COUNTIF(G58:BE58,"&lt;&gt;" &amp; "")&gt;0,NOT(ISBLANK(E58)))</formula>
    </cfRule>
  </conditionalFormatting>
  <conditionalFormatting sqref="E59">
    <cfRule type="expression" dxfId="0" priority="103">
      <formula>COUNTIF(G59:BE59,"&lt;&gt;" &amp; "")&gt;0</formula>
    </cfRule>
    <cfRule type="expression" dxfId="1" priority="104">
      <formula>AND(COUNTIF(G59:BE59,"&lt;&gt;" &amp; "")&gt;0,NOT(ISBLANK(E59)))</formula>
    </cfRule>
  </conditionalFormatting>
  <conditionalFormatting sqref="E6">
    <cfRule type="expression" dxfId="0" priority="9">
      <formula>COUNTIF(G6:BE6,"&lt;&gt;" &amp; "")&gt;0</formula>
    </cfRule>
    <cfRule type="expression" dxfId="1" priority="10">
      <formula>AND(COUNTIF(G6:BE6,"&lt;&gt;" &amp; "")&gt;0,NOT(ISBLANK(E6)))</formula>
    </cfRule>
  </conditionalFormatting>
  <conditionalFormatting sqref="E60">
    <cfRule type="expression" dxfId="0" priority="105">
      <formula>COUNTIF(G60:BE60,"&lt;&gt;" &amp; "")&gt;0</formula>
    </cfRule>
    <cfRule type="expression" dxfId="1" priority="106">
      <formula>AND(COUNTIF(G60:BE60,"&lt;&gt;" &amp; "")&gt;0,NOT(ISBLANK(E60)))</formula>
    </cfRule>
  </conditionalFormatting>
  <conditionalFormatting sqref="E61">
    <cfRule type="expression" dxfId="0" priority="107">
      <formula>COUNTIF(G61:BE61,"&lt;&gt;" &amp; "")&gt;0</formula>
    </cfRule>
    <cfRule type="expression" dxfId="1" priority="108">
      <formula>AND(COUNTIF(G61:BE61,"&lt;&gt;" &amp; "")&gt;0,NOT(ISBLANK(E61)))</formula>
    </cfRule>
  </conditionalFormatting>
  <conditionalFormatting sqref="E62">
    <cfRule type="expression" dxfId="0" priority="109">
      <formula>COUNTIF(G62:BE62,"&lt;&gt;" &amp; "")&gt;0</formula>
    </cfRule>
    <cfRule type="expression" dxfId="1" priority="110">
      <formula>AND(COUNTIF(G62:BE62,"&lt;&gt;" &amp; "")&gt;0,NOT(ISBLANK(E62)))</formula>
    </cfRule>
  </conditionalFormatting>
  <conditionalFormatting sqref="E63">
    <cfRule type="expression" dxfId="0" priority="111">
      <formula>COUNTIF(G63:BE63,"&lt;&gt;" &amp; "")&gt;0</formula>
    </cfRule>
    <cfRule type="expression" dxfId="1" priority="112">
      <formula>AND(COUNTIF(G63:BE63,"&lt;&gt;" &amp; "")&gt;0,NOT(ISBLANK(E63)))</formula>
    </cfRule>
  </conditionalFormatting>
  <conditionalFormatting sqref="E66">
    <cfRule type="expression" dxfId="0" priority="113">
      <formula>COUNTIF(G66:BE66,"&lt;&gt;" &amp; "")&gt;0</formula>
    </cfRule>
    <cfRule type="expression" dxfId="1" priority="114">
      <formula>AND(COUNTIF(G66:BE66,"&lt;&gt;" &amp; "")&gt;0,NOT(ISBLANK(E66)))</formula>
    </cfRule>
  </conditionalFormatting>
  <conditionalFormatting sqref="E67">
    <cfRule type="expression" dxfId="0" priority="115">
      <formula>COUNTIF(G67:BE67,"&lt;&gt;" &amp; "")&gt;0</formula>
    </cfRule>
    <cfRule type="expression" dxfId="1" priority="116">
      <formula>AND(COUNTIF(G67:BE67,"&lt;&gt;" &amp; "")&gt;0,NOT(ISBLANK(E67)))</formula>
    </cfRule>
  </conditionalFormatting>
  <conditionalFormatting sqref="E68">
    <cfRule type="expression" dxfId="0" priority="117">
      <formula>COUNTIF(G68:BE68,"&lt;&gt;" &amp; "")&gt;0</formula>
    </cfRule>
    <cfRule type="expression" dxfId="1" priority="118">
      <formula>AND(COUNTIF(G68:BE68,"&lt;&gt;" &amp; "")&gt;0,NOT(ISBLANK(E68)))</formula>
    </cfRule>
  </conditionalFormatting>
  <conditionalFormatting sqref="E69">
    <cfRule type="expression" dxfId="0" priority="119">
      <formula>COUNTIF(G69:BE69,"&lt;&gt;" &amp; "")&gt;0</formula>
    </cfRule>
    <cfRule type="expression" dxfId="1" priority="120">
      <formula>AND(COUNTIF(G69:BE69,"&lt;&gt;" &amp; "")&gt;0,NOT(ISBLANK(E69)))</formula>
    </cfRule>
  </conditionalFormatting>
  <conditionalFormatting sqref="E7">
    <cfRule type="expression" dxfId="0" priority="11">
      <formula>COUNTIF(G7:BE7,"&lt;&gt;" &amp; "")&gt;0</formula>
    </cfRule>
    <cfRule type="expression" dxfId="1" priority="12">
      <formula>AND(COUNTIF(G7:BE7,"&lt;&gt;" &amp; "")&gt;0,NOT(ISBLANK(E7)))</formula>
    </cfRule>
  </conditionalFormatting>
  <conditionalFormatting sqref="E70">
    <cfRule type="expression" dxfId="0" priority="121">
      <formula>COUNTIF(G70:BE70,"&lt;&gt;" &amp; "")&gt;0</formula>
    </cfRule>
    <cfRule type="expression" dxfId="1" priority="122">
      <formula>AND(COUNTIF(G70:BE70,"&lt;&gt;" &amp; "")&gt;0,NOT(ISBLANK(E70)))</formula>
    </cfRule>
  </conditionalFormatting>
  <conditionalFormatting sqref="E71">
    <cfRule type="expression" dxfId="0" priority="123">
      <formula>COUNTIF(G71:BE71,"&lt;&gt;" &amp; "")&gt;0</formula>
    </cfRule>
    <cfRule type="expression" dxfId="1" priority="124">
      <formula>AND(COUNTIF(G71:BE71,"&lt;&gt;" &amp; "")&gt;0,NOT(ISBLANK(E71)))</formula>
    </cfRule>
  </conditionalFormatting>
  <conditionalFormatting sqref="E72">
    <cfRule type="expression" dxfId="0" priority="125">
      <formula>COUNTIF(G72:BE72,"&lt;&gt;" &amp; "")&gt;0</formula>
    </cfRule>
    <cfRule type="expression" dxfId="1" priority="126">
      <formula>AND(COUNTIF(G72:BE72,"&lt;&gt;" &amp; "")&gt;0,NOT(ISBLANK(E72)))</formula>
    </cfRule>
  </conditionalFormatting>
  <conditionalFormatting sqref="E73">
    <cfRule type="expression" dxfId="0" priority="127">
      <formula>COUNTIF(G73:BE73,"&lt;&gt;" &amp; "")&gt;0</formula>
    </cfRule>
    <cfRule type="expression" dxfId="1" priority="128">
      <formula>AND(COUNTIF(G73:BE73,"&lt;&gt;" &amp; "")&gt;0,NOT(ISBLANK(E73)))</formula>
    </cfRule>
  </conditionalFormatting>
  <conditionalFormatting sqref="E74">
    <cfRule type="expression" dxfId="0" priority="129">
      <formula>COUNTIF(G74:BE74,"&lt;&gt;" &amp; "")&gt;0</formula>
    </cfRule>
    <cfRule type="expression" dxfId="1" priority="130">
      <formula>AND(COUNTIF(G74:BE74,"&lt;&gt;" &amp; "")&gt;0,NOT(ISBLANK(E74)))</formula>
    </cfRule>
  </conditionalFormatting>
  <conditionalFormatting sqref="E75">
    <cfRule type="expression" dxfId="0" priority="131">
      <formula>COUNTIF(G75:BE75,"&lt;&gt;" &amp; "")&gt;0</formula>
    </cfRule>
    <cfRule type="expression" dxfId="1" priority="132">
      <formula>AND(COUNTIF(G75:BE75,"&lt;&gt;" &amp; "")&gt;0,NOT(ISBLANK(E75)))</formula>
    </cfRule>
  </conditionalFormatting>
  <conditionalFormatting sqref="E76">
    <cfRule type="expression" dxfId="0" priority="133">
      <formula>COUNTIF(G76:BE76,"&lt;&gt;" &amp; "")&gt;0</formula>
    </cfRule>
    <cfRule type="expression" dxfId="1" priority="134">
      <formula>AND(COUNTIF(G76:BE76,"&lt;&gt;" &amp; "")&gt;0,NOT(ISBLANK(E76)))</formula>
    </cfRule>
  </conditionalFormatting>
  <conditionalFormatting sqref="E77">
    <cfRule type="expression" dxfId="0" priority="135">
      <formula>COUNTIF(G77:BE77,"&lt;&gt;" &amp; "")&gt;0</formula>
    </cfRule>
    <cfRule type="expression" dxfId="1" priority="136">
      <formula>AND(COUNTIF(G77:BE77,"&lt;&gt;" &amp; "")&gt;0,NOT(ISBLANK(E77)))</formula>
    </cfRule>
  </conditionalFormatting>
  <conditionalFormatting sqref="E78">
    <cfRule type="expression" dxfId="0" priority="137">
      <formula>COUNTIF(G78:BE78,"&lt;&gt;" &amp; "")&gt;0</formula>
    </cfRule>
    <cfRule type="expression" dxfId="1" priority="138">
      <formula>AND(COUNTIF(G78:BE78,"&lt;&gt;" &amp; "")&gt;0,NOT(ISBLANK(E78)))</formula>
    </cfRule>
  </conditionalFormatting>
  <conditionalFormatting sqref="E79">
    <cfRule type="expression" dxfId="0" priority="139">
      <formula>COUNTIF(G79:BE79,"&lt;&gt;" &amp; "")&gt;0</formula>
    </cfRule>
    <cfRule type="expression" dxfId="1" priority="140">
      <formula>AND(COUNTIF(G79:BE79,"&lt;&gt;" &amp; "")&gt;0,NOT(ISBLANK(E79)))</formula>
    </cfRule>
  </conditionalFormatting>
  <conditionalFormatting sqref="E8">
    <cfRule type="expression" dxfId="0" priority="13">
      <formula>COUNTIF(G8:BE8,"&lt;&gt;" &amp; "")&gt;0</formula>
    </cfRule>
    <cfRule type="expression" dxfId="1" priority="14">
      <formula>AND(COUNTIF(G8:BE8,"&lt;&gt;" &amp; "")&gt;0,NOT(ISBLANK(E8)))</formula>
    </cfRule>
  </conditionalFormatting>
  <conditionalFormatting sqref="E82">
    <cfRule type="expression" dxfId="0" priority="141">
      <formula>COUNTIF(G82:BE82,"&lt;&gt;" &amp; "")&gt;0</formula>
    </cfRule>
    <cfRule type="expression" dxfId="1" priority="142">
      <formula>AND(COUNTIF(G82:BE82,"&lt;&gt;" &amp; "")&gt;0,NOT(ISBLANK(E82)))</formula>
    </cfRule>
  </conditionalFormatting>
  <conditionalFormatting sqref="E83">
    <cfRule type="expression" dxfId="0" priority="143">
      <formula>COUNTIF(G83:BE83,"&lt;&gt;" &amp; "")&gt;0</formula>
    </cfRule>
    <cfRule type="expression" dxfId="1" priority="144">
      <formula>AND(COUNTIF(G83:BE83,"&lt;&gt;" &amp; "")&gt;0,NOT(ISBLANK(E83)))</formula>
    </cfRule>
  </conditionalFormatting>
  <conditionalFormatting sqref="E84">
    <cfRule type="expression" dxfId="0" priority="145">
      <formula>COUNTIF(G84:BE84,"&lt;&gt;" &amp; "")&gt;0</formula>
    </cfRule>
    <cfRule type="expression" dxfId="1" priority="146">
      <formula>AND(COUNTIF(G84:BE84,"&lt;&gt;" &amp; "")&gt;0,NOT(ISBLANK(E84)))</formula>
    </cfRule>
  </conditionalFormatting>
  <conditionalFormatting sqref="E85">
    <cfRule type="expression" dxfId="0" priority="147">
      <formula>COUNTIF(G85:BE85,"&lt;&gt;" &amp; "")&gt;0</formula>
    </cfRule>
    <cfRule type="expression" dxfId="1" priority="148">
      <formula>AND(COUNTIF(G85:BE85,"&lt;&gt;" &amp; "")&gt;0,NOT(ISBLANK(E85)))</formula>
    </cfRule>
  </conditionalFormatting>
  <conditionalFormatting sqref="E86">
    <cfRule type="expression" dxfId="0" priority="149">
      <formula>COUNTIF(G86:BE86,"&lt;&gt;" &amp; "")&gt;0</formula>
    </cfRule>
    <cfRule type="expression" dxfId="1" priority="150">
      <formula>AND(COUNTIF(G86:BE86,"&lt;&gt;" &amp; "")&gt;0,NOT(ISBLANK(E86)))</formula>
    </cfRule>
  </conditionalFormatting>
  <conditionalFormatting sqref="E87">
    <cfRule type="expression" dxfId="0" priority="151">
      <formula>COUNTIF(G87:BE87,"&lt;&gt;" &amp; "")&gt;0</formula>
    </cfRule>
    <cfRule type="expression" dxfId="1" priority="152">
      <formula>AND(COUNTIF(G87:BE87,"&lt;&gt;" &amp; "")&gt;0,NOT(ISBLANK(E87)))</formula>
    </cfRule>
  </conditionalFormatting>
  <conditionalFormatting sqref="E88">
    <cfRule type="expression" dxfId="0" priority="153">
      <formula>COUNTIF(G88:BE88,"&lt;&gt;" &amp; "")&gt;0</formula>
    </cfRule>
    <cfRule type="expression" dxfId="1" priority="154">
      <formula>AND(COUNTIF(G88:BE88,"&lt;&gt;" &amp; "")&gt;0,NOT(ISBLANK(E88)))</formula>
    </cfRule>
  </conditionalFormatting>
  <conditionalFormatting sqref="E89">
    <cfRule type="expression" dxfId="0" priority="155">
      <formula>COUNTIF(G89:BE89,"&lt;&gt;" &amp; "")&gt;0</formula>
    </cfRule>
    <cfRule type="expression" dxfId="1" priority="156">
      <formula>AND(COUNTIF(G89:BE89,"&lt;&gt;" &amp; "")&gt;0,NOT(ISBLANK(E89)))</formula>
    </cfRule>
  </conditionalFormatting>
  <conditionalFormatting sqref="E9">
    <cfRule type="expression" dxfId="0" priority="15">
      <formula>COUNTIF(G9:BE9,"&lt;&gt;" &amp; "")&gt;0</formula>
    </cfRule>
    <cfRule type="expression" dxfId="1" priority="16">
      <formula>AND(COUNTIF(G9:BE9,"&lt;&gt;" &amp; "")&gt;0,NOT(ISBLANK(E9)))</formula>
    </cfRule>
  </conditionalFormatting>
  <conditionalFormatting sqref="E90">
    <cfRule type="expression" dxfId="0" priority="157">
      <formula>COUNTIF(G90:BE90,"&lt;&gt;" &amp; "")&gt;0</formula>
    </cfRule>
    <cfRule type="expression" dxfId="1" priority="158">
      <formula>AND(COUNTIF(G90:BE90,"&lt;&gt;" &amp; "")&gt;0,NOT(ISBLANK(E90)))</formula>
    </cfRule>
  </conditionalFormatting>
  <conditionalFormatting sqref="E91">
    <cfRule type="expression" dxfId="0" priority="159">
      <formula>COUNTIF(G91:BE91,"&lt;&gt;" &amp; "")&gt;0</formula>
    </cfRule>
    <cfRule type="expression" dxfId="1" priority="160">
      <formula>AND(COUNTIF(G91:BE91,"&lt;&gt;" &amp; "")&gt;0,NOT(ISBLANK(E91)))</formula>
    </cfRule>
  </conditionalFormatting>
  <conditionalFormatting sqref="E92">
    <cfRule type="expression" dxfId="0" priority="161">
      <formula>COUNTIF(G92:BE92,"&lt;&gt;" &amp; "")&gt;0</formula>
    </cfRule>
    <cfRule type="expression" dxfId="1" priority="162">
      <formula>AND(COUNTIF(G92:BE92,"&lt;&gt;" &amp; "")&gt;0,NOT(ISBLANK(E92)))</formula>
    </cfRule>
  </conditionalFormatting>
  <conditionalFormatting sqref="E93">
    <cfRule type="expression" dxfId="0" priority="163">
      <formula>COUNTIF(G93:BE93,"&lt;&gt;" &amp; "")&gt;0</formula>
    </cfRule>
    <cfRule type="expression" dxfId="1" priority="164">
      <formula>AND(COUNTIF(G93:BE93,"&lt;&gt;" &amp; "")&gt;0,NOT(ISBLANK(E93)))</formula>
    </cfRule>
  </conditionalFormatting>
  <conditionalFormatting sqref="E94">
    <cfRule type="expression" dxfId="0" priority="165">
      <formula>COUNTIF(G94:BE94,"&lt;&gt;" &amp; "")&gt;0</formula>
    </cfRule>
    <cfRule type="expression" dxfId="1" priority="166">
      <formula>AND(COUNTIF(G94:BE94,"&lt;&gt;" &amp; "")&gt;0,NOT(ISBLANK(E94)))</formula>
    </cfRule>
  </conditionalFormatting>
  <conditionalFormatting sqref="E95">
    <cfRule type="expression" dxfId="0" priority="167">
      <formula>COUNTIF(G95:BE95,"&lt;&gt;" &amp; "")&gt;0</formula>
    </cfRule>
    <cfRule type="expression" dxfId="1" priority="168">
      <formula>AND(COUNTIF(G95:BE95,"&lt;&gt;" &amp; "")&gt;0,NOT(ISBLANK(E95)))</formula>
    </cfRule>
  </conditionalFormatting>
  <dataValidations count="84">
    <dataValidation type="list" allowBlank="1" showInputMessage="1" showErrorMessage="1" sqref="C2">
      <formula1>"N.A."</formula1>
    </dataValidation>
    <dataValidation type="list" allowBlank="1" showInputMessage="1" showErrorMessage="1" sqref="C3">
      <formula1>"N.A."</formula1>
    </dataValidation>
    <dataValidation type="list" allowBlank="1" showInputMessage="1" showErrorMessage="1" sqref="C4">
      <formula1>"N.A."</formula1>
    </dataValidation>
    <dataValidation type="list" allowBlank="1" showInputMessage="1" showErrorMessage="1" sqref="C5">
      <formula1>"N.A."</formula1>
    </dataValidation>
    <dataValidation type="list" allowBlank="1" showInputMessage="1" showErrorMessage="1" sqref="C6">
      <formula1>"N.A."</formula1>
    </dataValidation>
    <dataValidation type="list" allowBlank="1" showInputMessage="1" showErrorMessage="1" sqref="C7">
      <formula1>"N.A."</formula1>
    </dataValidation>
    <dataValidation type="list" allowBlank="1" showInputMessage="1" showErrorMessage="1" sqref="C8">
      <formula1>"N.A."</formula1>
    </dataValidation>
    <dataValidation type="list" allowBlank="1" showInputMessage="1" showErrorMessage="1" sqref="C9">
      <formula1>"N.A."</formula1>
    </dataValidation>
    <dataValidation type="list" allowBlank="1" showInputMessage="1" showErrorMessage="1" sqref="C10">
      <formula1>"N.A."</formula1>
    </dataValidation>
    <dataValidation type="list" allowBlank="1" showInputMessage="1" showErrorMessage="1" sqref="C11">
      <formula1>"N.A."</formula1>
    </dataValidation>
    <dataValidation type="list" allowBlank="1" showInputMessage="1" showErrorMessage="1" sqref="C12">
      <formula1>"N.A."</formula1>
    </dataValidation>
    <dataValidation type="list" allowBlank="1" showInputMessage="1" showErrorMessage="1" sqref="C13">
      <formula1>"N.A."</formula1>
    </dataValidation>
    <dataValidation type="list" allowBlank="1" showInputMessage="1" showErrorMessage="1" sqref="C14">
      <formula1>"N.A."</formula1>
    </dataValidation>
    <dataValidation type="list" allowBlank="1" showInputMessage="1" showErrorMessage="1" sqref="C15">
      <formula1>"N.A."</formula1>
    </dataValidation>
    <dataValidation type="list" allowBlank="1" showInputMessage="1" showErrorMessage="1" sqref="C18">
      <formula1>"N.A."</formula1>
    </dataValidation>
    <dataValidation type="list" allowBlank="1" showInputMessage="1" showErrorMessage="1" sqref="C19">
      <formula1>"N.A."</formula1>
    </dataValidation>
    <dataValidation type="list" allowBlank="1" showInputMessage="1" showErrorMessage="1" sqref="C20">
      <formula1>"N.A."</formula1>
    </dataValidation>
    <dataValidation type="list" allowBlank="1" showInputMessage="1" showErrorMessage="1" sqref="C21">
      <formula1>"N.A."</formula1>
    </dataValidation>
    <dataValidation type="list" allowBlank="1" showInputMessage="1" showErrorMessage="1" sqref="C22">
      <formula1>"N.A."</formula1>
    </dataValidation>
    <dataValidation type="list" allowBlank="1" showInputMessage="1" showErrorMessage="1" sqref="C23">
      <formula1>"N.A."</formula1>
    </dataValidation>
    <dataValidation type="list" allowBlank="1" showInputMessage="1" showErrorMessage="1" sqref="C24">
      <formula1>"N.A."</formula1>
    </dataValidation>
    <dataValidation type="list" allowBlank="1" showInputMessage="1" showErrorMessage="1" sqref="C25">
      <formula1>"N.A."</formula1>
    </dataValidation>
    <dataValidation type="list" allowBlank="1" showInputMessage="1" showErrorMessage="1" sqref="C26">
      <formula1>"N.A."</formula1>
    </dataValidation>
    <dataValidation type="list" allowBlank="1" showInputMessage="1" showErrorMessage="1" sqref="C27">
      <formula1>"N.A."</formula1>
    </dataValidation>
    <dataValidation type="list" allowBlank="1" showInputMessage="1" showErrorMessage="1" sqref="C28">
      <formula1>"N.A."</formula1>
    </dataValidation>
    <dataValidation type="list" allowBlank="1" showInputMessage="1" showErrorMessage="1" sqref="C29">
      <formula1>"N.A."</formula1>
    </dataValidation>
    <dataValidation type="list" allowBlank="1" showInputMessage="1" showErrorMessage="1" sqref="C30">
      <formula1>"N.A."</formula1>
    </dataValidation>
    <dataValidation type="list" allowBlank="1" showInputMessage="1" showErrorMessage="1" sqref="C31">
      <formula1>"N.A."</formula1>
    </dataValidation>
    <dataValidation type="list" allowBlank="1" showInputMessage="1" showErrorMessage="1" sqref="C34">
      <formula1>"N.A."</formula1>
    </dataValidation>
    <dataValidation type="list" allowBlank="1" showInputMessage="1" showErrorMessage="1" sqref="C35">
      <formula1>"N.A."</formula1>
    </dataValidation>
    <dataValidation type="list" allowBlank="1" showInputMessage="1" showErrorMessage="1" sqref="C36">
      <formula1>"N.A."</formula1>
    </dataValidation>
    <dataValidation type="list" allowBlank="1" showInputMessage="1" showErrorMessage="1" sqref="C37">
      <formula1>"N.A."</formula1>
    </dataValidation>
    <dataValidation type="list" allowBlank="1" showInputMessage="1" showErrorMessage="1" sqref="C38">
      <formula1>"N.A."</formula1>
    </dataValidation>
    <dataValidation type="list" allowBlank="1" showInputMessage="1" showErrorMessage="1" sqref="C39">
      <formula1>"N.A."</formula1>
    </dataValidation>
    <dataValidation type="list" allowBlank="1" showInputMessage="1" showErrorMessage="1" sqref="C40">
      <formula1>"N.A."</formula1>
    </dataValidation>
    <dataValidation type="list" allowBlank="1" showInputMessage="1" showErrorMessage="1" sqref="C41">
      <formula1>"N.A."</formula1>
    </dataValidation>
    <dataValidation type="list" allowBlank="1" showInputMessage="1" showErrorMessage="1" sqref="C42">
      <formula1>"N.A."</formula1>
    </dataValidation>
    <dataValidation type="list" allowBlank="1" showInputMessage="1" showErrorMessage="1" sqref="C43">
      <formula1>"N.A."</formula1>
    </dataValidation>
    <dataValidation type="list" allowBlank="1" showInputMessage="1" showErrorMessage="1" sqref="C44">
      <formula1>"N.A."</formula1>
    </dataValidation>
    <dataValidation type="list" allowBlank="1" showInputMessage="1" showErrorMessage="1" sqref="C45">
      <formula1>"N.A."</formula1>
    </dataValidation>
    <dataValidation type="list" allowBlank="1" showInputMessage="1" showErrorMessage="1" sqref="C46">
      <formula1>"N.A."</formula1>
    </dataValidation>
    <dataValidation type="list" allowBlank="1" showInputMessage="1" showErrorMessage="1" sqref="C47">
      <formula1>"N.A."</formula1>
    </dataValidation>
    <dataValidation type="list" allowBlank="1" showInputMessage="1" showErrorMessage="1" sqref="C50">
      <formula1>"N.A."</formula1>
    </dataValidation>
    <dataValidation type="list" allowBlank="1" showInputMessage="1" showErrorMessage="1" sqref="C51">
      <formula1>"N.A."</formula1>
    </dataValidation>
    <dataValidation type="list" allowBlank="1" showInputMessage="1" showErrorMessage="1" sqref="C52">
      <formula1>"N.A."</formula1>
    </dataValidation>
    <dataValidation type="list" allowBlank="1" showInputMessage="1" showErrorMessage="1" sqref="C53">
      <formula1>"N.A."</formula1>
    </dataValidation>
    <dataValidation type="list" allowBlank="1" showInputMessage="1" showErrorMessage="1" sqref="C54">
      <formula1>"N.A."</formula1>
    </dataValidation>
    <dataValidation type="list" allowBlank="1" showInputMessage="1" showErrorMessage="1" sqref="C55">
      <formula1>"N.A."</formula1>
    </dataValidation>
    <dataValidation type="list" allowBlank="1" showInputMessage="1" showErrorMessage="1" sqref="C56">
      <formula1>"N.A."</formula1>
    </dataValidation>
    <dataValidation type="list" allowBlank="1" showInputMessage="1" showErrorMessage="1" sqref="C57">
      <formula1>"N.A."</formula1>
    </dataValidation>
    <dataValidation type="list" allowBlank="1" showInputMessage="1" showErrorMessage="1" sqref="C58">
      <formula1>"N.A."</formula1>
    </dataValidation>
    <dataValidation type="list" allowBlank="1" showInputMessage="1" showErrorMessage="1" sqref="C59">
      <formula1>"N.A."</formula1>
    </dataValidation>
    <dataValidation type="list" allowBlank="1" showInputMessage="1" showErrorMessage="1" sqref="C60">
      <formula1>"N.A."</formula1>
    </dataValidation>
    <dataValidation type="list" allowBlank="1" showInputMessage="1" showErrorMessage="1" sqref="C61">
      <formula1>"N.A."</formula1>
    </dataValidation>
    <dataValidation type="list" allowBlank="1" showInputMessage="1" showErrorMessage="1" sqref="C62">
      <formula1>"N.A."</formula1>
    </dataValidation>
    <dataValidation type="list" allowBlank="1" showInputMessage="1" showErrorMessage="1" sqref="C63">
      <formula1>"N.A."</formula1>
    </dataValidation>
    <dataValidation type="list" allowBlank="1" showInputMessage="1" showErrorMessage="1" sqref="C66">
      <formula1>"Number (per year)"</formula1>
    </dataValidation>
    <dataValidation type="list" allowBlank="1" showInputMessage="1" showErrorMessage="1" sqref="C67">
      <formula1>"Number (per year)"</formula1>
    </dataValidation>
    <dataValidation type="list" allowBlank="1" showInputMessage="1" showErrorMessage="1" sqref="C68">
      <formula1>"Number (per year)"</formula1>
    </dataValidation>
    <dataValidation type="list" allowBlank="1" showInputMessage="1" showErrorMessage="1" sqref="C69">
      <formula1>"Number (per year)"</formula1>
    </dataValidation>
    <dataValidation type="list" allowBlank="1" showInputMessage="1" showErrorMessage="1" sqref="C70">
      <formula1>"Number (per year)"</formula1>
    </dataValidation>
    <dataValidation type="list" allowBlank="1" showInputMessage="1" showErrorMessage="1" sqref="C71">
      <formula1>"Number (per year)"</formula1>
    </dataValidation>
    <dataValidation type="list" allowBlank="1" showInputMessage="1" showErrorMessage="1" sqref="C72">
      <formula1>"Number (per year)"</formula1>
    </dataValidation>
    <dataValidation type="list" allowBlank="1" showInputMessage="1" showErrorMessage="1" sqref="C73">
      <formula1>"Number (per year)"</formula1>
    </dataValidation>
    <dataValidation type="list" allowBlank="1" showInputMessage="1" showErrorMessage="1" sqref="C74">
      <formula1>"Number (per year)"</formula1>
    </dataValidation>
    <dataValidation type="list" allowBlank="1" showInputMessage="1" showErrorMessage="1" sqref="C75">
      <formula1>"Number (per year)"</formula1>
    </dataValidation>
    <dataValidation type="list" allowBlank="1" showInputMessage="1" showErrorMessage="1" sqref="C76">
      <formula1>"Number (per year)"</formula1>
    </dataValidation>
    <dataValidation type="list" allowBlank="1" showInputMessage="1" showErrorMessage="1" sqref="C77">
      <formula1>"Number (per year)"</formula1>
    </dataValidation>
    <dataValidation type="list" allowBlank="1" showInputMessage="1" showErrorMessage="1" sqref="C78">
      <formula1>"Number (per year)"</formula1>
    </dataValidation>
    <dataValidation type="list" allowBlank="1" showInputMessage="1" showErrorMessage="1" sqref="C79">
      <formula1>"Number (per year)"</formula1>
    </dataValidation>
    <dataValidation type="list" allowBlank="1" showInputMessage="1" showErrorMessage="1" sqref="C82">
      <formula1>"Number (per year)"</formula1>
    </dataValidation>
    <dataValidation type="list" allowBlank="1" showInputMessage="1" showErrorMessage="1" sqref="C83">
      <formula1>"Number (per year)"</formula1>
    </dataValidation>
    <dataValidation type="list" allowBlank="1" showInputMessage="1" showErrorMessage="1" sqref="C84">
      <formula1>"Number (per year)"</formula1>
    </dataValidation>
    <dataValidation type="list" allowBlank="1" showInputMessage="1" showErrorMessage="1" sqref="C85">
      <formula1>"Number (per year)"</formula1>
    </dataValidation>
    <dataValidation type="list" allowBlank="1" showInputMessage="1" showErrorMessage="1" sqref="C86">
      <formula1>"Number (per year)"</formula1>
    </dataValidation>
    <dataValidation type="list" allowBlank="1" showInputMessage="1" showErrorMessage="1" sqref="C87">
      <formula1>"Number (per year)"</formula1>
    </dataValidation>
    <dataValidation type="list" allowBlank="1" showInputMessage="1" showErrorMessage="1" sqref="C88">
      <formula1>"Number (per year)"</formula1>
    </dataValidation>
    <dataValidation type="list" allowBlank="1" showInputMessage="1" showErrorMessage="1" sqref="C89">
      <formula1>"Number (per year)"</formula1>
    </dataValidation>
    <dataValidation type="list" allowBlank="1" showInputMessage="1" showErrorMessage="1" sqref="C90">
      <formula1>"Number (per year)"</formula1>
    </dataValidation>
    <dataValidation type="list" allowBlank="1" showInputMessage="1" showErrorMessage="1" sqref="C91">
      <formula1>"Number (per year)"</formula1>
    </dataValidation>
    <dataValidation type="list" allowBlank="1" showInputMessage="1" showErrorMessage="1" sqref="C92">
      <formula1>"Number (per year)"</formula1>
    </dataValidation>
    <dataValidation type="list" allowBlank="1" showInputMessage="1" showErrorMessage="1" sqref="C93">
      <formula1>"Number (per year)"</formula1>
    </dataValidation>
    <dataValidation type="list" allowBlank="1" showInputMessage="1" showErrorMessage="1" sqref="C94">
      <formula1>"Number (per year)"</formula1>
    </dataValidation>
    <dataValidation type="list" allowBlank="1" showInputMessage="1" showErrorMessage="1" sqref="C95">
      <formula1>"Number (per year)"</formula1>
    </dataValidation>
  </dataValidation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sheetPr>
    <tabColor rgb="FF808080"/>
  </sheetPr>
  <dimension ref="A1:BE111"/>
  <sheetViews>
    <sheetView workbookViewId="0"/>
  </sheetViews>
  <sheetFormatPr defaultRowHeight="15"/>
  <cols>
    <col min="1" max="1" width="76.5703125" customWidth="1"/>
    <col min="2" max="2" width="30.28515625" customWidth="1"/>
    <col min="3" max="3" width="25.85546875" customWidth="1"/>
    <col min="4" max="4" width="13.85546875" customWidth="1"/>
    <col min="5" max="5" width="10.5703125" customWidth="1"/>
    <col min="6" max="6" width="3.85546875" customWidth="1"/>
    <col min="7" max="57" width="9.42578125" customWidth="1"/>
  </cols>
  <sheetData>
    <row r="1" spans="1:57">
      <c r="A1" s="1" t="s">
        <v>216</v>
      </c>
      <c r="B1" s="1" t="s">
        <v>31</v>
      </c>
      <c r="C1" s="1" t="s">
        <v>32</v>
      </c>
      <c r="D1" s="1" t="s">
        <v>33</v>
      </c>
      <c r="E1" s="1" t="s">
        <v>38</v>
      </c>
      <c r="F1" s="1"/>
      <c r="G1" s="1">
        <v>2000</v>
      </c>
      <c r="H1" s="1">
        <v>2001</v>
      </c>
      <c r="I1" s="1">
        <v>2002</v>
      </c>
      <c r="J1" s="1">
        <v>2003</v>
      </c>
      <c r="K1" s="1">
        <v>2004</v>
      </c>
      <c r="L1" s="1">
        <v>2005</v>
      </c>
      <c r="M1" s="1">
        <v>2006</v>
      </c>
      <c r="N1" s="1">
        <v>2007</v>
      </c>
      <c r="O1" s="1">
        <v>2008</v>
      </c>
      <c r="P1" s="1">
        <v>2009</v>
      </c>
      <c r="Q1" s="1">
        <v>2010</v>
      </c>
      <c r="R1" s="1">
        <v>2011</v>
      </c>
      <c r="S1" s="1">
        <v>2012</v>
      </c>
      <c r="T1" s="1">
        <v>2013</v>
      </c>
      <c r="U1" s="1">
        <v>2014</v>
      </c>
      <c r="V1" s="1">
        <v>2015</v>
      </c>
      <c r="W1" s="1">
        <v>2016</v>
      </c>
      <c r="X1" s="1">
        <v>2017</v>
      </c>
      <c r="Y1" s="1">
        <v>2018</v>
      </c>
      <c r="Z1" s="1">
        <v>2019</v>
      </c>
      <c r="AA1" s="1">
        <v>2020</v>
      </c>
      <c r="AB1" s="1">
        <v>2021</v>
      </c>
      <c r="AC1" s="1">
        <v>2022</v>
      </c>
      <c r="AD1" s="1">
        <v>2023</v>
      </c>
      <c r="AE1" s="1">
        <v>2024</v>
      </c>
      <c r="AF1" s="1">
        <v>2025</v>
      </c>
      <c r="AG1" s="1">
        <v>2026</v>
      </c>
      <c r="AH1" s="1">
        <v>2027</v>
      </c>
      <c r="AI1" s="1">
        <v>2028</v>
      </c>
      <c r="AJ1" s="1">
        <v>2029</v>
      </c>
      <c r="AK1" s="1">
        <v>2030</v>
      </c>
      <c r="AL1" s="1">
        <v>2031</v>
      </c>
      <c r="AM1" s="1">
        <v>2032</v>
      </c>
      <c r="AN1" s="1">
        <v>2033</v>
      </c>
      <c r="AO1" s="1">
        <v>2034</v>
      </c>
      <c r="AP1" s="1">
        <v>2035</v>
      </c>
      <c r="AQ1" s="1">
        <v>2036</v>
      </c>
      <c r="AR1" s="1">
        <v>2037</v>
      </c>
      <c r="AS1" s="1">
        <v>2038</v>
      </c>
      <c r="AT1" s="1">
        <v>2039</v>
      </c>
      <c r="AU1" s="1">
        <v>2040</v>
      </c>
      <c r="AV1" s="1">
        <v>2041</v>
      </c>
      <c r="AW1" s="1">
        <v>2042</v>
      </c>
      <c r="AX1" s="1">
        <v>2043</v>
      </c>
      <c r="AY1" s="1">
        <v>2044</v>
      </c>
      <c r="AZ1" s="1">
        <v>2045</v>
      </c>
      <c r="BA1" s="1">
        <v>2046</v>
      </c>
      <c r="BB1" s="1">
        <v>2047</v>
      </c>
      <c r="BC1" s="1">
        <v>2048</v>
      </c>
      <c r="BD1" s="1">
        <v>2049</v>
      </c>
      <c r="BE1" s="1">
        <v>2050</v>
      </c>
    </row>
    <row r="2" spans="1:57">
      <c r="A2" s="1" t="str">
        <f>'Population Definitions'!$A$2</f>
        <v>PWID_males</v>
      </c>
      <c r="B2" t="s">
        <v>62</v>
      </c>
      <c r="C2" t="s">
        <v>217</v>
      </c>
      <c r="D2" s="3"/>
      <c r="E2" s="3">
        <v>0</v>
      </c>
      <c r="F2" s="4" t="s">
        <v>39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</row>
    <row r="3" spans="1:57">
      <c r="A3" s="1" t="str">
        <f>'Population Definitions'!$A$3</f>
        <v>PWID_females</v>
      </c>
      <c r="B3" t="s">
        <v>62</v>
      </c>
      <c r="C3" t="s">
        <v>217</v>
      </c>
      <c r="D3" s="3"/>
      <c r="E3" s="3">
        <v>0</v>
      </c>
      <c r="F3" s="4" t="s">
        <v>39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</row>
    <row r="4" spans="1:57">
      <c r="A4" s="1" t="str">
        <f>'Population Definitions'!$A$4</f>
        <v>0-9_males</v>
      </c>
      <c r="B4" t="s">
        <v>62</v>
      </c>
      <c r="C4" t="s">
        <v>217</v>
      </c>
      <c r="D4" s="3"/>
      <c r="E4" s="3">
        <v>0</v>
      </c>
      <c r="F4" s="4" t="s">
        <v>39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</row>
    <row r="5" spans="1:57">
      <c r="A5" s="1" t="str">
        <f>'Population Definitions'!$A$5</f>
        <v>0-9_females</v>
      </c>
      <c r="B5" t="s">
        <v>62</v>
      </c>
      <c r="C5" t="s">
        <v>217</v>
      </c>
      <c r="D5" s="3"/>
      <c r="E5" s="3">
        <v>0</v>
      </c>
      <c r="F5" s="4" t="s">
        <v>39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</row>
    <row r="6" spans="1:57">
      <c r="A6" s="1" t="str">
        <f>'Population Definitions'!$A$6</f>
        <v>10-17_males</v>
      </c>
      <c r="B6" t="s">
        <v>62</v>
      </c>
      <c r="C6" t="s">
        <v>217</v>
      </c>
      <c r="D6" s="3"/>
      <c r="E6" s="3">
        <v>0</v>
      </c>
      <c r="F6" s="4" t="s">
        <v>39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</row>
    <row r="7" spans="1:57">
      <c r="A7" s="1" t="str">
        <f>'Population Definitions'!$A$7</f>
        <v>10-17_females</v>
      </c>
      <c r="B7" t="s">
        <v>62</v>
      </c>
      <c r="C7" t="s">
        <v>217</v>
      </c>
      <c r="D7" s="3"/>
      <c r="E7" s="3">
        <v>0</v>
      </c>
      <c r="F7" s="4" t="s">
        <v>39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</row>
    <row r="8" spans="1:57">
      <c r="A8" s="1" t="str">
        <f>'Population Definitions'!$A$8</f>
        <v>18-64_males</v>
      </c>
      <c r="B8" t="s">
        <v>62</v>
      </c>
      <c r="C8" t="s">
        <v>217</v>
      </c>
      <c r="D8" s="3"/>
      <c r="E8" s="3">
        <v>0</v>
      </c>
      <c r="F8" s="4" t="s">
        <v>39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</row>
    <row r="9" spans="1:57">
      <c r="A9" s="1" t="str">
        <f>'Population Definitions'!$A$9</f>
        <v>18-64_females</v>
      </c>
      <c r="B9" t="s">
        <v>62</v>
      </c>
      <c r="C9" t="s">
        <v>217</v>
      </c>
      <c r="D9" s="3"/>
      <c r="E9" s="3">
        <v>0</v>
      </c>
      <c r="F9" s="4" t="s">
        <v>39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</row>
    <row r="10" spans="1:57">
      <c r="A10" s="1" t="str">
        <f>'Population Definitions'!$A$10</f>
        <v>65+_males</v>
      </c>
      <c r="B10" t="s">
        <v>62</v>
      </c>
      <c r="C10" t="s">
        <v>217</v>
      </c>
      <c r="D10" s="3"/>
      <c r="E10" s="3">
        <v>0</v>
      </c>
      <c r="F10" s="4" t="s">
        <v>39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</row>
    <row r="11" spans="1:57">
      <c r="A11" s="1" t="str">
        <f>'Population Definitions'!$A$11</f>
        <v>65+_females</v>
      </c>
      <c r="B11" t="s">
        <v>62</v>
      </c>
      <c r="C11" t="s">
        <v>217</v>
      </c>
      <c r="D11" s="3"/>
      <c r="E11" s="3">
        <v>0</v>
      </c>
      <c r="F11" s="4" t="s">
        <v>39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</row>
    <row r="12" spans="1:57">
      <c r="A12" s="1" t="str">
        <f>'Population Definitions'!$A$12</f>
        <v>Prisoners_males</v>
      </c>
      <c r="B12" t="s">
        <v>62</v>
      </c>
      <c r="C12" t="s">
        <v>217</v>
      </c>
      <c r="D12" s="3"/>
      <c r="E12" s="3">
        <v>0</v>
      </c>
      <c r="F12" s="4" t="s">
        <v>39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</row>
    <row r="13" spans="1:57">
      <c r="A13" s="1" t="str">
        <f>'Population Definitions'!$A$13</f>
        <v>Prisoners_females</v>
      </c>
      <c r="B13" t="s">
        <v>62</v>
      </c>
      <c r="C13" t="s">
        <v>217</v>
      </c>
      <c r="D13" s="3"/>
      <c r="E13" s="3">
        <v>0</v>
      </c>
      <c r="F13" s="4" t="s">
        <v>39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</row>
    <row r="14" spans="1:57">
      <c r="A14" s="1" t="str">
        <f>'Population Definitions'!$A$14</f>
        <v>Prisoners_PWID_males</v>
      </c>
      <c r="B14" t="s">
        <v>62</v>
      </c>
      <c r="C14" t="s">
        <v>217</v>
      </c>
      <c r="D14" s="3"/>
      <c r="E14" s="3">
        <v>0</v>
      </c>
      <c r="F14" s="4" t="s">
        <v>39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</row>
    <row r="15" spans="1:57">
      <c r="A15" s="1" t="str">
        <f>'Population Definitions'!$A$15</f>
        <v>Prisoners_PWID_females</v>
      </c>
      <c r="B15" t="s">
        <v>62</v>
      </c>
      <c r="C15" t="s">
        <v>217</v>
      </c>
      <c r="D15" s="3"/>
      <c r="E15" s="3">
        <v>0</v>
      </c>
      <c r="F15" s="4" t="s">
        <v>39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</row>
    <row r="17" spans="1:57">
      <c r="A17" s="1" t="s">
        <v>218</v>
      </c>
      <c r="B17" s="1" t="s">
        <v>31</v>
      </c>
      <c r="C17" s="1" t="s">
        <v>32</v>
      </c>
      <c r="D17" s="1" t="s">
        <v>33</v>
      </c>
      <c r="E17" s="1" t="s">
        <v>38</v>
      </c>
      <c r="F17" s="1"/>
      <c r="G17" s="1">
        <v>2000</v>
      </c>
      <c r="H17" s="1">
        <v>2001</v>
      </c>
      <c r="I17" s="1">
        <v>2002</v>
      </c>
      <c r="J17" s="1">
        <v>2003</v>
      </c>
      <c r="K17" s="1">
        <v>2004</v>
      </c>
      <c r="L17" s="1">
        <v>2005</v>
      </c>
      <c r="M17" s="1">
        <v>2006</v>
      </c>
      <c r="N17" s="1">
        <v>2007</v>
      </c>
      <c r="O17" s="1">
        <v>2008</v>
      </c>
      <c r="P17" s="1">
        <v>2009</v>
      </c>
      <c r="Q17" s="1">
        <v>2010</v>
      </c>
      <c r="R17" s="1">
        <v>2011</v>
      </c>
      <c r="S17" s="1">
        <v>2012</v>
      </c>
      <c r="T17" s="1">
        <v>2013</v>
      </c>
      <c r="U17" s="1">
        <v>2014</v>
      </c>
      <c r="V17" s="1">
        <v>2015</v>
      </c>
      <c r="W17" s="1">
        <v>2016</v>
      </c>
      <c r="X17" s="1">
        <v>2017</v>
      </c>
      <c r="Y17" s="1">
        <v>2018</v>
      </c>
      <c r="Z17" s="1">
        <v>2019</v>
      </c>
      <c r="AA17" s="1">
        <v>2020</v>
      </c>
      <c r="AB17" s="1">
        <v>2021</v>
      </c>
      <c r="AC17" s="1">
        <v>2022</v>
      </c>
      <c r="AD17" s="1">
        <v>2023</v>
      </c>
      <c r="AE17" s="1">
        <v>2024</v>
      </c>
      <c r="AF17" s="1">
        <v>2025</v>
      </c>
      <c r="AG17" s="1">
        <v>2026</v>
      </c>
      <c r="AH17" s="1">
        <v>2027</v>
      </c>
      <c r="AI17" s="1">
        <v>2028</v>
      </c>
      <c r="AJ17" s="1">
        <v>2029</v>
      </c>
      <c r="AK17" s="1">
        <v>2030</v>
      </c>
      <c r="AL17" s="1">
        <v>2031</v>
      </c>
      <c r="AM17" s="1">
        <v>2032</v>
      </c>
      <c r="AN17" s="1">
        <v>2033</v>
      </c>
      <c r="AO17" s="1">
        <v>2034</v>
      </c>
      <c r="AP17" s="1">
        <v>2035</v>
      </c>
      <c r="AQ17" s="1">
        <v>2036</v>
      </c>
      <c r="AR17" s="1">
        <v>2037</v>
      </c>
      <c r="AS17" s="1">
        <v>2038</v>
      </c>
      <c r="AT17" s="1">
        <v>2039</v>
      </c>
      <c r="AU17" s="1">
        <v>2040</v>
      </c>
      <c r="AV17" s="1">
        <v>2041</v>
      </c>
      <c r="AW17" s="1">
        <v>2042</v>
      </c>
      <c r="AX17" s="1">
        <v>2043</v>
      </c>
      <c r="AY17" s="1">
        <v>2044</v>
      </c>
      <c r="AZ17" s="1">
        <v>2045</v>
      </c>
      <c r="BA17" s="1">
        <v>2046</v>
      </c>
      <c r="BB17" s="1">
        <v>2047</v>
      </c>
      <c r="BC17" s="1">
        <v>2048</v>
      </c>
      <c r="BD17" s="1">
        <v>2049</v>
      </c>
      <c r="BE17" s="1">
        <v>2050</v>
      </c>
    </row>
    <row r="18" spans="1:57">
      <c r="A18" s="1" t="str">
        <f>'Population Definitions'!$A$2</f>
        <v>PWID_males</v>
      </c>
      <c r="B18" t="s">
        <v>62</v>
      </c>
      <c r="C18" t="s">
        <v>63</v>
      </c>
      <c r="D18" s="3"/>
      <c r="E18" s="3">
        <v>5</v>
      </c>
      <c r="F18" s="4" t="s">
        <v>39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</row>
    <row r="19" spans="1:57">
      <c r="A19" s="1" t="str">
        <f>'Population Definitions'!$A$3</f>
        <v>PWID_females</v>
      </c>
      <c r="B19" t="s">
        <v>62</v>
      </c>
      <c r="C19" t="s">
        <v>63</v>
      </c>
      <c r="D19" s="3"/>
      <c r="E19" s="3">
        <v>5</v>
      </c>
      <c r="F19" s="4" t="s">
        <v>39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</row>
    <row r="20" spans="1:57">
      <c r="A20" s="1" t="str">
        <f>'Population Definitions'!$A$4</f>
        <v>0-9_males</v>
      </c>
      <c r="B20" t="s">
        <v>62</v>
      </c>
      <c r="C20" t="s">
        <v>63</v>
      </c>
      <c r="D20" s="3"/>
      <c r="E20" s="3">
        <v>5</v>
      </c>
      <c r="F20" s="4" t="s">
        <v>39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</row>
    <row r="21" spans="1:57">
      <c r="A21" s="1" t="str">
        <f>'Population Definitions'!$A$5</f>
        <v>0-9_females</v>
      </c>
      <c r="B21" t="s">
        <v>62</v>
      </c>
      <c r="C21" t="s">
        <v>63</v>
      </c>
      <c r="D21" s="3"/>
      <c r="E21" s="3">
        <v>5</v>
      </c>
      <c r="F21" s="4" t="s">
        <v>39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</row>
    <row r="22" spans="1:57">
      <c r="A22" s="1" t="str">
        <f>'Population Definitions'!$A$6</f>
        <v>10-17_males</v>
      </c>
      <c r="B22" t="s">
        <v>62</v>
      </c>
      <c r="C22" t="s">
        <v>63</v>
      </c>
      <c r="D22" s="3"/>
      <c r="E22" s="3">
        <v>5</v>
      </c>
      <c r="F22" s="4" t="s">
        <v>39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</row>
    <row r="23" spans="1:57">
      <c r="A23" s="1" t="str">
        <f>'Population Definitions'!$A$7</f>
        <v>10-17_females</v>
      </c>
      <c r="B23" t="s">
        <v>62</v>
      </c>
      <c r="C23" t="s">
        <v>63</v>
      </c>
      <c r="D23" s="3"/>
      <c r="E23" s="3">
        <v>5</v>
      </c>
      <c r="F23" s="4" t="s">
        <v>39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</row>
    <row r="24" spans="1:57">
      <c r="A24" s="1" t="str">
        <f>'Population Definitions'!$A$8</f>
        <v>18-64_males</v>
      </c>
      <c r="B24" t="s">
        <v>62</v>
      </c>
      <c r="C24" t="s">
        <v>63</v>
      </c>
      <c r="D24" s="3"/>
      <c r="E24" s="3">
        <v>5</v>
      </c>
      <c r="F24" s="4" t="s">
        <v>39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</row>
    <row r="25" spans="1:57">
      <c r="A25" s="1" t="str">
        <f>'Population Definitions'!$A$9</f>
        <v>18-64_females</v>
      </c>
      <c r="B25" t="s">
        <v>62</v>
      </c>
      <c r="C25" t="s">
        <v>63</v>
      </c>
      <c r="D25" s="3"/>
      <c r="E25" s="3">
        <v>5</v>
      </c>
      <c r="F25" s="4" t="s">
        <v>39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</row>
    <row r="26" spans="1:57">
      <c r="A26" s="1" t="str">
        <f>'Population Definitions'!$A$10</f>
        <v>65+_males</v>
      </c>
      <c r="B26" t="s">
        <v>62</v>
      </c>
      <c r="C26" t="s">
        <v>63</v>
      </c>
      <c r="D26" s="3"/>
      <c r="E26" s="3">
        <v>5</v>
      </c>
      <c r="F26" s="4" t="s">
        <v>39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</row>
    <row r="27" spans="1:57">
      <c r="A27" s="1" t="str">
        <f>'Population Definitions'!$A$11</f>
        <v>65+_females</v>
      </c>
      <c r="B27" t="s">
        <v>62</v>
      </c>
      <c r="C27" t="s">
        <v>63</v>
      </c>
      <c r="D27" s="3"/>
      <c r="E27" s="3">
        <v>5</v>
      </c>
      <c r="F27" s="4" t="s">
        <v>39</v>
      </c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</row>
    <row r="28" spans="1:57">
      <c r="A28" s="1" t="str">
        <f>'Population Definitions'!$A$12</f>
        <v>Prisoners_males</v>
      </c>
      <c r="B28" t="s">
        <v>62</v>
      </c>
      <c r="C28" t="s">
        <v>63</v>
      </c>
      <c r="D28" s="3"/>
      <c r="E28" s="3">
        <v>5</v>
      </c>
      <c r="F28" s="4" t="s">
        <v>39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</row>
    <row r="29" spans="1:57">
      <c r="A29" s="1" t="str">
        <f>'Population Definitions'!$A$13</f>
        <v>Prisoners_females</v>
      </c>
      <c r="B29" t="s">
        <v>62</v>
      </c>
      <c r="C29" t="s">
        <v>63</v>
      </c>
      <c r="D29" s="3"/>
      <c r="E29" s="3">
        <v>5</v>
      </c>
      <c r="F29" s="4" t="s">
        <v>39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</row>
    <row r="30" spans="1:57">
      <c r="A30" s="1" t="str">
        <f>'Population Definitions'!$A$14</f>
        <v>Prisoners_PWID_males</v>
      </c>
      <c r="B30" t="s">
        <v>62</v>
      </c>
      <c r="C30" t="s">
        <v>63</v>
      </c>
      <c r="D30" s="3"/>
      <c r="E30" s="3">
        <v>5</v>
      </c>
      <c r="F30" s="4" t="s">
        <v>39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</row>
    <row r="31" spans="1:57">
      <c r="A31" s="1" t="str">
        <f>'Population Definitions'!$A$15</f>
        <v>Prisoners_PWID_females</v>
      </c>
      <c r="B31" t="s">
        <v>62</v>
      </c>
      <c r="C31" t="s">
        <v>63</v>
      </c>
      <c r="D31" s="3"/>
      <c r="E31" s="3">
        <v>5</v>
      </c>
      <c r="F31" s="4" t="s">
        <v>39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</row>
    <row r="33" spans="1:57">
      <c r="A33" s="1" t="s">
        <v>219</v>
      </c>
      <c r="B33" s="1" t="s">
        <v>31</v>
      </c>
      <c r="C33" s="1" t="s">
        <v>32</v>
      </c>
      <c r="D33" s="1" t="s">
        <v>33</v>
      </c>
      <c r="E33" s="1" t="s">
        <v>38</v>
      </c>
      <c r="F33" s="1"/>
      <c r="G33" s="1">
        <v>2000</v>
      </c>
      <c r="H33" s="1">
        <v>2001</v>
      </c>
      <c r="I33" s="1">
        <v>2002</v>
      </c>
      <c r="J33" s="1">
        <v>2003</v>
      </c>
      <c r="K33" s="1">
        <v>2004</v>
      </c>
      <c r="L33" s="1">
        <v>2005</v>
      </c>
      <c r="M33" s="1">
        <v>2006</v>
      </c>
      <c r="N33" s="1">
        <v>2007</v>
      </c>
      <c r="O33" s="1">
        <v>2008</v>
      </c>
      <c r="P33" s="1">
        <v>2009</v>
      </c>
      <c r="Q33" s="1">
        <v>2010</v>
      </c>
      <c r="R33" s="1">
        <v>2011</v>
      </c>
      <c r="S33" s="1">
        <v>2012</v>
      </c>
      <c r="T33" s="1">
        <v>2013</v>
      </c>
      <c r="U33" s="1">
        <v>2014</v>
      </c>
      <c r="V33" s="1">
        <v>2015</v>
      </c>
      <c r="W33" s="1">
        <v>2016</v>
      </c>
      <c r="X33" s="1">
        <v>2017</v>
      </c>
      <c r="Y33" s="1">
        <v>2018</v>
      </c>
      <c r="Z33" s="1">
        <v>2019</v>
      </c>
      <c r="AA33" s="1">
        <v>2020</v>
      </c>
      <c r="AB33" s="1">
        <v>2021</v>
      </c>
      <c r="AC33" s="1">
        <v>2022</v>
      </c>
      <c r="AD33" s="1">
        <v>2023</v>
      </c>
      <c r="AE33" s="1">
        <v>2024</v>
      </c>
      <c r="AF33" s="1">
        <v>2025</v>
      </c>
      <c r="AG33" s="1">
        <v>2026</v>
      </c>
      <c r="AH33" s="1">
        <v>2027</v>
      </c>
      <c r="AI33" s="1">
        <v>2028</v>
      </c>
      <c r="AJ33" s="1">
        <v>2029</v>
      </c>
      <c r="AK33" s="1">
        <v>2030</v>
      </c>
      <c r="AL33" s="1">
        <v>2031</v>
      </c>
      <c r="AM33" s="1">
        <v>2032</v>
      </c>
      <c r="AN33" s="1">
        <v>2033</v>
      </c>
      <c r="AO33" s="1">
        <v>2034</v>
      </c>
      <c r="AP33" s="1">
        <v>2035</v>
      </c>
      <c r="AQ33" s="1">
        <v>2036</v>
      </c>
      <c r="AR33" s="1">
        <v>2037</v>
      </c>
      <c r="AS33" s="1">
        <v>2038</v>
      </c>
      <c r="AT33" s="1">
        <v>2039</v>
      </c>
      <c r="AU33" s="1">
        <v>2040</v>
      </c>
      <c r="AV33" s="1">
        <v>2041</v>
      </c>
      <c r="AW33" s="1">
        <v>2042</v>
      </c>
      <c r="AX33" s="1">
        <v>2043</v>
      </c>
      <c r="AY33" s="1">
        <v>2044</v>
      </c>
      <c r="AZ33" s="1">
        <v>2045</v>
      </c>
      <c r="BA33" s="1">
        <v>2046</v>
      </c>
      <c r="BB33" s="1">
        <v>2047</v>
      </c>
      <c r="BC33" s="1">
        <v>2048</v>
      </c>
      <c r="BD33" s="1">
        <v>2049</v>
      </c>
      <c r="BE33" s="1">
        <v>2050</v>
      </c>
    </row>
    <row r="34" spans="1:57">
      <c r="A34" s="1" t="str">
        <f>'Population Definitions'!$A$2</f>
        <v>PWID_males</v>
      </c>
      <c r="B34" t="s">
        <v>62</v>
      </c>
      <c r="C34" t="s">
        <v>50</v>
      </c>
      <c r="D34" s="3"/>
      <c r="E34" s="3">
        <v>0.8</v>
      </c>
      <c r="F34" s="4" t="s">
        <v>39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</row>
    <row r="35" spans="1:57">
      <c r="A35" s="1" t="str">
        <f>'Population Definitions'!$A$3</f>
        <v>PWID_females</v>
      </c>
      <c r="B35" t="s">
        <v>62</v>
      </c>
      <c r="C35" t="s">
        <v>50</v>
      </c>
      <c r="D35" s="3"/>
      <c r="E35" s="3">
        <v>0.8</v>
      </c>
      <c r="F35" s="4" t="s">
        <v>39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</row>
    <row r="36" spans="1:57">
      <c r="A36" s="1" t="str">
        <f>'Population Definitions'!$A$4</f>
        <v>0-9_males</v>
      </c>
      <c r="B36" t="s">
        <v>62</v>
      </c>
      <c r="C36" t="s">
        <v>50</v>
      </c>
      <c r="D36" s="3"/>
      <c r="E36" s="3">
        <v>0.8</v>
      </c>
      <c r="F36" s="4" t="s">
        <v>39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</row>
    <row r="37" spans="1:57">
      <c r="A37" s="1" t="str">
        <f>'Population Definitions'!$A$5</f>
        <v>0-9_females</v>
      </c>
      <c r="B37" t="s">
        <v>62</v>
      </c>
      <c r="C37" t="s">
        <v>50</v>
      </c>
      <c r="D37" s="3"/>
      <c r="E37" s="3">
        <v>0.8</v>
      </c>
      <c r="F37" s="4" t="s">
        <v>39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</row>
    <row r="38" spans="1:57">
      <c r="A38" s="1" t="str">
        <f>'Population Definitions'!$A$6</f>
        <v>10-17_males</v>
      </c>
      <c r="B38" t="s">
        <v>62</v>
      </c>
      <c r="C38" t="s">
        <v>50</v>
      </c>
      <c r="D38" s="3"/>
      <c r="E38" s="3">
        <v>0.8</v>
      </c>
      <c r="F38" s="4" t="s">
        <v>39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</row>
    <row r="39" spans="1:57">
      <c r="A39" s="1" t="str">
        <f>'Population Definitions'!$A$7</f>
        <v>10-17_females</v>
      </c>
      <c r="B39" t="s">
        <v>62</v>
      </c>
      <c r="C39" t="s">
        <v>50</v>
      </c>
      <c r="D39" s="3"/>
      <c r="E39" s="3">
        <v>0.8</v>
      </c>
      <c r="F39" s="4" t="s">
        <v>39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</row>
    <row r="40" spans="1:57">
      <c r="A40" s="1" t="str">
        <f>'Population Definitions'!$A$8</f>
        <v>18-64_males</v>
      </c>
      <c r="B40" t="s">
        <v>62</v>
      </c>
      <c r="C40" t="s">
        <v>50</v>
      </c>
      <c r="D40" s="3"/>
      <c r="E40" s="3">
        <v>0.8</v>
      </c>
      <c r="F40" s="4" t="s">
        <v>39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</row>
    <row r="41" spans="1:57">
      <c r="A41" s="1" t="str">
        <f>'Population Definitions'!$A$9</f>
        <v>18-64_females</v>
      </c>
      <c r="B41" t="s">
        <v>62</v>
      </c>
      <c r="C41" t="s">
        <v>50</v>
      </c>
      <c r="D41" s="3"/>
      <c r="E41" s="3">
        <v>0.8</v>
      </c>
      <c r="F41" s="4" t="s">
        <v>39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</row>
    <row r="42" spans="1:57">
      <c r="A42" s="1" t="str">
        <f>'Population Definitions'!$A$10</f>
        <v>65+_males</v>
      </c>
      <c r="B42" t="s">
        <v>62</v>
      </c>
      <c r="C42" t="s">
        <v>50</v>
      </c>
      <c r="D42" s="3"/>
      <c r="E42" s="3">
        <v>0.8</v>
      </c>
      <c r="F42" s="4" t="s">
        <v>39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</row>
    <row r="43" spans="1:57">
      <c r="A43" s="1" t="str">
        <f>'Population Definitions'!$A$11</f>
        <v>65+_females</v>
      </c>
      <c r="B43" t="s">
        <v>62</v>
      </c>
      <c r="C43" t="s">
        <v>50</v>
      </c>
      <c r="D43" s="3"/>
      <c r="E43" s="3">
        <v>0.8</v>
      </c>
      <c r="F43" s="4" t="s">
        <v>39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</row>
    <row r="44" spans="1:57">
      <c r="A44" s="1" t="str">
        <f>'Population Definitions'!$A$12</f>
        <v>Prisoners_males</v>
      </c>
      <c r="B44" t="s">
        <v>62</v>
      </c>
      <c r="C44" t="s">
        <v>50</v>
      </c>
      <c r="D44" s="3"/>
      <c r="E44" s="3">
        <v>0.8</v>
      </c>
      <c r="F44" s="4" t="s">
        <v>39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</row>
    <row r="45" spans="1:57">
      <c r="A45" s="1" t="str">
        <f>'Population Definitions'!$A$13</f>
        <v>Prisoners_females</v>
      </c>
      <c r="B45" t="s">
        <v>62</v>
      </c>
      <c r="C45" t="s">
        <v>50</v>
      </c>
      <c r="D45" s="3"/>
      <c r="E45" s="3">
        <v>0.8</v>
      </c>
      <c r="F45" s="4" t="s">
        <v>39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</row>
    <row r="46" spans="1:57">
      <c r="A46" s="1" t="str">
        <f>'Population Definitions'!$A$14</f>
        <v>Prisoners_PWID_males</v>
      </c>
      <c r="B46" t="s">
        <v>62</v>
      </c>
      <c r="C46" t="s">
        <v>50</v>
      </c>
      <c r="D46" s="3"/>
      <c r="E46" s="3">
        <v>0.8</v>
      </c>
      <c r="F46" s="4" t="s">
        <v>39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</row>
    <row r="47" spans="1:57">
      <c r="A47" s="1" t="str">
        <f>'Population Definitions'!$A$15</f>
        <v>Prisoners_PWID_females</v>
      </c>
      <c r="B47" t="s">
        <v>62</v>
      </c>
      <c r="C47" t="s">
        <v>50</v>
      </c>
      <c r="D47" s="3"/>
      <c r="E47" s="3">
        <v>0.8</v>
      </c>
      <c r="F47" s="4" t="s">
        <v>39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</row>
    <row r="49" spans="1:57">
      <c r="A49" s="1" t="s">
        <v>220</v>
      </c>
      <c r="B49" s="1" t="s">
        <v>31</v>
      </c>
      <c r="C49" s="1" t="s">
        <v>32</v>
      </c>
      <c r="D49" s="1" t="s">
        <v>33</v>
      </c>
      <c r="E49" s="1" t="s">
        <v>38</v>
      </c>
      <c r="F49" s="1"/>
      <c r="G49" s="1">
        <v>2000</v>
      </c>
      <c r="H49" s="1">
        <v>2001</v>
      </c>
      <c r="I49" s="1">
        <v>2002</v>
      </c>
      <c r="J49" s="1">
        <v>2003</v>
      </c>
      <c r="K49" s="1">
        <v>2004</v>
      </c>
      <c r="L49" s="1">
        <v>2005</v>
      </c>
      <c r="M49" s="1">
        <v>2006</v>
      </c>
      <c r="N49" s="1">
        <v>2007</v>
      </c>
      <c r="O49" s="1">
        <v>2008</v>
      </c>
      <c r="P49" s="1">
        <v>2009</v>
      </c>
      <c r="Q49" s="1">
        <v>2010</v>
      </c>
      <c r="R49" s="1">
        <v>2011</v>
      </c>
      <c r="S49" s="1">
        <v>2012</v>
      </c>
      <c r="T49" s="1">
        <v>2013</v>
      </c>
      <c r="U49" s="1">
        <v>2014</v>
      </c>
      <c r="V49" s="1">
        <v>2015</v>
      </c>
      <c r="W49" s="1">
        <v>2016</v>
      </c>
      <c r="X49" s="1">
        <v>2017</v>
      </c>
      <c r="Y49" s="1">
        <v>2018</v>
      </c>
      <c r="Z49" s="1">
        <v>2019</v>
      </c>
      <c r="AA49" s="1">
        <v>2020</v>
      </c>
      <c r="AB49" s="1">
        <v>2021</v>
      </c>
      <c r="AC49" s="1">
        <v>2022</v>
      </c>
      <c r="AD49" s="1">
        <v>2023</v>
      </c>
      <c r="AE49" s="1">
        <v>2024</v>
      </c>
      <c r="AF49" s="1">
        <v>2025</v>
      </c>
      <c r="AG49" s="1">
        <v>2026</v>
      </c>
      <c r="AH49" s="1">
        <v>2027</v>
      </c>
      <c r="AI49" s="1">
        <v>2028</v>
      </c>
      <c r="AJ49" s="1">
        <v>2029</v>
      </c>
      <c r="AK49" s="1">
        <v>2030</v>
      </c>
      <c r="AL49" s="1">
        <v>2031</v>
      </c>
      <c r="AM49" s="1">
        <v>2032</v>
      </c>
      <c r="AN49" s="1">
        <v>2033</v>
      </c>
      <c r="AO49" s="1">
        <v>2034</v>
      </c>
      <c r="AP49" s="1">
        <v>2035</v>
      </c>
      <c r="AQ49" s="1">
        <v>2036</v>
      </c>
      <c r="AR49" s="1">
        <v>2037</v>
      </c>
      <c r="AS49" s="1">
        <v>2038</v>
      </c>
      <c r="AT49" s="1">
        <v>2039</v>
      </c>
      <c r="AU49" s="1">
        <v>2040</v>
      </c>
      <c r="AV49" s="1">
        <v>2041</v>
      </c>
      <c r="AW49" s="1">
        <v>2042</v>
      </c>
      <c r="AX49" s="1">
        <v>2043</v>
      </c>
      <c r="AY49" s="1">
        <v>2044</v>
      </c>
      <c r="AZ49" s="1">
        <v>2045</v>
      </c>
      <c r="BA49" s="1">
        <v>2046</v>
      </c>
      <c r="BB49" s="1">
        <v>2047</v>
      </c>
      <c r="BC49" s="1">
        <v>2048</v>
      </c>
      <c r="BD49" s="1">
        <v>2049</v>
      </c>
      <c r="BE49" s="1">
        <v>2050</v>
      </c>
    </row>
    <row r="50" spans="1:57">
      <c r="A50" s="1" t="str">
        <f>'Population Definitions'!$A$2</f>
        <v>PWID_males</v>
      </c>
      <c r="B50" t="s">
        <v>62</v>
      </c>
      <c r="C50" t="s">
        <v>50</v>
      </c>
      <c r="D50" s="3"/>
      <c r="E50" s="3">
        <v>0.8</v>
      </c>
      <c r="F50" s="4" t="s">
        <v>39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</row>
    <row r="51" spans="1:57">
      <c r="A51" s="1" t="str">
        <f>'Population Definitions'!$A$3</f>
        <v>PWID_females</v>
      </c>
      <c r="B51" t="s">
        <v>62</v>
      </c>
      <c r="C51" t="s">
        <v>50</v>
      </c>
      <c r="D51" s="3"/>
      <c r="E51" s="3">
        <v>0.8</v>
      </c>
      <c r="F51" s="4" t="s">
        <v>39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</row>
    <row r="52" spans="1:57">
      <c r="A52" s="1" t="str">
        <f>'Population Definitions'!$A$4</f>
        <v>0-9_males</v>
      </c>
      <c r="B52" t="s">
        <v>62</v>
      </c>
      <c r="C52" t="s">
        <v>50</v>
      </c>
      <c r="D52" s="3"/>
      <c r="E52" s="3">
        <v>0.8</v>
      </c>
      <c r="F52" s="4" t="s">
        <v>39</v>
      </c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</row>
    <row r="53" spans="1:57">
      <c r="A53" s="1" t="str">
        <f>'Population Definitions'!$A$5</f>
        <v>0-9_females</v>
      </c>
      <c r="B53" t="s">
        <v>62</v>
      </c>
      <c r="C53" t="s">
        <v>50</v>
      </c>
      <c r="D53" s="3"/>
      <c r="E53" s="3">
        <v>0.8</v>
      </c>
      <c r="F53" s="4" t="s">
        <v>39</v>
      </c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</row>
    <row r="54" spans="1:57">
      <c r="A54" s="1" t="str">
        <f>'Population Definitions'!$A$6</f>
        <v>10-17_males</v>
      </c>
      <c r="B54" t="s">
        <v>62</v>
      </c>
      <c r="C54" t="s">
        <v>50</v>
      </c>
      <c r="D54" s="3"/>
      <c r="E54" s="3">
        <v>0.8</v>
      </c>
      <c r="F54" s="4" t="s">
        <v>39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</row>
    <row r="55" spans="1:57">
      <c r="A55" s="1" t="str">
        <f>'Population Definitions'!$A$7</f>
        <v>10-17_females</v>
      </c>
      <c r="B55" t="s">
        <v>62</v>
      </c>
      <c r="C55" t="s">
        <v>50</v>
      </c>
      <c r="D55" s="3"/>
      <c r="E55" s="3">
        <v>0.8</v>
      </c>
      <c r="F55" s="4" t="s">
        <v>39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</row>
    <row r="56" spans="1:57">
      <c r="A56" s="1" t="str">
        <f>'Population Definitions'!$A$8</f>
        <v>18-64_males</v>
      </c>
      <c r="B56" t="s">
        <v>62</v>
      </c>
      <c r="C56" t="s">
        <v>50</v>
      </c>
      <c r="D56" s="3"/>
      <c r="E56" s="3">
        <v>0.8</v>
      </c>
      <c r="F56" s="4" t="s">
        <v>39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</row>
    <row r="57" spans="1:57">
      <c r="A57" s="1" t="str">
        <f>'Population Definitions'!$A$9</f>
        <v>18-64_females</v>
      </c>
      <c r="B57" t="s">
        <v>62</v>
      </c>
      <c r="C57" t="s">
        <v>50</v>
      </c>
      <c r="D57" s="3"/>
      <c r="E57" s="3">
        <v>0.8</v>
      </c>
      <c r="F57" s="4" t="s">
        <v>39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</row>
    <row r="58" spans="1:57">
      <c r="A58" s="1" t="str">
        <f>'Population Definitions'!$A$10</f>
        <v>65+_males</v>
      </c>
      <c r="B58" t="s">
        <v>62</v>
      </c>
      <c r="C58" t="s">
        <v>50</v>
      </c>
      <c r="D58" s="3"/>
      <c r="E58" s="3">
        <v>0.8</v>
      </c>
      <c r="F58" s="4" t="s">
        <v>39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</row>
    <row r="59" spans="1:57">
      <c r="A59" s="1" t="str">
        <f>'Population Definitions'!$A$11</f>
        <v>65+_females</v>
      </c>
      <c r="B59" t="s">
        <v>62</v>
      </c>
      <c r="C59" t="s">
        <v>50</v>
      </c>
      <c r="D59" s="3"/>
      <c r="E59" s="3">
        <v>0.8</v>
      </c>
      <c r="F59" s="4" t="s">
        <v>39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</row>
    <row r="60" spans="1:57">
      <c r="A60" s="1" t="str">
        <f>'Population Definitions'!$A$12</f>
        <v>Prisoners_males</v>
      </c>
      <c r="B60" t="s">
        <v>62</v>
      </c>
      <c r="C60" t="s">
        <v>50</v>
      </c>
      <c r="D60" s="3"/>
      <c r="E60" s="3">
        <v>0.8</v>
      </c>
      <c r="F60" s="4" t="s">
        <v>39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</row>
    <row r="61" spans="1:57">
      <c r="A61" s="1" t="str">
        <f>'Population Definitions'!$A$13</f>
        <v>Prisoners_females</v>
      </c>
      <c r="B61" t="s">
        <v>62</v>
      </c>
      <c r="C61" t="s">
        <v>50</v>
      </c>
      <c r="D61" s="3"/>
      <c r="E61" s="3">
        <v>0.8</v>
      </c>
      <c r="F61" s="4" t="s">
        <v>39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</row>
    <row r="62" spans="1:57">
      <c r="A62" s="1" t="str">
        <f>'Population Definitions'!$A$14</f>
        <v>Prisoners_PWID_males</v>
      </c>
      <c r="B62" t="s">
        <v>62</v>
      </c>
      <c r="C62" t="s">
        <v>50</v>
      </c>
      <c r="D62" s="3"/>
      <c r="E62" s="3">
        <v>0.8</v>
      </c>
      <c r="F62" s="4" t="s">
        <v>39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</row>
    <row r="63" spans="1:57">
      <c r="A63" s="1" t="str">
        <f>'Population Definitions'!$A$15</f>
        <v>Prisoners_PWID_females</v>
      </c>
      <c r="B63" t="s">
        <v>62</v>
      </c>
      <c r="C63" t="s">
        <v>50</v>
      </c>
      <c r="D63" s="3"/>
      <c r="E63" s="3">
        <v>0.8</v>
      </c>
      <c r="F63" s="4" t="s">
        <v>39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</row>
    <row r="65" spans="1:57">
      <c r="A65" s="1" t="s">
        <v>221</v>
      </c>
      <c r="B65" s="1" t="s">
        <v>31</v>
      </c>
      <c r="C65" s="1" t="s">
        <v>32</v>
      </c>
      <c r="D65" s="1" t="s">
        <v>33</v>
      </c>
      <c r="E65" s="1" t="s">
        <v>38</v>
      </c>
      <c r="F65" s="1"/>
      <c r="G65" s="1">
        <v>2000</v>
      </c>
      <c r="H65" s="1">
        <v>2001</v>
      </c>
      <c r="I65" s="1">
        <v>2002</v>
      </c>
      <c r="J65" s="1">
        <v>2003</v>
      </c>
      <c r="K65" s="1">
        <v>2004</v>
      </c>
      <c r="L65" s="1">
        <v>2005</v>
      </c>
      <c r="M65" s="1">
        <v>2006</v>
      </c>
      <c r="N65" s="1">
        <v>2007</v>
      </c>
      <c r="O65" s="1">
        <v>2008</v>
      </c>
      <c r="P65" s="1">
        <v>2009</v>
      </c>
      <c r="Q65" s="1">
        <v>2010</v>
      </c>
      <c r="R65" s="1">
        <v>2011</v>
      </c>
      <c r="S65" s="1">
        <v>2012</v>
      </c>
      <c r="T65" s="1">
        <v>2013</v>
      </c>
      <c r="U65" s="1">
        <v>2014</v>
      </c>
      <c r="V65" s="1">
        <v>2015</v>
      </c>
      <c r="W65" s="1">
        <v>2016</v>
      </c>
      <c r="X65" s="1">
        <v>2017</v>
      </c>
      <c r="Y65" s="1">
        <v>2018</v>
      </c>
      <c r="Z65" s="1">
        <v>2019</v>
      </c>
      <c r="AA65" s="1">
        <v>2020</v>
      </c>
      <c r="AB65" s="1">
        <v>2021</v>
      </c>
      <c r="AC65" s="1">
        <v>2022</v>
      </c>
      <c r="AD65" s="1">
        <v>2023</v>
      </c>
      <c r="AE65" s="1">
        <v>2024</v>
      </c>
      <c r="AF65" s="1">
        <v>2025</v>
      </c>
      <c r="AG65" s="1">
        <v>2026</v>
      </c>
      <c r="AH65" s="1">
        <v>2027</v>
      </c>
      <c r="AI65" s="1">
        <v>2028</v>
      </c>
      <c r="AJ65" s="1">
        <v>2029</v>
      </c>
      <c r="AK65" s="1">
        <v>2030</v>
      </c>
      <c r="AL65" s="1">
        <v>2031</v>
      </c>
      <c r="AM65" s="1">
        <v>2032</v>
      </c>
      <c r="AN65" s="1">
        <v>2033</v>
      </c>
      <c r="AO65" s="1">
        <v>2034</v>
      </c>
      <c r="AP65" s="1">
        <v>2035</v>
      </c>
      <c r="AQ65" s="1">
        <v>2036</v>
      </c>
      <c r="AR65" s="1">
        <v>2037</v>
      </c>
      <c r="AS65" s="1">
        <v>2038</v>
      </c>
      <c r="AT65" s="1">
        <v>2039</v>
      </c>
      <c r="AU65" s="1">
        <v>2040</v>
      </c>
      <c r="AV65" s="1">
        <v>2041</v>
      </c>
      <c r="AW65" s="1">
        <v>2042</v>
      </c>
      <c r="AX65" s="1">
        <v>2043</v>
      </c>
      <c r="AY65" s="1">
        <v>2044</v>
      </c>
      <c r="AZ65" s="1">
        <v>2045</v>
      </c>
      <c r="BA65" s="1">
        <v>2046</v>
      </c>
      <c r="BB65" s="1">
        <v>2047</v>
      </c>
      <c r="BC65" s="1">
        <v>2048</v>
      </c>
      <c r="BD65" s="1">
        <v>2049</v>
      </c>
      <c r="BE65" s="1">
        <v>2050</v>
      </c>
    </row>
    <row r="66" spans="1:57">
      <c r="A66" s="1" t="str">
        <f>'Population Definitions'!$A$2</f>
        <v>PWID_males</v>
      </c>
      <c r="B66" t="s">
        <v>62</v>
      </c>
      <c r="C66" t="s">
        <v>63</v>
      </c>
      <c r="D66" s="3"/>
      <c r="E66" s="3">
        <v>1</v>
      </c>
      <c r="F66" s="4" t="s">
        <v>39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</row>
    <row r="67" spans="1:57">
      <c r="A67" s="1" t="str">
        <f>'Population Definitions'!$A$3</f>
        <v>PWID_females</v>
      </c>
      <c r="B67" t="s">
        <v>62</v>
      </c>
      <c r="C67" t="s">
        <v>63</v>
      </c>
      <c r="D67" s="3"/>
      <c r="E67" s="3">
        <v>1</v>
      </c>
      <c r="F67" s="4" t="s">
        <v>39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</row>
    <row r="68" spans="1:57">
      <c r="A68" s="1" t="str">
        <f>'Population Definitions'!$A$4</f>
        <v>0-9_males</v>
      </c>
      <c r="B68" t="s">
        <v>62</v>
      </c>
      <c r="C68" t="s">
        <v>63</v>
      </c>
      <c r="D68" s="3"/>
      <c r="E68" s="3">
        <v>1</v>
      </c>
      <c r="F68" s="4" t="s">
        <v>39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</row>
    <row r="69" spans="1:57">
      <c r="A69" s="1" t="str">
        <f>'Population Definitions'!$A$5</f>
        <v>0-9_females</v>
      </c>
      <c r="B69" t="s">
        <v>62</v>
      </c>
      <c r="C69" t="s">
        <v>63</v>
      </c>
      <c r="D69" s="3"/>
      <c r="E69" s="3">
        <v>1</v>
      </c>
      <c r="F69" s="4" t="s">
        <v>39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</row>
    <row r="70" spans="1:57">
      <c r="A70" s="1" t="str">
        <f>'Population Definitions'!$A$6</f>
        <v>10-17_males</v>
      </c>
      <c r="B70" t="s">
        <v>62</v>
      </c>
      <c r="C70" t="s">
        <v>63</v>
      </c>
      <c r="D70" s="3"/>
      <c r="E70" s="3">
        <v>1</v>
      </c>
      <c r="F70" s="4" t="s">
        <v>39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</row>
    <row r="71" spans="1:57">
      <c r="A71" s="1" t="str">
        <f>'Population Definitions'!$A$7</f>
        <v>10-17_females</v>
      </c>
      <c r="B71" t="s">
        <v>62</v>
      </c>
      <c r="C71" t="s">
        <v>63</v>
      </c>
      <c r="D71" s="3"/>
      <c r="E71" s="3">
        <v>1</v>
      </c>
      <c r="F71" s="4" t="s">
        <v>39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</row>
    <row r="72" spans="1:57">
      <c r="A72" s="1" t="str">
        <f>'Population Definitions'!$A$8</f>
        <v>18-64_males</v>
      </c>
      <c r="B72" t="s">
        <v>62</v>
      </c>
      <c r="C72" t="s">
        <v>63</v>
      </c>
      <c r="D72" s="3"/>
      <c r="E72" s="3">
        <v>1</v>
      </c>
      <c r="F72" s="4" t="s">
        <v>39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</row>
    <row r="73" spans="1:57">
      <c r="A73" s="1" t="str">
        <f>'Population Definitions'!$A$9</f>
        <v>18-64_females</v>
      </c>
      <c r="B73" t="s">
        <v>62</v>
      </c>
      <c r="C73" t="s">
        <v>63</v>
      </c>
      <c r="D73" s="3"/>
      <c r="E73" s="3">
        <v>1</v>
      </c>
      <c r="F73" s="4" t="s">
        <v>39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</row>
    <row r="74" spans="1:57">
      <c r="A74" s="1" t="str">
        <f>'Population Definitions'!$A$10</f>
        <v>65+_males</v>
      </c>
      <c r="B74" t="s">
        <v>62</v>
      </c>
      <c r="C74" t="s">
        <v>63</v>
      </c>
      <c r="D74" s="3"/>
      <c r="E74" s="3">
        <v>1</v>
      </c>
      <c r="F74" s="4" t="s">
        <v>39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</row>
    <row r="75" spans="1:57">
      <c r="A75" s="1" t="str">
        <f>'Population Definitions'!$A$11</f>
        <v>65+_females</v>
      </c>
      <c r="B75" t="s">
        <v>62</v>
      </c>
      <c r="C75" t="s">
        <v>63</v>
      </c>
      <c r="D75" s="3"/>
      <c r="E75" s="3">
        <v>1</v>
      </c>
      <c r="F75" s="4" t="s">
        <v>39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</row>
    <row r="76" spans="1:57">
      <c r="A76" s="1" t="str">
        <f>'Population Definitions'!$A$12</f>
        <v>Prisoners_males</v>
      </c>
      <c r="B76" t="s">
        <v>62</v>
      </c>
      <c r="C76" t="s">
        <v>63</v>
      </c>
      <c r="D76" s="3"/>
      <c r="E76" s="3">
        <v>1</v>
      </c>
      <c r="F76" s="4" t="s">
        <v>39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</row>
    <row r="77" spans="1:57">
      <c r="A77" s="1" t="str">
        <f>'Population Definitions'!$A$13</f>
        <v>Prisoners_females</v>
      </c>
      <c r="B77" t="s">
        <v>62</v>
      </c>
      <c r="C77" t="s">
        <v>63</v>
      </c>
      <c r="D77" s="3"/>
      <c r="E77" s="3">
        <v>1</v>
      </c>
      <c r="F77" s="4" t="s">
        <v>39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</row>
    <row r="78" spans="1:57">
      <c r="A78" s="1" t="str">
        <f>'Population Definitions'!$A$14</f>
        <v>Prisoners_PWID_males</v>
      </c>
      <c r="B78" t="s">
        <v>62</v>
      </c>
      <c r="C78" t="s">
        <v>63</v>
      </c>
      <c r="D78" s="3"/>
      <c r="E78" s="3">
        <v>1</v>
      </c>
      <c r="F78" s="4" t="s">
        <v>39</v>
      </c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/>
      <c r="BC78" s="3"/>
      <c r="BD78" s="3"/>
      <c r="BE78" s="3"/>
    </row>
    <row r="79" spans="1:57">
      <c r="A79" s="1" t="str">
        <f>'Population Definitions'!$A$15</f>
        <v>Prisoners_PWID_females</v>
      </c>
      <c r="B79" t="s">
        <v>62</v>
      </c>
      <c r="C79" t="s">
        <v>63</v>
      </c>
      <c r="D79" s="3"/>
      <c r="E79" s="3">
        <v>1</v>
      </c>
      <c r="F79" s="4" t="s">
        <v>39</v>
      </c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3"/>
      <c r="BC79" s="3"/>
      <c r="BD79" s="3"/>
      <c r="BE79" s="3"/>
    </row>
    <row r="81" spans="1:57">
      <c r="A81" s="1" t="s">
        <v>222</v>
      </c>
      <c r="B81" s="1" t="s">
        <v>31</v>
      </c>
      <c r="C81" s="1" t="s">
        <v>32</v>
      </c>
      <c r="D81" s="1" t="s">
        <v>33</v>
      </c>
      <c r="E81" s="1" t="s">
        <v>38</v>
      </c>
      <c r="F81" s="1"/>
      <c r="G81" s="1">
        <v>2000</v>
      </c>
      <c r="H81" s="1">
        <v>2001</v>
      </c>
      <c r="I81" s="1">
        <v>2002</v>
      </c>
      <c r="J81" s="1">
        <v>2003</v>
      </c>
      <c r="K81" s="1">
        <v>2004</v>
      </c>
      <c r="L81" s="1">
        <v>2005</v>
      </c>
      <c r="M81" s="1">
        <v>2006</v>
      </c>
      <c r="N81" s="1">
        <v>2007</v>
      </c>
      <c r="O81" s="1">
        <v>2008</v>
      </c>
      <c r="P81" s="1">
        <v>2009</v>
      </c>
      <c r="Q81" s="1">
        <v>2010</v>
      </c>
      <c r="R81" s="1">
        <v>2011</v>
      </c>
      <c r="S81" s="1">
        <v>2012</v>
      </c>
      <c r="T81" s="1">
        <v>2013</v>
      </c>
      <c r="U81" s="1">
        <v>2014</v>
      </c>
      <c r="V81" s="1">
        <v>2015</v>
      </c>
      <c r="W81" s="1">
        <v>2016</v>
      </c>
      <c r="X81" s="1">
        <v>2017</v>
      </c>
      <c r="Y81" s="1">
        <v>2018</v>
      </c>
      <c r="Z81" s="1">
        <v>2019</v>
      </c>
      <c r="AA81" s="1">
        <v>2020</v>
      </c>
      <c r="AB81" s="1">
        <v>2021</v>
      </c>
      <c r="AC81" s="1">
        <v>2022</v>
      </c>
      <c r="AD81" s="1">
        <v>2023</v>
      </c>
      <c r="AE81" s="1">
        <v>2024</v>
      </c>
      <c r="AF81" s="1">
        <v>2025</v>
      </c>
      <c r="AG81" s="1">
        <v>2026</v>
      </c>
      <c r="AH81" s="1">
        <v>2027</v>
      </c>
      <c r="AI81" s="1">
        <v>2028</v>
      </c>
      <c r="AJ81" s="1">
        <v>2029</v>
      </c>
      <c r="AK81" s="1">
        <v>2030</v>
      </c>
      <c r="AL81" s="1">
        <v>2031</v>
      </c>
      <c r="AM81" s="1">
        <v>2032</v>
      </c>
      <c r="AN81" s="1">
        <v>2033</v>
      </c>
      <c r="AO81" s="1">
        <v>2034</v>
      </c>
      <c r="AP81" s="1">
        <v>2035</v>
      </c>
      <c r="AQ81" s="1">
        <v>2036</v>
      </c>
      <c r="AR81" s="1">
        <v>2037</v>
      </c>
      <c r="AS81" s="1">
        <v>2038</v>
      </c>
      <c r="AT81" s="1">
        <v>2039</v>
      </c>
      <c r="AU81" s="1">
        <v>2040</v>
      </c>
      <c r="AV81" s="1">
        <v>2041</v>
      </c>
      <c r="AW81" s="1">
        <v>2042</v>
      </c>
      <c r="AX81" s="1">
        <v>2043</v>
      </c>
      <c r="AY81" s="1">
        <v>2044</v>
      </c>
      <c r="AZ81" s="1">
        <v>2045</v>
      </c>
      <c r="BA81" s="1">
        <v>2046</v>
      </c>
      <c r="BB81" s="1">
        <v>2047</v>
      </c>
      <c r="BC81" s="1">
        <v>2048</v>
      </c>
      <c r="BD81" s="1">
        <v>2049</v>
      </c>
      <c r="BE81" s="1">
        <v>2050</v>
      </c>
    </row>
    <row r="82" spans="1:57">
      <c r="A82" s="1" t="str">
        <f>'Population Definitions'!$A$2</f>
        <v>PWID_males</v>
      </c>
      <c r="B82" t="s">
        <v>62</v>
      </c>
      <c r="C82" t="s">
        <v>58</v>
      </c>
      <c r="D82" s="3"/>
      <c r="E82" s="3">
        <v>1</v>
      </c>
      <c r="F82" s="4" t="s">
        <v>39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</row>
    <row r="83" spans="1:57">
      <c r="A83" s="1" t="str">
        <f>'Population Definitions'!$A$3</f>
        <v>PWID_females</v>
      </c>
      <c r="B83" t="s">
        <v>62</v>
      </c>
      <c r="C83" t="s">
        <v>58</v>
      </c>
      <c r="D83" s="3"/>
      <c r="E83" s="3">
        <v>1</v>
      </c>
      <c r="F83" s="4" t="s">
        <v>39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</row>
    <row r="84" spans="1:57">
      <c r="A84" s="1" t="str">
        <f>'Population Definitions'!$A$4</f>
        <v>0-9_males</v>
      </c>
      <c r="B84" t="s">
        <v>62</v>
      </c>
      <c r="C84" t="s">
        <v>58</v>
      </c>
      <c r="D84" s="3"/>
      <c r="E84" s="3">
        <v>1</v>
      </c>
      <c r="F84" s="4" t="s">
        <v>39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</row>
    <row r="85" spans="1:57">
      <c r="A85" s="1" t="str">
        <f>'Population Definitions'!$A$5</f>
        <v>0-9_females</v>
      </c>
      <c r="B85" t="s">
        <v>62</v>
      </c>
      <c r="C85" t="s">
        <v>58</v>
      </c>
      <c r="D85" s="3"/>
      <c r="E85" s="3">
        <v>1</v>
      </c>
      <c r="F85" s="4" t="s">
        <v>39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</row>
    <row r="86" spans="1:57">
      <c r="A86" s="1" t="str">
        <f>'Population Definitions'!$A$6</f>
        <v>10-17_males</v>
      </c>
      <c r="B86" t="s">
        <v>62</v>
      </c>
      <c r="C86" t="s">
        <v>58</v>
      </c>
      <c r="D86" s="3"/>
      <c r="E86" s="3">
        <v>1</v>
      </c>
      <c r="F86" s="4" t="s">
        <v>39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</row>
    <row r="87" spans="1:57">
      <c r="A87" s="1" t="str">
        <f>'Population Definitions'!$A$7</f>
        <v>10-17_females</v>
      </c>
      <c r="B87" t="s">
        <v>62</v>
      </c>
      <c r="C87" t="s">
        <v>58</v>
      </c>
      <c r="D87" s="3"/>
      <c r="E87" s="3">
        <v>1</v>
      </c>
      <c r="F87" s="4" t="s">
        <v>39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</row>
    <row r="88" spans="1:57">
      <c r="A88" s="1" t="str">
        <f>'Population Definitions'!$A$8</f>
        <v>18-64_males</v>
      </c>
      <c r="B88" t="s">
        <v>62</v>
      </c>
      <c r="C88" t="s">
        <v>58</v>
      </c>
      <c r="D88" s="3"/>
      <c r="E88" s="3">
        <v>1</v>
      </c>
      <c r="F88" s="4" t="s">
        <v>39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</row>
    <row r="89" spans="1:57">
      <c r="A89" s="1" t="str">
        <f>'Population Definitions'!$A$9</f>
        <v>18-64_females</v>
      </c>
      <c r="B89" t="s">
        <v>62</v>
      </c>
      <c r="C89" t="s">
        <v>58</v>
      </c>
      <c r="D89" s="3"/>
      <c r="E89" s="3">
        <v>1</v>
      </c>
      <c r="F89" s="4" t="s">
        <v>39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</row>
    <row r="90" spans="1:57">
      <c r="A90" s="1" t="str">
        <f>'Population Definitions'!$A$10</f>
        <v>65+_males</v>
      </c>
      <c r="B90" t="s">
        <v>62</v>
      </c>
      <c r="C90" t="s">
        <v>58</v>
      </c>
      <c r="D90" s="3"/>
      <c r="E90" s="3">
        <v>1</v>
      </c>
      <c r="F90" s="4" t="s">
        <v>39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</row>
    <row r="91" spans="1:57">
      <c r="A91" s="1" t="str">
        <f>'Population Definitions'!$A$11</f>
        <v>65+_females</v>
      </c>
      <c r="B91" t="s">
        <v>62</v>
      </c>
      <c r="C91" t="s">
        <v>58</v>
      </c>
      <c r="D91" s="3"/>
      <c r="E91" s="3">
        <v>1</v>
      </c>
      <c r="F91" s="4" t="s">
        <v>39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</row>
    <row r="92" spans="1:57">
      <c r="A92" s="1" t="str">
        <f>'Population Definitions'!$A$12</f>
        <v>Prisoners_males</v>
      </c>
      <c r="B92" t="s">
        <v>62</v>
      </c>
      <c r="C92" t="s">
        <v>58</v>
      </c>
      <c r="D92" s="3"/>
      <c r="E92" s="3">
        <v>1</v>
      </c>
      <c r="F92" s="4" t="s">
        <v>39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</row>
    <row r="93" spans="1:57">
      <c r="A93" s="1" t="str">
        <f>'Population Definitions'!$A$13</f>
        <v>Prisoners_females</v>
      </c>
      <c r="B93" t="s">
        <v>62</v>
      </c>
      <c r="C93" t="s">
        <v>58</v>
      </c>
      <c r="D93" s="3"/>
      <c r="E93" s="3">
        <v>1</v>
      </c>
      <c r="F93" s="4" t="s">
        <v>39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</row>
    <row r="94" spans="1:57">
      <c r="A94" s="1" t="str">
        <f>'Population Definitions'!$A$14</f>
        <v>Prisoners_PWID_males</v>
      </c>
      <c r="B94" t="s">
        <v>62</v>
      </c>
      <c r="C94" t="s">
        <v>58</v>
      </c>
      <c r="D94" s="3"/>
      <c r="E94" s="3">
        <v>1</v>
      </c>
      <c r="F94" s="4" t="s">
        <v>39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</row>
    <row r="95" spans="1:57">
      <c r="A95" s="1" t="str">
        <f>'Population Definitions'!$A$15</f>
        <v>Prisoners_PWID_females</v>
      </c>
      <c r="B95" t="s">
        <v>62</v>
      </c>
      <c r="C95" t="s">
        <v>58</v>
      </c>
      <c r="D95" s="3"/>
      <c r="E95" s="3">
        <v>1</v>
      </c>
      <c r="F95" s="4" t="s">
        <v>39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</row>
    <row r="97" spans="1:57">
      <c r="A97" s="1" t="s">
        <v>223</v>
      </c>
      <c r="B97" s="1" t="s">
        <v>31</v>
      </c>
      <c r="C97" s="1" t="s">
        <v>32</v>
      </c>
      <c r="D97" s="1" t="s">
        <v>33</v>
      </c>
      <c r="E97" s="1" t="s">
        <v>38</v>
      </c>
      <c r="F97" s="1"/>
      <c r="G97" s="1">
        <v>2000</v>
      </c>
      <c r="H97" s="1">
        <v>2001</v>
      </c>
      <c r="I97" s="1">
        <v>2002</v>
      </c>
      <c r="J97" s="1">
        <v>2003</v>
      </c>
      <c r="K97" s="1">
        <v>2004</v>
      </c>
      <c r="L97" s="1">
        <v>2005</v>
      </c>
      <c r="M97" s="1">
        <v>2006</v>
      </c>
      <c r="N97" s="1">
        <v>2007</v>
      </c>
      <c r="O97" s="1">
        <v>2008</v>
      </c>
      <c r="P97" s="1">
        <v>2009</v>
      </c>
      <c r="Q97" s="1">
        <v>2010</v>
      </c>
      <c r="R97" s="1">
        <v>2011</v>
      </c>
      <c r="S97" s="1">
        <v>2012</v>
      </c>
      <c r="T97" s="1">
        <v>2013</v>
      </c>
      <c r="U97" s="1">
        <v>2014</v>
      </c>
      <c r="V97" s="1">
        <v>2015</v>
      </c>
      <c r="W97" s="1">
        <v>2016</v>
      </c>
      <c r="X97" s="1">
        <v>2017</v>
      </c>
      <c r="Y97" s="1">
        <v>2018</v>
      </c>
      <c r="Z97" s="1">
        <v>2019</v>
      </c>
      <c r="AA97" s="1">
        <v>2020</v>
      </c>
      <c r="AB97" s="1">
        <v>2021</v>
      </c>
      <c r="AC97" s="1">
        <v>2022</v>
      </c>
      <c r="AD97" s="1">
        <v>2023</v>
      </c>
      <c r="AE97" s="1">
        <v>2024</v>
      </c>
      <c r="AF97" s="1">
        <v>2025</v>
      </c>
      <c r="AG97" s="1">
        <v>2026</v>
      </c>
      <c r="AH97" s="1">
        <v>2027</v>
      </c>
      <c r="AI97" s="1">
        <v>2028</v>
      </c>
      <c r="AJ97" s="1">
        <v>2029</v>
      </c>
      <c r="AK97" s="1">
        <v>2030</v>
      </c>
      <c r="AL97" s="1">
        <v>2031</v>
      </c>
      <c r="AM97" s="1">
        <v>2032</v>
      </c>
      <c r="AN97" s="1">
        <v>2033</v>
      </c>
      <c r="AO97" s="1">
        <v>2034</v>
      </c>
      <c r="AP97" s="1">
        <v>2035</v>
      </c>
      <c r="AQ97" s="1">
        <v>2036</v>
      </c>
      <c r="AR97" s="1">
        <v>2037</v>
      </c>
      <c r="AS97" s="1">
        <v>2038</v>
      </c>
      <c r="AT97" s="1">
        <v>2039</v>
      </c>
      <c r="AU97" s="1">
        <v>2040</v>
      </c>
      <c r="AV97" s="1">
        <v>2041</v>
      </c>
      <c r="AW97" s="1">
        <v>2042</v>
      </c>
      <c r="AX97" s="1">
        <v>2043</v>
      </c>
      <c r="AY97" s="1">
        <v>2044</v>
      </c>
      <c r="AZ97" s="1">
        <v>2045</v>
      </c>
      <c r="BA97" s="1">
        <v>2046</v>
      </c>
      <c r="BB97" s="1">
        <v>2047</v>
      </c>
      <c r="BC97" s="1">
        <v>2048</v>
      </c>
      <c r="BD97" s="1">
        <v>2049</v>
      </c>
      <c r="BE97" s="1">
        <v>2050</v>
      </c>
    </row>
    <row r="98" spans="1:57">
      <c r="A98" s="1" t="str">
        <f>'Population Definitions'!$A$2</f>
        <v>PWID_males</v>
      </c>
      <c r="B98" t="s">
        <v>62</v>
      </c>
      <c r="C98" t="s">
        <v>58</v>
      </c>
      <c r="D98" s="3"/>
      <c r="E98" s="3">
        <v>1</v>
      </c>
      <c r="F98" s="4" t="s">
        <v>39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</row>
    <row r="99" spans="1:57">
      <c r="A99" s="1" t="str">
        <f>'Population Definitions'!$A$3</f>
        <v>PWID_females</v>
      </c>
      <c r="B99" t="s">
        <v>62</v>
      </c>
      <c r="C99" t="s">
        <v>58</v>
      </c>
      <c r="D99" s="3"/>
      <c r="E99" s="3">
        <v>1</v>
      </c>
      <c r="F99" s="4" t="s">
        <v>39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</row>
    <row r="100" spans="1:57">
      <c r="A100" s="1" t="str">
        <f>'Population Definitions'!$A$4</f>
        <v>0-9_males</v>
      </c>
      <c r="B100" t="s">
        <v>62</v>
      </c>
      <c r="C100" t="s">
        <v>58</v>
      </c>
      <c r="D100" s="3"/>
      <c r="E100" s="3">
        <v>1</v>
      </c>
      <c r="F100" s="4" t="s">
        <v>39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</row>
    <row r="101" spans="1:57">
      <c r="A101" s="1" t="str">
        <f>'Population Definitions'!$A$5</f>
        <v>0-9_females</v>
      </c>
      <c r="B101" t="s">
        <v>62</v>
      </c>
      <c r="C101" t="s">
        <v>58</v>
      </c>
      <c r="D101" s="3"/>
      <c r="E101" s="3">
        <v>1</v>
      </c>
      <c r="F101" s="4" t="s">
        <v>39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</row>
    <row r="102" spans="1:57">
      <c r="A102" s="1" t="str">
        <f>'Population Definitions'!$A$6</f>
        <v>10-17_males</v>
      </c>
      <c r="B102" t="s">
        <v>62</v>
      </c>
      <c r="C102" t="s">
        <v>58</v>
      </c>
      <c r="D102" s="3"/>
      <c r="E102" s="3">
        <v>1</v>
      </c>
      <c r="F102" s="4" t="s">
        <v>39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</row>
    <row r="103" spans="1:57">
      <c r="A103" s="1" t="str">
        <f>'Population Definitions'!$A$7</f>
        <v>10-17_females</v>
      </c>
      <c r="B103" t="s">
        <v>62</v>
      </c>
      <c r="C103" t="s">
        <v>58</v>
      </c>
      <c r="D103" s="3"/>
      <c r="E103" s="3">
        <v>1</v>
      </c>
      <c r="F103" s="4" t="s">
        <v>39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</row>
    <row r="104" spans="1:57">
      <c r="A104" s="1" t="str">
        <f>'Population Definitions'!$A$8</f>
        <v>18-64_males</v>
      </c>
      <c r="B104" t="s">
        <v>62</v>
      </c>
      <c r="C104" t="s">
        <v>58</v>
      </c>
      <c r="D104" s="3"/>
      <c r="E104" s="3">
        <v>1</v>
      </c>
      <c r="F104" s="4" t="s">
        <v>39</v>
      </c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  <c r="AV104" s="3"/>
      <c r="AW104" s="3"/>
      <c r="AX104" s="3"/>
      <c r="AY104" s="3"/>
      <c r="AZ104" s="3"/>
      <c r="BA104" s="3"/>
      <c r="BB104" s="3"/>
      <c r="BC104" s="3"/>
      <c r="BD104" s="3"/>
      <c r="BE104" s="3"/>
    </row>
    <row r="105" spans="1:57">
      <c r="A105" s="1" t="str">
        <f>'Population Definitions'!$A$9</f>
        <v>18-64_females</v>
      </c>
      <c r="B105" t="s">
        <v>62</v>
      </c>
      <c r="C105" t="s">
        <v>58</v>
      </c>
      <c r="D105" s="3"/>
      <c r="E105" s="3">
        <v>1</v>
      </c>
      <c r="F105" s="4" t="s">
        <v>39</v>
      </c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/>
      <c r="AV105" s="3"/>
      <c r="AW105" s="3"/>
      <c r="AX105" s="3"/>
      <c r="AY105" s="3"/>
      <c r="AZ105" s="3"/>
      <c r="BA105" s="3"/>
      <c r="BB105" s="3"/>
      <c r="BC105" s="3"/>
      <c r="BD105" s="3"/>
      <c r="BE105" s="3"/>
    </row>
    <row r="106" spans="1:57">
      <c r="A106" s="1" t="str">
        <f>'Population Definitions'!$A$10</f>
        <v>65+_males</v>
      </c>
      <c r="B106" t="s">
        <v>62</v>
      </c>
      <c r="C106" t="s">
        <v>58</v>
      </c>
      <c r="D106" s="3"/>
      <c r="E106" s="3">
        <v>1</v>
      </c>
      <c r="F106" s="4" t="s">
        <v>39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</row>
    <row r="107" spans="1:57">
      <c r="A107" s="1" t="str">
        <f>'Population Definitions'!$A$11</f>
        <v>65+_females</v>
      </c>
      <c r="B107" t="s">
        <v>62</v>
      </c>
      <c r="C107" t="s">
        <v>58</v>
      </c>
      <c r="D107" s="3"/>
      <c r="E107" s="3">
        <v>1</v>
      </c>
      <c r="F107" s="4" t="s">
        <v>39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</row>
    <row r="108" spans="1:57">
      <c r="A108" s="1" t="str">
        <f>'Population Definitions'!$A$12</f>
        <v>Prisoners_males</v>
      </c>
      <c r="B108" t="s">
        <v>62</v>
      </c>
      <c r="C108" t="s">
        <v>58</v>
      </c>
      <c r="D108" s="3"/>
      <c r="E108" s="3">
        <v>1</v>
      </c>
      <c r="F108" s="4" t="s">
        <v>39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</row>
    <row r="109" spans="1:57">
      <c r="A109" s="1" t="str">
        <f>'Population Definitions'!$A$13</f>
        <v>Prisoners_females</v>
      </c>
      <c r="B109" t="s">
        <v>62</v>
      </c>
      <c r="C109" t="s">
        <v>58</v>
      </c>
      <c r="D109" s="3"/>
      <c r="E109" s="3">
        <v>1</v>
      </c>
      <c r="F109" s="4" t="s">
        <v>39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</row>
    <row r="110" spans="1:57">
      <c r="A110" s="1" t="str">
        <f>'Population Definitions'!$A$14</f>
        <v>Prisoners_PWID_males</v>
      </c>
      <c r="B110" t="s">
        <v>62</v>
      </c>
      <c r="C110" t="s">
        <v>58</v>
      </c>
      <c r="D110" s="3"/>
      <c r="E110" s="3">
        <v>1</v>
      </c>
      <c r="F110" s="4" t="s">
        <v>39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</row>
    <row r="111" spans="1:57">
      <c r="A111" s="1" t="str">
        <f>'Population Definitions'!$A$15</f>
        <v>Prisoners_PWID_females</v>
      </c>
      <c r="B111" t="s">
        <v>62</v>
      </c>
      <c r="C111" t="s">
        <v>58</v>
      </c>
      <c r="D111" s="3"/>
      <c r="E111" s="3">
        <v>1</v>
      </c>
      <c r="F111" s="4" t="s">
        <v>39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</row>
  </sheetData>
  <conditionalFormatting sqref="E10">
    <cfRule type="expression" dxfId="0" priority="17">
      <formula>COUNTIF(G10:BE10,"&lt;&gt;" &amp; "")&gt;0</formula>
    </cfRule>
    <cfRule type="expression" dxfId="1" priority="18">
      <formula>AND(COUNTIF(G10:BE10,"&lt;&gt;" &amp; "")&gt;0,NOT(ISBLANK(E10)))</formula>
    </cfRule>
  </conditionalFormatting>
  <conditionalFormatting sqref="E100">
    <cfRule type="expression" dxfId="0" priority="173">
      <formula>COUNTIF(G100:BE100,"&lt;&gt;" &amp; "")&gt;0</formula>
    </cfRule>
    <cfRule type="expression" dxfId="1" priority="174">
      <formula>AND(COUNTIF(G100:BE100,"&lt;&gt;" &amp; "")&gt;0,NOT(ISBLANK(E100)))</formula>
    </cfRule>
  </conditionalFormatting>
  <conditionalFormatting sqref="E101">
    <cfRule type="expression" dxfId="0" priority="175">
      <formula>COUNTIF(G101:BE101,"&lt;&gt;" &amp; "")&gt;0</formula>
    </cfRule>
    <cfRule type="expression" dxfId="1" priority="176">
      <formula>AND(COUNTIF(G101:BE101,"&lt;&gt;" &amp; "")&gt;0,NOT(ISBLANK(E101)))</formula>
    </cfRule>
  </conditionalFormatting>
  <conditionalFormatting sqref="E102">
    <cfRule type="expression" dxfId="0" priority="177">
      <formula>COUNTIF(G102:BE102,"&lt;&gt;" &amp; "")&gt;0</formula>
    </cfRule>
    <cfRule type="expression" dxfId="1" priority="178">
      <formula>AND(COUNTIF(G102:BE102,"&lt;&gt;" &amp; "")&gt;0,NOT(ISBLANK(E102)))</formula>
    </cfRule>
  </conditionalFormatting>
  <conditionalFormatting sqref="E103">
    <cfRule type="expression" dxfId="0" priority="179">
      <formula>COUNTIF(G103:BE103,"&lt;&gt;" &amp; "")&gt;0</formula>
    </cfRule>
    <cfRule type="expression" dxfId="1" priority="180">
      <formula>AND(COUNTIF(G103:BE103,"&lt;&gt;" &amp; "")&gt;0,NOT(ISBLANK(E103)))</formula>
    </cfRule>
  </conditionalFormatting>
  <conditionalFormatting sqref="E104">
    <cfRule type="expression" dxfId="0" priority="181">
      <formula>COUNTIF(G104:BE104,"&lt;&gt;" &amp; "")&gt;0</formula>
    </cfRule>
    <cfRule type="expression" dxfId="1" priority="182">
      <formula>AND(COUNTIF(G104:BE104,"&lt;&gt;" &amp; "")&gt;0,NOT(ISBLANK(E104)))</formula>
    </cfRule>
  </conditionalFormatting>
  <conditionalFormatting sqref="E105">
    <cfRule type="expression" dxfId="0" priority="183">
      <formula>COUNTIF(G105:BE105,"&lt;&gt;" &amp; "")&gt;0</formula>
    </cfRule>
    <cfRule type="expression" dxfId="1" priority="184">
      <formula>AND(COUNTIF(G105:BE105,"&lt;&gt;" &amp; "")&gt;0,NOT(ISBLANK(E105)))</formula>
    </cfRule>
  </conditionalFormatting>
  <conditionalFormatting sqref="E106">
    <cfRule type="expression" dxfId="0" priority="185">
      <formula>COUNTIF(G106:BE106,"&lt;&gt;" &amp; "")&gt;0</formula>
    </cfRule>
    <cfRule type="expression" dxfId="1" priority="186">
      <formula>AND(COUNTIF(G106:BE106,"&lt;&gt;" &amp; "")&gt;0,NOT(ISBLANK(E106)))</formula>
    </cfRule>
  </conditionalFormatting>
  <conditionalFormatting sqref="E107">
    <cfRule type="expression" dxfId="0" priority="187">
      <formula>COUNTIF(G107:BE107,"&lt;&gt;" &amp; "")&gt;0</formula>
    </cfRule>
    <cfRule type="expression" dxfId="1" priority="188">
      <formula>AND(COUNTIF(G107:BE107,"&lt;&gt;" &amp; "")&gt;0,NOT(ISBLANK(E107)))</formula>
    </cfRule>
  </conditionalFormatting>
  <conditionalFormatting sqref="E108">
    <cfRule type="expression" dxfId="0" priority="189">
      <formula>COUNTIF(G108:BE108,"&lt;&gt;" &amp; "")&gt;0</formula>
    </cfRule>
    <cfRule type="expression" dxfId="1" priority="190">
      <formula>AND(COUNTIF(G108:BE108,"&lt;&gt;" &amp; "")&gt;0,NOT(ISBLANK(E108)))</formula>
    </cfRule>
  </conditionalFormatting>
  <conditionalFormatting sqref="E109">
    <cfRule type="expression" dxfId="0" priority="191">
      <formula>COUNTIF(G109:BE109,"&lt;&gt;" &amp; "")&gt;0</formula>
    </cfRule>
    <cfRule type="expression" dxfId="1" priority="192">
      <formula>AND(COUNTIF(G109:BE109,"&lt;&gt;" &amp; "")&gt;0,NOT(ISBLANK(E109)))</formula>
    </cfRule>
  </conditionalFormatting>
  <conditionalFormatting sqref="E11">
    <cfRule type="expression" dxfId="0" priority="19">
      <formula>COUNTIF(G11:BE11,"&lt;&gt;" &amp; "")&gt;0</formula>
    </cfRule>
    <cfRule type="expression" dxfId="1" priority="20">
      <formula>AND(COUNTIF(G11:BE11,"&lt;&gt;" &amp; "")&gt;0,NOT(ISBLANK(E11)))</formula>
    </cfRule>
  </conditionalFormatting>
  <conditionalFormatting sqref="E110">
    <cfRule type="expression" dxfId="0" priority="193">
      <formula>COUNTIF(G110:BE110,"&lt;&gt;" &amp; "")&gt;0</formula>
    </cfRule>
    <cfRule type="expression" dxfId="1" priority="194">
      <formula>AND(COUNTIF(G110:BE110,"&lt;&gt;" &amp; "")&gt;0,NOT(ISBLANK(E110)))</formula>
    </cfRule>
  </conditionalFormatting>
  <conditionalFormatting sqref="E111">
    <cfRule type="expression" dxfId="0" priority="195">
      <formula>COUNTIF(G111:BE111,"&lt;&gt;" &amp; "")&gt;0</formula>
    </cfRule>
    <cfRule type="expression" dxfId="1" priority="196">
      <formula>AND(COUNTIF(G111:BE111,"&lt;&gt;" &amp; "")&gt;0,NOT(ISBLANK(E111)))</formula>
    </cfRule>
  </conditionalFormatting>
  <conditionalFormatting sqref="E12">
    <cfRule type="expression" dxfId="0" priority="21">
      <formula>COUNTIF(G12:BE12,"&lt;&gt;" &amp; "")&gt;0</formula>
    </cfRule>
    <cfRule type="expression" dxfId="1" priority="22">
      <formula>AND(COUNTIF(G12:BE12,"&lt;&gt;" &amp; "")&gt;0,NOT(ISBLANK(E12)))</formula>
    </cfRule>
  </conditionalFormatting>
  <conditionalFormatting sqref="E13">
    <cfRule type="expression" dxfId="0" priority="23">
      <formula>COUNTIF(G13:BE13,"&lt;&gt;" &amp; "")&gt;0</formula>
    </cfRule>
    <cfRule type="expression" dxfId="1" priority="24">
      <formula>AND(COUNTIF(G13:BE13,"&lt;&gt;" &amp; "")&gt;0,NOT(ISBLANK(E13)))</formula>
    </cfRule>
  </conditionalFormatting>
  <conditionalFormatting sqref="E14">
    <cfRule type="expression" dxfId="0" priority="25">
      <formula>COUNTIF(G14:BE14,"&lt;&gt;" &amp; "")&gt;0</formula>
    </cfRule>
    <cfRule type="expression" dxfId="1" priority="26">
      <formula>AND(COUNTIF(G14:BE14,"&lt;&gt;" &amp; "")&gt;0,NOT(ISBLANK(E14)))</formula>
    </cfRule>
  </conditionalFormatting>
  <conditionalFormatting sqref="E15">
    <cfRule type="expression" dxfId="0" priority="27">
      <formula>COUNTIF(G15:BE15,"&lt;&gt;" &amp; "")&gt;0</formula>
    </cfRule>
    <cfRule type="expression" dxfId="1" priority="28">
      <formula>AND(COUNTIF(G15:BE15,"&lt;&gt;" &amp; "")&gt;0,NOT(ISBLANK(E15)))</formula>
    </cfRule>
  </conditionalFormatting>
  <conditionalFormatting sqref="E18">
    <cfRule type="expression" dxfId="0" priority="29">
      <formula>COUNTIF(G18:BE18,"&lt;&gt;" &amp; "")&gt;0</formula>
    </cfRule>
    <cfRule type="expression" dxfId="1" priority="30">
      <formula>AND(COUNTIF(G18:BE18,"&lt;&gt;" &amp; "")&gt;0,NOT(ISBLANK(E18)))</formula>
    </cfRule>
  </conditionalFormatting>
  <conditionalFormatting sqref="E19">
    <cfRule type="expression" dxfId="0" priority="31">
      <formula>COUNTIF(G19:BE19,"&lt;&gt;" &amp; "")&gt;0</formula>
    </cfRule>
    <cfRule type="expression" dxfId="1" priority="32">
      <formula>AND(COUNTIF(G19:BE19,"&lt;&gt;" &amp; "")&gt;0,NOT(ISBLANK(E19)))</formula>
    </cfRule>
  </conditionalFormatting>
  <conditionalFormatting sqref="E2">
    <cfRule type="expression" dxfId="0" priority="1">
      <formula>COUNTIF(G2:BE2,"&lt;&gt;" &amp; "")&gt;0</formula>
    </cfRule>
    <cfRule type="expression" dxfId="1" priority="2">
      <formula>AND(COUNTIF(G2:BE2,"&lt;&gt;" &amp; "")&gt;0,NOT(ISBLANK(E2)))</formula>
    </cfRule>
  </conditionalFormatting>
  <conditionalFormatting sqref="E20">
    <cfRule type="expression" dxfId="0" priority="33">
      <formula>COUNTIF(G20:BE20,"&lt;&gt;" &amp; "")&gt;0</formula>
    </cfRule>
    <cfRule type="expression" dxfId="1" priority="34">
      <formula>AND(COUNTIF(G20:BE20,"&lt;&gt;" &amp; "")&gt;0,NOT(ISBLANK(E20)))</formula>
    </cfRule>
  </conditionalFormatting>
  <conditionalFormatting sqref="E21">
    <cfRule type="expression" dxfId="0" priority="35">
      <formula>COUNTIF(G21:BE21,"&lt;&gt;" &amp; "")&gt;0</formula>
    </cfRule>
    <cfRule type="expression" dxfId="1" priority="36">
      <formula>AND(COUNTIF(G21:BE21,"&lt;&gt;" &amp; "")&gt;0,NOT(ISBLANK(E21)))</formula>
    </cfRule>
  </conditionalFormatting>
  <conditionalFormatting sqref="E22">
    <cfRule type="expression" dxfId="0" priority="37">
      <formula>COUNTIF(G22:BE22,"&lt;&gt;" &amp; "")&gt;0</formula>
    </cfRule>
    <cfRule type="expression" dxfId="1" priority="38">
      <formula>AND(COUNTIF(G22:BE22,"&lt;&gt;" &amp; "")&gt;0,NOT(ISBLANK(E22)))</formula>
    </cfRule>
  </conditionalFormatting>
  <conditionalFormatting sqref="E23">
    <cfRule type="expression" dxfId="0" priority="39">
      <formula>COUNTIF(G23:BE23,"&lt;&gt;" &amp; "")&gt;0</formula>
    </cfRule>
    <cfRule type="expression" dxfId="1" priority="40">
      <formula>AND(COUNTIF(G23:BE23,"&lt;&gt;" &amp; "")&gt;0,NOT(ISBLANK(E23)))</formula>
    </cfRule>
  </conditionalFormatting>
  <conditionalFormatting sqref="E24">
    <cfRule type="expression" dxfId="0" priority="41">
      <formula>COUNTIF(G24:BE24,"&lt;&gt;" &amp; "")&gt;0</formula>
    </cfRule>
    <cfRule type="expression" dxfId="1" priority="42">
      <formula>AND(COUNTIF(G24:BE24,"&lt;&gt;" &amp; "")&gt;0,NOT(ISBLANK(E24)))</formula>
    </cfRule>
  </conditionalFormatting>
  <conditionalFormatting sqref="E25">
    <cfRule type="expression" dxfId="0" priority="43">
      <formula>COUNTIF(G25:BE25,"&lt;&gt;" &amp; "")&gt;0</formula>
    </cfRule>
    <cfRule type="expression" dxfId="1" priority="44">
      <formula>AND(COUNTIF(G25:BE25,"&lt;&gt;" &amp; "")&gt;0,NOT(ISBLANK(E25)))</formula>
    </cfRule>
  </conditionalFormatting>
  <conditionalFormatting sqref="E26">
    <cfRule type="expression" dxfId="0" priority="45">
      <formula>COUNTIF(G26:BE26,"&lt;&gt;" &amp; "")&gt;0</formula>
    </cfRule>
    <cfRule type="expression" dxfId="1" priority="46">
      <formula>AND(COUNTIF(G26:BE26,"&lt;&gt;" &amp; "")&gt;0,NOT(ISBLANK(E26)))</formula>
    </cfRule>
  </conditionalFormatting>
  <conditionalFormatting sqref="E27">
    <cfRule type="expression" dxfId="0" priority="47">
      <formula>COUNTIF(G27:BE27,"&lt;&gt;" &amp; "")&gt;0</formula>
    </cfRule>
    <cfRule type="expression" dxfId="1" priority="48">
      <formula>AND(COUNTIF(G27:BE27,"&lt;&gt;" &amp; "")&gt;0,NOT(ISBLANK(E27)))</formula>
    </cfRule>
  </conditionalFormatting>
  <conditionalFormatting sqref="E28">
    <cfRule type="expression" dxfId="0" priority="49">
      <formula>COUNTIF(G28:BE28,"&lt;&gt;" &amp; "")&gt;0</formula>
    </cfRule>
    <cfRule type="expression" dxfId="1" priority="50">
      <formula>AND(COUNTIF(G28:BE28,"&lt;&gt;" &amp; "")&gt;0,NOT(ISBLANK(E28)))</formula>
    </cfRule>
  </conditionalFormatting>
  <conditionalFormatting sqref="E29">
    <cfRule type="expression" dxfId="0" priority="51">
      <formula>COUNTIF(G29:BE29,"&lt;&gt;" &amp; "")&gt;0</formula>
    </cfRule>
    <cfRule type="expression" dxfId="1" priority="52">
      <formula>AND(COUNTIF(G29:BE29,"&lt;&gt;" &amp; "")&gt;0,NOT(ISBLANK(E29)))</formula>
    </cfRule>
  </conditionalFormatting>
  <conditionalFormatting sqref="E3">
    <cfRule type="expression" dxfId="0" priority="3">
      <formula>COUNTIF(G3:BE3,"&lt;&gt;" &amp; "")&gt;0</formula>
    </cfRule>
    <cfRule type="expression" dxfId="1" priority="4">
      <formula>AND(COUNTIF(G3:BE3,"&lt;&gt;" &amp; "")&gt;0,NOT(ISBLANK(E3)))</formula>
    </cfRule>
  </conditionalFormatting>
  <conditionalFormatting sqref="E30">
    <cfRule type="expression" dxfId="0" priority="53">
      <formula>COUNTIF(G30:BE30,"&lt;&gt;" &amp; "")&gt;0</formula>
    </cfRule>
    <cfRule type="expression" dxfId="1" priority="54">
      <formula>AND(COUNTIF(G30:BE30,"&lt;&gt;" &amp; "")&gt;0,NOT(ISBLANK(E30)))</formula>
    </cfRule>
  </conditionalFormatting>
  <conditionalFormatting sqref="E31">
    <cfRule type="expression" dxfId="0" priority="55">
      <formula>COUNTIF(G31:BE31,"&lt;&gt;" &amp; "")&gt;0</formula>
    </cfRule>
    <cfRule type="expression" dxfId="1" priority="56">
      <formula>AND(COUNTIF(G31:BE31,"&lt;&gt;" &amp; "")&gt;0,NOT(ISBLANK(E31)))</formula>
    </cfRule>
  </conditionalFormatting>
  <conditionalFormatting sqref="E34">
    <cfRule type="expression" dxfId="0" priority="57">
      <formula>COUNTIF(G34:BE34,"&lt;&gt;" &amp; "")&gt;0</formula>
    </cfRule>
    <cfRule type="expression" dxfId="1" priority="58">
      <formula>AND(COUNTIF(G34:BE34,"&lt;&gt;" &amp; "")&gt;0,NOT(ISBLANK(E34)))</formula>
    </cfRule>
  </conditionalFormatting>
  <conditionalFormatting sqref="E35">
    <cfRule type="expression" dxfId="0" priority="59">
      <formula>COUNTIF(G35:BE35,"&lt;&gt;" &amp; "")&gt;0</formula>
    </cfRule>
    <cfRule type="expression" dxfId="1" priority="60">
      <formula>AND(COUNTIF(G35:BE35,"&lt;&gt;" &amp; "")&gt;0,NOT(ISBLANK(E35)))</formula>
    </cfRule>
  </conditionalFormatting>
  <conditionalFormatting sqref="E36">
    <cfRule type="expression" dxfId="0" priority="61">
      <formula>COUNTIF(G36:BE36,"&lt;&gt;" &amp; "")&gt;0</formula>
    </cfRule>
    <cfRule type="expression" dxfId="1" priority="62">
      <formula>AND(COUNTIF(G36:BE36,"&lt;&gt;" &amp; "")&gt;0,NOT(ISBLANK(E36)))</formula>
    </cfRule>
  </conditionalFormatting>
  <conditionalFormatting sqref="E37">
    <cfRule type="expression" dxfId="0" priority="63">
      <formula>COUNTIF(G37:BE37,"&lt;&gt;" &amp; "")&gt;0</formula>
    </cfRule>
    <cfRule type="expression" dxfId="1" priority="64">
      <formula>AND(COUNTIF(G37:BE37,"&lt;&gt;" &amp; "")&gt;0,NOT(ISBLANK(E37)))</formula>
    </cfRule>
  </conditionalFormatting>
  <conditionalFormatting sqref="E38">
    <cfRule type="expression" dxfId="0" priority="65">
      <formula>COUNTIF(G38:BE38,"&lt;&gt;" &amp; "")&gt;0</formula>
    </cfRule>
    <cfRule type="expression" dxfId="1" priority="66">
      <formula>AND(COUNTIF(G38:BE38,"&lt;&gt;" &amp; "")&gt;0,NOT(ISBLANK(E38)))</formula>
    </cfRule>
  </conditionalFormatting>
  <conditionalFormatting sqref="E39">
    <cfRule type="expression" dxfId="0" priority="67">
      <formula>COUNTIF(G39:BE39,"&lt;&gt;" &amp; "")&gt;0</formula>
    </cfRule>
    <cfRule type="expression" dxfId="1" priority="68">
      <formula>AND(COUNTIF(G39:BE39,"&lt;&gt;" &amp; "")&gt;0,NOT(ISBLANK(E39)))</formula>
    </cfRule>
  </conditionalFormatting>
  <conditionalFormatting sqref="E4">
    <cfRule type="expression" dxfId="0" priority="5">
      <formula>COUNTIF(G4:BE4,"&lt;&gt;" &amp; "")&gt;0</formula>
    </cfRule>
    <cfRule type="expression" dxfId="1" priority="6">
      <formula>AND(COUNTIF(G4:BE4,"&lt;&gt;" &amp; "")&gt;0,NOT(ISBLANK(E4)))</formula>
    </cfRule>
  </conditionalFormatting>
  <conditionalFormatting sqref="E40">
    <cfRule type="expression" dxfId="0" priority="69">
      <formula>COUNTIF(G40:BE40,"&lt;&gt;" &amp; "")&gt;0</formula>
    </cfRule>
    <cfRule type="expression" dxfId="1" priority="70">
      <formula>AND(COUNTIF(G40:BE40,"&lt;&gt;" &amp; "")&gt;0,NOT(ISBLANK(E40)))</formula>
    </cfRule>
  </conditionalFormatting>
  <conditionalFormatting sqref="E41">
    <cfRule type="expression" dxfId="0" priority="71">
      <formula>COUNTIF(G41:BE41,"&lt;&gt;" &amp; "")&gt;0</formula>
    </cfRule>
    <cfRule type="expression" dxfId="1" priority="72">
      <formula>AND(COUNTIF(G41:BE41,"&lt;&gt;" &amp; "")&gt;0,NOT(ISBLANK(E41)))</formula>
    </cfRule>
  </conditionalFormatting>
  <conditionalFormatting sqref="E42">
    <cfRule type="expression" dxfId="0" priority="73">
      <formula>COUNTIF(G42:BE42,"&lt;&gt;" &amp; "")&gt;0</formula>
    </cfRule>
    <cfRule type="expression" dxfId="1" priority="74">
      <formula>AND(COUNTIF(G42:BE42,"&lt;&gt;" &amp; "")&gt;0,NOT(ISBLANK(E42)))</formula>
    </cfRule>
  </conditionalFormatting>
  <conditionalFormatting sqref="E43">
    <cfRule type="expression" dxfId="0" priority="75">
      <formula>COUNTIF(G43:BE43,"&lt;&gt;" &amp; "")&gt;0</formula>
    </cfRule>
    <cfRule type="expression" dxfId="1" priority="76">
      <formula>AND(COUNTIF(G43:BE43,"&lt;&gt;" &amp; "")&gt;0,NOT(ISBLANK(E43)))</formula>
    </cfRule>
  </conditionalFormatting>
  <conditionalFormatting sqref="E44">
    <cfRule type="expression" dxfId="0" priority="77">
      <formula>COUNTIF(G44:BE44,"&lt;&gt;" &amp; "")&gt;0</formula>
    </cfRule>
    <cfRule type="expression" dxfId="1" priority="78">
      <formula>AND(COUNTIF(G44:BE44,"&lt;&gt;" &amp; "")&gt;0,NOT(ISBLANK(E44)))</formula>
    </cfRule>
  </conditionalFormatting>
  <conditionalFormatting sqref="E45">
    <cfRule type="expression" dxfId="0" priority="79">
      <formula>COUNTIF(G45:BE45,"&lt;&gt;" &amp; "")&gt;0</formula>
    </cfRule>
    <cfRule type="expression" dxfId="1" priority="80">
      <formula>AND(COUNTIF(G45:BE45,"&lt;&gt;" &amp; "")&gt;0,NOT(ISBLANK(E45)))</formula>
    </cfRule>
  </conditionalFormatting>
  <conditionalFormatting sqref="E46">
    <cfRule type="expression" dxfId="0" priority="81">
      <formula>COUNTIF(G46:BE46,"&lt;&gt;" &amp; "")&gt;0</formula>
    </cfRule>
    <cfRule type="expression" dxfId="1" priority="82">
      <formula>AND(COUNTIF(G46:BE46,"&lt;&gt;" &amp; "")&gt;0,NOT(ISBLANK(E46)))</formula>
    </cfRule>
  </conditionalFormatting>
  <conditionalFormatting sqref="E47">
    <cfRule type="expression" dxfId="0" priority="83">
      <formula>COUNTIF(G47:BE47,"&lt;&gt;" &amp; "")&gt;0</formula>
    </cfRule>
    <cfRule type="expression" dxfId="1" priority="84">
      <formula>AND(COUNTIF(G47:BE47,"&lt;&gt;" &amp; "")&gt;0,NOT(ISBLANK(E47)))</formula>
    </cfRule>
  </conditionalFormatting>
  <conditionalFormatting sqref="E5">
    <cfRule type="expression" dxfId="0" priority="7">
      <formula>COUNTIF(G5:BE5,"&lt;&gt;" &amp; "")&gt;0</formula>
    </cfRule>
    <cfRule type="expression" dxfId="1" priority="8">
      <formula>AND(COUNTIF(G5:BE5,"&lt;&gt;" &amp; "")&gt;0,NOT(ISBLANK(E5)))</formula>
    </cfRule>
  </conditionalFormatting>
  <conditionalFormatting sqref="E50">
    <cfRule type="expression" dxfId="0" priority="85">
      <formula>COUNTIF(G50:BE50,"&lt;&gt;" &amp; "")&gt;0</formula>
    </cfRule>
    <cfRule type="expression" dxfId="1" priority="86">
      <formula>AND(COUNTIF(G50:BE50,"&lt;&gt;" &amp; "")&gt;0,NOT(ISBLANK(E50)))</formula>
    </cfRule>
  </conditionalFormatting>
  <conditionalFormatting sqref="E51">
    <cfRule type="expression" dxfId="0" priority="87">
      <formula>COUNTIF(G51:BE51,"&lt;&gt;" &amp; "")&gt;0</formula>
    </cfRule>
    <cfRule type="expression" dxfId="1" priority="88">
      <formula>AND(COUNTIF(G51:BE51,"&lt;&gt;" &amp; "")&gt;0,NOT(ISBLANK(E51)))</formula>
    </cfRule>
  </conditionalFormatting>
  <conditionalFormatting sqref="E52">
    <cfRule type="expression" dxfId="0" priority="89">
      <formula>COUNTIF(G52:BE52,"&lt;&gt;" &amp; "")&gt;0</formula>
    </cfRule>
    <cfRule type="expression" dxfId="1" priority="90">
      <formula>AND(COUNTIF(G52:BE52,"&lt;&gt;" &amp; "")&gt;0,NOT(ISBLANK(E52)))</formula>
    </cfRule>
  </conditionalFormatting>
  <conditionalFormatting sqref="E53">
    <cfRule type="expression" dxfId="0" priority="91">
      <formula>COUNTIF(G53:BE53,"&lt;&gt;" &amp; "")&gt;0</formula>
    </cfRule>
    <cfRule type="expression" dxfId="1" priority="92">
      <formula>AND(COUNTIF(G53:BE53,"&lt;&gt;" &amp; "")&gt;0,NOT(ISBLANK(E53)))</formula>
    </cfRule>
  </conditionalFormatting>
  <conditionalFormatting sqref="E54">
    <cfRule type="expression" dxfId="0" priority="93">
      <formula>COUNTIF(G54:BE54,"&lt;&gt;" &amp; "")&gt;0</formula>
    </cfRule>
    <cfRule type="expression" dxfId="1" priority="94">
      <formula>AND(COUNTIF(G54:BE54,"&lt;&gt;" &amp; "")&gt;0,NOT(ISBLANK(E54)))</formula>
    </cfRule>
  </conditionalFormatting>
  <conditionalFormatting sqref="E55">
    <cfRule type="expression" dxfId="0" priority="95">
      <formula>COUNTIF(G55:BE55,"&lt;&gt;" &amp; "")&gt;0</formula>
    </cfRule>
    <cfRule type="expression" dxfId="1" priority="96">
      <formula>AND(COUNTIF(G55:BE55,"&lt;&gt;" &amp; "")&gt;0,NOT(ISBLANK(E55)))</formula>
    </cfRule>
  </conditionalFormatting>
  <conditionalFormatting sqref="E56">
    <cfRule type="expression" dxfId="0" priority="97">
      <formula>COUNTIF(G56:BE56,"&lt;&gt;" &amp; "")&gt;0</formula>
    </cfRule>
    <cfRule type="expression" dxfId="1" priority="98">
      <formula>AND(COUNTIF(G56:BE56,"&lt;&gt;" &amp; "")&gt;0,NOT(ISBLANK(E56)))</formula>
    </cfRule>
  </conditionalFormatting>
  <conditionalFormatting sqref="E57">
    <cfRule type="expression" dxfId="0" priority="99">
      <formula>COUNTIF(G57:BE57,"&lt;&gt;" &amp; "")&gt;0</formula>
    </cfRule>
    <cfRule type="expression" dxfId="1" priority="100">
      <formula>AND(COUNTIF(G57:BE57,"&lt;&gt;" &amp; "")&gt;0,NOT(ISBLANK(E57)))</formula>
    </cfRule>
  </conditionalFormatting>
  <conditionalFormatting sqref="E58">
    <cfRule type="expression" dxfId="0" priority="101">
      <formula>COUNTIF(G58:BE58,"&lt;&gt;" &amp; "")&gt;0</formula>
    </cfRule>
    <cfRule type="expression" dxfId="1" priority="102">
      <formula>AND(COUNTIF(G58:BE58,"&lt;&gt;" &amp; "")&gt;0,NOT(ISBLANK(E58)))</formula>
    </cfRule>
  </conditionalFormatting>
  <conditionalFormatting sqref="E59">
    <cfRule type="expression" dxfId="0" priority="103">
      <formula>COUNTIF(G59:BE59,"&lt;&gt;" &amp; "")&gt;0</formula>
    </cfRule>
    <cfRule type="expression" dxfId="1" priority="104">
      <formula>AND(COUNTIF(G59:BE59,"&lt;&gt;" &amp; "")&gt;0,NOT(ISBLANK(E59)))</formula>
    </cfRule>
  </conditionalFormatting>
  <conditionalFormatting sqref="E6">
    <cfRule type="expression" dxfId="0" priority="9">
      <formula>COUNTIF(G6:BE6,"&lt;&gt;" &amp; "")&gt;0</formula>
    </cfRule>
    <cfRule type="expression" dxfId="1" priority="10">
      <formula>AND(COUNTIF(G6:BE6,"&lt;&gt;" &amp; "")&gt;0,NOT(ISBLANK(E6)))</formula>
    </cfRule>
  </conditionalFormatting>
  <conditionalFormatting sqref="E60">
    <cfRule type="expression" dxfId="0" priority="105">
      <formula>COUNTIF(G60:BE60,"&lt;&gt;" &amp; "")&gt;0</formula>
    </cfRule>
    <cfRule type="expression" dxfId="1" priority="106">
      <formula>AND(COUNTIF(G60:BE60,"&lt;&gt;" &amp; "")&gt;0,NOT(ISBLANK(E60)))</formula>
    </cfRule>
  </conditionalFormatting>
  <conditionalFormatting sqref="E61">
    <cfRule type="expression" dxfId="0" priority="107">
      <formula>COUNTIF(G61:BE61,"&lt;&gt;" &amp; "")&gt;0</formula>
    </cfRule>
    <cfRule type="expression" dxfId="1" priority="108">
      <formula>AND(COUNTIF(G61:BE61,"&lt;&gt;" &amp; "")&gt;0,NOT(ISBLANK(E61)))</formula>
    </cfRule>
  </conditionalFormatting>
  <conditionalFormatting sqref="E62">
    <cfRule type="expression" dxfId="0" priority="109">
      <formula>COUNTIF(G62:BE62,"&lt;&gt;" &amp; "")&gt;0</formula>
    </cfRule>
    <cfRule type="expression" dxfId="1" priority="110">
      <formula>AND(COUNTIF(G62:BE62,"&lt;&gt;" &amp; "")&gt;0,NOT(ISBLANK(E62)))</formula>
    </cfRule>
  </conditionalFormatting>
  <conditionalFormatting sqref="E63">
    <cfRule type="expression" dxfId="0" priority="111">
      <formula>COUNTIF(G63:BE63,"&lt;&gt;" &amp; "")&gt;0</formula>
    </cfRule>
    <cfRule type="expression" dxfId="1" priority="112">
      <formula>AND(COUNTIF(G63:BE63,"&lt;&gt;" &amp; "")&gt;0,NOT(ISBLANK(E63)))</formula>
    </cfRule>
  </conditionalFormatting>
  <conditionalFormatting sqref="E66">
    <cfRule type="expression" dxfId="0" priority="113">
      <formula>COUNTIF(G66:BE66,"&lt;&gt;" &amp; "")&gt;0</formula>
    </cfRule>
    <cfRule type="expression" dxfId="1" priority="114">
      <formula>AND(COUNTIF(G66:BE66,"&lt;&gt;" &amp; "")&gt;0,NOT(ISBLANK(E66)))</formula>
    </cfRule>
  </conditionalFormatting>
  <conditionalFormatting sqref="E67">
    <cfRule type="expression" dxfId="0" priority="115">
      <formula>COUNTIF(G67:BE67,"&lt;&gt;" &amp; "")&gt;0</formula>
    </cfRule>
    <cfRule type="expression" dxfId="1" priority="116">
      <formula>AND(COUNTIF(G67:BE67,"&lt;&gt;" &amp; "")&gt;0,NOT(ISBLANK(E67)))</formula>
    </cfRule>
  </conditionalFormatting>
  <conditionalFormatting sqref="E68">
    <cfRule type="expression" dxfId="0" priority="117">
      <formula>COUNTIF(G68:BE68,"&lt;&gt;" &amp; "")&gt;0</formula>
    </cfRule>
    <cfRule type="expression" dxfId="1" priority="118">
      <formula>AND(COUNTIF(G68:BE68,"&lt;&gt;" &amp; "")&gt;0,NOT(ISBLANK(E68)))</formula>
    </cfRule>
  </conditionalFormatting>
  <conditionalFormatting sqref="E69">
    <cfRule type="expression" dxfId="0" priority="119">
      <formula>COUNTIF(G69:BE69,"&lt;&gt;" &amp; "")&gt;0</formula>
    </cfRule>
    <cfRule type="expression" dxfId="1" priority="120">
      <formula>AND(COUNTIF(G69:BE69,"&lt;&gt;" &amp; "")&gt;0,NOT(ISBLANK(E69)))</formula>
    </cfRule>
  </conditionalFormatting>
  <conditionalFormatting sqref="E7">
    <cfRule type="expression" dxfId="0" priority="11">
      <formula>COUNTIF(G7:BE7,"&lt;&gt;" &amp; "")&gt;0</formula>
    </cfRule>
    <cfRule type="expression" dxfId="1" priority="12">
      <formula>AND(COUNTIF(G7:BE7,"&lt;&gt;" &amp; "")&gt;0,NOT(ISBLANK(E7)))</formula>
    </cfRule>
  </conditionalFormatting>
  <conditionalFormatting sqref="E70">
    <cfRule type="expression" dxfId="0" priority="121">
      <formula>COUNTIF(G70:BE70,"&lt;&gt;" &amp; "")&gt;0</formula>
    </cfRule>
    <cfRule type="expression" dxfId="1" priority="122">
      <formula>AND(COUNTIF(G70:BE70,"&lt;&gt;" &amp; "")&gt;0,NOT(ISBLANK(E70)))</formula>
    </cfRule>
  </conditionalFormatting>
  <conditionalFormatting sqref="E71">
    <cfRule type="expression" dxfId="0" priority="123">
      <formula>COUNTIF(G71:BE71,"&lt;&gt;" &amp; "")&gt;0</formula>
    </cfRule>
    <cfRule type="expression" dxfId="1" priority="124">
      <formula>AND(COUNTIF(G71:BE71,"&lt;&gt;" &amp; "")&gt;0,NOT(ISBLANK(E71)))</formula>
    </cfRule>
  </conditionalFormatting>
  <conditionalFormatting sqref="E72">
    <cfRule type="expression" dxfId="0" priority="125">
      <formula>COUNTIF(G72:BE72,"&lt;&gt;" &amp; "")&gt;0</formula>
    </cfRule>
    <cfRule type="expression" dxfId="1" priority="126">
      <formula>AND(COUNTIF(G72:BE72,"&lt;&gt;" &amp; "")&gt;0,NOT(ISBLANK(E72)))</formula>
    </cfRule>
  </conditionalFormatting>
  <conditionalFormatting sqref="E73">
    <cfRule type="expression" dxfId="0" priority="127">
      <formula>COUNTIF(G73:BE73,"&lt;&gt;" &amp; "")&gt;0</formula>
    </cfRule>
    <cfRule type="expression" dxfId="1" priority="128">
      <formula>AND(COUNTIF(G73:BE73,"&lt;&gt;" &amp; "")&gt;0,NOT(ISBLANK(E73)))</formula>
    </cfRule>
  </conditionalFormatting>
  <conditionalFormatting sqref="E74">
    <cfRule type="expression" dxfId="0" priority="129">
      <formula>COUNTIF(G74:BE74,"&lt;&gt;" &amp; "")&gt;0</formula>
    </cfRule>
    <cfRule type="expression" dxfId="1" priority="130">
      <formula>AND(COUNTIF(G74:BE74,"&lt;&gt;" &amp; "")&gt;0,NOT(ISBLANK(E74)))</formula>
    </cfRule>
  </conditionalFormatting>
  <conditionalFormatting sqref="E75">
    <cfRule type="expression" dxfId="0" priority="131">
      <formula>COUNTIF(G75:BE75,"&lt;&gt;" &amp; "")&gt;0</formula>
    </cfRule>
    <cfRule type="expression" dxfId="1" priority="132">
      <formula>AND(COUNTIF(G75:BE75,"&lt;&gt;" &amp; "")&gt;0,NOT(ISBLANK(E75)))</formula>
    </cfRule>
  </conditionalFormatting>
  <conditionalFormatting sqref="E76">
    <cfRule type="expression" dxfId="0" priority="133">
      <formula>COUNTIF(G76:BE76,"&lt;&gt;" &amp; "")&gt;0</formula>
    </cfRule>
    <cfRule type="expression" dxfId="1" priority="134">
      <formula>AND(COUNTIF(G76:BE76,"&lt;&gt;" &amp; "")&gt;0,NOT(ISBLANK(E76)))</formula>
    </cfRule>
  </conditionalFormatting>
  <conditionalFormatting sqref="E77">
    <cfRule type="expression" dxfId="0" priority="135">
      <formula>COUNTIF(G77:BE77,"&lt;&gt;" &amp; "")&gt;0</formula>
    </cfRule>
    <cfRule type="expression" dxfId="1" priority="136">
      <formula>AND(COUNTIF(G77:BE77,"&lt;&gt;" &amp; "")&gt;0,NOT(ISBLANK(E77)))</formula>
    </cfRule>
  </conditionalFormatting>
  <conditionalFormatting sqref="E78">
    <cfRule type="expression" dxfId="0" priority="137">
      <formula>COUNTIF(G78:BE78,"&lt;&gt;" &amp; "")&gt;0</formula>
    </cfRule>
    <cfRule type="expression" dxfId="1" priority="138">
      <formula>AND(COUNTIF(G78:BE78,"&lt;&gt;" &amp; "")&gt;0,NOT(ISBLANK(E78)))</formula>
    </cfRule>
  </conditionalFormatting>
  <conditionalFormatting sqref="E79">
    <cfRule type="expression" dxfId="0" priority="139">
      <formula>COUNTIF(G79:BE79,"&lt;&gt;" &amp; "")&gt;0</formula>
    </cfRule>
    <cfRule type="expression" dxfId="1" priority="140">
      <formula>AND(COUNTIF(G79:BE79,"&lt;&gt;" &amp; "")&gt;0,NOT(ISBLANK(E79)))</formula>
    </cfRule>
  </conditionalFormatting>
  <conditionalFormatting sqref="E8">
    <cfRule type="expression" dxfId="0" priority="13">
      <formula>COUNTIF(G8:BE8,"&lt;&gt;" &amp; "")&gt;0</formula>
    </cfRule>
    <cfRule type="expression" dxfId="1" priority="14">
      <formula>AND(COUNTIF(G8:BE8,"&lt;&gt;" &amp; "")&gt;0,NOT(ISBLANK(E8)))</formula>
    </cfRule>
  </conditionalFormatting>
  <conditionalFormatting sqref="E82">
    <cfRule type="expression" dxfId="0" priority="141">
      <formula>COUNTIF(G82:BE82,"&lt;&gt;" &amp; "")&gt;0</formula>
    </cfRule>
    <cfRule type="expression" dxfId="1" priority="142">
      <formula>AND(COUNTIF(G82:BE82,"&lt;&gt;" &amp; "")&gt;0,NOT(ISBLANK(E82)))</formula>
    </cfRule>
  </conditionalFormatting>
  <conditionalFormatting sqref="E83">
    <cfRule type="expression" dxfId="0" priority="143">
      <formula>COUNTIF(G83:BE83,"&lt;&gt;" &amp; "")&gt;0</formula>
    </cfRule>
    <cfRule type="expression" dxfId="1" priority="144">
      <formula>AND(COUNTIF(G83:BE83,"&lt;&gt;" &amp; "")&gt;0,NOT(ISBLANK(E83)))</formula>
    </cfRule>
  </conditionalFormatting>
  <conditionalFormatting sqref="E84">
    <cfRule type="expression" dxfId="0" priority="145">
      <formula>COUNTIF(G84:BE84,"&lt;&gt;" &amp; "")&gt;0</formula>
    </cfRule>
    <cfRule type="expression" dxfId="1" priority="146">
      <formula>AND(COUNTIF(G84:BE84,"&lt;&gt;" &amp; "")&gt;0,NOT(ISBLANK(E84)))</formula>
    </cfRule>
  </conditionalFormatting>
  <conditionalFormatting sqref="E85">
    <cfRule type="expression" dxfId="0" priority="147">
      <formula>COUNTIF(G85:BE85,"&lt;&gt;" &amp; "")&gt;0</formula>
    </cfRule>
    <cfRule type="expression" dxfId="1" priority="148">
      <formula>AND(COUNTIF(G85:BE85,"&lt;&gt;" &amp; "")&gt;0,NOT(ISBLANK(E85)))</formula>
    </cfRule>
  </conditionalFormatting>
  <conditionalFormatting sqref="E86">
    <cfRule type="expression" dxfId="0" priority="149">
      <formula>COUNTIF(G86:BE86,"&lt;&gt;" &amp; "")&gt;0</formula>
    </cfRule>
    <cfRule type="expression" dxfId="1" priority="150">
      <formula>AND(COUNTIF(G86:BE86,"&lt;&gt;" &amp; "")&gt;0,NOT(ISBLANK(E86)))</formula>
    </cfRule>
  </conditionalFormatting>
  <conditionalFormatting sqref="E87">
    <cfRule type="expression" dxfId="0" priority="151">
      <formula>COUNTIF(G87:BE87,"&lt;&gt;" &amp; "")&gt;0</formula>
    </cfRule>
    <cfRule type="expression" dxfId="1" priority="152">
      <formula>AND(COUNTIF(G87:BE87,"&lt;&gt;" &amp; "")&gt;0,NOT(ISBLANK(E87)))</formula>
    </cfRule>
  </conditionalFormatting>
  <conditionalFormatting sqref="E88">
    <cfRule type="expression" dxfId="0" priority="153">
      <formula>COUNTIF(G88:BE88,"&lt;&gt;" &amp; "")&gt;0</formula>
    </cfRule>
    <cfRule type="expression" dxfId="1" priority="154">
      <formula>AND(COUNTIF(G88:BE88,"&lt;&gt;" &amp; "")&gt;0,NOT(ISBLANK(E88)))</formula>
    </cfRule>
  </conditionalFormatting>
  <conditionalFormatting sqref="E89">
    <cfRule type="expression" dxfId="0" priority="155">
      <formula>COUNTIF(G89:BE89,"&lt;&gt;" &amp; "")&gt;0</formula>
    </cfRule>
    <cfRule type="expression" dxfId="1" priority="156">
      <formula>AND(COUNTIF(G89:BE89,"&lt;&gt;" &amp; "")&gt;0,NOT(ISBLANK(E89)))</formula>
    </cfRule>
  </conditionalFormatting>
  <conditionalFormatting sqref="E9">
    <cfRule type="expression" dxfId="0" priority="15">
      <formula>COUNTIF(G9:BE9,"&lt;&gt;" &amp; "")&gt;0</formula>
    </cfRule>
    <cfRule type="expression" dxfId="1" priority="16">
      <formula>AND(COUNTIF(G9:BE9,"&lt;&gt;" &amp; "")&gt;0,NOT(ISBLANK(E9)))</formula>
    </cfRule>
  </conditionalFormatting>
  <conditionalFormatting sqref="E90">
    <cfRule type="expression" dxfId="0" priority="157">
      <formula>COUNTIF(G90:BE90,"&lt;&gt;" &amp; "")&gt;0</formula>
    </cfRule>
    <cfRule type="expression" dxfId="1" priority="158">
      <formula>AND(COUNTIF(G90:BE90,"&lt;&gt;" &amp; "")&gt;0,NOT(ISBLANK(E90)))</formula>
    </cfRule>
  </conditionalFormatting>
  <conditionalFormatting sqref="E91">
    <cfRule type="expression" dxfId="0" priority="159">
      <formula>COUNTIF(G91:BE91,"&lt;&gt;" &amp; "")&gt;0</formula>
    </cfRule>
    <cfRule type="expression" dxfId="1" priority="160">
      <formula>AND(COUNTIF(G91:BE91,"&lt;&gt;" &amp; "")&gt;0,NOT(ISBLANK(E91)))</formula>
    </cfRule>
  </conditionalFormatting>
  <conditionalFormatting sqref="E92">
    <cfRule type="expression" dxfId="0" priority="161">
      <formula>COUNTIF(G92:BE92,"&lt;&gt;" &amp; "")&gt;0</formula>
    </cfRule>
    <cfRule type="expression" dxfId="1" priority="162">
      <formula>AND(COUNTIF(G92:BE92,"&lt;&gt;" &amp; "")&gt;0,NOT(ISBLANK(E92)))</formula>
    </cfRule>
  </conditionalFormatting>
  <conditionalFormatting sqref="E93">
    <cfRule type="expression" dxfId="0" priority="163">
      <formula>COUNTIF(G93:BE93,"&lt;&gt;" &amp; "")&gt;0</formula>
    </cfRule>
    <cfRule type="expression" dxfId="1" priority="164">
      <formula>AND(COUNTIF(G93:BE93,"&lt;&gt;" &amp; "")&gt;0,NOT(ISBLANK(E93)))</formula>
    </cfRule>
  </conditionalFormatting>
  <conditionalFormatting sqref="E94">
    <cfRule type="expression" dxfId="0" priority="165">
      <formula>COUNTIF(G94:BE94,"&lt;&gt;" &amp; "")&gt;0</formula>
    </cfRule>
    <cfRule type="expression" dxfId="1" priority="166">
      <formula>AND(COUNTIF(G94:BE94,"&lt;&gt;" &amp; "")&gt;0,NOT(ISBLANK(E94)))</formula>
    </cfRule>
  </conditionalFormatting>
  <conditionalFormatting sqref="E95">
    <cfRule type="expression" dxfId="0" priority="167">
      <formula>COUNTIF(G95:BE95,"&lt;&gt;" &amp; "")&gt;0</formula>
    </cfRule>
    <cfRule type="expression" dxfId="1" priority="168">
      <formula>AND(COUNTIF(G95:BE95,"&lt;&gt;" &amp; "")&gt;0,NOT(ISBLANK(E95)))</formula>
    </cfRule>
  </conditionalFormatting>
  <conditionalFormatting sqref="E98">
    <cfRule type="expression" dxfId="0" priority="169">
      <formula>COUNTIF(G98:BE98,"&lt;&gt;" &amp; "")&gt;0</formula>
    </cfRule>
    <cfRule type="expression" dxfId="1" priority="170">
      <formula>AND(COUNTIF(G98:BE98,"&lt;&gt;" &amp; "")&gt;0,NOT(ISBLANK(E98)))</formula>
    </cfRule>
  </conditionalFormatting>
  <conditionalFormatting sqref="E99">
    <cfRule type="expression" dxfId="0" priority="171">
      <formula>COUNTIF(G99:BE99,"&lt;&gt;" &amp; "")&gt;0</formula>
    </cfRule>
    <cfRule type="expression" dxfId="1" priority="172">
      <formula>AND(COUNTIF(G99:BE99,"&lt;&gt;" &amp; "")&gt;0,NOT(ISBLANK(E99)))</formula>
    </cfRule>
  </conditionalFormatting>
  <dataValidations count="98">
    <dataValidation type="list" allowBlank="1" showInputMessage="1" showErrorMessage="1" sqref="C2">
      <formula1>"Probability (per year)"</formula1>
    </dataValidation>
    <dataValidation type="list" allowBlank="1" showInputMessage="1" showErrorMessage="1" sqref="C3">
      <formula1>"Probability (per year)"</formula1>
    </dataValidation>
    <dataValidation type="list" allowBlank="1" showInputMessage="1" showErrorMessage="1" sqref="C4">
      <formula1>"Probability (per year)"</formula1>
    </dataValidation>
    <dataValidation type="list" allowBlank="1" showInputMessage="1" showErrorMessage="1" sqref="C5">
      <formula1>"Probability (per year)"</formula1>
    </dataValidation>
    <dataValidation type="list" allowBlank="1" showInputMessage="1" showErrorMessage="1" sqref="C6">
      <formula1>"Probability (per year)"</formula1>
    </dataValidation>
    <dataValidation type="list" allowBlank="1" showInputMessage="1" showErrorMessage="1" sqref="C7">
      <formula1>"Probability (per year)"</formula1>
    </dataValidation>
    <dataValidation type="list" allowBlank="1" showInputMessage="1" showErrorMessage="1" sqref="C8">
      <formula1>"Probability (per year)"</formula1>
    </dataValidation>
    <dataValidation type="list" allowBlank="1" showInputMessage="1" showErrorMessage="1" sqref="C9">
      <formula1>"Probability (per year)"</formula1>
    </dataValidation>
    <dataValidation type="list" allowBlank="1" showInputMessage="1" showErrorMessage="1" sqref="C10">
      <formula1>"Probability (per year)"</formula1>
    </dataValidation>
    <dataValidation type="list" allowBlank="1" showInputMessage="1" showErrorMessage="1" sqref="C11">
      <formula1>"Probability (per year)"</formula1>
    </dataValidation>
    <dataValidation type="list" allowBlank="1" showInputMessage="1" showErrorMessage="1" sqref="C12">
      <formula1>"Probability (per year)"</formula1>
    </dataValidation>
    <dataValidation type="list" allowBlank="1" showInputMessage="1" showErrorMessage="1" sqref="C13">
      <formula1>"Probability (per year)"</formula1>
    </dataValidation>
    <dataValidation type="list" allowBlank="1" showInputMessage="1" showErrorMessage="1" sqref="C14">
      <formula1>"Probability (per year)"</formula1>
    </dataValidation>
    <dataValidation type="list" allowBlank="1" showInputMessage="1" showErrorMessage="1" sqref="C15">
      <formula1>"Probability (per year)"</formula1>
    </dataValidation>
    <dataValidation type="list" allowBlank="1" showInputMessage="1" showErrorMessage="1" sqref="C18">
      <formula1>"Duration (years)"</formula1>
    </dataValidation>
    <dataValidation type="list" allowBlank="1" showInputMessage="1" showErrorMessage="1" sqref="C19">
      <formula1>"Duration (years)"</formula1>
    </dataValidation>
    <dataValidation type="list" allowBlank="1" showInputMessage="1" showErrorMessage="1" sqref="C20">
      <formula1>"Duration (years)"</formula1>
    </dataValidation>
    <dataValidation type="list" allowBlank="1" showInputMessage="1" showErrorMessage="1" sqref="C21">
      <formula1>"Duration (years)"</formula1>
    </dataValidation>
    <dataValidation type="list" allowBlank="1" showInputMessage="1" showErrorMessage="1" sqref="C22">
      <formula1>"Duration (years)"</formula1>
    </dataValidation>
    <dataValidation type="list" allowBlank="1" showInputMessage="1" showErrorMessage="1" sqref="C23">
      <formula1>"Duration (years)"</formula1>
    </dataValidation>
    <dataValidation type="list" allowBlank="1" showInputMessage="1" showErrorMessage="1" sqref="C24">
      <formula1>"Duration (years)"</formula1>
    </dataValidation>
    <dataValidation type="list" allowBlank="1" showInputMessage="1" showErrorMessage="1" sqref="C25">
      <formula1>"Duration (years)"</formula1>
    </dataValidation>
    <dataValidation type="list" allowBlank="1" showInputMessage="1" showErrorMessage="1" sqref="C26">
      <formula1>"Duration (years)"</formula1>
    </dataValidation>
    <dataValidation type="list" allowBlank="1" showInputMessage="1" showErrorMessage="1" sqref="C27">
      <formula1>"Duration (years)"</formula1>
    </dataValidation>
    <dataValidation type="list" allowBlank="1" showInputMessage="1" showErrorMessage="1" sqref="C28">
      <formula1>"Duration (years)"</formula1>
    </dataValidation>
    <dataValidation type="list" allowBlank="1" showInputMessage="1" showErrorMessage="1" sqref="C29">
      <formula1>"Duration (years)"</formula1>
    </dataValidation>
    <dataValidation type="list" allowBlank="1" showInputMessage="1" showErrorMessage="1" sqref="C30">
      <formula1>"Duration (years)"</formula1>
    </dataValidation>
    <dataValidation type="list" allowBlank="1" showInputMessage="1" showErrorMessage="1" sqref="C31">
      <formula1>"Duration (years)"</formula1>
    </dataValidation>
    <dataValidation type="list" allowBlank="1" showInputMessage="1" showErrorMessage="1" sqref="C34">
      <formula1>"Proportion"</formula1>
    </dataValidation>
    <dataValidation type="list" allowBlank="1" showInputMessage="1" showErrorMessage="1" sqref="C35">
      <formula1>"Proportion"</formula1>
    </dataValidation>
    <dataValidation type="list" allowBlank="1" showInputMessage="1" showErrorMessage="1" sqref="C36">
      <formula1>"Proportion"</formula1>
    </dataValidation>
    <dataValidation type="list" allowBlank="1" showInputMessage="1" showErrorMessage="1" sqref="C37">
      <formula1>"Proportion"</formula1>
    </dataValidation>
    <dataValidation type="list" allowBlank="1" showInputMessage="1" showErrorMessage="1" sqref="C38">
      <formula1>"Proportion"</formula1>
    </dataValidation>
    <dataValidation type="list" allowBlank="1" showInputMessage="1" showErrorMessage="1" sqref="C39">
      <formula1>"Proportion"</formula1>
    </dataValidation>
    <dataValidation type="list" allowBlank="1" showInputMessage="1" showErrorMessage="1" sqref="C40">
      <formula1>"Proportion"</formula1>
    </dataValidation>
    <dataValidation type="list" allowBlank="1" showInputMessage="1" showErrorMessage="1" sqref="C41">
      <formula1>"Proportion"</formula1>
    </dataValidation>
    <dataValidation type="list" allowBlank="1" showInputMessage="1" showErrorMessage="1" sqref="C42">
      <formula1>"Proportion"</formula1>
    </dataValidation>
    <dataValidation type="list" allowBlank="1" showInputMessage="1" showErrorMessage="1" sqref="C43">
      <formula1>"Proportion"</formula1>
    </dataValidation>
    <dataValidation type="list" allowBlank="1" showInputMessage="1" showErrorMessage="1" sqref="C44">
      <formula1>"Proportion"</formula1>
    </dataValidation>
    <dataValidation type="list" allowBlank="1" showInputMessage="1" showErrorMessage="1" sqref="C45">
      <formula1>"Proportion"</formula1>
    </dataValidation>
    <dataValidation type="list" allowBlank="1" showInputMessage="1" showErrorMessage="1" sqref="C46">
      <formula1>"Proportion"</formula1>
    </dataValidation>
    <dataValidation type="list" allowBlank="1" showInputMessage="1" showErrorMessage="1" sqref="C47">
      <formula1>"Proportion"</formula1>
    </dataValidation>
    <dataValidation type="list" allowBlank="1" showInputMessage="1" showErrorMessage="1" sqref="C50">
      <formula1>"Proportion"</formula1>
    </dataValidation>
    <dataValidation type="list" allowBlank="1" showInputMessage="1" showErrorMessage="1" sqref="C51">
      <formula1>"Proportion"</formula1>
    </dataValidation>
    <dataValidation type="list" allowBlank="1" showInputMessage="1" showErrorMessage="1" sqref="C52">
      <formula1>"Proportion"</formula1>
    </dataValidation>
    <dataValidation type="list" allowBlank="1" showInputMessage="1" showErrorMessage="1" sqref="C53">
      <formula1>"Proportion"</formula1>
    </dataValidation>
    <dataValidation type="list" allowBlank="1" showInputMessage="1" showErrorMessage="1" sqref="C54">
      <formula1>"Proportion"</formula1>
    </dataValidation>
    <dataValidation type="list" allowBlank="1" showInputMessage="1" showErrorMessage="1" sqref="C55">
      <formula1>"Proportion"</formula1>
    </dataValidation>
    <dataValidation type="list" allowBlank="1" showInputMessage="1" showErrorMessage="1" sqref="C56">
      <formula1>"Proportion"</formula1>
    </dataValidation>
    <dataValidation type="list" allowBlank="1" showInputMessage="1" showErrorMessage="1" sqref="C57">
      <formula1>"Proportion"</formula1>
    </dataValidation>
    <dataValidation type="list" allowBlank="1" showInputMessage="1" showErrorMessage="1" sqref="C58">
      <formula1>"Proportion"</formula1>
    </dataValidation>
    <dataValidation type="list" allowBlank="1" showInputMessage="1" showErrorMessage="1" sqref="C59">
      <formula1>"Proportion"</formula1>
    </dataValidation>
    <dataValidation type="list" allowBlank="1" showInputMessage="1" showErrorMessage="1" sqref="C60">
      <formula1>"Proportion"</formula1>
    </dataValidation>
    <dataValidation type="list" allowBlank="1" showInputMessage="1" showErrorMessage="1" sqref="C61">
      <formula1>"Proportion"</formula1>
    </dataValidation>
    <dataValidation type="list" allowBlank="1" showInputMessage="1" showErrorMessage="1" sqref="C62">
      <formula1>"Proportion"</formula1>
    </dataValidation>
    <dataValidation type="list" allowBlank="1" showInputMessage="1" showErrorMessage="1" sqref="C63">
      <formula1>"Proportion"</formula1>
    </dataValidation>
    <dataValidation type="list" allowBlank="1" showInputMessage="1" showErrorMessage="1" sqref="C66">
      <formula1>"Duration (years)"</formula1>
    </dataValidation>
    <dataValidation type="list" allowBlank="1" showInputMessage="1" showErrorMessage="1" sqref="C67">
      <formula1>"Duration (years)"</formula1>
    </dataValidation>
    <dataValidation type="list" allowBlank="1" showInputMessage="1" showErrorMessage="1" sqref="C68">
      <formula1>"Duration (years)"</formula1>
    </dataValidation>
    <dataValidation type="list" allowBlank="1" showInputMessage="1" showErrorMessage="1" sqref="C69">
      <formula1>"Duration (years)"</formula1>
    </dataValidation>
    <dataValidation type="list" allowBlank="1" showInputMessage="1" showErrorMessage="1" sqref="C70">
      <formula1>"Duration (years)"</formula1>
    </dataValidation>
    <dataValidation type="list" allowBlank="1" showInputMessage="1" showErrorMessage="1" sqref="C71">
      <formula1>"Duration (years)"</formula1>
    </dataValidation>
    <dataValidation type="list" allowBlank="1" showInputMessage="1" showErrorMessage="1" sqref="C72">
      <formula1>"Duration (years)"</formula1>
    </dataValidation>
    <dataValidation type="list" allowBlank="1" showInputMessage="1" showErrorMessage="1" sqref="C73">
      <formula1>"Duration (years)"</formula1>
    </dataValidation>
    <dataValidation type="list" allowBlank="1" showInputMessage="1" showErrorMessage="1" sqref="C74">
      <formula1>"Duration (years)"</formula1>
    </dataValidation>
    <dataValidation type="list" allowBlank="1" showInputMessage="1" showErrorMessage="1" sqref="C75">
      <formula1>"Duration (years)"</formula1>
    </dataValidation>
    <dataValidation type="list" allowBlank="1" showInputMessage="1" showErrorMessage="1" sqref="C76">
      <formula1>"Duration (years)"</formula1>
    </dataValidation>
    <dataValidation type="list" allowBlank="1" showInputMessage="1" showErrorMessage="1" sqref="C77">
      <formula1>"Duration (years)"</formula1>
    </dataValidation>
    <dataValidation type="list" allowBlank="1" showInputMessage="1" showErrorMessage="1" sqref="C78">
      <formula1>"Duration (years)"</formula1>
    </dataValidation>
    <dataValidation type="list" allowBlank="1" showInputMessage="1" showErrorMessage="1" sqref="C79">
      <formula1>"Duration (years)"</formula1>
    </dataValidation>
    <dataValidation type="list" allowBlank="1" showInputMessage="1" showErrorMessage="1" sqref="C82">
      <formula1>"N.A."</formula1>
    </dataValidation>
    <dataValidation type="list" allowBlank="1" showInputMessage="1" showErrorMessage="1" sqref="C83">
      <formula1>"N.A."</formula1>
    </dataValidation>
    <dataValidation type="list" allowBlank="1" showInputMessage="1" showErrorMessage="1" sqref="C84">
      <formula1>"N.A."</formula1>
    </dataValidation>
    <dataValidation type="list" allowBlank="1" showInputMessage="1" showErrorMessage="1" sqref="C85">
      <formula1>"N.A."</formula1>
    </dataValidation>
    <dataValidation type="list" allowBlank="1" showInputMessage="1" showErrorMessage="1" sqref="C86">
      <formula1>"N.A."</formula1>
    </dataValidation>
    <dataValidation type="list" allowBlank="1" showInputMessage="1" showErrorMessage="1" sqref="C87">
      <formula1>"N.A."</formula1>
    </dataValidation>
    <dataValidation type="list" allowBlank="1" showInputMessage="1" showErrorMessage="1" sqref="C88">
      <formula1>"N.A."</formula1>
    </dataValidation>
    <dataValidation type="list" allowBlank="1" showInputMessage="1" showErrorMessage="1" sqref="C89">
      <formula1>"N.A."</formula1>
    </dataValidation>
    <dataValidation type="list" allowBlank="1" showInputMessage="1" showErrorMessage="1" sqref="C90">
      <formula1>"N.A."</formula1>
    </dataValidation>
    <dataValidation type="list" allowBlank="1" showInputMessage="1" showErrorMessage="1" sqref="C91">
      <formula1>"N.A."</formula1>
    </dataValidation>
    <dataValidation type="list" allowBlank="1" showInputMessage="1" showErrorMessage="1" sqref="C92">
      <formula1>"N.A."</formula1>
    </dataValidation>
    <dataValidation type="list" allowBlank="1" showInputMessage="1" showErrorMessage="1" sqref="C93">
      <formula1>"N.A."</formula1>
    </dataValidation>
    <dataValidation type="list" allowBlank="1" showInputMessage="1" showErrorMessage="1" sqref="C94">
      <formula1>"N.A."</formula1>
    </dataValidation>
    <dataValidation type="list" allowBlank="1" showInputMessage="1" showErrorMessage="1" sqref="C95">
      <formula1>"N.A."</formula1>
    </dataValidation>
    <dataValidation type="list" allowBlank="1" showInputMessage="1" showErrorMessage="1" sqref="C98">
      <formula1>"N.A."</formula1>
    </dataValidation>
    <dataValidation type="list" allowBlank="1" showInputMessage="1" showErrorMessage="1" sqref="C99">
      <formula1>"N.A."</formula1>
    </dataValidation>
    <dataValidation type="list" allowBlank="1" showInputMessage="1" showErrorMessage="1" sqref="C100">
      <formula1>"N.A."</formula1>
    </dataValidation>
    <dataValidation type="list" allowBlank="1" showInputMessage="1" showErrorMessage="1" sqref="C101">
      <formula1>"N.A."</formula1>
    </dataValidation>
    <dataValidation type="list" allowBlank="1" showInputMessage="1" showErrorMessage="1" sqref="C102">
      <formula1>"N.A."</formula1>
    </dataValidation>
    <dataValidation type="list" allowBlank="1" showInputMessage="1" showErrorMessage="1" sqref="C103">
      <formula1>"N.A."</formula1>
    </dataValidation>
    <dataValidation type="list" allowBlank="1" showInputMessage="1" showErrorMessage="1" sqref="C104">
      <formula1>"N.A."</formula1>
    </dataValidation>
    <dataValidation type="list" allowBlank="1" showInputMessage="1" showErrorMessage="1" sqref="C105">
      <formula1>"N.A."</formula1>
    </dataValidation>
    <dataValidation type="list" allowBlank="1" showInputMessage="1" showErrorMessage="1" sqref="C106">
      <formula1>"N.A."</formula1>
    </dataValidation>
    <dataValidation type="list" allowBlank="1" showInputMessage="1" showErrorMessage="1" sqref="C107">
      <formula1>"N.A."</formula1>
    </dataValidation>
    <dataValidation type="list" allowBlank="1" showInputMessage="1" showErrorMessage="1" sqref="C108">
      <formula1>"N.A."</formula1>
    </dataValidation>
    <dataValidation type="list" allowBlank="1" showInputMessage="1" showErrorMessage="1" sqref="C109">
      <formula1>"N.A."</formula1>
    </dataValidation>
    <dataValidation type="list" allowBlank="1" showInputMessage="1" showErrorMessage="1" sqref="C110">
      <formula1>"N.A."</formula1>
    </dataValidation>
    <dataValidation type="list" allowBlank="1" showInputMessage="1" showErrorMessage="1" sqref="C111">
      <formula1>"N.A."</formula1>
    </dataValidation>
  </dataValidation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sheetPr>
    <tabColor rgb="FF808080"/>
  </sheetPr>
  <dimension ref="A1:BG433"/>
  <sheetViews>
    <sheetView workbookViewId="0"/>
  </sheetViews>
  <sheetFormatPr defaultRowHeight="15"/>
  <cols>
    <col min="1" max="1" width="25.85546875" customWidth="1"/>
    <col min="2" max="2" width="35.85546875" customWidth="1"/>
    <col min="3" max="3" width="25.85546875" customWidth="1"/>
    <col min="4" max="4" width="30.28515625" customWidth="1"/>
    <col min="5" max="6" width="13.85546875" customWidth="1"/>
    <col min="7" max="7" width="16" customWidth="1"/>
    <col min="8" max="8" width="13.85546875" customWidth="1"/>
    <col min="9" max="9" width="16" customWidth="1"/>
    <col min="10" max="10" width="11.5703125" customWidth="1"/>
    <col min="11" max="11" width="13.85546875" customWidth="1"/>
    <col min="12" max="12" width="18.28515625" customWidth="1"/>
    <col min="13" max="13" width="20.42578125" customWidth="1"/>
    <col min="14" max="14" width="23.7109375" customWidth="1"/>
    <col min="15" max="15" width="25.85546875" customWidth="1"/>
    <col min="16" max="59" width="9.42578125" customWidth="1"/>
  </cols>
  <sheetData>
    <row r="1" spans="1:15">
      <c r="A1" s="1" t="s">
        <v>0</v>
      </c>
      <c r="B1" s="1" t="s">
        <v>1</v>
      </c>
      <c r="C1" s="1" t="s">
        <v>226</v>
      </c>
      <c r="D1" s="1" t="s">
        <v>227</v>
      </c>
    </row>
    <row r="2" spans="1:15">
      <c r="A2" t="s">
        <v>224</v>
      </c>
      <c r="B2" t="s">
        <v>225</v>
      </c>
      <c r="C2" t="s">
        <v>5</v>
      </c>
      <c r="D2" t="s">
        <v>5</v>
      </c>
    </row>
    <row r="4" spans="1:15">
      <c r="B4" s="1" t="str">
        <f>'Population Definitions'!$A$2</f>
        <v>PWID_males</v>
      </c>
      <c r="C4" s="1" t="str">
        <f>'Population Definitions'!$A$3</f>
        <v>PWID_females</v>
      </c>
      <c r="D4" s="1" t="str">
        <f>'Population Definitions'!$A$4</f>
        <v>0-9_males</v>
      </c>
      <c r="E4" s="1" t="str">
        <f>'Population Definitions'!$A$5</f>
        <v>0-9_females</v>
      </c>
      <c r="F4" s="1" t="str">
        <f>'Population Definitions'!$A$6</f>
        <v>10-17_males</v>
      </c>
      <c r="G4" s="1" t="str">
        <f>'Population Definitions'!$A$7</f>
        <v>10-17_females</v>
      </c>
      <c r="H4" s="1" t="str">
        <f>'Population Definitions'!$A$8</f>
        <v>18-64_males</v>
      </c>
      <c r="I4" s="1" t="str">
        <f>'Population Definitions'!$A$9</f>
        <v>18-64_females</v>
      </c>
      <c r="J4" s="1" t="str">
        <f>'Population Definitions'!$A$10</f>
        <v>65+_males</v>
      </c>
      <c r="K4" s="1" t="str">
        <f>'Population Definitions'!$A$11</f>
        <v>65+_females</v>
      </c>
      <c r="L4" s="1" t="str">
        <f>'Population Definitions'!$A$12</f>
        <v>Prisoners_males</v>
      </c>
      <c r="M4" s="1" t="str">
        <f>'Population Definitions'!$A$13</f>
        <v>Prisoners_females</v>
      </c>
      <c r="N4" s="1" t="str">
        <f>'Population Definitions'!$A$14</f>
        <v>Prisoners_PWID_males</v>
      </c>
      <c r="O4" s="1" t="str">
        <f>'Population Definitions'!$A$15</f>
        <v>Prisoners_PWID_females</v>
      </c>
    </row>
    <row r="5" spans="1:15">
      <c r="A5" s="1" t="str">
        <f>'Population Definitions'!$A$2</f>
        <v>PWID_males</v>
      </c>
      <c r="B5" s="5" t="s">
        <v>228</v>
      </c>
      <c r="C5" s="5" t="s">
        <v>228</v>
      </c>
      <c r="D5" s="5" t="s">
        <v>229</v>
      </c>
      <c r="E5" s="5" t="s">
        <v>229</v>
      </c>
      <c r="F5" s="5" t="s">
        <v>229</v>
      </c>
      <c r="G5" s="5" t="s">
        <v>229</v>
      </c>
      <c r="H5" s="5" t="s">
        <v>229</v>
      </c>
      <c r="I5" s="5" t="s">
        <v>229</v>
      </c>
      <c r="J5" s="5" t="s">
        <v>229</v>
      </c>
      <c r="K5" s="5" t="s">
        <v>229</v>
      </c>
      <c r="L5" s="5" t="s">
        <v>229</v>
      </c>
      <c r="M5" s="5" t="s">
        <v>229</v>
      </c>
      <c r="N5" s="5" t="s">
        <v>229</v>
      </c>
      <c r="O5" s="5" t="s">
        <v>229</v>
      </c>
    </row>
    <row r="6" spans="1:15">
      <c r="A6" s="1" t="str">
        <f>'Population Definitions'!$A$3</f>
        <v>PWID_females</v>
      </c>
      <c r="B6" s="5" t="s">
        <v>228</v>
      </c>
      <c r="C6" s="5" t="s">
        <v>228</v>
      </c>
      <c r="D6" s="5" t="s">
        <v>229</v>
      </c>
      <c r="E6" s="5" t="s">
        <v>229</v>
      </c>
      <c r="F6" s="5" t="s">
        <v>229</v>
      </c>
      <c r="G6" s="5" t="s">
        <v>229</v>
      </c>
      <c r="H6" s="5" t="s">
        <v>229</v>
      </c>
      <c r="I6" s="5" t="s">
        <v>229</v>
      </c>
      <c r="J6" s="5" t="s">
        <v>229</v>
      </c>
      <c r="K6" s="5" t="s">
        <v>229</v>
      </c>
      <c r="L6" s="5" t="s">
        <v>229</v>
      </c>
      <c r="M6" s="5" t="s">
        <v>229</v>
      </c>
      <c r="N6" s="5" t="s">
        <v>229</v>
      </c>
      <c r="O6" s="5" t="s">
        <v>229</v>
      </c>
    </row>
    <row r="7" spans="1:15">
      <c r="A7" s="1" t="str">
        <f>'Population Definitions'!$A$4</f>
        <v>0-9_males</v>
      </c>
      <c r="B7" s="5" t="s">
        <v>229</v>
      </c>
      <c r="C7" s="5" t="s">
        <v>229</v>
      </c>
      <c r="D7" s="5" t="s">
        <v>229</v>
      </c>
      <c r="E7" s="5" t="s">
        <v>229</v>
      </c>
      <c r="F7" s="5" t="s">
        <v>229</v>
      </c>
      <c r="G7" s="5" t="s">
        <v>229</v>
      </c>
      <c r="H7" s="5" t="s">
        <v>229</v>
      </c>
      <c r="I7" s="5" t="s">
        <v>229</v>
      </c>
      <c r="J7" s="5" t="s">
        <v>229</v>
      </c>
      <c r="K7" s="5" t="s">
        <v>229</v>
      </c>
      <c r="L7" s="5" t="s">
        <v>229</v>
      </c>
      <c r="M7" s="5" t="s">
        <v>229</v>
      </c>
      <c r="N7" s="5" t="s">
        <v>229</v>
      </c>
      <c r="O7" s="5" t="s">
        <v>229</v>
      </c>
    </row>
    <row r="8" spans="1:15">
      <c r="A8" s="1" t="str">
        <f>'Population Definitions'!$A$5</f>
        <v>0-9_females</v>
      </c>
      <c r="B8" s="5" t="s">
        <v>229</v>
      </c>
      <c r="C8" s="5" t="s">
        <v>229</v>
      </c>
      <c r="D8" s="5" t="s">
        <v>229</v>
      </c>
      <c r="E8" s="5" t="s">
        <v>229</v>
      </c>
      <c r="F8" s="5" t="s">
        <v>229</v>
      </c>
      <c r="G8" s="5" t="s">
        <v>229</v>
      </c>
      <c r="H8" s="5" t="s">
        <v>229</v>
      </c>
      <c r="I8" s="5" t="s">
        <v>229</v>
      </c>
      <c r="J8" s="5" t="s">
        <v>229</v>
      </c>
      <c r="K8" s="5" t="s">
        <v>229</v>
      </c>
      <c r="L8" s="5" t="s">
        <v>229</v>
      </c>
      <c r="M8" s="5" t="s">
        <v>229</v>
      </c>
      <c r="N8" s="5" t="s">
        <v>229</v>
      </c>
      <c r="O8" s="5" t="s">
        <v>229</v>
      </c>
    </row>
    <row r="9" spans="1:15">
      <c r="A9" s="1" t="str">
        <f>'Population Definitions'!$A$6</f>
        <v>10-17_males</v>
      </c>
      <c r="B9" s="5" t="s">
        <v>229</v>
      </c>
      <c r="C9" s="5" t="s">
        <v>229</v>
      </c>
      <c r="D9" s="5" t="s">
        <v>229</v>
      </c>
      <c r="E9" s="5" t="s">
        <v>229</v>
      </c>
      <c r="F9" s="5" t="s">
        <v>229</v>
      </c>
      <c r="G9" s="5" t="s">
        <v>229</v>
      </c>
      <c r="H9" s="5" t="s">
        <v>229</v>
      </c>
      <c r="I9" s="5" t="s">
        <v>229</v>
      </c>
      <c r="J9" s="5" t="s">
        <v>229</v>
      </c>
      <c r="K9" s="5" t="s">
        <v>229</v>
      </c>
      <c r="L9" s="5" t="s">
        <v>229</v>
      </c>
      <c r="M9" s="5" t="s">
        <v>229</v>
      </c>
      <c r="N9" s="5" t="s">
        <v>229</v>
      </c>
      <c r="O9" s="5" t="s">
        <v>229</v>
      </c>
    </row>
    <row r="10" spans="1:15">
      <c r="A10" s="1" t="str">
        <f>'Population Definitions'!$A$7</f>
        <v>10-17_females</v>
      </c>
      <c r="B10" s="5" t="s">
        <v>229</v>
      </c>
      <c r="C10" s="5" t="s">
        <v>229</v>
      </c>
      <c r="D10" s="5" t="s">
        <v>229</v>
      </c>
      <c r="E10" s="5" t="s">
        <v>229</v>
      </c>
      <c r="F10" s="5" t="s">
        <v>229</v>
      </c>
      <c r="G10" s="5" t="s">
        <v>229</v>
      </c>
      <c r="H10" s="5" t="s">
        <v>229</v>
      </c>
      <c r="I10" s="5" t="s">
        <v>229</v>
      </c>
      <c r="J10" s="5" t="s">
        <v>229</v>
      </c>
      <c r="K10" s="5" t="s">
        <v>229</v>
      </c>
      <c r="L10" s="5" t="s">
        <v>229</v>
      </c>
      <c r="M10" s="5" t="s">
        <v>229</v>
      </c>
      <c r="N10" s="5" t="s">
        <v>229</v>
      </c>
      <c r="O10" s="5" t="s">
        <v>229</v>
      </c>
    </row>
    <row r="11" spans="1:15">
      <c r="A11" s="1" t="str">
        <f>'Population Definitions'!$A$8</f>
        <v>18-64_males</v>
      </c>
      <c r="B11" s="5" t="s">
        <v>229</v>
      </c>
      <c r="C11" s="5" t="s">
        <v>229</v>
      </c>
      <c r="D11" s="5" t="s">
        <v>229</v>
      </c>
      <c r="E11" s="5" t="s">
        <v>229</v>
      </c>
      <c r="F11" s="5" t="s">
        <v>229</v>
      </c>
      <c r="G11" s="5" t="s">
        <v>229</v>
      </c>
      <c r="H11" s="5" t="s">
        <v>229</v>
      </c>
      <c r="I11" s="5" t="s">
        <v>229</v>
      </c>
      <c r="J11" s="5" t="s">
        <v>229</v>
      </c>
      <c r="K11" s="5" t="s">
        <v>229</v>
      </c>
      <c r="L11" s="5" t="s">
        <v>229</v>
      </c>
      <c r="M11" s="5" t="s">
        <v>229</v>
      </c>
      <c r="N11" s="5" t="s">
        <v>229</v>
      </c>
      <c r="O11" s="5" t="s">
        <v>229</v>
      </c>
    </row>
    <row r="12" spans="1:15">
      <c r="A12" s="1" t="str">
        <f>'Population Definitions'!$A$9</f>
        <v>18-64_females</v>
      </c>
      <c r="B12" s="5" t="s">
        <v>229</v>
      </c>
      <c r="C12" s="5" t="s">
        <v>229</v>
      </c>
      <c r="D12" s="5" t="s">
        <v>229</v>
      </c>
      <c r="E12" s="5" t="s">
        <v>229</v>
      </c>
      <c r="F12" s="5" t="s">
        <v>229</v>
      </c>
      <c r="G12" s="5" t="s">
        <v>229</v>
      </c>
      <c r="H12" s="5" t="s">
        <v>229</v>
      </c>
      <c r="I12" s="5" t="s">
        <v>229</v>
      </c>
      <c r="J12" s="5" t="s">
        <v>229</v>
      </c>
      <c r="K12" s="5" t="s">
        <v>229</v>
      </c>
      <c r="L12" s="5" t="s">
        <v>229</v>
      </c>
      <c r="M12" s="5" t="s">
        <v>229</v>
      </c>
      <c r="N12" s="5" t="s">
        <v>229</v>
      </c>
      <c r="O12" s="5" t="s">
        <v>229</v>
      </c>
    </row>
    <row r="13" spans="1:15">
      <c r="A13" s="1" t="str">
        <f>'Population Definitions'!$A$10</f>
        <v>65+_males</v>
      </c>
      <c r="B13" s="5" t="s">
        <v>229</v>
      </c>
      <c r="C13" s="5" t="s">
        <v>229</v>
      </c>
      <c r="D13" s="5" t="s">
        <v>229</v>
      </c>
      <c r="E13" s="5" t="s">
        <v>229</v>
      </c>
      <c r="F13" s="5" t="s">
        <v>229</v>
      </c>
      <c r="G13" s="5" t="s">
        <v>229</v>
      </c>
      <c r="H13" s="5" t="s">
        <v>229</v>
      </c>
      <c r="I13" s="5" t="s">
        <v>229</v>
      </c>
      <c r="J13" s="5" t="s">
        <v>229</v>
      </c>
      <c r="K13" s="5" t="s">
        <v>229</v>
      </c>
      <c r="L13" s="5" t="s">
        <v>229</v>
      </c>
      <c r="M13" s="5" t="s">
        <v>229</v>
      </c>
      <c r="N13" s="5" t="s">
        <v>229</v>
      </c>
      <c r="O13" s="5" t="s">
        <v>229</v>
      </c>
    </row>
    <row r="14" spans="1:15">
      <c r="A14" s="1" t="str">
        <f>'Population Definitions'!$A$11</f>
        <v>65+_females</v>
      </c>
      <c r="B14" s="5" t="s">
        <v>229</v>
      </c>
      <c r="C14" s="5" t="s">
        <v>229</v>
      </c>
      <c r="D14" s="5" t="s">
        <v>229</v>
      </c>
      <c r="E14" s="5" t="s">
        <v>229</v>
      </c>
      <c r="F14" s="5" t="s">
        <v>229</v>
      </c>
      <c r="G14" s="5" t="s">
        <v>229</v>
      </c>
      <c r="H14" s="5" t="s">
        <v>229</v>
      </c>
      <c r="I14" s="5" t="s">
        <v>229</v>
      </c>
      <c r="J14" s="5" t="s">
        <v>229</v>
      </c>
      <c r="K14" s="5" t="s">
        <v>229</v>
      </c>
      <c r="L14" s="5" t="s">
        <v>229</v>
      </c>
      <c r="M14" s="5" t="s">
        <v>229</v>
      </c>
      <c r="N14" s="5" t="s">
        <v>229</v>
      </c>
      <c r="O14" s="5" t="s">
        <v>229</v>
      </c>
    </row>
    <row r="15" spans="1:15">
      <c r="A15" s="1" t="str">
        <f>'Population Definitions'!$A$12</f>
        <v>Prisoners_males</v>
      </c>
      <c r="B15" s="5" t="s">
        <v>229</v>
      </c>
      <c r="C15" s="5" t="s">
        <v>229</v>
      </c>
      <c r="D15" s="5" t="s">
        <v>229</v>
      </c>
      <c r="E15" s="5" t="s">
        <v>229</v>
      </c>
      <c r="F15" s="5" t="s">
        <v>229</v>
      </c>
      <c r="G15" s="5" t="s">
        <v>229</v>
      </c>
      <c r="H15" s="5" t="s">
        <v>229</v>
      </c>
      <c r="I15" s="5" t="s">
        <v>229</v>
      </c>
      <c r="J15" s="5" t="s">
        <v>229</v>
      </c>
      <c r="K15" s="5" t="s">
        <v>229</v>
      </c>
      <c r="L15" s="5" t="s">
        <v>229</v>
      </c>
      <c r="M15" s="5" t="s">
        <v>229</v>
      </c>
      <c r="N15" s="5" t="s">
        <v>229</v>
      </c>
      <c r="O15" s="5" t="s">
        <v>229</v>
      </c>
    </row>
    <row r="16" spans="1:15">
      <c r="A16" s="1" t="str">
        <f>'Population Definitions'!$A$13</f>
        <v>Prisoners_females</v>
      </c>
      <c r="B16" s="5" t="s">
        <v>229</v>
      </c>
      <c r="C16" s="5" t="s">
        <v>229</v>
      </c>
      <c r="D16" s="5" t="s">
        <v>229</v>
      </c>
      <c r="E16" s="5" t="s">
        <v>229</v>
      </c>
      <c r="F16" s="5" t="s">
        <v>229</v>
      </c>
      <c r="G16" s="5" t="s">
        <v>229</v>
      </c>
      <c r="H16" s="5" t="s">
        <v>229</v>
      </c>
      <c r="I16" s="5" t="s">
        <v>229</v>
      </c>
      <c r="J16" s="5" t="s">
        <v>229</v>
      </c>
      <c r="K16" s="5" t="s">
        <v>229</v>
      </c>
      <c r="L16" s="5" t="s">
        <v>229</v>
      </c>
      <c r="M16" s="5" t="s">
        <v>229</v>
      </c>
      <c r="N16" s="5" t="s">
        <v>229</v>
      </c>
      <c r="O16" s="5" t="s">
        <v>229</v>
      </c>
    </row>
    <row r="17" spans="1:59">
      <c r="A17" s="1" t="str">
        <f>'Population Definitions'!$A$14</f>
        <v>Prisoners_PWID_males</v>
      </c>
      <c r="B17" s="5" t="s">
        <v>229</v>
      </c>
      <c r="C17" s="5" t="s">
        <v>229</v>
      </c>
      <c r="D17" s="5" t="s">
        <v>229</v>
      </c>
      <c r="E17" s="5" t="s">
        <v>229</v>
      </c>
      <c r="F17" s="5" t="s">
        <v>229</v>
      </c>
      <c r="G17" s="5" t="s">
        <v>229</v>
      </c>
      <c r="H17" s="5" t="s">
        <v>229</v>
      </c>
      <c r="I17" s="5" t="s">
        <v>229</v>
      </c>
      <c r="J17" s="5" t="s">
        <v>229</v>
      </c>
      <c r="K17" s="5" t="s">
        <v>229</v>
      </c>
      <c r="L17" s="5" t="s">
        <v>229</v>
      </c>
      <c r="M17" s="5" t="s">
        <v>229</v>
      </c>
      <c r="N17" s="5" t="s">
        <v>228</v>
      </c>
      <c r="O17" s="5" t="s">
        <v>229</v>
      </c>
    </row>
    <row r="18" spans="1:59">
      <c r="A18" s="1" t="str">
        <f>'Population Definitions'!$A$15</f>
        <v>Prisoners_PWID_females</v>
      </c>
      <c r="B18" s="5" t="s">
        <v>229</v>
      </c>
      <c r="C18" s="5" t="s">
        <v>229</v>
      </c>
      <c r="D18" s="5" t="s">
        <v>229</v>
      </c>
      <c r="E18" s="5" t="s">
        <v>229</v>
      </c>
      <c r="F18" s="5" t="s">
        <v>229</v>
      </c>
      <c r="G18" s="5" t="s">
        <v>229</v>
      </c>
      <c r="H18" s="5" t="s">
        <v>229</v>
      </c>
      <c r="I18" s="5" t="s">
        <v>229</v>
      </c>
      <c r="J18" s="5" t="s">
        <v>229</v>
      </c>
      <c r="K18" s="5" t="s">
        <v>229</v>
      </c>
      <c r="L18" s="5" t="s">
        <v>229</v>
      </c>
      <c r="M18" s="5" t="s">
        <v>229</v>
      </c>
      <c r="N18" s="5" t="s">
        <v>229</v>
      </c>
      <c r="O18" s="5" t="s">
        <v>228</v>
      </c>
    </row>
    <row r="20" spans="1:59">
      <c r="A20" s="1" t="s">
        <v>230</v>
      </c>
      <c r="B20" s="1"/>
      <c r="C20" s="1" t="s">
        <v>231</v>
      </c>
      <c r="D20" s="1" t="s">
        <v>31</v>
      </c>
      <c r="E20" s="1" t="s">
        <v>32</v>
      </c>
      <c r="F20" s="1" t="s">
        <v>33</v>
      </c>
      <c r="G20" s="1" t="s">
        <v>38</v>
      </c>
      <c r="H20" s="1"/>
      <c r="I20" s="1">
        <v>2000</v>
      </c>
      <c r="J20" s="1">
        <v>2001</v>
      </c>
      <c r="K20" s="1">
        <v>2002</v>
      </c>
      <c r="L20" s="1">
        <v>2003</v>
      </c>
      <c r="M20" s="1">
        <v>2004</v>
      </c>
      <c r="N20" s="1">
        <v>2005</v>
      </c>
      <c r="O20" s="1">
        <v>2006</v>
      </c>
      <c r="P20" s="1">
        <v>2007</v>
      </c>
      <c r="Q20" s="1">
        <v>2008</v>
      </c>
      <c r="R20" s="1">
        <v>2009</v>
      </c>
      <c r="S20" s="1">
        <v>2010</v>
      </c>
      <c r="T20" s="1">
        <v>2011</v>
      </c>
      <c r="U20" s="1">
        <v>2012</v>
      </c>
      <c r="V20" s="1">
        <v>2013</v>
      </c>
      <c r="W20" s="1">
        <v>2014</v>
      </c>
      <c r="X20" s="1">
        <v>2015</v>
      </c>
      <c r="Y20" s="1">
        <v>2016</v>
      </c>
      <c r="Z20" s="1">
        <v>2017</v>
      </c>
      <c r="AA20" s="1">
        <v>2018</v>
      </c>
      <c r="AB20" s="1">
        <v>2019</v>
      </c>
      <c r="AC20" s="1">
        <v>2020</v>
      </c>
      <c r="AD20" s="1">
        <v>2021</v>
      </c>
      <c r="AE20" s="1">
        <v>2022</v>
      </c>
      <c r="AF20" s="1">
        <v>2023</v>
      </c>
      <c r="AG20" s="1">
        <v>2024</v>
      </c>
      <c r="AH20" s="1">
        <v>2025</v>
      </c>
      <c r="AI20" s="1">
        <v>2026</v>
      </c>
      <c r="AJ20" s="1">
        <v>2027</v>
      </c>
      <c r="AK20" s="1">
        <v>2028</v>
      </c>
      <c r="AL20" s="1">
        <v>2029</v>
      </c>
      <c r="AM20" s="1">
        <v>2030</v>
      </c>
      <c r="AN20" s="1">
        <v>2031</v>
      </c>
      <c r="AO20" s="1">
        <v>2032</v>
      </c>
      <c r="AP20" s="1">
        <v>2033</v>
      </c>
      <c r="AQ20" s="1">
        <v>2034</v>
      </c>
      <c r="AR20" s="1">
        <v>2035</v>
      </c>
      <c r="AS20" s="1">
        <v>2036</v>
      </c>
      <c r="AT20" s="1">
        <v>2037</v>
      </c>
      <c r="AU20" s="1">
        <v>2038</v>
      </c>
      <c r="AV20" s="1">
        <v>2039</v>
      </c>
      <c r="AW20" s="1">
        <v>2040</v>
      </c>
      <c r="AX20" s="1">
        <v>2041</v>
      </c>
      <c r="AY20" s="1">
        <v>2042</v>
      </c>
      <c r="AZ20" s="1">
        <v>2043</v>
      </c>
      <c r="BA20" s="1">
        <v>2044</v>
      </c>
      <c r="BB20" s="1">
        <v>2045</v>
      </c>
      <c r="BC20" s="1">
        <v>2046</v>
      </c>
      <c r="BD20" s="1">
        <v>2047</v>
      </c>
      <c r="BE20" s="1">
        <v>2048</v>
      </c>
      <c r="BF20" s="1">
        <v>2049</v>
      </c>
      <c r="BG20" s="1">
        <v>2050</v>
      </c>
    </row>
    <row r="21" spans="1:59">
      <c r="A21" s="1" t="str">
        <f>IF($B$5="Y",'Population Definitions'!$A$2,"...")</f>
        <v>PWID_males</v>
      </c>
      <c r="B21" s="4" t="str">
        <f>IF($B$5="Y","---&gt;","...")</f>
        <v>---&gt;</v>
      </c>
      <c r="C21" s="1" t="str">
        <f>IF($B$5="Y",'Population Definitions'!$A$2,"...")</f>
        <v>PWID_males</v>
      </c>
      <c r="D21" t="s">
        <v>62</v>
      </c>
      <c r="E21" s="3" t="s">
        <v>58</v>
      </c>
      <c r="F21" s="3"/>
      <c r="G21" s="3">
        <v>1</v>
      </c>
      <c r="H21" s="4" t="str">
        <f>IF($B$5="Y","OR","...")</f>
        <v>OR</v>
      </c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</row>
    <row r="22" spans="1:59">
      <c r="A22" s="1" t="str">
        <f>IF($C$5="Y",'Population Definitions'!$A$2,"...")</f>
        <v>PWID_males</v>
      </c>
      <c r="B22" s="4" t="str">
        <f>IF($C$5="Y","---&gt;","...")</f>
        <v>---&gt;</v>
      </c>
      <c r="C22" s="1" t="str">
        <f>IF($C$5="Y",'Population Definitions'!$A$3,"...")</f>
        <v>PWID_females</v>
      </c>
      <c r="D22" t="s">
        <v>62</v>
      </c>
      <c r="E22" s="3" t="s">
        <v>58</v>
      </c>
      <c r="F22" s="3"/>
      <c r="G22" s="3">
        <v>1</v>
      </c>
      <c r="H22" s="4" t="str">
        <f>IF($C$5="Y","OR","...")</f>
        <v>OR</v>
      </c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</row>
    <row r="23" spans="1:59">
      <c r="A23" s="1" t="str">
        <f>IF($D$5="Y",'Population Definitions'!$A$2,"...")</f>
        <v>...</v>
      </c>
      <c r="B23" s="4" t="str">
        <f>IF($D$5="Y","---&gt;","...")</f>
        <v>...</v>
      </c>
      <c r="C23" s="1" t="str">
        <f>IF($D$5="Y",'Population Definitions'!$A$4,"...")</f>
        <v>...</v>
      </c>
      <c r="E23" s="2"/>
      <c r="F23" s="3"/>
      <c r="G23" s="2"/>
      <c r="H23" s="4" t="str">
        <f>IF($D$5="Y","OR","...")</f>
        <v>...</v>
      </c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  <c r="BA23" s="2"/>
      <c r="BB23" s="2"/>
      <c r="BC23" s="2"/>
      <c r="BD23" s="2"/>
      <c r="BE23" s="2"/>
      <c r="BF23" s="2"/>
      <c r="BG23" s="2"/>
    </row>
    <row r="24" spans="1:59">
      <c r="A24" s="1" t="str">
        <f>IF($E$5="Y",'Population Definitions'!$A$2,"...")</f>
        <v>...</v>
      </c>
      <c r="B24" s="4" t="str">
        <f>IF($E$5="Y","---&gt;","...")</f>
        <v>...</v>
      </c>
      <c r="C24" s="1" t="str">
        <f>IF($E$5="Y",'Population Definitions'!$A$5,"...")</f>
        <v>...</v>
      </c>
      <c r="E24" s="2"/>
      <c r="F24" s="3"/>
      <c r="G24" s="2"/>
      <c r="H24" s="4" t="str">
        <f>IF($E$5="Y","OR","...")</f>
        <v>...</v>
      </c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2"/>
      <c r="AX24" s="2"/>
      <c r="AY24" s="2"/>
      <c r="AZ24" s="2"/>
      <c r="BA24" s="2"/>
      <c r="BB24" s="2"/>
      <c r="BC24" s="2"/>
      <c r="BD24" s="2"/>
      <c r="BE24" s="2"/>
      <c r="BF24" s="2"/>
      <c r="BG24" s="2"/>
    </row>
    <row r="25" spans="1:59">
      <c r="A25" s="1" t="str">
        <f>IF($F$5="Y",'Population Definitions'!$A$2,"...")</f>
        <v>...</v>
      </c>
      <c r="B25" s="4" t="str">
        <f>IF($F$5="Y","---&gt;","...")</f>
        <v>...</v>
      </c>
      <c r="C25" s="1" t="str">
        <f>IF($F$5="Y",'Population Definitions'!$A$6,"...")</f>
        <v>...</v>
      </c>
      <c r="E25" s="2"/>
      <c r="F25" s="3"/>
      <c r="G25" s="2"/>
      <c r="H25" s="4" t="str">
        <f>IF($F$5="Y","OR","...")</f>
        <v>...</v>
      </c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  <c r="BA25" s="2"/>
      <c r="BB25" s="2"/>
      <c r="BC25" s="2"/>
      <c r="BD25" s="2"/>
      <c r="BE25" s="2"/>
      <c r="BF25" s="2"/>
      <c r="BG25" s="2"/>
    </row>
    <row r="26" spans="1:59">
      <c r="A26" s="1" t="str">
        <f>IF($G$5="Y",'Population Definitions'!$A$2,"...")</f>
        <v>...</v>
      </c>
      <c r="B26" s="4" t="str">
        <f>IF($G$5="Y","---&gt;","...")</f>
        <v>...</v>
      </c>
      <c r="C26" s="1" t="str">
        <f>IF($G$5="Y",'Population Definitions'!$A$7,"...")</f>
        <v>...</v>
      </c>
      <c r="E26" s="2"/>
      <c r="F26" s="3"/>
      <c r="G26" s="2"/>
      <c r="H26" s="4" t="str">
        <f>IF($G$5="Y","OR","...")</f>
        <v>...</v>
      </c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  <c r="BA26" s="2"/>
      <c r="BB26" s="2"/>
      <c r="BC26" s="2"/>
      <c r="BD26" s="2"/>
      <c r="BE26" s="2"/>
      <c r="BF26" s="2"/>
      <c r="BG26" s="2"/>
    </row>
    <row r="27" spans="1:59">
      <c r="A27" s="1" t="str">
        <f>IF($H$5="Y",'Population Definitions'!$A$2,"...")</f>
        <v>...</v>
      </c>
      <c r="B27" s="4" t="str">
        <f>IF($H$5="Y","---&gt;","...")</f>
        <v>...</v>
      </c>
      <c r="C27" s="1" t="str">
        <f>IF($H$5="Y",'Population Definitions'!$A$8,"...")</f>
        <v>...</v>
      </c>
      <c r="E27" s="2"/>
      <c r="F27" s="3"/>
      <c r="G27" s="2"/>
      <c r="H27" s="4" t="str">
        <f>IF($H$5="Y","OR","...")</f>
        <v>...</v>
      </c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  <c r="BA27" s="2"/>
      <c r="BB27" s="2"/>
      <c r="BC27" s="2"/>
      <c r="BD27" s="2"/>
      <c r="BE27" s="2"/>
      <c r="BF27" s="2"/>
      <c r="BG27" s="2"/>
    </row>
    <row r="28" spans="1:59">
      <c r="A28" s="1" t="str">
        <f>IF($I$5="Y",'Population Definitions'!$A$2,"...")</f>
        <v>...</v>
      </c>
      <c r="B28" s="4" t="str">
        <f>IF($I$5="Y","---&gt;","...")</f>
        <v>...</v>
      </c>
      <c r="C28" s="1" t="str">
        <f>IF($I$5="Y",'Population Definitions'!$A$9,"...")</f>
        <v>...</v>
      </c>
      <c r="E28" s="2"/>
      <c r="F28" s="3"/>
      <c r="G28" s="2"/>
      <c r="H28" s="4" t="str">
        <f>IF($I$5="Y","OR","...")</f>
        <v>...</v>
      </c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2"/>
      <c r="BC28" s="2"/>
      <c r="BD28" s="2"/>
      <c r="BE28" s="2"/>
      <c r="BF28" s="2"/>
      <c r="BG28" s="2"/>
    </row>
    <row r="29" spans="1:59">
      <c r="A29" s="1" t="str">
        <f>IF($J$5="Y",'Population Definitions'!$A$2,"...")</f>
        <v>...</v>
      </c>
      <c r="B29" s="4" t="str">
        <f>IF($J$5="Y","---&gt;","...")</f>
        <v>...</v>
      </c>
      <c r="C29" s="1" t="str">
        <f>IF($J$5="Y",'Population Definitions'!$A$10,"...")</f>
        <v>...</v>
      </c>
      <c r="E29" s="2"/>
      <c r="F29" s="3"/>
      <c r="G29" s="2"/>
      <c r="H29" s="4" t="str">
        <f>IF($J$5="Y","OR","...")</f>
        <v>...</v>
      </c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  <c r="BA29" s="2"/>
      <c r="BB29" s="2"/>
      <c r="BC29" s="2"/>
      <c r="BD29" s="2"/>
      <c r="BE29" s="2"/>
      <c r="BF29" s="2"/>
      <c r="BG29" s="2"/>
    </row>
    <row r="30" spans="1:59">
      <c r="A30" s="1" t="str">
        <f>IF($K$5="Y",'Population Definitions'!$A$2,"...")</f>
        <v>...</v>
      </c>
      <c r="B30" s="4" t="str">
        <f>IF($K$5="Y","---&gt;","...")</f>
        <v>...</v>
      </c>
      <c r="C30" s="1" t="str">
        <f>IF($K$5="Y",'Population Definitions'!$A$11,"...")</f>
        <v>...</v>
      </c>
      <c r="E30" s="2"/>
      <c r="F30" s="3"/>
      <c r="G30" s="2"/>
      <c r="H30" s="4" t="str">
        <f>IF($K$5="Y","OR","...")</f>
        <v>...</v>
      </c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  <c r="BA30" s="2"/>
      <c r="BB30" s="2"/>
      <c r="BC30" s="2"/>
      <c r="BD30" s="2"/>
      <c r="BE30" s="2"/>
      <c r="BF30" s="2"/>
      <c r="BG30" s="2"/>
    </row>
    <row r="31" spans="1:59">
      <c r="A31" s="1" t="str">
        <f>IF($L$5="Y",'Population Definitions'!$A$2,"...")</f>
        <v>...</v>
      </c>
      <c r="B31" s="4" t="str">
        <f>IF($L$5="Y","---&gt;","...")</f>
        <v>...</v>
      </c>
      <c r="C31" s="1" t="str">
        <f>IF($L$5="Y",'Population Definitions'!$A$12,"...")</f>
        <v>...</v>
      </c>
      <c r="E31" s="2"/>
      <c r="F31" s="3"/>
      <c r="G31" s="2"/>
      <c r="H31" s="4" t="str">
        <f>IF($L$5="Y","OR","...")</f>
        <v>...</v>
      </c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  <c r="BE31" s="2"/>
      <c r="BF31" s="2"/>
      <c r="BG31" s="2"/>
    </row>
    <row r="32" spans="1:59">
      <c r="A32" s="1" t="str">
        <f>IF($M$5="Y",'Population Definitions'!$A$2,"...")</f>
        <v>...</v>
      </c>
      <c r="B32" s="4" t="str">
        <f>IF($M$5="Y","---&gt;","...")</f>
        <v>...</v>
      </c>
      <c r="C32" s="1" t="str">
        <f>IF($M$5="Y",'Population Definitions'!$A$13,"...")</f>
        <v>...</v>
      </c>
      <c r="E32" s="2"/>
      <c r="F32" s="3"/>
      <c r="G32" s="2"/>
      <c r="H32" s="4" t="str">
        <f>IF($M$5="Y","OR","...")</f>
        <v>...</v>
      </c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  <c r="BE32" s="2"/>
      <c r="BF32" s="2"/>
      <c r="BG32" s="2"/>
    </row>
    <row r="33" spans="1:59">
      <c r="A33" s="1" t="str">
        <f>IF($N$5="Y",'Population Definitions'!$A$2,"...")</f>
        <v>...</v>
      </c>
      <c r="B33" s="4" t="str">
        <f>IF($N$5="Y","---&gt;","...")</f>
        <v>...</v>
      </c>
      <c r="C33" s="1" t="str">
        <f>IF($N$5="Y",'Population Definitions'!$A$14,"...")</f>
        <v>...</v>
      </c>
      <c r="E33" s="2"/>
      <c r="F33" s="3"/>
      <c r="G33" s="2"/>
      <c r="H33" s="4" t="str">
        <f>IF($N$5="Y","OR","...")</f>
        <v>...</v>
      </c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2"/>
      <c r="BC33" s="2"/>
      <c r="BD33" s="2"/>
      <c r="BE33" s="2"/>
      <c r="BF33" s="2"/>
      <c r="BG33" s="2"/>
    </row>
    <row r="34" spans="1:59">
      <c r="A34" s="1" t="str">
        <f>IF($O$5="Y",'Population Definitions'!$A$2,"...")</f>
        <v>...</v>
      </c>
      <c r="B34" s="4" t="str">
        <f>IF($O$5="Y","---&gt;","...")</f>
        <v>...</v>
      </c>
      <c r="C34" s="1" t="str">
        <f>IF($O$5="Y",'Population Definitions'!$A$15,"...")</f>
        <v>...</v>
      </c>
      <c r="E34" s="2"/>
      <c r="F34" s="3"/>
      <c r="G34" s="2"/>
      <c r="H34" s="4" t="str">
        <f>IF($O$5="Y","OR","...")</f>
        <v>...</v>
      </c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  <c r="BE34" s="2"/>
      <c r="BF34" s="2"/>
      <c r="BG34" s="2"/>
    </row>
    <row r="35" spans="1:59">
      <c r="A35" s="1" t="str">
        <f>IF($B$6="Y",'Population Definitions'!$A$3,"...")</f>
        <v>PWID_females</v>
      </c>
      <c r="B35" s="4" t="str">
        <f>IF($B$6="Y","---&gt;","...")</f>
        <v>---&gt;</v>
      </c>
      <c r="C35" s="1" t="str">
        <f>IF($B$6="Y",'Population Definitions'!$A$2,"...")</f>
        <v>PWID_males</v>
      </c>
      <c r="D35" t="s">
        <v>62</v>
      </c>
      <c r="E35" s="3" t="s">
        <v>58</v>
      </c>
      <c r="F35" s="3"/>
      <c r="G35" s="3">
        <v>1</v>
      </c>
      <c r="H35" s="4" t="str">
        <f>IF($B$6="Y","OR","...")</f>
        <v>OR</v>
      </c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</row>
    <row r="36" spans="1:59">
      <c r="A36" s="1" t="str">
        <f>IF($C$6="Y",'Population Definitions'!$A$3,"...")</f>
        <v>PWID_females</v>
      </c>
      <c r="B36" s="4" t="str">
        <f>IF($C$6="Y","---&gt;","...")</f>
        <v>---&gt;</v>
      </c>
      <c r="C36" s="1" t="str">
        <f>IF($C$6="Y",'Population Definitions'!$A$3,"...")</f>
        <v>PWID_females</v>
      </c>
      <c r="D36" t="s">
        <v>62</v>
      </c>
      <c r="E36" s="3" t="s">
        <v>58</v>
      </c>
      <c r="F36" s="3"/>
      <c r="G36" s="3">
        <v>1</v>
      </c>
      <c r="H36" s="4" t="str">
        <f>IF($C$6="Y","OR","...")</f>
        <v>OR</v>
      </c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</row>
    <row r="37" spans="1:59">
      <c r="A37" s="1" t="str">
        <f>IF($D$6="Y",'Population Definitions'!$A$3,"...")</f>
        <v>...</v>
      </c>
      <c r="B37" s="4" t="str">
        <f>IF($D$6="Y","---&gt;","...")</f>
        <v>...</v>
      </c>
      <c r="C37" s="1" t="str">
        <f>IF($D$6="Y",'Population Definitions'!$A$4,"...")</f>
        <v>...</v>
      </c>
      <c r="E37" s="2"/>
      <c r="F37" s="3"/>
      <c r="G37" s="2"/>
      <c r="H37" s="4" t="str">
        <f>IF($D$6="Y","OR","...")</f>
        <v>...</v>
      </c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  <c r="BE37" s="2"/>
      <c r="BF37" s="2"/>
      <c r="BG37" s="2"/>
    </row>
    <row r="38" spans="1:59">
      <c r="A38" s="1" t="str">
        <f>IF($E$6="Y",'Population Definitions'!$A$3,"...")</f>
        <v>...</v>
      </c>
      <c r="B38" s="4" t="str">
        <f>IF($E$6="Y","---&gt;","...")</f>
        <v>...</v>
      </c>
      <c r="C38" s="1" t="str">
        <f>IF($E$6="Y",'Population Definitions'!$A$5,"...")</f>
        <v>...</v>
      </c>
      <c r="E38" s="2"/>
      <c r="F38" s="3"/>
      <c r="G38" s="2"/>
      <c r="H38" s="4" t="str">
        <f>IF($E$6="Y","OR","...")</f>
        <v>...</v>
      </c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  <c r="BE38" s="2"/>
      <c r="BF38" s="2"/>
      <c r="BG38" s="2"/>
    </row>
    <row r="39" spans="1:59">
      <c r="A39" s="1" t="str">
        <f>IF($F$6="Y",'Population Definitions'!$A$3,"...")</f>
        <v>...</v>
      </c>
      <c r="B39" s="4" t="str">
        <f>IF($F$6="Y","---&gt;","...")</f>
        <v>...</v>
      </c>
      <c r="C39" s="1" t="str">
        <f>IF($F$6="Y",'Population Definitions'!$A$6,"...")</f>
        <v>...</v>
      </c>
      <c r="E39" s="2"/>
      <c r="F39" s="3"/>
      <c r="G39" s="2"/>
      <c r="H39" s="4" t="str">
        <f>IF($F$6="Y","OR","...")</f>
        <v>...</v>
      </c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  <c r="BE39" s="2"/>
      <c r="BF39" s="2"/>
      <c r="BG39" s="2"/>
    </row>
    <row r="40" spans="1:59">
      <c r="A40" s="1" t="str">
        <f>IF($G$6="Y",'Population Definitions'!$A$3,"...")</f>
        <v>...</v>
      </c>
      <c r="B40" s="4" t="str">
        <f>IF($G$6="Y","---&gt;","...")</f>
        <v>...</v>
      </c>
      <c r="C40" s="1" t="str">
        <f>IF($G$6="Y",'Population Definitions'!$A$7,"...")</f>
        <v>...</v>
      </c>
      <c r="E40" s="2"/>
      <c r="F40" s="3"/>
      <c r="G40" s="2"/>
      <c r="H40" s="4" t="str">
        <f>IF($G$6="Y","OR","...")</f>
        <v>...</v>
      </c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  <c r="BE40" s="2"/>
      <c r="BF40" s="2"/>
      <c r="BG40" s="2"/>
    </row>
    <row r="41" spans="1:59">
      <c r="A41" s="1" t="str">
        <f>IF($H$6="Y",'Population Definitions'!$A$3,"...")</f>
        <v>...</v>
      </c>
      <c r="B41" s="4" t="str">
        <f>IF($H$6="Y","---&gt;","...")</f>
        <v>...</v>
      </c>
      <c r="C41" s="1" t="str">
        <f>IF($H$6="Y",'Population Definitions'!$A$8,"...")</f>
        <v>...</v>
      </c>
      <c r="E41" s="2"/>
      <c r="F41" s="3"/>
      <c r="G41" s="2"/>
      <c r="H41" s="4" t="str">
        <f>IF($H$6="Y","OR","...")</f>
        <v>...</v>
      </c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  <c r="BE41" s="2"/>
      <c r="BF41" s="2"/>
      <c r="BG41" s="2"/>
    </row>
    <row r="42" spans="1:59">
      <c r="A42" s="1" t="str">
        <f>IF($I$6="Y",'Population Definitions'!$A$3,"...")</f>
        <v>...</v>
      </c>
      <c r="B42" s="4" t="str">
        <f>IF($I$6="Y","---&gt;","...")</f>
        <v>...</v>
      </c>
      <c r="C42" s="1" t="str">
        <f>IF($I$6="Y",'Population Definitions'!$A$9,"...")</f>
        <v>...</v>
      </c>
      <c r="E42" s="2"/>
      <c r="F42" s="3"/>
      <c r="G42" s="2"/>
      <c r="H42" s="4" t="str">
        <f>IF($I$6="Y","OR","...")</f>
        <v>...</v>
      </c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  <c r="BE42" s="2"/>
      <c r="BF42" s="2"/>
      <c r="BG42" s="2"/>
    </row>
    <row r="43" spans="1:59">
      <c r="A43" s="1" t="str">
        <f>IF($J$6="Y",'Population Definitions'!$A$3,"...")</f>
        <v>...</v>
      </c>
      <c r="B43" s="4" t="str">
        <f>IF($J$6="Y","---&gt;","...")</f>
        <v>...</v>
      </c>
      <c r="C43" s="1" t="str">
        <f>IF($J$6="Y",'Population Definitions'!$A$10,"...")</f>
        <v>...</v>
      </c>
      <c r="E43" s="2"/>
      <c r="F43" s="3"/>
      <c r="G43" s="2"/>
      <c r="H43" s="4" t="str">
        <f>IF($J$6="Y","OR","...")</f>
        <v>...</v>
      </c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  <c r="BE43" s="2"/>
      <c r="BF43" s="2"/>
      <c r="BG43" s="2"/>
    </row>
    <row r="44" spans="1:59">
      <c r="A44" s="1" t="str">
        <f>IF($K$6="Y",'Population Definitions'!$A$3,"...")</f>
        <v>...</v>
      </c>
      <c r="B44" s="4" t="str">
        <f>IF($K$6="Y","---&gt;","...")</f>
        <v>...</v>
      </c>
      <c r="C44" s="1" t="str">
        <f>IF($K$6="Y",'Population Definitions'!$A$11,"...")</f>
        <v>...</v>
      </c>
      <c r="E44" s="2"/>
      <c r="F44" s="3"/>
      <c r="G44" s="2"/>
      <c r="H44" s="4" t="str">
        <f>IF($K$6="Y","OR","...")</f>
        <v>...</v>
      </c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  <c r="BE44" s="2"/>
      <c r="BF44" s="2"/>
      <c r="BG44" s="2"/>
    </row>
    <row r="45" spans="1:59">
      <c r="A45" s="1" t="str">
        <f>IF($L$6="Y",'Population Definitions'!$A$3,"...")</f>
        <v>...</v>
      </c>
      <c r="B45" s="4" t="str">
        <f>IF($L$6="Y","---&gt;","...")</f>
        <v>...</v>
      </c>
      <c r="C45" s="1" t="str">
        <f>IF($L$6="Y",'Population Definitions'!$A$12,"...")</f>
        <v>...</v>
      </c>
      <c r="E45" s="2"/>
      <c r="F45" s="3"/>
      <c r="G45" s="2"/>
      <c r="H45" s="4" t="str">
        <f>IF($L$6="Y","OR","...")</f>
        <v>...</v>
      </c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  <c r="BE45" s="2"/>
      <c r="BF45" s="2"/>
      <c r="BG45" s="2"/>
    </row>
    <row r="46" spans="1:59">
      <c r="A46" s="1" t="str">
        <f>IF($M$6="Y",'Population Definitions'!$A$3,"...")</f>
        <v>...</v>
      </c>
      <c r="B46" s="4" t="str">
        <f>IF($M$6="Y","---&gt;","...")</f>
        <v>...</v>
      </c>
      <c r="C46" s="1" t="str">
        <f>IF($M$6="Y",'Population Definitions'!$A$13,"...")</f>
        <v>...</v>
      </c>
      <c r="E46" s="2"/>
      <c r="F46" s="3"/>
      <c r="G46" s="2"/>
      <c r="H46" s="4" t="str">
        <f>IF($M$6="Y","OR","...")</f>
        <v>...</v>
      </c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  <c r="BE46" s="2"/>
      <c r="BF46" s="2"/>
      <c r="BG46" s="2"/>
    </row>
    <row r="47" spans="1:59">
      <c r="A47" s="1" t="str">
        <f>IF($N$6="Y",'Population Definitions'!$A$3,"...")</f>
        <v>...</v>
      </c>
      <c r="B47" s="4" t="str">
        <f>IF($N$6="Y","---&gt;","...")</f>
        <v>...</v>
      </c>
      <c r="C47" s="1" t="str">
        <f>IF($N$6="Y",'Population Definitions'!$A$14,"...")</f>
        <v>...</v>
      </c>
      <c r="E47" s="2"/>
      <c r="F47" s="3"/>
      <c r="G47" s="2"/>
      <c r="H47" s="4" t="str">
        <f>IF($N$6="Y","OR","...")</f>
        <v>...</v>
      </c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  <c r="BE47" s="2"/>
      <c r="BF47" s="2"/>
      <c r="BG47" s="2"/>
    </row>
    <row r="48" spans="1:59">
      <c r="A48" s="1" t="str">
        <f>IF($O$6="Y",'Population Definitions'!$A$3,"...")</f>
        <v>...</v>
      </c>
      <c r="B48" s="4" t="str">
        <f>IF($O$6="Y","---&gt;","...")</f>
        <v>...</v>
      </c>
      <c r="C48" s="1" t="str">
        <f>IF($O$6="Y",'Population Definitions'!$A$15,"...")</f>
        <v>...</v>
      </c>
      <c r="E48" s="2"/>
      <c r="F48" s="3"/>
      <c r="G48" s="2"/>
      <c r="H48" s="4" t="str">
        <f>IF($O$6="Y","OR","...")</f>
        <v>...</v>
      </c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  <c r="BE48" s="2"/>
      <c r="BF48" s="2"/>
      <c r="BG48" s="2"/>
    </row>
    <row r="49" spans="1:59">
      <c r="A49" s="1" t="str">
        <f>IF($B$7="Y",'Population Definitions'!$A$4,"...")</f>
        <v>...</v>
      </c>
      <c r="B49" s="4" t="str">
        <f>IF($B$7="Y","---&gt;","...")</f>
        <v>...</v>
      </c>
      <c r="C49" s="1" t="str">
        <f>IF($B$7="Y",'Population Definitions'!$A$2,"...")</f>
        <v>...</v>
      </c>
      <c r="E49" s="2"/>
      <c r="F49" s="3"/>
      <c r="G49" s="2"/>
      <c r="H49" s="4" t="str">
        <f>IF($B$7="Y","OR","...")</f>
        <v>...</v>
      </c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  <c r="BE49" s="2"/>
      <c r="BF49" s="2"/>
      <c r="BG49" s="2"/>
    </row>
    <row r="50" spans="1:59">
      <c r="A50" s="1" t="str">
        <f>IF($C$7="Y",'Population Definitions'!$A$4,"...")</f>
        <v>...</v>
      </c>
      <c r="B50" s="4" t="str">
        <f>IF($C$7="Y","---&gt;","...")</f>
        <v>...</v>
      </c>
      <c r="C50" s="1" t="str">
        <f>IF($C$7="Y",'Population Definitions'!$A$3,"...")</f>
        <v>...</v>
      </c>
      <c r="E50" s="2"/>
      <c r="F50" s="3"/>
      <c r="G50" s="2"/>
      <c r="H50" s="4" t="str">
        <f>IF($C$7="Y","OR","...")</f>
        <v>...</v>
      </c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  <c r="BE50" s="2"/>
      <c r="BF50" s="2"/>
      <c r="BG50" s="2"/>
    </row>
    <row r="51" spans="1:59">
      <c r="A51" s="1" t="str">
        <f>IF($D$7="Y",'Population Definitions'!$A$4,"...")</f>
        <v>...</v>
      </c>
      <c r="B51" s="4" t="str">
        <f>IF($D$7="Y","---&gt;","...")</f>
        <v>...</v>
      </c>
      <c r="C51" s="1" t="str">
        <f>IF($D$7="Y",'Population Definitions'!$A$4,"...")</f>
        <v>...</v>
      </c>
      <c r="E51" s="2"/>
      <c r="F51" s="3"/>
      <c r="G51" s="2"/>
      <c r="H51" s="4" t="str">
        <f>IF($D$7="Y","OR","...")</f>
        <v>...</v>
      </c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  <c r="BE51" s="2"/>
      <c r="BF51" s="2"/>
      <c r="BG51" s="2"/>
    </row>
    <row r="52" spans="1:59">
      <c r="A52" s="1" t="str">
        <f>IF($E$7="Y",'Population Definitions'!$A$4,"...")</f>
        <v>...</v>
      </c>
      <c r="B52" s="4" t="str">
        <f>IF($E$7="Y","---&gt;","...")</f>
        <v>...</v>
      </c>
      <c r="C52" s="1" t="str">
        <f>IF($E$7="Y",'Population Definitions'!$A$5,"...")</f>
        <v>...</v>
      </c>
      <c r="E52" s="2"/>
      <c r="F52" s="3"/>
      <c r="G52" s="2"/>
      <c r="H52" s="4" t="str">
        <f>IF($E$7="Y","OR","...")</f>
        <v>...</v>
      </c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  <c r="BE52" s="2"/>
      <c r="BF52" s="2"/>
      <c r="BG52" s="2"/>
    </row>
    <row r="53" spans="1:59">
      <c r="A53" s="1" t="str">
        <f>IF($F$7="Y",'Population Definitions'!$A$4,"...")</f>
        <v>...</v>
      </c>
      <c r="B53" s="4" t="str">
        <f>IF($F$7="Y","---&gt;","...")</f>
        <v>...</v>
      </c>
      <c r="C53" s="1" t="str">
        <f>IF($F$7="Y",'Population Definitions'!$A$6,"...")</f>
        <v>...</v>
      </c>
      <c r="E53" s="2"/>
      <c r="F53" s="3"/>
      <c r="G53" s="2"/>
      <c r="H53" s="4" t="str">
        <f>IF($F$7="Y","OR","...")</f>
        <v>...</v>
      </c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  <c r="BE53" s="2"/>
      <c r="BF53" s="2"/>
      <c r="BG53" s="2"/>
    </row>
    <row r="54" spans="1:59">
      <c r="A54" s="1" t="str">
        <f>IF($G$7="Y",'Population Definitions'!$A$4,"...")</f>
        <v>...</v>
      </c>
      <c r="B54" s="4" t="str">
        <f>IF($G$7="Y","---&gt;","...")</f>
        <v>...</v>
      </c>
      <c r="C54" s="1" t="str">
        <f>IF($G$7="Y",'Population Definitions'!$A$7,"...")</f>
        <v>...</v>
      </c>
      <c r="E54" s="2"/>
      <c r="F54" s="3"/>
      <c r="G54" s="2"/>
      <c r="H54" s="4" t="str">
        <f>IF($G$7="Y","OR","...")</f>
        <v>...</v>
      </c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  <c r="BE54" s="2"/>
      <c r="BF54" s="2"/>
      <c r="BG54" s="2"/>
    </row>
    <row r="55" spans="1:59">
      <c r="A55" s="1" t="str">
        <f>IF($H$7="Y",'Population Definitions'!$A$4,"...")</f>
        <v>...</v>
      </c>
      <c r="B55" s="4" t="str">
        <f>IF($H$7="Y","---&gt;","...")</f>
        <v>...</v>
      </c>
      <c r="C55" s="1" t="str">
        <f>IF($H$7="Y",'Population Definitions'!$A$8,"...")</f>
        <v>...</v>
      </c>
      <c r="E55" s="2"/>
      <c r="F55" s="3"/>
      <c r="G55" s="2"/>
      <c r="H55" s="4" t="str">
        <f>IF($H$7="Y","OR","...")</f>
        <v>...</v>
      </c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  <c r="BE55" s="2"/>
      <c r="BF55" s="2"/>
      <c r="BG55" s="2"/>
    </row>
    <row r="56" spans="1:59">
      <c r="A56" s="1" t="str">
        <f>IF($I$7="Y",'Population Definitions'!$A$4,"...")</f>
        <v>...</v>
      </c>
      <c r="B56" s="4" t="str">
        <f>IF($I$7="Y","---&gt;","...")</f>
        <v>...</v>
      </c>
      <c r="C56" s="1" t="str">
        <f>IF($I$7="Y",'Population Definitions'!$A$9,"...")</f>
        <v>...</v>
      </c>
      <c r="E56" s="2"/>
      <c r="F56" s="3"/>
      <c r="G56" s="2"/>
      <c r="H56" s="4" t="str">
        <f>IF($I$7="Y","OR","...")</f>
        <v>...</v>
      </c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  <c r="BE56" s="2"/>
      <c r="BF56" s="2"/>
      <c r="BG56" s="2"/>
    </row>
    <row r="57" spans="1:59">
      <c r="A57" s="1" t="str">
        <f>IF($J$7="Y",'Population Definitions'!$A$4,"...")</f>
        <v>...</v>
      </c>
      <c r="B57" s="4" t="str">
        <f>IF($J$7="Y","---&gt;","...")</f>
        <v>...</v>
      </c>
      <c r="C57" s="1" t="str">
        <f>IF($J$7="Y",'Population Definitions'!$A$10,"...")</f>
        <v>...</v>
      </c>
      <c r="E57" s="2"/>
      <c r="F57" s="3"/>
      <c r="G57" s="2"/>
      <c r="H57" s="4" t="str">
        <f>IF($J$7="Y","OR","...")</f>
        <v>...</v>
      </c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  <c r="BE57" s="2"/>
      <c r="BF57" s="2"/>
      <c r="BG57" s="2"/>
    </row>
    <row r="58" spans="1:59">
      <c r="A58" s="1" t="str">
        <f>IF($K$7="Y",'Population Definitions'!$A$4,"...")</f>
        <v>...</v>
      </c>
      <c r="B58" s="4" t="str">
        <f>IF($K$7="Y","---&gt;","...")</f>
        <v>...</v>
      </c>
      <c r="C58" s="1" t="str">
        <f>IF($K$7="Y",'Population Definitions'!$A$11,"...")</f>
        <v>...</v>
      </c>
      <c r="E58" s="2"/>
      <c r="F58" s="3"/>
      <c r="G58" s="2"/>
      <c r="H58" s="4" t="str">
        <f>IF($K$7="Y","OR","...")</f>
        <v>...</v>
      </c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/>
      <c r="BE58" s="2"/>
      <c r="BF58" s="2"/>
      <c r="BG58" s="2"/>
    </row>
    <row r="59" spans="1:59">
      <c r="A59" s="1" t="str">
        <f>IF($L$7="Y",'Population Definitions'!$A$4,"...")</f>
        <v>...</v>
      </c>
      <c r="B59" s="4" t="str">
        <f>IF($L$7="Y","---&gt;","...")</f>
        <v>...</v>
      </c>
      <c r="C59" s="1" t="str">
        <f>IF($L$7="Y",'Population Definitions'!$A$12,"...")</f>
        <v>...</v>
      </c>
      <c r="E59" s="2"/>
      <c r="F59" s="3"/>
      <c r="G59" s="2"/>
      <c r="H59" s="4" t="str">
        <f>IF($L$7="Y","OR","...")</f>
        <v>...</v>
      </c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  <c r="BE59" s="2"/>
      <c r="BF59" s="2"/>
      <c r="BG59" s="2"/>
    </row>
    <row r="60" spans="1:59">
      <c r="A60" s="1" t="str">
        <f>IF($M$7="Y",'Population Definitions'!$A$4,"...")</f>
        <v>...</v>
      </c>
      <c r="B60" s="4" t="str">
        <f>IF($M$7="Y","---&gt;","...")</f>
        <v>...</v>
      </c>
      <c r="C60" s="1" t="str">
        <f>IF($M$7="Y",'Population Definitions'!$A$13,"...")</f>
        <v>...</v>
      </c>
      <c r="E60" s="2"/>
      <c r="F60" s="3"/>
      <c r="G60" s="2"/>
      <c r="H60" s="4" t="str">
        <f>IF($M$7="Y","OR","...")</f>
        <v>...</v>
      </c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  <c r="BE60" s="2"/>
      <c r="BF60" s="2"/>
      <c r="BG60" s="2"/>
    </row>
    <row r="61" spans="1:59">
      <c r="A61" s="1" t="str">
        <f>IF($N$7="Y",'Population Definitions'!$A$4,"...")</f>
        <v>...</v>
      </c>
      <c r="B61" s="4" t="str">
        <f>IF($N$7="Y","---&gt;","...")</f>
        <v>...</v>
      </c>
      <c r="C61" s="1" t="str">
        <f>IF($N$7="Y",'Population Definitions'!$A$14,"...")</f>
        <v>...</v>
      </c>
      <c r="E61" s="2"/>
      <c r="F61" s="3"/>
      <c r="G61" s="2"/>
      <c r="H61" s="4" t="str">
        <f>IF($N$7="Y","OR","...")</f>
        <v>...</v>
      </c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  <c r="BE61" s="2"/>
      <c r="BF61" s="2"/>
      <c r="BG61" s="2"/>
    </row>
    <row r="62" spans="1:59">
      <c r="A62" s="1" t="str">
        <f>IF($O$7="Y",'Population Definitions'!$A$4,"...")</f>
        <v>...</v>
      </c>
      <c r="B62" s="4" t="str">
        <f>IF($O$7="Y","---&gt;","...")</f>
        <v>...</v>
      </c>
      <c r="C62" s="1" t="str">
        <f>IF($O$7="Y",'Population Definitions'!$A$15,"...")</f>
        <v>...</v>
      </c>
      <c r="E62" s="2"/>
      <c r="F62" s="3"/>
      <c r="G62" s="2"/>
      <c r="H62" s="4" t="str">
        <f>IF($O$7="Y","OR","...")</f>
        <v>...</v>
      </c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  <c r="BE62" s="2"/>
      <c r="BF62" s="2"/>
      <c r="BG62" s="2"/>
    </row>
    <row r="63" spans="1:59">
      <c r="A63" s="1" t="str">
        <f>IF($B$8="Y",'Population Definitions'!$A$5,"...")</f>
        <v>...</v>
      </c>
      <c r="B63" s="4" t="str">
        <f>IF($B$8="Y","---&gt;","...")</f>
        <v>...</v>
      </c>
      <c r="C63" s="1" t="str">
        <f>IF($B$8="Y",'Population Definitions'!$A$2,"...")</f>
        <v>...</v>
      </c>
      <c r="E63" s="2"/>
      <c r="F63" s="3"/>
      <c r="G63" s="2"/>
      <c r="H63" s="4" t="str">
        <f>IF($B$8="Y","OR","...")</f>
        <v>...</v>
      </c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  <c r="BE63" s="2"/>
      <c r="BF63" s="2"/>
      <c r="BG63" s="2"/>
    </row>
    <row r="64" spans="1:59">
      <c r="A64" s="1" t="str">
        <f>IF($C$8="Y",'Population Definitions'!$A$5,"...")</f>
        <v>...</v>
      </c>
      <c r="B64" s="4" t="str">
        <f>IF($C$8="Y","---&gt;","...")</f>
        <v>...</v>
      </c>
      <c r="C64" s="1" t="str">
        <f>IF($C$8="Y",'Population Definitions'!$A$3,"...")</f>
        <v>...</v>
      </c>
      <c r="E64" s="2"/>
      <c r="F64" s="3"/>
      <c r="G64" s="2"/>
      <c r="H64" s="4" t="str">
        <f>IF($C$8="Y","OR","...")</f>
        <v>...</v>
      </c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  <c r="BE64" s="2"/>
      <c r="BF64" s="2"/>
      <c r="BG64" s="2"/>
    </row>
    <row r="65" spans="1:59">
      <c r="A65" s="1" t="str">
        <f>IF($D$8="Y",'Population Definitions'!$A$5,"...")</f>
        <v>...</v>
      </c>
      <c r="B65" s="4" t="str">
        <f>IF($D$8="Y","---&gt;","...")</f>
        <v>...</v>
      </c>
      <c r="C65" s="1" t="str">
        <f>IF($D$8="Y",'Population Definitions'!$A$4,"...")</f>
        <v>...</v>
      </c>
      <c r="E65" s="2"/>
      <c r="F65" s="3"/>
      <c r="G65" s="2"/>
      <c r="H65" s="4" t="str">
        <f>IF($D$8="Y","OR","...")</f>
        <v>...</v>
      </c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  <c r="BE65" s="2"/>
      <c r="BF65" s="2"/>
      <c r="BG65" s="2"/>
    </row>
    <row r="66" spans="1:59">
      <c r="A66" s="1" t="str">
        <f>IF($E$8="Y",'Population Definitions'!$A$5,"...")</f>
        <v>...</v>
      </c>
      <c r="B66" s="4" t="str">
        <f>IF($E$8="Y","---&gt;","...")</f>
        <v>...</v>
      </c>
      <c r="C66" s="1" t="str">
        <f>IF($E$8="Y",'Population Definitions'!$A$5,"...")</f>
        <v>...</v>
      </c>
      <c r="E66" s="2"/>
      <c r="F66" s="3"/>
      <c r="G66" s="2"/>
      <c r="H66" s="4" t="str">
        <f>IF($E$8="Y","OR","...")</f>
        <v>...</v>
      </c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  <c r="BE66" s="2"/>
      <c r="BF66" s="2"/>
      <c r="BG66" s="2"/>
    </row>
    <row r="67" spans="1:59">
      <c r="A67" s="1" t="str">
        <f>IF($F$8="Y",'Population Definitions'!$A$5,"...")</f>
        <v>...</v>
      </c>
      <c r="B67" s="4" t="str">
        <f>IF($F$8="Y","---&gt;","...")</f>
        <v>...</v>
      </c>
      <c r="C67" s="1" t="str">
        <f>IF($F$8="Y",'Population Definitions'!$A$6,"...")</f>
        <v>...</v>
      </c>
      <c r="E67" s="2"/>
      <c r="F67" s="3"/>
      <c r="G67" s="2"/>
      <c r="H67" s="4" t="str">
        <f>IF($F$8="Y","OR","...")</f>
        <v>...</v>
      </c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  <c r="BE67" s="2"/>
      <c r="BF67" s="2"/>
      <c r="BG67" s="2"/>
    </row>
    <row r="68" spans="1:59">
      <c r="A68" s="1" t="str">
        <f>IF($G$8="Y",'Population Definitions'!$A$5,"...")</f>
        <v>...</v>
      </c>
      <c r="B68" s="4" t="str">
        <f>IF($G$8="Y","---&gt;","...")</f>
        <v>...</v>
      </c>
      <c r="C68" s="1" t="str">
        <f>IF($G$8="Y",'Population Definitions'!$A$7,"...")</f>
        <v>...</v>
      </c>
      <c r="E68" s="2"/>
      <c r="F68" s="3"/>
      <c r="G68" s="2"/>
      <c r="H68" s="4" t="str">
        <f>IF($G$8="Y","OR","...")</f>
        <v>...</v>
      </c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  <c r="BE68" s="2"/>
      <c r="BF68" s="2"/>
      <c r="BG68" s="2"/>
    </row>
    <row r="69" spans="1:59">
      <c r="A69" s="1" t="str">
        <f>IF($H$8="Y",'Population Definitions'!$A$5,"...")</f>
        <v>...</v>
      </c>
      <c r="B69" s="4" t="str">
        <f>IF($H$8="Y","---&gt;","...")</f>
        <v>...</v>
      </c>
      <c r="C69" s="1" t="str">
        <f>IF($H$8="Y",'Population Definitions'!$A$8,"...")</f>
        <v>...</v>
      </c>
      <c r="E69" s="2"/>
      <c r="F69" s="3"/>
      <c r="G69" s="2"/>
      <c r="H69" s="4" t="str">
        <f>IF($H$8="Y","OR","...")</f>
        <v>...</v>
      </c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  <c r="BE69" s="2"/>
      <c r="BF69" s="2"/>
      <c r="BG69" s="2"/>
    </row>
    <row r="70" spans="1:59">
      <c r="A70" s="1" t="str">
        <f>IF($I$8="Y",'Population Definitions'!$A$5,"...")</f>
        <v>...</v>
      </c>
      <c r="B70" s="4" t="str">
        <f>IF($I$8="Y","---&gt;","...")</f>
        <v>...</v>
      </c>
      <c r="C70" s="1" t="str">
        <f>IF($I$8="Y",'Population Definitions'!$A$9,"...")</f>
        <v>...</v>
      </c>
      <c r="E70" s="2"/>
      <c r="F70" s="3"/>
      <c r="G70" s="2"/>
      <c r="H70" s="4" t="str">
        <f>IF($I$8="Y","OR","...")</f>
        <v>...</v>
      </c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  <c r="BE70" s="2"/>
      <c r="BF70" s="2"/>
      <c r="BG70" s="2"/>
    </row>
    <row r="71" spans="1:59">
      <c r="A71" s="1" t="str">
        <f>IF($J$8="Y",'Population Definitions'!$A$5,"...")</f>
        <v>...</v>
      </c>
      <c r="B71" s="4" t="str">
        <f>IF($J$8="Y","---&gt;","...")</f>
        <v>...</v>
      </c>
      <c r="C71" s="1" t="str">
        <f>IF($J$8="Y",'Population Definitions'!$A$10,"...")</f>
        <v>...</v>
      </c>
      <c r="E71" s="2"/>
      <c r="F71" s="3"/>
      <c r="G71" s="2"/>
      <c r="H71" s="4" t="str">
        <f>IF($J$8="Y","OR","...")</f>
        <v>...</v>
      </c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  <c r="BE71" s="2"/>
      <c r="BF71" s="2"/>
      <c r="BG71" s="2"/>
    </row>
    <row r="72" spans="1:59">
      <c r="A72" s="1" t="str">
        <f>IF($K$8="Y",'Population Definitions'!$A$5,"...")</f>
        <v>...</v>
      </c>
      <c r="B72" s="4" t="str">
        <f>IF($K$8="Y","---&gt;","...")</f>
        <v>...</v>
      </c>
      <c r="C72" s="1" t="str">
        <f>IF($K$8="Y",'Population Definitions'!$A$11,"...")</f>
        <v>...</v>
      </c>
      <c r="E72" s="2"/>
      <c r="F72" s="3"/>
      <c r="G72" s="2"/>
      <c r="H72" s="4" t="str">
        <f>IF($K$8="Y","OR","...")</f>
        <v>...</v>
      </c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  <c r="BE72" s="2"/>
      <c r="BF72" s="2"/>
      <c r="BG72" s="2"/>
    </row>
    <row r="73" spans="1:59">
      <c r="A73" s="1" t="str">
        <f>IF($L$8="Y",'Population Definitions'!$A$5,"...")</f>
        <v>...</v>
      </c>
      <c r="B73" s="4" t="str">
        <f>IF($L$8="Y","---&gt;","...")</f>
        <v>...</v>
      </c>
      <c r="C73" s="1" t="str">
        <f>IF($L$8="Y",'Population Definitions'!$A$12,"...")</f>
        <v>...</v>
      </c>
      <c r="E73" s="2"/>
      <c r="F73" s="3"/>
      <c r="G73" s="2"/>
      <c r="H73" s="4" t="str">
        <f>IF($L$8="Y","OR","...")</f>
        <v>...</v>
      </c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  <c r="BE73" s="2"/>
      <c r="BF73" s="2"/>
      <c r="BG73" s="2"/>
    </row>
    <row r="74" spans="1:59">
      <c r="A74" s="1" t="str">
        <f>IF($M$8="Y",'Population Definitions'!$A$5,"...")</f>
        <v>...</v>
      </c>
      <c r="B74" s="4" t="str">
        <f>IF($M$8="Y","---&gt;","...")</f>
        <v>...</v>
      </c>
      <c r="C74" s="1" t="str">
        <f>IF($M$8="Y",'Population Definitions'!$A$13,"...")</f>
        <v>...</v>
      </c>
      <c r="E74" s="2"/>
      <c r="F74" s="3"/>
      <c r="G74" s="2"/>
      <c r="H74" s="4" t="str">
        <f>IF($M$8="Y","OR","...")</f>
        <v>...</v>
      </c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  <c r="BE74" s="2"/>
      <c r="BF74" s="2"/>
      <c r="BG74" s="2"/>
    </row>
    <row r="75" spans="1:59">
      <c r="A75" s="1" t="str">
        <f>IF($N$8="Y",'Population Definitions'!$A$5,"...")</f>
        <v>...</v>
      </c>
      <c r="B75" s="4" t="str">
        <f>IF($N$8="Y","---&gt;","...")</f>
        <v>...</v>
      </c>
      <c r="C75" s="1" t="str">
        <f>IF($N$8="Y",'Population Definitions'!$A$14,"...")</f>
        <v>...</v>
      </c>
      <c r="E75" s="2"/>
      <c r="F75" s="3"/>
      <c r="G75" s="2"/>
      <c r="H75" s="4" t="str">
        <f>IF($N$8="Y","OR","...")</f>
        <v>...</v>
      </c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  <c r="BE75" s="2"/>
      <c r="BF75" s="2"/>
      <c r="BG75" s="2"/>
    </row>
    <row r="76" spans="1:59">
      <c r="A76" s="1" t="str">
        <f>IF($O$8="Y",'Population Definitions'!$A$5,"...")</f>
        <v>...</v>
      </c>
      <c r="B76" s="4" t="str">
        <f>IF($O$8="Y","---&gt;","...")</f>
        <v>...</v>
      </c>
      <c r="C76" s="1" t="str">
        <f>IF($O$8="Y",'Population Definitions'!$A$15,"...")</f>
        <v>...</v>
      </c>
      <c r="E76" s="2"/>
      <c r="F76" s="3"/>
      <c r="G76" s="2"/>
      <c r="H76" s="4" t="str">
        <f>IF($O$8="Y","OR","...")</f>
        <v>...</v>
      </c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  <c r="BE76" s="2"/>
      <c r="BF76" s="2"/>
      <c r="BG76" s="2"/>
    </row>
    <row r="77" spans="1:59">
      <c r="A77" s="1" t="str">
        <f>IF($B$9="Y",'Population Definitions'!$A$6,"...")</f>
        <v>...</v>
      </c>
      <c r="B77" s="4" t="str">
        <f>IF($B$9="Y","---&gt;","...")</f>
        <v>...</v>
      </c>
      <c r="C77" s="1" t="str">
        <f>IF($B$9="Y",'Population Definitions'!$A$2,"...")</f>
        <v>...</v>
      </c>
      <c r="E77" s="2"/>
      <c r="F77" s="3"/>
      <c r="G77" s="2"/>
      <c r="H77" s="4" t="str">
        <f>IF($B$9="Y","OR","...")</f>
        <v>...</v>
      </c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  <c r="BE77" s="2"/>
      <c r="BF77" s="2"/>
      <c r="BG77" s="2"/>
    </row>
    <row r="78" spans="1:59">
      <c r="A78" s="1" t="str">
        <f>IF($C$9="Y",'Population Definitions'!$A$6,"...")</f>
        <v>...</v>
      </c>
      <c r="B78" s="4" t="str">
        <f>IF($C$9="Y","---&gt;","...")</f>
        <v>...</v>
      </c>
      <c r="C78" s="1" t="str">
        <f>IF($C$9="Y",'Population Definitions'!$A$3,"...")</f>
        <v>...</v>
      </c>
      <c r="E78" s="2"/>
      <c r="F78" s="3"/>
      <c r="G78" s="2"/>
      <c r="H78" s="4" t="str">
        <f>IF($C$9="Y","OR","...")</f>
        <v>...</v>
      </c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  <c r="BE78" s="2"/>
      <c r="BF78" s="2"/>
      <c r="BG78" s="2"/>
    </row>
    <row r="79" spans="1:59">
      <c r="A79" s="1" t="str">
        <f>IF($D$9="Y",'Population Definitions'!$A$6,"...")</f>
        <v>...</v>
      </c>
      <c r="B79" s="4" t="str">
        <f>IF($D$9="Y","---&gt;","...")</f>
        <v>...</v>
      </c>
      <c r="C79" s="1" t="str">
        <f>IF($D$9="Y",'Population Definitions'!$A$4,"...")</f>
        <v>...</v>
      </c>
      <c r="E79" s="2"/>
      <c r="F79" s="3"/>
      <c r="G79" s="2"/>
      <c r="H79" s="4" t="str">
        <f>IF($D$9="Y","OR","...")</f>
        <v>...</v>
      </c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  <c r="BE79" s="2"/>
      <c r="BF79" s="2"/>
      <c r="BG79" s="2"/>
    </row>
    <row r="80" spans="1:59">
      <c r="A80" s="1" t="str">
        <f>IF($E$9="Y",'Population Definitions'!$A$6,"...")</f>
        <v>...</v>
      </c>
      <c r="B80" s="4" t="str">
        <f>IF($E$9="Y","---&gt;","...")</f>
        <v>...</v>
      </c>
      <c r="C80" s="1" t="str">
        <f>IF($E$9="Y",'Population Definitions'!$A$5,"...")</f>
        <v>...</v>
      </c>
      <c r="E80" s="2"/>
      <c r="F80" s="3"/>
      <c r="G80" s="2"/>
      <c r="H80" s="4" t="str">
        <f>IF($E$9="Y","OR","...")</f>
        <v>...</v>
      </c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  <c r="BE80" s="2"/>
      <c r="BF80" s="2"/>
      <c r="BG80" s="2"/>
    </row>
    <row r="81" spans="1:59">
      <c r="A81" s="1" t="str">
        <f>IF($F$9="Y",'Population Definitions'!$A$6,"...")</f>
        <v>...</v>
      </c>
      <c r="B81" s="4" t="str">
        <f>IF($F$9="Y","---&gt;","...")</f>
        <v>...</v>
      </c>
      <c r="C81" s="1" t="str">
        <f>IF($F$9="Y",'Population Definitions'!$A$6,"...")</f>
        <v>...</v>
      </c>
      <c r="E81" s="2"/>
      <c r="F81" s="3"/>
      <c r="G81" s="2"/>
      <c r="H81" s="4" t="str">
        <f>IF($F$9="Y","OR","...")</f>
        <v>...</v>
      </c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  <c r="BE81" s="2"/>
      <c r="BF81" s="2"/>
      <c r="BG81" s="2"/>
    </row>
    <row r="82" spans="1:59">
      <c r="A82" s="1" t="str">
        <f>IF($G$9="Y",'Population Definitions'!$A$6,"...")</f>
        <v>...</v>
      </c>
      <c r="B82" s="4" t="str">
        <f>IF($G$9="Y","---&gt;","...")</f>
        <v>...</v>
      </c>
      <c r="C82" s="1" t="str">
        <f>IF($G$9="Y",'Population Definitions'!$A$7,"...")</f>
        <v>...</v>
      </c>
      <c r="E82" s="2"/>
      <c r="F82" s="3"/>
      <c r="G82" s="2"/>
      <c r="H82" s="4" t="str">
        <f>IF($G$9="Y","OR","...")</f>
        <v>...</v>
      </c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  <c r="BE82" s="2"/>
      <c r="BF82" s="2"/>
      <c r="BG82" s="2"/>
    </row>
    <row r="83" spans="1:59">
      <c r="A83" s="1" t="str">
        <f>IF($H$9="Y",'Population Definitions'!$A$6,"...")</f>
        <v>...</v>
      </c>
      <c r="B83" s="4" t="str">
        <f>IF($H$9="Y","---&gt;","...")</f>
        <v>...</v>
      </c>
      <c r="C83" s="1" t="str">
        <f>IF($H$9="Y",'Population Definitions'!$A$8,"...")</f>
        <v>...</v>
      </c>
      <c r="E83" s="2"/>
      <c r="F83" s="3"/>
      <c r="G83" s="2"/>
      <c r="H83" s="4" t="str">
        <f>IF($H$9="Y","OR","...")</f>
        <v>...</v>
      </c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2"/>
      <c r="BC83" s="2"/>
      <c r="BD83" s="2"/>
      <c r="BE83" s="2"/>
      <c r="BF83" s="2"/>
      <c r="BG83" s="2"/>
    </row>
    <row r="84" spans="1:59">
      <c r="A84" s="1" t="str">
        <f>IF($I$9="Y",'Population Definitions'!$A$6,"...")</f>
        <v>...</v>
      </c>
      <c r="B84" s="4" t="str">
        <f>IF($I$9="Y","---&gt;","...")</f>
        <v>...</v>
      </c>
      <c r="C84" s="1" t="str">
        <f>IF($I$9="Y",'Population Definitions'!$A$9,"...")</f>
        <v>...</v>
      </c>
      <c r="E84" s="2"/>
      <c r="F84" s="3"/>
      <c r="G84" s="2"/>
      <c r="H84" s="4" t="str">
        <f>IF($I$9="Y","OR","...")</f>
        <v>...</v>
      </c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  <c r="BE84" s="2"/>
      <c r="BF84" s="2"/>
      <c r="BG84" s="2"/>
    </row>
    <row r="85" spans="1:59">
      <c r="A85" s="1" t="str">
        <f>IF($J$9="Y",'Population Definitions'!$A$6,"...")</f>
        <v>...</v>
      </c>
      <c r="B85" s="4" t="str">
        <f>IF($J$9="Y","---&gt;","...")</f>
        <v>...</v>
      </c>
      <c r="C85" s="1" t="str">
        <f>IF($J$9="Y",'Population Definitions'!$A$10,"...")</f>
        <v>...</v>
      </c>
      <c r="E85" s="2"/>
      <c r="F85" s="3"/>
      <c r="G85" s="2"/>
      <c r="H85" s="4" t="str">
        <f>IF($J$9="Y","OR","...")</f>
        <v>...</v>
      </c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  <c r="BE85" s="2"/>
      <c r="BF85" s="2"/>
      <c r="BG85" s="2"/>
    </row>
    <row r="86" spans="1:59">
      <c r="A86" s="1" t="str">
        <f>IF($K$9="Y",'Population Definitions'!$A$6,"...")</f>
        <v>...</v>
      </c>
      <c r="B86" s="4" t="str">
        <f>IF($K$9="Y","---&gt;","...")</f>
        <v>...</v>
      </c>
      <c r="C86" s="1" t="str">
        <f>IF($K$9="Y",'Population Definitions'!$A$11,"...")</f>
        <v>...</v>
      </c>
      <c r="E86" s="2"/>
      <c r="F86" s="3"/>
      <c r="G86" s="2"/>
      <c r="H86" s="4" t="str">
        <f>IF($K$9="Y","OR","...")</f>
        <v>...</v>
      </c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  <c r="BE86" s="2"/>
      <c r="BF86" s="2"/>
      <c r="BG86" s="2"/>
    </row>
    <row r="87" spans="1:59">
      <c r="A87" s="1" t="str">
        <f>IF($L$9="Y",'Population Definitions'!$A$6,"...")</f>
        <v>...</v>
      </c>
      <c r="B87" s="4" t="str">
        <f>IF($L$9="Y","---&gt;","...")</f>
        <v>...</v>
      </c>
      <c r="C87" s="1" t="str">
        <f>IF($L$9="Y",'Population Definitions'!$A$12,"...")</f>
        <v>...</v>
      </c>
      <c r="E87" s="2"/>
      <c r="F87" s="3"/>
      <c r="G87" s="2"/>
      <c r="H87" s="4" t="str">
        <f>IF($L$9="Y","OR","...")</f>
        <v>...</v>
      </c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  <c r="BE87" s="2"/>
      <c r="BF87" s="2"/>
      <c r="BG87" s="2"/>
    </row>
    <row r="88" spans="1:59">
      <c r="A88" s="1" t="str">
        <f>IF($M$9="Y",'Population Definitions'!$A$6,"...")</f>
        <v>...</v>
      </c>
      <c r="B88" s="4" t="str">
        <f>IF($M$9="Y","---&gt;","...")</f>
        <v>...</v>
      </c>
      <c r="C88" s="1" t="str">
        <f>IF($M$9="Y",'Population Definitions'!$A$13,"...")</f>
        <v>...</v>
      </c>
      <c r="E88" s="2"/>
      <c r="F88" s="3"/>
      <c r="G88" s="2"/>
      <c r="H88" s="4" t="str">
        <f>IF($M$9="Y","OR","...")</f>
        <v>...</v>
      </c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  <c r="BE88" s="2"/>
      <c r="BF88" s="2"/>
      <c r="BG88" s="2"/>
    </row>
    <row r="89" spans="1:59">
      <c r="A89" s="1" t="str">
        <f>IF($N$9="Y",'Population Definitions'!$A$6,"...")</f>
        <v>...</v>
      </c>
      <c r="B89" s="4" t="str">
        <f>IF($N$9="Y","---&gt;","...")</f>
        <v>...</v>
      </c>
      <c r="C89" s="1" t="str">
        <f>IF($N$9="Y",'Population Definitions'!$A$14,"...")</f>
        <v>...</v>
      </c>
      <c r="E89" s="2"/>
      <c r="F89" s="3"/>
      <c r="G89" s="2"/>
      <c r="H89" s="4" t="str">
        <f>IF($N$9="Y","OR","...")</f>
        <v>...</v>
      </c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  <c r="BE89" s="2"/>
      <c r="BF89" s="2"/>
      <c r="BG89" s="2"/>
    </row>
    <row r="90" spans="1:59">
      <c r="A90" s="1" t="str">
        <f>IF($O$9="Y",'Population Definitions'!$A$6,"...")</f>
        <v>...</v>
      </c>
      <c r="B90" s="4" t="str">
        <f>IF($O$9="Y","---&gt;","...")</f>
        <v>...</v>
      </c>
      <c r="C90" s="1" t="str">
        <f>IF($O$9="Y",'Population Definitions'!$A$15,"...")</f>
        <v>...</v>
      </c>
      <c r="E90" s="2"/>
      <c r="F90" s="3"/>
      <c r="G90" s="2"/>
      <c r="H90" s="4" t="str">
        <f>IF($O$9="Y","OR","...")</f>
        <v>...</v>
      </c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  <c r="BE90" s="2"/>
      <c r="BF90" s="2"/>
      <c r="BG90" s="2"/>
    </row>
    <row r="91" spans="1:59">
      <c r="A91" s="1" t="str">
        <f>IF($B$10="Y",'Population Definitions'!$A$7,"...")</f>
        <v>...</v>
      </c>
      <c r="B91" s="4" t="str">
        <f>IF($B$10="Y","---&gt;","...")</f>
        <v>...</v>
      </c>
      <c r="C91" s="1" t="str">
        <f>IF($B$10="Y",'Population Definitions'!$A$2,"...")</f>
        <v>...</v>
      </c>
      <c r="E91" s="2"/>
      <c r="F91" s="3"/>
      <c r="G91" s="2"/>
      <c r="H91" s="4" t="str">
        <f>IF($B$10="Y","OR","...")</f>
        <v>...</v>
      </c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  <c r="BE91" s="2"/>
      <c r="BF91" s="2"/>
      <c r="BG91" s="2"/>
    </row>
    <row r="92" spans="1:59">
      <c r="A92" s="1" t="str">
        <f>IF($C$10="Y",'Population Definitions'!$A$7,"...")</f>
        <v>...</v>
      </c>
      <c r="B92" s="4" t="str">
        <f>IF($C$10="Y","---&gt;","...")</f>
        <v>...</v>
      </c>
      <c r="C92" s="1" t="str">
        <f>IF($C$10="Y",'Population Definitions'!$A$3,"...")</f>
        <v>...</v>
      </c>
      <c r="E92" s="2"/>
      <c r="F92" s="3"/>
      <c r="G92" s="2"/>
      <c r="H92" s="4" t="str">
        <f>IF($C$10="Y","OR","...")</f>
        <v>...</v>
      </c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  <c r="BE92" s="2"/>
      <c r="BF92" s="2"/>
      <c r="BG92" s="2"/>
    </row>
    <row r="93" spans="1:59">
      <c r="A93" s="1" t="str">
        <f>IF($D$10="Y",'Population Definitions'!$A$7,"...")</f>
        <v>...</v>
      </c>
      <c r="B93" s="4" t="str">
        <f>IF($D$10="Y","---&gt;","...")</f>
        <v>...</v>
      </c>
      <c r="C93" s="1" t="str">
        <f>IF($D$10="Y",'Population Definitions'!$A$4,"...")</f>
        <v>...</v>
      </c>
      <c r="E93" s="2"/>
      <c r="F93" s="3"/>
      <c r="G93" s="2"/>
      <c r="H93" s="4" t="str">
        <f>IF($D$10="Y","OR","...")</f>
        <v>...</v>
      </c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  <c r="BE93" s="2"/>
      <c r="BF93" s="2"/>
      <c r="BG93" s="2"/>
    </row>
    <row r="94" spans="1:59">
      <c r="A94" s="1" t="str">
        <f>IF($E$10="Y",'Population Definitions'!$A$7,"...")</f>
        <v>...</v>
      </c>
      <c r="B94" s="4" t="str">
        <f>IF($E$10="Y","---&gt;","...")</f>
        <v>...</v>
      </c>
      <c r="C94" s="1" t="str">
        <f>IF($E$10="Y",'Population Definitions'!$A$5,"...")</f>
        <v>...</v>
      </c>
      <c r="E94" s="2"/>
      <c r="F94" s="3"/>
      <c r="G94" s="2"/>
      <c r="H94" s="4" t="str">
        <f>IF($E$10="Y","OR","...")</f>
        <v>...</v>
      </c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  <c r="BE94" s="2"/>
      <c r="BF94" s="2"/>
      <c r="BG94" s="2"/>
    </row>
    <row r="95" spans="1:59">
      <c r="A95" s="1" t="str">
        <f>IF($F$10="Y",'Population Definitions'!$A$7,"...")</f>
        <v>...</v>
      </c>
      <c r="B95" s="4" t="str">
        <f>IF($F$10="Y","---&gt;","...")</f>
        <v>...</v>
      </c>
      <c r="C95" s="1" t="str">
        <f>IF($F$10="Y",'Population Definitions'!$A$6,"...")</f>
        <v>...</v>
      </c>
      <c r="E95" s="2"/>
      <c r="F95" s="3"/>
      <c r="G95" s="2"/>
      <c r="H95" s="4" t="str">
        <f>IF($F$10="Y","OR","...")</f>
        <v>...</v>
      </c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  <c r="BE95" s="2"/>
      <c r="BF95" s="2"/>
      <c r="BG95" s="2"/>
    </row>
    <row r="96" spans="1:59">
      <c r="A96" s="1" t="str">
        <f>IF($G$10="Y",'Population Definitions'!$A$7,"...")</f>
        <v>...</v>
      </c>
      <c r="B96" s="4" t="str">
        <f>IF($G$10="Y","---&gt;","...")</f>
        <v>...</v>
      </c>
      <c r="C96" s="1" t="str">
        <f>IF($G$10="Y",'Population Definitions'!$A$7,"...")</f>
        <v>...</v>
      </c>
      <c r="E96" s="2"/>
      <c r="F96" s="3"/>
      <c r="G96" s="2"/>
      <c r="H96" s="4" t="str">
        <f>IF($G$10="Y","OR","...")</f>
        <v>...</v>
      </c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  <c r="BE96" s="2"/>
      <c r="BF96" s="2"/>
      <c r="BG96" s="2"/>
    </row>
    <row r="97" spans="1:59">
      <c r="A97" s="1" t="str">
        <f>IF($H$10="Y",'Population Definitions'!$A$7,"...")</f>
        <v>...</v>
      </c>
      <c r="B97" s="4" t="str">
        <f>IF($H$10="Y","---&gt;","...")</f>
        <v>...</v>
      </c>
      <c r="C97" s="1" t="str">
        <f>IF($H$10="Y",'Population Definitions'!$A$8,"...")</f>
        <v>...</v>
      </c>
      <c r="E97" s="2"/>
      <c r="F97" s="3"/>
      <c r="G97" s="2"/>
      <c r="H97" s="4" t="str">
        <f>IF($H$10="Y","OR","...")</f>
        <v>...</v>
      </c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  <c r="BE97" s="2"/>
      <c r="BF97" s="2"/>
      <c r="BG97" s="2"/>
    </row>
    <row r="98" spans="1:59">
      <c r="A98" s="1" t="str">
        <f>IF($I$10="Y",'Population Definitions'!$A$7,"...")</f>
        <v>...</v>
      </c>
      <c r="B98" s="4" t="str">
        <f>IF($I$10="Y","---&gt;","...")</f>
        <v>...</v>
      </c>
      <c r="C98" s="1" t="str">
        <f>IF($I$10="Y",'Population Definitions'!$A$9,"...")</f>
        <v>...</v>
      </c>
      <c r="E98" s="2"/>
      <c r="F98" s="3"/>
      <c r="G98" s="2"/>
      <c r="H98" s="4" t="str">
        <f>IF($I$10="Y","OR","...")</f>
        <v>...</v>
      </c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  <c r="BE98" s="2"/>
      <c r="BF98" s="2"/>
      <c r="BG98" s="2"/>
    </row>
    <row r="99" spans="1:59">
      <c r="A99" s="1" t="str">
        <f>IF($J$10="Y",'Population Definitions'!$A$7,"...")</f>
        <v>...</v>
      </c>
      <c r="B99" s="4" t="str">
        <f>IF($J$10="Y","---&gt;","...")</f>
        <v>...</v>
      </c>
      <c r="C99" s="1" t="str">
        <f>IF($J$10="Y",'Population Definitions'!$A$10,"...")</f>
        <v>...</v>
      </c>
      <c r="E99" s="2"/>
      <c r="F99" s="3"/>
      <c r="G99" s="2"/>
      <c r="H99" s="4" t="str">
        <f>IF($J$10="Y","OR","...")</f>
        <v>...</v>
      </c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  <c r="BE99" s="2"/>
      <c r="BF99" s="2"/>
      <c r="BG99" s="2"/>
    </row>
    <row r="100" spans="1:59">
      <c r="A100" s="1" t="str">
        <f>IF($K$10="Y",'Population Definitions'!$A$7,"...")</f>
        <v>...</v>
      </c>
      <c r="B100" s="4" t="str">
        <f>IF($K$10="Y","---&gt;","...")</f>
        <v>...</v>
      </c>
      <c r="C100" s="1" t="str">
        <f>IF($K$10="Y",'Population Definitions'!$A$11,"...")</f>
        <v>...</v>
      </c>
      <c r="E100" s="2"/>
      <c r="F100" s="3"/>
      <c r="G100" s="2"/>
      <c r="H100" s="4" t="str">
        <f>IF($K$10="Y","OR","...")</f>
        <v>...</v>
      </c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  <c r="BE100" s="2"/>
      <c r="BF100" s="2"/>
      <c r="BG100" s="2"/>
    </row>
    <row r="101" spans="1:59">
      <c r="A101" s="1" t="str">
        <f>IF($L$10="Y",'Population Definitions'!$A$7,"...")</f>
        <v>...</v>
      </c>
      <c r="B101" s="4" t="str">
        <f>IF($L$10="Y","---&gt;","...")</f>
        <v>...</v>
      </c>
      <c r="C101" s="1" t="str">
        <f>IF($L$10="Y",'Population Definitions'!$A$12,"...")</f>
        <v>...</v>
      </c>
      <c r="E101" s="2"/>
      <c r="F101" s="3"/>
      <c r="G101" s="2"/>
      <c r="H101" s="4" t="str">
        <f>IF($L$10="Y","OR","...")</f>
        <v>...</v>
      </c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  <c r="BE101" s="2"/>
      <c r="BF101" s="2"/>
      <c r="BG101" s="2"/>
    </row>
    <row r="102" spans="1:59">
      <c r="A102" s="1" t="str">
        <f>IF($M$10="Y",'Population Definitions'!$A$7,"...")</f>
        <v>...</v>
      </c>
      <c r="B102" s="4" t="str">
        <f>IF($M$10="Y","---&gt;","...")</f>
        <v>...</v>
      </c>
      <c r="C102" s="1" t="str">
        <f>IF($M$10="Y",'Population Definitions'!$A$13,"...")</f>
        <v>...</v>
      </c>
      <c r="E102" s="2"/>
      <c r="F102" s="3"/>
      <c r="G102" s="2"/>
      <c r="H102" s="4" t="str">
        <f>IF($M$10="Y","OR","...")</f>
        <v>...</v>
      </c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  <c r="BE102" s="2"/>
      <c r="BF102" s="2"/>
      <c r="BG102" s="2"/>
    </row>
    <row r="103" spans="1:59">
      <c r="A103" s="1" t="str">
        <f>IF($N$10="Y",'Population Definitions'!$A$7,"...")</f>
        <v>...</v>
      </c>
      <c r="B103" s="4" t="str">
        <f>IF($N$10="Y","---&gt;","...")</f>
        <v>...</v>
      </c>
      <c r="C103" s="1" t="str">
        <f>IF($N$10="Y",'Population Definitions'!$A$14,"...")</f>
        <v>...</v>
      </c>
      <c r="E103" s="2"/>
      <c r="F103" s="3"/>
      <c r="G103" s="2"/>
      <c r="H103" s="4" t="str">
        <f>IF($N$10="Y","OR","...")</f>
        <v>...</v>
      </c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  <c r="BE103" s="2"/>
      <c r="BF103" s="2"/>
      <c r="BG103" s="2"/>
    </row>
    <row r="104" spans="1:59">
      <c r="A104" s="1" t="str">
        <f>IF($O$10="Y",'Population Definitions'!$A$7,"...")</f>
        <v>...</v>
      </c>
      <c r="B104" s="4" t="str">
        <f>IF($O$10="Y","---&gt;","...")</f>
        <v>...</v>
      </c>
      <c r="C104" s="1" t="str">
        <f>IF($O$10="Y",'Population Definitions'!$A$15,"...")</f>
        <v>...</v>
      </c>
      <c r="E104" s="2"/>
      <c r="F104" s="3"/>
      <c r="G104" s="2"/>
      <c r="H104" s="4" t="str">
        <f>IF($O$10="Y","OR","...")</f>
        <v>...</v>
      </c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  <c r="BE104" s="2"/>
      <c r="BF104" s="2"/>
      <c r="BG104" s="2"/>
    </row>
    <row r="105" spans="1:59">
      <c r="A105" s="1" t="str">
        <f>IF($B$11="Y",'Population Definitions'!$A$8,"...")</f>
        <v>...</v>
      </c>
      <c r="B105" s="4" t="str">
        <f>IF($B$11="Y","---&gt;","...")</f>
        <v>...</v>
      </c>
      <c r="C105" s="1" t="str">
        <f>IF($B$11="Y",'Population Definitions'!$A$2,"...")</f>
        <v>...</v>
      </c>
      <c r="E105" s="2"/>
      <c r="F105" s="3"/>
      <c r="G105" s="2"/>
      <c r="H105" s="4" t="str">
        <f>IF($B$11="Y","OR","...")</f>
        <v>...</v>
      </c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  <c r="BE105" s="2"/>
      <c r="BF105" s="2"/>
      <c r="BG105" s="2"/>
    </row>
    <row r="106" spans="1:59">
      <c r="A106" s="1" t="str">
        <f>IF($C$11="Y",'Population Definitions'!$A$8,"...")</f>
        <v>...</v>
      </c>
      <c r="B106" s="4" t="str">
        <f>IF($C$11="Y","---&gt;","...")</f>
        <v>...</v>
      </c>
      <c r="C106" s="1" t="str">
        <f>IF($C$11="Y",'Population Definitions'!$A$3,"...")</f>
        <v>...</v>
      </c>
      <c r="E106" s="2"/>
      <c r="F106" s="3"/>
      <c r="G106" s="2"/>
      <c r="H106" s="4" t="str">
        <f>IF($C$11="Y","OR","...")</f>
        <v>...</v>
      </c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  <c r="BE106" s="2"/>
      <c r="BF106" s="2"/>
      <c r="BG106" s="2"/>
    </row>
    <row r="107" spans="1:59">
      <c r="A107" s="1" t="str">
        <f>IF($D$11="Y",'Population Definitions'!$A$8,"...")</f>
        <v>...</v>
      </c>
      <c r="B107" s="4" t="str">
        <f>IF($D$11="Y","---&gt;","...")</f>
        <v>...</v>
      </c>
      <c r="C107" s="1" t="str">
        <f>IF($D$11="Y",'Population Definitions'!$A$4,"...")</f>
        <v>...</v>
      </c>
      <c r="E107" s="2"/>
      <c r="F107" s="3"/>
      <c r="G107" s="2"/>
      <c r="H107" s="4" t="str">
        <f>IF($D$11="Y","OR","...")</f>
        <v>...</v>
      </c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  <c r="BE107" s="2"/>
      <c r="BF107" s="2"/>
      <c r="BG107" s="2"/>
    </row>
    <row r="108" spans="1:59">
      <c r="A108" s="1" t="str">
        <f>IF($E$11="Y",'Population Definitions'!$A$8,"...")</f>
        <v>...</v>
      </c>
      <c r="B108" s="4" t="str">
        <f>IF($E$11="Y","---&gt;","...")</f>
        <v>...</v>
      </c>
      <c r="C108" s="1" t="str">
        <f>IF($E$11="Y",'Population Definitions'!$A$5,"...")</f>
        <v>...</v>
      </c>
      <c r="E108" s="2"/>
      <c r="F108" s="3"/>
      <c r="G108" s="2"/>
      <c r="H108" s="4" t="str">
        <f>IF($E$11="Y","OR","...")</f>
        <v>...</v>
      </c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2"/>
      <c r="BC108" s="2"/>
      <c r="BD108" s="2"/>
      <c r="BE108" s="2"/>
      <c r="BF108" s="2"/>
      <c r="BG108" s="2"/>
    </row>
    <row r="109" spans="1:59">
      <c r="A109" s="1" t="str">
        <f>IF($F$11="Y",'Population Definitions'!$A$8,"...")</f>
        <v>...</v>
      </c>
      <c r="B109" s="4" t="str">
        <f>IF($F$11="Y","---&gt;","...")</f>
        <v>...</v>
      </c>
      <c r="C109" s="1" t="str">
        <f>IF($F$11="Y",'Population Definitions'!$A$6,"...")</f>
        <v>...</v>
      </c>
      <c r="E109" s="2"/>
      <c r="F109" s="3"/>
      <c r="G109" s="2"/>
      <c r="H109" s="4" t="str">
        <f>IF($F$11="Y","OR","...")</f>
        <v>...</v>
      </c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  <c r="BE109" s="2"/>
      <c r="BF109" s="2"/>
      <c r="BG109" s="2"/>
    </row>
    <row r="110" spans="1:59">
      <c r="A110" s="1" t="str">
        <f>IF($G$11="Y",'Population Definitions'!$A$8,"...")</f>
        <v>...</v>
      </c>
      <c r="B110" s="4" t="str">
        <f>IF($G$11="Y","---&gt;","...")</f>
        <v>...</v>
      </c>
      <c r="C110" s="1" t="str">
        <f>IF($G$11="Y",'Population Definitions'!$A$7,"...")</f>
        <v>...</v>
      </c>
      <c r="E110" s="2"/>
      <c r="F110" s="3"/>
      <c r="G110" s="2"/>
      <c r="H110" s="4" t="str">
        <f>IF($G$11="Y","OR","...")</f>
        <v>...</v>
      </c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  <c r="BE110" s="2"/>
      <c r="BF110" s="2"/>
      <c r="BG110" s="2"/>
    </row>
    <row r="111" spans="1:59">
      <c r="A111" s="1" t="str">
        <f>IF($H$11="Y",'Population Definitions'!$A$8,"...")</f>
        <v>...</v>
      </c>
      <c r="B111" s="4" t="str">
        <f>IF($H$11="Y","---&gt;","...")</f>
        <v>...</v>
      </c>
      <c r="C111" s="1" t="str">
        <f>IF($H$11="Y",'Population Definitions'!$A$8,"...")</f>
        <v>...</v>
      </c>
      <c r="E111" s="2"/>
      <c r="F111" s="3"/>
      <c r="G111" s="2"/>
      <c r="H111" s="4" t="str">
        <f>IF($H$11="Y","OR","...")</f>
        <v>...</v>
      </c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  <c r="BE111" s="2"/>
      <c r="BF111" s="2"/>
      <c r="BG111" s="2"/>
    </row>
    <row r="112" spans="1:59">
      <c r="A112" s="1" t="str">
        <f>IF($I$11="Y",'Population Definitions'!$A$8,"...")</f>
        <v>...</v>
      </c>
      <c r="B112" s="4" t="str">
        <f>IF($I$11="Y","---&gt;","...")</f>
        <v>...</v>
      </c>
      <c r="C112" s="1" t="str">
        <f>IF($I$11="Y",'Population Definitions'!$A$9,"...")</f>
        <v>...</v>
      </c>
      <c r="E112" s="2"/>
      <c r="F112" s="3"/>
      <c r="G112" s="2"/>
      <c r="H112" s="4" t="str">
        <f>IF($I$11="Y","OR","...")</f>
        <v>...</v>
      </c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  <c r="BE112" s="2"/>
      <c r="BF112" s="2"/>
      <c r="BG112" s="2"/>
    </row>
    <row r="113" spans="1:59">
      <c r="A113" s="1" t="str">
        <f>IF($J$11="Y",'Population Definitions'!$A$8,"...")</f>
        <v>...</v>
      </c>
      <c r="B113" s="4" t="str">
        <f>IF($J$11="Y","---&gt;","...")</f>
        <v>...</v>
      </c>
      <c r="C113" s="1" t="str">
        <f>IF($J$11="Y",'Population Definitions'!$A$10,"...")</f>
        <v>...</v>
      </c>
      <c r="E113" s="2"/>
      <c r="F113" s="3"/>
      <c r="G113" s="2"/>
      <c r="H113" s="4" t="str">
        <f>IF($J$11="Y","OR","...")</f>
        <v>...</v>
      </c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  <c r="BE113" s="2"/>
      <c r="BF113" s="2"/>
      <c r="BG113" s="2"/>
    </row>
    <row r="114" spans="1:59">
      <c r="A114" s="1" t="str">
        <f>IF($K$11="Y",'Population Definitions'!$A$8,"...")</f>
        <v>...</v>
      </c>
      <c r="B114" s="4" t="str">
        <f>IF($K$11="Y","---&gt;","...")</f>
        <v>...</v>
      </c>
      <c r="C114" s="1" t="str">
        <f>IF($K$11="Y",'Population Definitions'!$A$11,"...")</f>
        <v>...</v>
      </c>
      <c r="E114" s="2"/>
      <c r="F114" s="3"/>
      <c r="G114" s="2"/>
      <c r="H114" s="4" t="str">
        <f>IF($K$11="Y","OR","...")</f>
        <v>...</v>
      </c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  <c r="BE114" s="2"/>
      <c r="BF114" s="2"/>
      <c r="BG114" s="2"/>
    </row>
    <row r="115" spans="1:59">
      <c r="A115" s="1" t="str">
        <f>IF($L$11="Y",'Population Definitions'!$A$8,"...")</f>
        <v>...</v>
      </c>
      <c r="B115" s="4" t="str">
        <f>IF($L$11="Y","---&gt;","...")</f>
        <v>...</v>
      </c>
      <c r="C115" s="1" t="str">
        <f>IF($L$11="Y",'Population Definitions'!$A$12,"...")</f>
        <v>...</v>
      </c>
      <c r="E115" s="2"/>
      <c r="F115" s="3"/>
      <c r="G115" s="2"/>
      <c r="H115" s="4" t="str">
        <f>IF($L$11="Y","OR","...")</f>
        <v>...</v>
      </c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  <c r="BE115" s="2"/>
      <c r="BF115" s="2"/>
      <c r="BG115" s="2"/>
    </row>
    <row r="116" spans="1:59">
      <c r="A116" s="1" t="str">
        <f>IF($M$11="Y",'Population Definitions'!$A$8,"...")</f>
        <v>...</v>
      </c>
      <c r="B116" s="4" t="str">
        <f>IF($M$11="Y","---&gt;","...")</f>
        <v>...</v>
      </c>
      <c r="C116" s="1" t="str">
        <f>IF($M$11="Y",'Population Definitions'!$A$13,"...")</f>
        <v>...</v>
      </c>
      <c r="E116" s="2"/>
      <c r="F116" s="3"/>
      <c r="G116" s="2"/>
      <c r="H116" s="4" t="str">
        <f>IF($M$11="Y","OR","...")</f>
        <v>...</v>
      </c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  <c r="BE116" s="2"/>
      <c r="BF116" s="2"/>
      <c r="BG116" s="2"/>
    </row>
    <row r="117" spans="1:59">
      <c r="A117" s="1" t="str">
        <f>IF($N$11="Y",'Population Definitions'!$A$8,"...")</f>
        <v>...</v>
      </c>
      <c r="B117" s="4" t="str">
        <f>IF($N$11="Y","---&gt;","...")</f>
        <v>...</v>
      </c>
      <c r="C117" s="1" t="str">
        <f>IF($N$11="Y",'Population Definitions'!$A$14,"...")</f>
        <v>...</v>
      </c>
      <c r="E117" s="2"/>
      <c r="F117" s="3"/>
      <c r="G117" s="2"/>
      <c r="H117" s="4" t="str">
        <f>IF($N$11="Y","OR","...")</f>
        <v>...</v>
      </c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  <c r="BE117" s="2"/>
      <c r="BF117" s="2"/>
      <c r="BG117" s="2"/>
    </row>
    <row r="118" spans="1:59">
      <c r="A118" s="1" t="str">
        <f>IF($O$11="Y",'Population Definitions'!$A$8,"...")</f>
        <v>...</v>
      </c>
      <c r="B118" s="4" t="str">
        <f>IF($O$11="Y","---&gt;","...")</f>
        <v>...</v>
      </c>
      <c r="C118" s="1" t="str">
        <f>IF($O$11="Y",'Population Definitions'!$A$15,"...")</f>
        <v>...</v>
      </c>
      <c r="E118" s="2"/>
      <c r="F118" s="3"/>
      <c r="G118" s="2"/>
      <c r="H118" s="4" t="str">
        <f>IF($O$11="Y","OR","...")</f>
        <v>...</v>
      </c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  <c r="BE118" s="2"/>
      <c r="BF118" s="2"/>
      <c r="BG118" s="2"/>
    </row>
    <row r="119" spans="1:59">
      <c r="A119" s="1" t="str">
        <f>IF($B$12="Y",'Population Definitions'!$A$9,"...")</f>
        <v>...</v>
      </c>
      <c r="B119" s="4" t="str">
        <f>IF($B$12="Y","---&gt;","...")</f>
        <v>...</v>
      </c>
      <c r="C119" s="1" t="str">
        <f>IF($B$12="Y",'Population Definitions'!$A$2,"...")</f>
        <v>...</v>
      </c>
      <c r="E119" s="2"/>
      <c r="F119" s="3"/>
      <c r="G119" s="2"/>
      <c r="H119" s="4" t="str">
        <f>IF($B$12="Y","OR","...")</f>
        <v>...</v>
      </c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  <c r="BE119" s="2"/>
      <c r="BF119" s="2"/>
      <c r="BG119" s="2"/>
    </row>
    <row r="120" spans="1:59">
      <c r="A120" s="1" t="str">
        <f>IF($C$12="Y",'Population Definitions'!$A$9,"...")</f>
        <v>...</v>
      </c>
      <c r="B120" s="4" t="str">
        <f>IF($C$12="Y","---&gt;","...")</f>
        <v>...</v>
      </c>
      <c r="C120" s="1" t="str">
        <f>IF($C$12="Y",'Population Definitions'!$A$3,"...")</f>
        <v>...</v>
      </c>
      <c r="E120" s="2"/>
      <c r="F120" s="3"/>
      <c r="G120" s="2"/>
      <c r="H120" s="4" t="str">
        <f>IF($C$12="Y","OR","...")</f>
        <v>...</v>
      </c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  <c r="BE120" s="2"/>
      <c r="BF120" s="2"/>
      <c r="BG120" s="2"/>
    </row>
    <row r="121" spans="1:59">
      <c r="A121" s="1" t="str">
        <f>IF($D$12="Y",'Population Definitions'!$A$9,"...")</f>
        <v>...</v>
      </c>
      <c r="B121" s="4" t="str">
        <f>IF($D$12="Y","---&gt;","...")</f>
        <v>...</v>
      </c>
      <c r="C121" s="1" t="str">
        <f>IF($D$12="Y",'Population Definitions'!$A$4,"...")</f>
        <v>...</v>
      </c>
      <c r="E121" s="2"/>
      <c r="F121" s="3"/>
      <c r="G121" s="2"/>
      <c r="H121" s="4" t="str">
        <f>IF($D$12="Y","OR","...")</f>
        <v>...</v>
      </c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  <c r="BE121" s="2"/>
      <c r="BF121" s="2"/>
      <c r="BG121" s="2"/>
    </row>
    <row r="122" spans="1:59">
      <c r="A122" s="1" t="str">
        <f>IF($E$12="Y",'Population Definitions'!$A$9,"...")</f>
        <v>...</v>
      </c>
      <c r="B122" s="4" t="str">
        <f>IF($E$12="Y","---&gt;","...")</f>
        <v>...</v>
      </c>
      <c r="C122" s="1" t="str">
        <f>IF($E$12="Y",'Population Definitions'!$A$5,"...")</f>
        <v>...</v>
      </c>
      <c r="E122" s="2"/>
      <c r="F122" s="3"/>
      <c r="G122" s="2"/>
      <c r="H122" s="4" t="str">
        <f>IF($E$12="Y","OR","...")</f>
        <v>...</v>
      </c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  <c r="BE122" s="2"/>
      <c r="BF122" s="2"/>
      <c r="BG122" s="2"/>
    </row>
    <row r="123" spans="1:59">
      <c r="A123" s="1" t="str">
        <f>IF($F$12="Y",'Population Definitions'!$A$9,"...")</f>
        <v>...</v>
      </c>
      <c r="B123" s="4" t="str">
        <f>IF($F$12="Y","---&gt;","...")</f>
        <v>...</v>
      </c>
      <c r="C123" s="1" t="str">
        <f>IF($F$12="Y",'Population Definitions'!$A$6,"...")</f>
        <v>...</v>
      </c>
      <c r="E123" s="2"/>
      <c r="F123" s="3"/>
      <c r="G123" s="2"/>
      <c r="H123" s="4" t="str">
        <f>IF($F$12="Y","OR","...")</f>
        <v>...</v>
      </c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  <c r="BE123" s="2"/>
      <c r="BF123" s="2"/>
      <c r="BG123" s="2"/>
    </row>
    <row r="124" spans="1:59">
      <c r="A124" s="1" t="str">
        <f>IF($G$12="Y",'Population Definitions'!$A$9,"...")</f>
        <v>...</v>
      </c>
      <c r="B124" s="4" t="str">
        <f>IF($G$12="Y","---&gt;","...")</f>
        <v>...</v>
      </c>
      <c r="C124" s="1" t="str">
        <f>IF($G$12="Y",'Population Definitions'!$A$7,"...")</f>
        <v>...</v>
      </c>
      <c r="E124" s="2"/>
      <c r="F124" s="3"/>
      <c r="G124" s="2"/>
      <c r="H124" s="4" t="str">
        <f>IF($G$12="Y","OR","...")</f>
        <v>...</v>
      </c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  <c r="BE124" s="2"/>
      <c r="BF124" s="2"/>
      <c r="BG124" s="2"/>
    </row>
    <row r="125" spans="1:59">
      <c r="A125" s="1" t="str">
        <f>IF($H$12="Y",'Population Definitions'!$A$9,"...")</f>
        <v>...</v>
      </c>
      <c r="B125" s="4" t="str">
        <f>IF($H$12="Y","---&gt;","...")</f>
        <v>...</v>
      </c>
      <c r="C125" s="1" t="str">
        <f>IF($H$12="Y",'Population Definitions'!$A$8,"...")</f>
        <v>...</v>
      </c>
      <c r="E125" s="2"/>
      <c r="F125" s="3"/>
      <c r="G125" s="2"/>
      <c r="H125" s="4" t="str">
        <f>IF($H$12="Y","OR","...")</f>
        <v>...</v>
      </c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  <c r="BE125" s="2"/>
      <c r="BF125" s="2"/>
      <c r="BG125" s="2"/>
    </row>
    <row r="126" spans="1:59">
      <c r="A126" s="1" t="str">
        <f>IF($I$12="Y",'Population Definitions'!$A$9,"...")</f>
        <v>...</v>
      </c>
      <c r="B126" s="4" t="str">
        <f>IF($I$12="Y","---&gt;","...")</f>
        <v>...</v>
      </c>
      <c r="C126" s="1" t="str">
        <f>IF($I$12="Y",'Population Definitions'!$A$9,"...")</f>
        <v>...</v>
      </c>
      <c r="E126" s="2"/>
      <c r="F126" s="3"/>
      <c r="G126" s="2"/>
      <c r="H126" s="4" t="str">
        <f>IF($I$12="Y","OR","...")</f>
        <v>...</v>
      </c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  <c r="BE126" s="2"/>
      <c r="BF126" s="2"/>
      <c r="BG126" s="2"/>
    </row>
    <row r="127" spans="1:59">
      <c r="A127" s="1" t="str">
        <f>IF($J$12="Y",'Population Definitions'!$A$9,"...")</f>
        <v>...</v>
      </c>
      <c r="B127" s="4" t="str">
        <f>IF($J$12="Y","---&gt;","...")</f>
        <v>...</v>
      </c>
      <c r="C127" s="1" t="str">
        <f>IF($J$12="Y",'Population Definitions'!$A$10,"...")</f>
        <v>...</v>
      </c>
      <c r="E127" s="2"/>
      <c r="F127" s="3"/>
      <c r="G127" s="2"/>
      <c r="H127" s="4" t="str">
        <f>IF($J$12="Y","OR","...")</f>
        <v>...</v>
      </c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  <c r="BE127" s="2"/>
      <c r="BF127" s="2"/>
      <c r="BG127" s="2"/>
    </row>
    <row r="128" spans="1:59">
      <c r="A128" s="1" t="str">
        <f>IF($K$12="Y",'Population Definitions'!$A$9,"...")</f>
        <v>...</v>
      </c>
      <c r="B128" s="4" t="str">
        <f>IF($K$12="Y","---&gt;","...")</f>
        <v>...</v>
      </c>
      <c r="C128" s="1" t="str">
        <f>IF($K$12="Y",'Population Definitions'!$A$11,"...")</f>
        <v>...</v>
      </c>
      <c r="E128" s="2"/>
      <c r="F128" s="3"/>
      <c r="G128" s="2"/>
      <c r="H128" s="4" t="str">
        <f>IF($K$12="Y","OR","...")</f>
        <v>...</v>
      </c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  <c r="BE128" s="2"/>
      <c r="BF128" s="2"/>
      <c r="BG128" s="2"/>
    </row>
    <row r="129" spans="1:59">
      <c r="A129" s="1" t="str">
        <f>IF($L$12="Y",'Population Definitions'!$A$9,"...")</f>
        <v>...</v>
      </c>
      <c r="B129" s="4" t="str">
        <f>IF($L$12="Y","---&gt;","...")</f>
        <v>...</v>
      </c>
      <c r="C129" s="1" t="str">
        <f>IF($L$12="Y",'Population Definitions'!$A$12,"...")</f>
        <v>...</v>
      </c>
      <c r="E129" s="2"/>
      <c r="F129" s="3"/>
      <c r="G129" s="2"/>
      <c r="H129" s="4" t="str">
        <f>IF($L$12="Y","OR","...")</f>
        <v>...</v>
      </c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  <c r="BE129" s="2"/>
      <c r="BF129" s="2"/>
      <c r="BG129" s="2"/>
    </row>
    <row r="130" spans="1:59">
      <c r="A130" s="1" t="str">
        <f>IF($M$12="Y",'Population Definitions'!$A$9,"...")</f>
        <v>...</v>
      </c>
      <c r="B130" s="4" t="str">
        <f>IF($M$12="Y","---&gt;","...")</f>
        <v>...</v>
      </c>
      <c r="C130" s="1" t="str">
        <f>IF($M$12="Y",'Population Definitions'!$A$13,"...")</f>
        <v>...</v>
      </c>
      <c r="E130" s="2"/>
      <c r="F130" s="3"/>
      <c r="G130" s="2"/>
      <c r="H130" s="4" t="str">
        <f>IF($M$12="Y","OR","...")</f>
        <v>...</v>
      </c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  <c r="BE130" s="2"/>
      <c r="BF130" s="2"/>
      <c r="BG130" s="2"/>
    </row>
    <row r="131" spans="1:59">
      <c r="A131" s="1" t="str">
        <f>IF($N$12="Y",'Population Definitions'!$A$9,"...")</f>
        <v>...</v>
      </c>
      <c r="B131" s="4" t="str">
        <f>IF($N$12="Y","---&gt;","...")</f>
        <v>...</v>
      </c>
      <c r="C131" s="1" t="str">
        <f>IF($N$12="Y",'Population Definitions'!$A$14,"...")</f>
        <v>...</v>
      </c>
      <c r="E131" s="2"/>
      <c r="F131" s="3"/>
      <c r="G131" s="2"/>
      <c r="H131" s="4" t="str">
        <f>IF($N$12="Y","OR","...")</f>
        <v>...</v>
      </c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  <c r="BE131" s="2"/>
      <c r="BF131" s="2"/>
      <c r="BG131" s="2"/>
    </row>
    <row r="132" spans="1:59">
      <c r="A132" s="1" t="str">
        <f>IF($O$12="Y",'Population Definitions'!$A$9,"...")</f>
        <v>...</v>
      </c>
      <c r="B132" s="4" t="str">
        <f>IF($O$12="Y","---&gt;","...")</f>
        <v>...</v>
      </c>
      <c r="C132" s="1" t="str">
        <f>IF($O$12="Y",'Population Definitions'!$A$15,"...")</f>
        <v>...</v>
      </c>
      <c r="E132" s="2"/>
      <c r="F132" s="3"/>
      <c r="G132" s="2"/>
      <c r="H132" s="4" t="str">
        <f>IF($O$12="Y","OR","...")</f>
        <v>...</v>
      </c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  <c r="BE132" s="2"/>
      <c r="BF132" s="2"/>
      <c r="BG132" s="2"/>
    </row>
    <row r="133" spans="1:59">
      <c r="A133" s="1" t="str">
        <f>IF($B$13="Y",'Population Definitions'!$A$10,"...")</f>
        <v>...</v>
      </c>
      <c r="B133" s="4" t="str">
        <f>IF($B$13="Y","---&gt;","...")</f>
        <v>...</v>
      </c>
      <c r="C133" s="1" t="str">
        <f>IF($B$13="Y",'Population Definitions'!$A$2,"...")</f>
        <v>...</v>
      </c>
      <c r="E133" s="2"/>
      <c r="F133" s="3"/>
      <c r="G133" s="2"/>
      <c r="H133" s="4" t="str">
        <f>IF($B$13="Y","OR","...")</f>
        <v>...</v>
      </c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  <c r="BE133" s="2"/>
      <c r="BF133" s="2"/>
      <c r="BG133" s="2"/>
    </row>
    <row r="134" spans="1:59">
      <c r="A134" s="1" t="str">
        <f>IF($C$13="Y",'Population Definitions'!$A$10,"...")</f>
        <v>...</v>
      </c>
      <c r="B134" s="4" t="str">
        <f>IF($C$13="Y","---&gt;","...")</f>
        <v>...</v>
      </c>
      <c r="C134" s="1" t="str">
        <f>IF($C$13="Y",'Population Definitions'!$A$3,"...")</f>
        <v>...</v>
      </c>
      <c r="E134" s="2"/>
      <c r="F134" s="3"/>
      <c r="G134" s="2"/>
      <c r="H134" s="4" t="str">
        <f>IF($C$13="Y","OR","...")</f>
        <v>...</v>
      </c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  <c r="BE134" s="2"/>
      <c r="BF134" s="2"/>
      <c r="BG134" s="2"/>
    </row>
    <row r="135" spans="1:59">
      <c r="A135" s="1" t="str">
        <f>IF($D$13="Y",'Population Definitions'!$A$10,"...")</f>
        <v>...</v>
      </c>
      <c r="B135" s="4" t="str">
        <f>IF($D$13="Y","---&gt;","...")</f>
        <v>...</v>
      </c>
      <c r="C135" s="1" t="str">
        <f>IF($D$13="Y",'Population Definitions'!$A$4,"...")</f>
        <v>...</v>
      </c>
      <c r="E135" s="2"/>
      <c r="F135" s="3"/>
      <c r="G135" s="2"/>
      <c r="H135" s="4" t="str">
        <f>IF($D$13="Y","OR","...")</f>
        <v>...</v>
      </c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  <c r="BE135" s="2"/>
      <c r="BF135" s="2"/>
      <c r="BG135" s="2"/>
    </row>
    <row r="136" spans="1:59">
      <c r="A136" s="1" t="str">
        <f>IF($E$13="Y",'Population Definitions'!$A$10,"...")</f>
        <v>...</v>
      </c>
      <c r="B136" s="4" t="str">
        <f>IF($E$13="Y","---&gt;","...")</f>
        <v>...</v>
      </c>
      <c r="C136" s="1" t="str">
        <f>IF($E$13="Y",'Population Definitions'!$A$5,"...")</f>
        <v>...</v>
      </c>
      <c r="E136" s="2"/>
      <c r="F136" s="3"/>
      <c r="G136" s="2"/>
      <c r="H136" s="4" t="str">
        <f>IF($E$13="Y","OR","...")</f>
        <v>...</v>
      </c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  <c r="BE136" s="2"/>
      <c r="BF136" s="2"/>
      <c r="BG136" s="2"/>
    </row>
    <row r="137" spans="1:59">
      <c r="A137" s="1" t="str">
        <f>IF($F$13="Y",'Population Definitions'!$A$10,"...")</f>
        <v>...</v>
      </c>
      <c r="B137" s="4" t="str">
        <f>IF($F$13="Y","---&gt;","...")</f>
        <v>...</v>
      </c>
      <c r="C137" s="1" t="str">
        <f>IF($F$13="Y",'Population Definitions'!$A$6,"...")</f>
        <v>...</v>
      </c>
      <c r="E137" s="2"/>
      <c r="F137" s="3"/>
      <c r="G137" s="2"/>
      <c r="H137" s="4" t="str">
        <f>IF($F$13="Y","OR","...")</f>
        <v>...</v>
      </c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  <c r="BE137" s="2"/>
      <c r="BF137" s="2"/>
      <c r="BG137" s="2"/>
    </row>
    <row r="138" spans="1:59">
      <c r="A138" s="1" t="str">
        <f>IF($G$13="Y",'Population Definitions'!$A$10,"...")</f>
        <v>...</v>
      </c>
      <c r="B138" s="4" t="str">
        <f>IF($G$13="Y","---&gt;","...")</f>
        <v>...</v>
      </c>
      <c r="C138" s="1" t="str">
        <f>IF($G$13="Y",'Population Definitions'!$A$7,"...")</f>
        <v>...</v>
      </c>
      <c r="E138" s="2"/>
      <c r="F138" s="3"/>
      <c r="G138" s="2"/>
      <c r="H138" s="4" t="str">
        <f>IF($G$13="Y","OR","...")</f>
        <v>...</v>
      </c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  <c r="BE138" s="2"/>
      <c r="BF138" s="2"/>
      <c r="BG138" s="2"/>
    </row>
    <row r="139" spans="1:59">
      <c r="A139" s="1" t="str">
        <f>IF($H$13="Y",'Population Definitions'!$A$10,"...")</f>
        <v>...</v>
      </c>
      <c r="B139" s="4" t="str">
        <f>IF($H$13="Y","---&gt;","...")</f>
        <v>...</v>
      </c>
      <c r="C139" s="1" t="str">
        <f>IF($H$13="Y",'Population Definitions'!$A$8,"...")</f>
        <v>...</v>
      </c>
      <c r="E139" s="2"/>
      <c r="F139" s="3"/>
      <c r="G139" s="2"/>
      <c r="H139" s="4" t="str">
        <f>IF($H$13="Y","OR","...")</f>
        <v>...</v>
      </c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  <c r="BE139" s="2"/>
      <c r="BF139" s="2"/>
      <c r="BG139" s="2"/>
    </row>
    <row r="140" spans="1:59">
      <c r="A140" s="1" t="str">
        <f>IF($I$13="Y",'Population Definitions'!$A$10,"...")</f>
        <v>...</v>
      </c>
      <c r="B140" s="4" t="str">
        <f>IF($I$13="Y","---&gt;","...")</f>
        <v>...</v>
      </c>
      <c r="C140" s="1" t="str">
        <f>IF($I$13="Y",'Population Definitions'!$A$9,"...")</f>
        <v>...</v>
      </c>
      <c r="E140" s="2"/>
      <c r="F140" s="3"/>
      <c r="G140" s="2"/>
      <c r="H140" s="4" t="str">
        <f>IF($I$13="Y","OR","...")</f>
        <v>...</v>
      </c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  <c r="BE140" s="2"/>
      <c r="BF140" s="2"/>
      <c r="BG140" s="2"/>
    </row>
    <row r="141" spans="1:59">
      <c r="A141" s="1" t="str">
        <f>IF($J$13="Y",'Population Definitions'!$A$10,"...")</f>
        <v>...</v>
      </c>
      <c r="B141" s="4" t="str">
        <f>IF($J$13="Y","---&gt;","...")</f>
        <v>...</v>
      </c>
      <c r="C141" s="1" t="str">
        <f>IF($J$13="Y",'Population Definitions'!$A$10,"...")</f>
        <v>...</v>
      </c>
      <c r="E141" s="2"/>
      <c r="F141" s="3"/>
      <c r="G141" s="2"/>
      <c r="H141" s="4" t="str">
        <f>IF($J$13="Y","OR","...")</f>
        <v>...</v>
      </c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  <c r="BE141" s="2"/>
      <c r="BF141" s="2"/>
      <c r="BG141" s="2"/>
    </row>
    <row r="142" spans="1:59">
      <c r="A142" s="1" t="str">
        <f>IF($K$13="Y",'Population Definitions'!$A$10,"...")</f>
        <v>...</v>
      </c>
      <c r="B142" s="4" t="str">
        <f>IF($K$13="Y","---&gt;","...")</f>
        <v>...</v>
      </c>
      <c r="C142" s="1" t="str">
        <f>IF($K$13="Y",'Population Definitions'!$A$11,"...")</f>
        <v>...</v>
      </c>
      <c r="E142" s="2"/>
      <c r="F142" s="3"/>
      <c r="G142" s="2"/>
      <c r="H142" s="4" t="str">
        <f>IF($K$13="Y","OR","...")</f>
        <v>...</v>
      </c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  <c r="BE142" s="2"/>
      <c r="BF142" s="2"/>
      <c r="BG142" s="2"/>
    </row>
    <row r="143" spans="1:59">
      <c r="A143" s="1" t="str">
        <f>IF($L$13="Y",'Population Definitions'!$A$10,"...")</f>
        <v>...</v>
      </c>
      <c r="B143" s="4" t="str">
        <f>IF($L$13="Y","---&gt;","...")</f>
        <v>...</v>
      </c>
      <c r="C143" s="1" t="str">
        <f>IF($L$13="Y",'Population Definitions'!$A$12,"...")</f>
        <v>...</v>
      </c>
      <c r="E143" s="2"/>
      <c r="F143" s="3"/>
      <c r="G143" s="2"/>
      <c r="H143" s="4" t="str">
        <f>IF($L$13="Y","OR","...")</f>
        <v>...</v>
      </c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  <c r="BE143" s="2"/>
      <c r="BF143" s="2"/>
      <c r="BG143" s="2"/>
    </row>
    <row r="144" spans="1:59">
      <c r="A144" s="1" t="str">
        <f>IF($M$13="Y",'Population Definitions'!$A$10,"...")</f>
        <v>...</v>
      </c>
      <c r="B144" s="4" t="str">
        <f>IF($M$13="Y","---&gt;","...")</f>
        <v>...</v>
      </c>
      <c r="C144" s="1" t="str">
        <f>IF($M$13="Y",'Population Definitions'!$A$13,"...")</f>
        <v>...</v>
      </c>
      <c r="E144" s="2"/>
      <c r="F144" s="3"/>
      <c r="G144" s="2"/>
      <c r="H144" s="4" t="str">
        <f>IF($M$13="Y","OR","...")</f>
        <v>...</v>
      </c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  <c r="BE144" s="2"/>
      <c r="BF144" s="2"/>
      <c r="BG144" s="2"/>
    </row>
    <row r="145" spans="1:59">
      <c r="A145" s="1" t="str">
        <f>IF($N$13="Y",'Population Definitions'!$A$10,"...")</f>
        <v>...</v>
      </c>
      <c r="B145" s="4" t="str">
        <f>IF($N$13="Y","---&gt;","...")</f>
        <v>...</v>
      </c>
      <c r="C145" s="1" t="str">
        <f>IF($N$13="Y",'Population Definitions'!$A$14,"...")</f>
        <v>...</v>
      </c>
      <c r="E145" s="2"/>
      <c r="F145" s="3"/>
      <c r="G145" s="2"/>
      <c r="H145" s="4" t="str">
        <f>IF($N$13="Y","OR","...")</f>
        <v>...</v>
      </c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  <c r="BE145" s="2"/>
      <c r="BF145" s="2"/>
      <c r="BG145" s="2"/>
    </row>
    <row r="146" spans="1:59">
      <c r="A146" s="1" t="str">
        <f>IF($O$13="Y",'Population Definitions'!$A$10,"...")</f>
        <v>...</v>
      </c>
      <c r="B146" s="4" t="str">
        <f>IF($O$13="Y","---&gt;","...")</f>
        <v>...</v>
      </c>
      <c r="C146" s="1" t="str">
        <f>IF($O$13="Y",'Population Definitions'!$A$15,"...")</f>
        <v>...</v>
      </c>
      <c r="E146" s="2"/>
      <c r="F146" s="3"/>
      <c r="G146" s="2"/>
      <c r="H146" s="4" t="str">
        <f>IF($O$13="Y","OR","...")</f>
        <v>...</v>
      </c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  <c r="BE146" s="2"/>
      <c r="BF146" s="2"/>
      <c r="BG146" s="2"/>
    </row>
    <row r="147" spans="1:59">
      <c r="A147" s="1" t="str">
        <f>IF($B$14="Y",'Population Definitions'!$A$11,"...")</f>
        <v>...</v>
      </c>
      <c r="B147" s="4" t="str">
        <f>IF($B$14="Y","---&gt;","...")</f>
        <v>...</v>
      </c>
      <c r="C147" s="1" t="str">
        <f>IF($B$14="Y",'Population Definitions'!$A$2,"...")</f>
        <v>...</v>
      </c>
      <c r="E147" s="2"/>
      <c r="F147" s="3"/>
      <c r="G147" s="2"/>
      <c r="H147" s="4" t="str">
        <f>IF($B$14="Y","OR","...")</f>
        <v>...</v>
      </c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  <c r="BE147" s="2"/>
      <c r="BF147" s="2"/>
      <c r="BG147" s="2"/>
    </row>
    <row r="148" spans="1:59">
      <c r="A148" s="1" t="str">
        <f>IF($C$14="Y",'Population Definitions'!$A$11,"...")</f>
        <v>...</v>
      </c>
      <c r="B148" s="4" t="str">
        <f>IF($C$14="Y","---&gt;","...")</f>
        <v>...</v>
      </c>
      <c r="C148" s="1" t="str">
        <f>IF($C$14="Y",'Population Definitions'!$A$3,"...")</f>
        <v>...</v>
      </c>
      <c r="E148" s="2"/>
      <c r="F148" s="3"/>
      <c r="G148" s="2"/>
      <c r="H148" s="4" t="str">
        <f>IF($C$14="Y","OR","...")</f>
        <v>...</v>
      </c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  <c r="BE148" s="2"/>
      <c r="BF148" s="2"/>
      <c r="BG148" s="2"/>
    </row>
    <row r="149" spans="1:59">
      <c r="A149" s="1" t="str">
        <f>IF($D$14="Y",'Population Definitions'!$A$11,"...")</f>
        <v>...</v>
      </c>
      <c r="B149" s="4" t="str">
        <f>IF($D$14="Y","---&gt;","...")</f>
        <v>...</v>
      </c>
      <c r="C149" s="1" t="str">
        <f>IF($D$14="Y",'Population Definitions'!$A$4,"...")</f>
        <v>...</v>
      </c>
      <c r="E149" s="2"/>
      <c r="F149" s="3"/>
      <c r="G149" s="2"/>
      <c r="H149" s="4" t="str">
        <f>IF($D$14="Y","OR","...")</f>
        <v>...</v>
      </c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  <c r="BE149" s="2"/>
      <c r="BF149" s="2"/>
      <c r="BG149" s="2"/>
    </row>
    <row r="150" spans="1:59">
      <c r="A150" s="1" t="str">
        <f>IF($E$14="Y",'Population Definitions'!$A$11,"...")</f>
        <v>...</v>
      </c>
      <c r="B150" s="4" t="str">
        <f>IF($E$14="Y","---&gt;","...")</f>
        <v>...</v>
      </c>
      <c r="C150" s="1" t="str">
        <f>IF($E$14="Y",'Population Definitions'!$A$5,"...")</f>
        <v>...</v>
      </c>
      <c r="E150" s="2"/>
      <c r="F150" s="3"/>
      <c r="G150" s="2"/>
      <c r="H150" s="4" t="str">
        <f>IF($E$14="Y","OR","...")</f>
        <v>...</v>
      </c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  <c r="BE150" s="2"/>
      <c r="BF150" s="2"/>
      <c r="BG150" s="2"/>
    </row>
    <row r="151" spans="1:59">
      <c r="A151" s="1" t="str">
        <f>IF($F$14="Y",'Population Definitions'!$A$11,"...")</f>
        <v>...</v>
      </c>
      <c r="B151" s="4" t="str">
        <f>IF($F$14="Y","---&gt;","...")</f>
        <v>...</v>
      </c>
      <c r="C151" s="1" t="str">
        <f>IF($F$14="Y",'Population Definitions'!$A$6,"...")</f>
        <v>...</v>
      </c>
      <c r="E151" s="2"/>
      <c r="F151" s="3"/>
      <c r="G151" s="2"/>
      <c r="H151" s="4" t="str">
        <f>IF($F$14="Y","OR","...")</f>
        <v>...</v>
      </c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  <c r="BE151" s="2"/>
      <c r="BF151" s="2"/>
      <c r="BG151" s="2"/>
    </row>
    <row r="152" spans="1:59">
      <c r="A152" s="1" t="str">
        <f>IF($G$14="Y",'Population Definitions'!$A$11,"...")</f>
        <v>...</v>
      </c>
      <c r="B152" s="4" t="str">
        <f>IF($G$14="Y","---&gt;","...")</f>
        <v>...</v>
      </c>
      <c r="C152" s="1" t="str">
        <f>IF($G$14="Y",'Population Definitions'!$A$7,"...")</f>
        <v>...</v>
      </c>
      <c r="E152" s="2"/>
      <c r="F152" s="3"/>
      <c r="G152" s="2"/>
      <c r="H152" s="4" t="str">
        <f>IF($G$14="Y","OR","...")</f>
        <v>...</v>
      </c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  <c r="BE152" s="2"/>
      <c r="BF152" s="2"/>
      <c r="BG152" s="2"/>
    </row>
    <row r="153" spans="1:59">
      <c r="A153" s="1" t="str">
        <f>IF($H$14="Y",'Population Definitions'!$A$11,"...")</f>
        <v>...</v>
      </c>
      <c r="B153" s="4" t="str">
        <f>IF($H$14="Y","---&gt;","...")</f>
        <v>...</v>
      </c>
      <c r="C153" s="1" t="str">
        <f>IF($H$14="Y",'Population Definitions'!$A$8,"...")</f>
        <v>...</v>
      </c>
      <c r="E153" s="2"/>
      <c r="F153" s="3"/>
      <c r="G153" s="2"/>
      <c r="H153" s="4" t="str">
        <f>IF($H$14="Y","OR","...")</f>
        <v>...</v>
      </c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  <c r="BE153" s="2"/>
      <c r="BF153" s="2"/>
      <c r="BG153" s="2"/>
    </row>
    <row r="154" spans="1:59">
      <c r="A154" s="1" t="str">
        <f>IF($I$14="Y",'Population Definitions'!$A$11,"...")</f>
        <v>...</v>
      </c>
      <c r="B154" s="4" t="str">
        <f>IF($I$14="Y","---&gt;","...")</f>
        <v>...</v>
      </c>
      <c r="C154" s="1" t="str">
        <f>IF($I$14="Y",'Population Definitions'!$A$9,"...")</f>
        <v>...</v>
      </c>
      <c r="E154" s="2"/>
      <c r="F154" s="3"/>
      <c r="G154" s="2"/>
      <c r="H154" s="4" t="str">
        <f>IF($I$14="Y","OR","...")</f>
        <v>...</v>
      </c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  <c r="BE154" s="2"/>
      <c r="BF154" s="2"/>
      <c r="BG154" s="2"/>
    </row>
    <row r="155" spans="1:59">
      <c r="A155" s="1" t="str">
        <f>IF($J$14="Y",'Population Definitions'!$A$11,"...")</f>
        <v>...</v>
      </c>
      <c r="B155" s="4" t="str">
        <f>IF($J$14="Y","---&gt;","...")</f>
        <v>...</v>
      </c>
      <c r="C155" s="1" t="str">
        <f>IF($J$14="Y",'Population Definitions'!$A$10,"...")</f>
        <v>...</v>
      </c>
      <c r="E155" s="2"/>
      <c r="F155" s="3"/>
      <c r="G155" s="2"/>
      <c r="H155" s="4" t="str">
        <f>IF($J$14="Y","OR","...")</f>
        <v>...</v>
      </c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  <c r="BE155" s="2"/>
      <c r="BF155" s="2"/>
      <c r="BG155" s="2"/>
    </row>
    <row r="156" spans="1:59">
      <c r="A156" s="1" t="str">
        <f>IF($K$14="Y",'Population Definitions'!$A$11,"...")</f>
        <v>...</v>
      </c>
      <c r="B156" s="4" t="str">
        <f>IF($K$14="Y","---&gt;","...")</f>
        <v>...</v>
      </c>
      <c r="C156" s="1" t="str">
        <f>IF($K$14="Y",'Population Definitions'!$A$11,"...")</f>
        <v>...</v>
      </c>
      <c r="E156" s="2"/>
      <c r="F156" s="3"/>
      <c r="G156" s="2"/>
      <c r="H156" s="4" t="str">
        <f>IF($K$14="Y","OR","...")</f>
        <v>...</v>
      </c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  <c r="BE156" s="2"/>
      <c r="BF156" s="2"/>
      <c r="BG156" s="2"/>
    </row>
    <row r="157" spans="1:59">
      <c r="A157" s="1" t="str">
        <f>IF($L$14="Y",'Population Definitions'!$A$11,"...")</f>
        <v>...</v>
      </c>
      <c r="B157" s="4" t="str">
        <f>IF($L$14="Y","---&gt;","...")</f>
        <v>...</v>
      </c>
      <c r="C157" s="1" t="str">
        <f>IF($L$14="Y",'Population Definitions'!$A$12,"...")</f>
        <v>...</v>
      </c>
      <c r="E157" s="2"/>
      <c r="F157" s="3"/>
      <c r="G157" s="2"/>
      <c r="H157" s="4" t="str">
        <f>IF($L$14="Y","OR","...")</f>
        <v>...</v>
      </c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  <c r="BE157" s="2"/>
      <c r="BF157" s="2"/>
      <c r="BG157" s="2"/>
    </row>
    <row r="158" spans="1:59">
      <c r="A158" s="1" t="str">
        <f>IF($M$14="Y",'Population Definitions'!$A$11,"...")</f>
        <v>...</v>
      </c>
      <c r="B158" s="4" t="str">
        <f>IF($M$14="Y","---&gt;","...")</f>
        <v>...</v>
      </c>
      <c r="C158" s="1" t="str">
        <f>IF($M$14="Y",'Population Definitions'!$A$13,"...")</f>
        <v>...</v>
      </c>
      <c r="E158" s="2"/>
      <c r="F158" s="3"/>
      <c r="G158" s="2"/>
      <c r="H158" s="4" t="str">
        <f>IF($M$14="Y","OR","...")</f>
        <v>...</v>
      </c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  <c r="BE158" s="2"/>
      <c r="BF158" s="2"/>
      <c r="BG158" s="2"/>
    </row>
    <row r="159" spans="1:59">
      <c r="A159" s="1" t="str">
        <f>IF($N$14="Y",'Population Definitions'!$A$11,"...")</f>
        <v>...</v>
      </c>
      <c r="B159" s="4" t="str">
        <f>IF($N$14="Y","---&gt;","...")</f>
        <v>...</v>
      </c>
      <c r="C159" s="1" t="str">
        <f>IF($N$14="Y",'Population Definitions'!$A$14,"...")</f>
        <v>...</v>
      </c>
      <c r="E159" s="2"/>
      <c r="F159" s="3"/>
      <c r="G159" s="2"/>
      <c r="H159" s="4" t="str">
        <f>IF($N$14="Y","OR","...")</f>
        <v>...</v>
      </c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  <c r="BE159" s="2"/>
      <c r="BF159" s="2"/>
      <c r="BG159" s="2"/>
    </row>
    <row r="160" spans="1:59">
      <c r="A160" s="1" t="str">
        <f>IF($O$14="Y",'Population Definitions'!$A$11,"...")</f>
        <v>...</v>
      </c>
      <c r="B160" s="4" t="str">
        <f>IF($O$14="Y","---&gt;","...")</f>
        <v>...</v>
      </c>
      <c r="C160" s="1" t="str">
        <f>IF($O$14="Y",'Population Definitions'!$A$15,"...")</f>
        <v>...</v>
      </c>
      <c r="E160" s="2"/>
      <c r="F160" s="3"/>
      <c r="G160" s="2"/>
      <c r="H160" s="4" t="str">
        <f>IF($O$14="Y","OR","...")</f>
        <v>...</v>
      </c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  <c r="BE160" s="2"/>
      <c r="BF160" s="2"/>
      <c r="BG160" s="2"/>
    </row>
    <row r="161" spans="1:59">
      <c r="A161" s="1" t="str">
        <f>IF($B$15="Y",'Population Definitions'!$A$12,"...")</f>
        <v>...</v>
      </c>
      <c r="B161" s="4" t="str">
        <f>IF($B$15="Y","---&gt;","...")</f>
        <v>...</v>
      </c>
      <c r="C161" s="1" t="str">
        <f>IF($B$15="Y",'Population Definitions'!$A$2,"...")</f>
        <v>...</v>
      </c>
      <c r="E161" s="2"/>
      <c r="F161" s="3"/>
      <c r="G161" s="2"/>
      <c r="H161" s="4" t="str">
        <f>IF($B$15="Y","OR","...")</f>
        <v>...</v>
      </c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  <c r="BE161" s="2"/>
      <c r="BF161" s="2"/>
      <c r="BG161" s="2"/>
    </row>
    <row r="162" spans="1:59">
      <c r="A162" s="1" t="str">
        <f>IF($C$15="Y",'Population Definitions'!$A$12,"...")</f>
        <v>...</v>
      </c>
      <c r="B162" s="4" t="str">
        <f>IF($C$15="Y","---&gt;","...")</f>
        <v>...</v>
      </c>
      <c r="C162" s="1" t="str">
        <f>IF($C$15="Y",'Population Definitions'!$A$3,"...")</f>
        <v>...</v>
      </c>
      <c r="E162" s="2"/>
      <c r="F162" s="3"/>
      <c r="G162" s="2"/>
      <c r="H162" s="4" t="str">
        <f>IF($C$15="Y","OR","...")</f>
        <v>...</v>
      </c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  <c r="BE162" s="2"/>
      <c r="BF162" s="2"/>
      <c r="BG162" s="2"/>
    </row>
    <row r="163" spans="1:59">
      <c r="A163" s="1" t="str">
        <f>IF($D$15="Y",'Population Definitions'!$A$12,"...")</f>
        <v>...</v>
      </c>
      <c r="B163" s="4" t="str">
        <f>IF($D$15="Y","---&gt;","...")</f>
        <v>...</v>
      </c>
      <c r="C163" s="1" t="str">
        <f>IF($D$15="Y",'Population Definitions'!$A$4,"...")</f>
        <v>...</v>
      </c>
      <c r="E163" s="2"/>
      <c r="F163" s="3"/>
      <c r="G163" s="2"/>
      <c r="H163" s="4" t="str">
        <f>IF($D$15="Y","OR","...")</f>
        <v>...</v>
      </c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  <c r="BE163" s="2"/>
      <c r="BF163" s="2"/>
      <c r="BG163" s="2"/>
    </row>
    <row r="164" spans="1:59">
      <c r="A164" s="1" t="str">
        <f>IF($E$15="Y",'Population Definitions'!$A$12,"...")</f>
        <v>...</v>
      </c>
      <c r="B164" s="4" t="str">
        <f>IF($E$15="Y","---&gt;","...")</f>
        <v>...</v>
      </c>
      <c r="C164" s="1" t="str">
        <f>IF($E$15="Y",'Population Definitions'!$A$5,"...")</f>
        <v>...</v>
      </c>
      <c r="E164" s="2"/>
      <c r="F164" s="3"/>
      <c r="G164" s="2"/>
      <c r="H164" s="4" t="str">
        <f>IF($E$15="Y","OR","...")</f>
        <v>...</v>
      </c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  <c r="BE164" s="2"/>
      <c r="BF164" s="2"/>
      <c r="BG164" s="2"/>
    </row>
    <row r="165" spans="1:59">
      <c r="A165" s="1" t="str">
        <f>IF($F$15="Y",'Population Definitions'!$A$12,"...")</f>
        <v>...</v>
      </c>
      <c r="B165" s="4" t="str">
        <f>IF($F$15="Y","---&gt;","...")</f>
        <v>...</v>
      </c>
      <c r="C165" s="1" t="str">
        <f>IF($F$15="Y",'Population Definitions'!$A$6,"...")</f>
        <v>...</v>
      </c>
      <c r="E165" s="2"/>
      <c r="F165" s="3"/>
      <c r="G165" s="2"/>
      <c r="H165" s="4" t="str">
        <f>IF($F$15="Y","OR","...")</f>
        <v>...</v>
      </c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  <c r="BE165" s="2"/>
      <c r="BF165" s="2"/>
      <c r="BG165" s="2"/>
    </row>
    <row r="166" spans="1:59">
      <c r="A166" s="1" t="str">
        <f>IF($G$15="Y",'Population Definitions'!$A$12,"...")</f>
        <v>...</v>
      </c>
      <c r="B166" s="4" t="str">
        <f>IF($G$15="Y","---&gt;","...")</f>
        <v>...</v>
      </c>
      <c r="C166" s="1" t="str">
        <f>IF($G$15="Y",'Population Definitions'!$A$7,"...")</f>
        <v>...</v>
      </c>
      <c r="E166" s="2"/>
      <c r="F166" s="3"/>
      <c r="G166" s="2"/>
      <c r="H166" s="4" t="str">
        <f>IF($G$15="Y","OR","...")</f>
        <v>...</v>
      </c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  <c r="BE166" s="2"/>
      <c r="BF166" s="2"/>
      <c r="BG166" s="2"/>
    </row>
    <row r="167" spans="1:59">
      <c r="A167" s="1" t="str">
        <f>IF($H$15="Y",'Population Definitions'!$A$12,"...")</f>
        <v>...</v>
      </c>
      <c r="B167" s="4" t="str">
        <f>IF($H$15="Y","---&gt;","...")</f>
        <v>...</v>
      </c>
      <c r="C167" s="1" t="str">
        <f>IF($H$15="Y",'Population Definitions'!$A$8,"...")</f>
        <v>...</v>
      </c>
      <c r="E167" s="2"/>
      <c r="F167" s="3"/>
      <c r="G167" s="2"/>
      <c r="H167" s="4" t="str">
        <f>IF($H$15="Y","OR","...")</f>
        <v>...</v>
      </c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  <c r="BE167" s="2"/>
      <c r="BF167" s="2"/>
      <c r="BG167" s="2"/>
    </row>
    <row r="168" spans="1:59">
      <c r="A168" s="1" t="str">
        <f>IF($I$15="Y",'Population Definitions'!$A$12,"...")</f>
        <v>...</v>
      </c>
      <c r="B168" s="4" t="str">
        <f>IF($I$15="Y","---&gt;","...")</f>
        <v>...</v>
      </c>
      <c r="C168" s="1" t="str">
        <f>IF($I$15="Y",'Population Definitions'!$A$9,"...")</f>
        <v>...</v>
      </c>
      <c r="E168" s="2"/>
      <c r="F168" s="3"/>
      <c r="G168" s="2"/>
      <c r="H168" s="4" t="str">
        <f>IF($I$15="Y","OR","...")</f>
        <v>...</v>
      </c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  <c r="BE168" s="2"/>
      <c r="BF168" s="2"/>
      <c r="BG168" s="2"/>
    </row>
    <row r="169" spans="1:59">
      <c r="A169" s="1" t="str">
        <f>IF($J$15="Y",'Population Definitions'!$A$12,"...")</f>
        <v>...</v>
      </c>
      <c r="B169" s="4" t="str">
        <f>IF($J$15="Y","---&gt;","...")</f>
        <v>...</v>
      </c>
      <c r="C169" s="1" t="str">
        <f>IF($J$15="Y",'Population Definitions'!$A$10,"...")</f>
        <v>...</v>
      </c>
      <c r="E169" s="2"/>
      <c r="F169" s="3"/>
      <c r="G169" s="2"/>
      <c r="H169" s="4" t="str">
        <f>IF($J$15="Y","OR","...")</f>
        <v>...</v>
      </c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  <c r="BE169" s="2"/>
      <c r="BF169" s="2"/>
      <c r="BG169" s="2"/>
    </row>
    <row r="170" spans="1:59">
      <c r="A170" s="1" t="str">
        <f>IF($K$15="Y",'Population Definitions'!$A$12,"...")</f>
        <v>...</v>
      </c>
      <c r="B170" s="4" t="str">
        <f>IF($K$15="Y","---&gt;","...")</f>
        <v>...</v>
      </c>
      <c r="C170" s="1" t="str">
        <f>IF($K$15="Y",'Population Definitions'!$A$11,"...")</f>
        <v>...</v>
      </c>
      <c r="E170" s="2"/>
      <c r="F170" s="3"/>
      <c r="G170" s="2"/>
      <c r="H170" s="4" t="str">
        <f>IF($K$15="Y","OR","...")</f>
        <v>...</v>
      </c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  <c r="BE170" s="2"/>
      <c r="BF170" s="2"/>
      <c r="BG170" s="2"/>
    </row>
    <row r="171" spans="1:59">
      <c r="A171" s="1" t="str">
        <f>IF($L$15="Y",'Population Definitions'!$A$12,"...")</f>
        <v>...</v>
      </c>
      <c r="B171" s="4" t="str">
        <f>IF($L$15="Y","---&gt;","...")</f>
        <v>...</v>
      </c>
      <c r="C171" s="1" t="str">
        <f>IF($L$15="Y",'Population Definitions'!$A$12,"...")</f>
        <v>...</v>
      </c>
      <c r="E171" s="2"/>
      <c r="F171" s="3"/>
      <c r="G171" s="2"/>
      <c r="H171" s="4" t="str">
        <f>IF($L$15="Y","OR","...")</f>
        <v>...</v>
      </c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  <c r="BE171" s="2"/>
      <c r="BF171" s="2"/>
      <c r="BG171" s="2"/>
    </row>
    <row r="172" spans="1:59">
      <c r="A172" s="1" t="str">
        <f>IF($M$15="Y",'Population Definitions'!$A$12,"...")</f>
        <v>...</v>
      </c>
      <c r="B172" s="4" t="str">
        <f>IF($M$15="Y","---&gt;","...")</f>
        <v>...</v>
      </c>
      <c r="C172" s="1" t="str">
        <f>IF($M$15="Y",'Population Definitions'!$A$13,"...")</f>
        <v>...</v>
      </c>
      <c r="E172" s="2"/>
      <c r="F172" s="3"/>
      <c r="G172" s="2"/>
      <c r="H172" s="4" t="str">
        <f>IF($M$15="Y","OR","...")</f>
        <v>...</v>
      </c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  <c r="BE172" s="2"/>
      <c r="BF172" s="2"/>
      <c r="BG172" s="2"/>
    </row>
    <row r="173" spans="1:59">
      <c r="A173" s="1" t="str">
        <f>IF($N$15="Y",'Population Definitions'!$A$12,"...")</f>
        <v>...</v>
      </c>
      <c r="B173" s="4" t="str">
        <f>IF($N$15="Y","---&gt;","...")</f>
        <v>...</v>
      </c>
      <c r="C173" s="1" t="str">
        <f>IF($N$15="Y",'Population Definitions'!$A$14,"...")</f>
        <v>...</v>
      </c>
      <c r="E173" s="2"/>
      <c r="F173" s="3"/>
      <c r="G173" s="2"/>
      <c r="H173" s="4" t="str">
        <f>IF($N$15="Y","OR","...")</f>
        <v>...</v>
      </c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  <c r="BE173" s="2"/>
      <c r="BF173" s="2"/>
      <c r="BG173" s="2"/>
    </row>
    <row r="174" spans="1:59">
      <c r="A174" s="1" t="str">
        <f>IF($O$15="Y",'Population Definitions'!$A$12,"...")</f>
        <v>...</v>
      </c>
      <c r="B174" s="4" t="str">
        <f>IF($O$15="Y","---&gt;","...")</f>
        <v>...</v>
      </c>
      <c r="C174" s="1" t="str">
        <f>IF($O$15="Y",'Population Definitions'!$A$15,"...")</f>
        <v>...</v>
      </c>
      <c r="E174" s="2"/>
      <c r="F174" s="3"/>
      <c r="G174" s="2"/>
      <c r="H174" s="4" t="str">
        <f>IF($O$15="Y","OR","...")</f>
        <v>...</v>
      </c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  <c r="BE174" s="2"/>
      <c r="BF174" s="2"/>
      <c r="BG174" s="2"/>
    </row>
    <row r="175" spans="1:59">
      <c r="A175" s="1" t="str">
        <f>IF($B$16="Y",'Population Definitions'!$A$13,"...")</f>
        <v>...</v>
      </c>
      <c r="B175" s="4" t="str">
        <f>IF($B$16="Y","---&gt;","...")</f>
        <v>...</v>
      </c>
      <c r="C175" s="1" t="str">
        <f>IF($B$16="Y",'Population Definitions'!$A$2,"...")</f>
        <v>...</v>
      </c>
      <c r="E175" s="2"/>
      <c r="F175" s="3"/>
      <c r="G175" s="2"/>
      <c r="H175" s="4" t="str">
        <f>IF($B$16="Y","OR","...")</f>
        <v>...</v>
      </c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  <c r="BE175" s="2"/>
      <c r="BF175" s="2"/>
      <c r="BG175" s="2"/>
    </row>
    <row r="176" spans="1:59">
      <c r="A176" s="1" t="str">
        <f>IF($C$16="Y",'Population Definitions'!$A$13,"...")</f>
        <v>...</v>
      </c>
      <c r="B176" s="4" t="str">
        <f>IF($C$16="Y","---&gt;","...")</f>
        <v>...</v>
      </c>
      <c r="C176" s="1" t="str">
        <f>IF($C$16="Y",'Population Definitions'!$A$3,"...")</f>
        <v>...</v>
      </c>
      <c r="E176" s="2"/>
      <c r="F176" s="3"/>
      <c r="G176" s="2"/>
      <c r="H176" s="4" t="str">
        <f>IF($C$16="Y","OR","...")</f>
        <v>...</v>
      </c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  <c r="BE176" s="2"/>
      <c r="BF176" s="2"/>
      <c r="BG176" s="2"/>
    </row>
    <row r="177" spans="1:59">
      <c r="A177" s="1" t="str">
        <f>IF($D$16="Y",'Population Definitions'!$A$13,"...")</f>
        <v>...</v>
      </c>
      <c r="B177" s="4" t="str">
        <f>IF($D$16="Y","---&gt;","...")</f>
        <v>...</v>
      </c>
      <c r="C177" s="1" t="str">
        <f>IF($D$16="Y",'Population Definitions'!$A$4,"...")</f>
        <v>...</v>
      </c>
      <c r="E177" s="2"/>
      <c r="F177" s="3"/>
      <c r="G177" s="2"/>
      <c r="H177" s="4" t="str">
        <f>IF($D$16="Y","OR","...")</f>
        <v>...</v>
      </c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  <c r="BE177" s="2"/>
      <c r="BF177" s="2"/>
      <c r="BG177" s="2"/>
    </row>
    <row r="178" spans="1:59">
      <c r="A178" s="1" t="str">
        <f>IF($E$16="Y",'Population Definitions'!$A$13,"...")</f>
        <v>...</v>
      </c>
      <c r="B178" s="4" t="str">
        <f>IF($E$16="Y","---&gt;","...")</f>
        <v>...</v>
      </c>
      <c r="C178" s="1" t="str">
        <f>IF($E$16="Y",'Population Definitions'!$A$5,"...")</f>
        <v>...</v>
      </c>
      <c r="E178" s="2"/>
      <c r="F178" s="3"/>
      <c r="G178" s="2"/>
      <c r="H178" s="4" t="str">
        <f>IF($E$16="Y","OR","...")</f>
        <v>...</v>
      </c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  <c r="BE178" s="2"/>
      <c r="BF178" s="2"/>
      <c r="BG178" s="2"/>
    </row>
    <row r="179" spans="1:59">
      <c r="A179" s="1" t="str">
        <f>IF($F$16="Y",'Population Definitions'!$A$13,"...")</f>
        <v>...</v>
      </c>
      <c r="B179" s="4" t="str">
        <f>IF($F$16="Y","---&gt;","...")</f>
        <v>...</v>
      </c>
      <c r="C179" s="1" t="str">
        <f>IF($F$16="Y",'Population Definitions'!$A$6,"...")</f>
        <v>...</v>
      </c>
      <c r="E179" s="2"/>
      <c r="F179" s="3"/>
      <c r="G179" s="2"/>
      <c r="H179" s="4" t="str">
        <f>IF($F$16="Y","OR","...")</f>
        <v>...</v>
      </c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  <c r="BE179" s="2"/>
      <c r="BF179" s="2"/>
      <c r="BG179" s="2"/>
    </row>
    <row r="180" spans="1:59">
      <c r="A180" s="1" t="str">
        <f>IF($G$16="Y",'Population Definitions'!$A$13,"...")</f>
        <v>...</v>
      </c>
      <c r="B180" s="4" t="str">
        <f>IF($G$16="Y","---&gt;","...")</f>
        <v>...</v>
      </c>
      <c r="C180" s="1" t="str">
        <f>IF($G$16="Y",'Population Definitions'!$A$7,"...")</f>
        <v>...</v>
      </c>
      <c r="E180" s="2"/>
      <c r="F180" s="3"/>
      <c r="G180" s="2"/>
      <c r="H180" s="4" t="str">
        <f>IF($G$16="Y","OR","...")</f>
        <v>...</v>
      </c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  <c r="BE180" s="2"/>
      <c r="BF180" s="2"/>
      <c r="BG180" s="2"/>
    </row>
    <row r="181" spans="1:59">
      <c r="A181" s="1" t="str">
        <f>IF($H$16="Y",'Population Definitions'!$A$13,"...")</f>
        <v>...</v>
      </c>
      <c r="B181" s="4" t="str">
        <f>IF($H$16="Y","---&gt;","...")</f>
        <v>...</v>
      </c>
      <c r="C181" s="1" t="str">
        <f>IF($H$16="Y",'Population Definitions'!$A$8,"...")</f>
        <v>...</v>
      </c>
      <c r="E181" s="2"/>
      <c r="F181" s="3"/>
      <c r="G181" s="2"/>
      <c r="H181" s="4" t="str">
        <f>IF($H$16="Y","OR","...")</f>
        <v>...</v>
      </c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  <c r="BE181" s="2"/>
      <c r="BF181" s="2"/>
      <c r="BG181" s="2"/>
    </row>
    <row r="182" spans="1:59">
      <c r="A182" s="1" t="str">
        <f>IF($I$16="Y",'Population Definitions'!$A$13,"...")</f>
        <v>...</v>
      </c>
      <c r="B182" s="4" t="str">
        <f>IF($I$16="Y","---&gt;","...")</f>
        <v>...</v>
      </c>
      <c r="C182" s="1" t="str">
        <f>IF($I$16="Y",'Population Definitions'!$A$9,"...")</f>
        <v>...</v>
      </c>
      <c r="E182" s="2"/>
      <c r="F182" s="3"/>
      <c r="G182" s="2"/>
      <c r="H182" s="4" t="str">
        <f>IF($I$16="Y","OR","...")</f>
        <v>...</v>
      </c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  <c r="BE182" s="2"/>
      <c r="BF182" s="2"/>
      <c r="BG182" s="2"/>
    </row>
    <row r="183" spans="1:59">
      <c r="A183" s="1" t="str">
        <f>IF($J$16="Y",'Population Definitions'!$A$13,"...")</f>
        <v>...</v>
      </c>
      <c r="B183" s="4" t="str">
        <f>IF($J$16="Y","---&gt;","...")</f>
        <v>...</v>
      </c>
      <c r="C183" s="1" t="str">
        <f>IF($J$16="Y",'Population Definitions'!$A$10,"...")</f>
        <v>...</v>
      </c>
      <c r="E183" s="2"/>
      <c r="F183" s="3"/>
      <c r="G183" s="2"/>
      <c r="H183" s="4" t="str">
        <f>IF($J$16="Y","OR","...")</f>
        <v>...</v>
      </c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2"/>
      <c r="BC183" s="2"/>
      <c r="BD183" s="2"/>
      <c r="BE183" s="2"/>
      <c r="BF183" s="2"/>
      <c r="BG183" s="2"/>
    </row>
    <row r="184" spans="1:59">
      <c r="A184" s="1" t="str">
        <f>IF($K$16="Y",'Population Definitions'!$A$13,"...")</f>
        <v>...</v>
      </c>
      <c r="B184" s="4" t="str">
        <f>IF($K$16="Y","---&gt;","...")</f>
        <v>...</v>
      </c>
      <c r="C184" s="1" t="str">
        <f>IF($K$16="Y",'Population Definitions'!$A$11,"...")</f>
        <v>...</v>
      </c>
      <c r="E184" s="2"/>
      <c r="F184" s="3"/>
      <c r="G184" s="2"/>
      <c r="H184" s="4" t="str">
        <f>IF($K$16="Y","OR","...")</f>
        <v>...</v>
      </c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  <c r="BE184" s="2"/>
      <c r="BF184" s="2"/>
      <c r="BG184" s="2"/>
    </row>
    <row r="185" spans="1:59">
      <c r="A185" s="1" t="str">
        <f>IF($L$16="Y",'Population Definitions'!$A$13,"...")</f>
        <v>...</v>
      </c>
      <c r="B185" s="4" t="str">
        <f>IF($L$16="Y","---&gt;","...")</f>
        <v>...</v>
      </c>
      <c r="C185" s="1" t="str">
        <f>IF($L$16="Y",'Population Definitions'!$A$12,"...")</f>
        <v>...</v>
      </c>
      <c r="E185" s="2"/>
      <c r="F185" s="3"/>
      <c r="G185" s="2"/>
      <c r="H185" s="4" t="str">
        <f>IF($L$16="Y","OR","...")</f>
        <v>...</v>
      </c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  <c r="BE185" s="2"/>
      <c r="BF185" s="2"/>
      <c r="BG185" s="2"/>
    </row>
    <row r="186" spans="1:59">
      <c r="A186" s="1" t="str">
        <f>IF($M$16="Y",'Population Definitions'!$A$13,"...")</f>
        <v>...</v>
      </c>
      <c r="B186" s="4" t="str">
        <f>IF($M$16="Y","---&gt;","...")</f>
        <v>...</v>
      </c>
      <c r="C186" s="1" t="str">
        <f>IF($M$16="Y",'Population Definitions'!$A$13,"...")</f>
        <v>...</v>
      </c>
      <c r="E186" s="2"/>
      <c r="F186" s="3"/>
      <c r="G186" s="2"/>
      <c r="H186" s="4" t="str">
        <f>IF($M$16="Y","OR","...")</f>
        <v>...</v>
      </c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  <c r="BE186" s="2"/>
      <c r="BF186" s="2"/>
      <c r="BG186" s="2"/>
    </row>
    <row r="187" spans="1:59">
      <c r="A187" s="1" t="str">
        <f>IF($N$16="Y",'Population Definitions'!$A$13,"...")</f>
        <v>...</v>
      </c>
      <c r="B187" s="4" t="str">
        <f>IF($N$16="Y","---&gt;","...")</f>
        <v>...</v>
      </c>
      <c r="C187" s="1" t="str">
        <f>IF($N$16="Y",'Population Definitions'!$A$14,"...")</f>
        <v>...</v>
      </c>
      <c r="E187" s="2"/>
      <c r="F187" s="3"/>
      <c r="G187" s="2"/>
      <c r="H187" s="4" t="str">
        <f>IF($N$16="Y","OR","...")</f>
        <v>...</v>
      </c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  <c r="BE187" s="2"/>
      <c r="BF187" s="2"/>
      <c r="BG187" s="2"/>
    </row>
    <row r="188" spans="1:59">
      <c r="A188" s="1" t="str">
        <f>IF($O$16="Y",'Population Definitions'!$A$13,"...")</f>
        <v>...</v>
      </c>
      <c r="B188" s="4" t="str">
        <f>IF($O$16="Y","---&gt;","...")</f>
        <v>...</v>
      </c>
      <c r="C188" s="1" t="str">
        <f>IF($O$16="Y",'Population Definitions'!$A$15,"...")</f>
        <v>...</v>
      </c>
      <c r="E188" s="2"/>
      <c r="F188" s="3"/>
      <c r="G188" s="2"/>
      <c r="H188" s="4" t="str">
        <f>IF($O$16="Y","OR","...")</f>
        <v>...</v>
      </c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  <c r="BE188" s="2"/>
      <c r="BF188" s="2"/>
      <c r="BG188" s="2"/>
    </row>
    <row r="189" spans="1:59">
      <c r="A189" s="1" t="str">
        <f>IF($B$17="Y",'Population Definitions'!$A$14,"...")</f>
        <v>...</v>
      </c>
      <c r="B189" s="4" t="str">
        <f>IF($B$17="Y","---&gt;","...")</f>
        <v>...</v>
      </c>
      <c r="C189" s="1" t="str">
        <f>IF($B$17="Y",'Population Definitions'!$A$2,"...")</f>
        <v>...</v>
      </c>
      <c r="E189" s="2"/>
      <c r="F189" s="3"/>
      <c r="G189" s="2"/>
      <c r="H189" s="4" t="str">
        <f>IF($B$17="Y","OR","...")</f>
        <v>...</v>
      </c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  <c r="BE189" s="2"/>
      <c r="BF189" s="2"/>
      <c r="BG189" s="2"/>
    </row>
    <row r="190" spans="1:59">
      <c r="A190" s="1" t="str">
        <f>IF($C$17="Y",'Population Definitions'!$A$14,"...")</f>
        <v>...</v>
      </c>
      <c r="B190" s="4" t="str">
        <f>IF($C$17="Y","---&gt;","...")</f>
        <v>...</v>
      </c>
      <c r="C190" s="1" t="str">
        <f>IF($C$17="Y",'Population Definitions'!$A$3,"...")</f>
        <v>...</v>
      </c>
      <c r="E190" s="2"/>
      <c r="F190" s="3"/>
      <c r="G190" s="2"/>
      <c r="H190" s="4" t="str">
        <f>IF($C$17="Y","OR","...")</f>
        <v>...</v>
      </c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  <c r="BE190" s="2"/>
      <c r="BF190" s="2"/>
      <c r="BG190" s="2"/>
    </row>
    <row r="191" spans="1:59">
      <c r="A191" s="1" t="str">
        <f>IF($D$17="Y",'Population Definitions'!$A$14,"...")</f>
        <v>...</v>
      </c>
      <c r="B191" s="4" t="str">
        <f>IF($D$17="Y","---&gt;","...")</f>
        <v>...</v>
      </c>
      <c r="C191" s="1" t="str">
        <f>IF($D$17="Y",'Population Definitions'!$A$4,"...")</f>
        <v>...</v>
      </c>
      <c r="E191" s="2"/>
      <c r="F191" s="3"/>
      <c r="G191" s="2"/>
      <c r="H191" s="4" t="str">
        <f>IF($D$17="Y","OR","...")</f>
        <v>...</v>
      </c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  <c r="BE191" s="2"/>
      <c r="BF191" s="2"/>
      <c r="BG191" s="2"/>
    </row>
    <row r="192" spans="1:59">
      <c r="A192" s="1" t="str">
        <f>IF($E$17="Y",'Population Definitions'!$A$14,"...")</f>
        <v>...</v>
      </c>
      <c r="B192" s="4" t="str">
        <f>IF($E$17="Y","---&gt;","...")</f>
        <v>...</v>
      </c>
      <c r="C192" s="1" t="str">
        <f>IF($E$17="Y",'Population Definitions'!$A$5,"...")</f>
        <v>...</v>
      </c>
      <c r="E192" s="2"/>
      <c r="F192" s="3"/>
      <c r="G192" s="2"/>
      <c r="H192" s="4" t="str">
        <f>IF($E$17="Y","OR","...")</f>
        <v>...</v>
      </c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  <c r="BE192" s="2"/>
      <c r="BF192" s="2"/>
      <c r="BG192" s="2"/>
    </row>
    <row r="193" spans="1:59">
      <c r="A193" s="1" t="str">
        <f>IF($F$17="Y",'Population Definitions'!$A$14,"...")</f>
        <v>...</v>
      </c>
      <c r="B193" s="4" t="str">
        <f>IF($F$17="Y","---&gt;","...")</f>
        <v>...</v>
      </c>
      <c r="C193" s="1" t="str">
        <f>IF($F$17="Y",'Population Definitions'!$A$6,"...")</f>
        <v>...</v>
      </c>
      <c r="E193" s="2"/>
      <c r="F193" s="3"/>
      <c r="G193" s="2"/>
      <c r="H193" s="4" t="str">
        <f>IF($F$17="Y","OR","...")</f>
        <v>...</v>
      </c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  <c r="BE193" s="2"/>
      <c r="BF193" s="2"/>
      <c r="BG193" s="2"/>
    </row>
    <row r="194" spans="1:59">
      <c r="A194" s="1" t="str">
        <f>IF($G$17="Y",'Population Definitions'!$A$14,"...")</f>
        <v>...</v>
      </c>
      <c r="B194" s="4" t="str">
        <f>IF($G$17="Y","---&gt;","...")</f>
        <v>...</v>
      </c>
      <c r="C194" s="1" t="str">
        <f>IF($G$17="Y",'Population Definitions'!$A$7,"...")</f>
        <v>...</v>
      </c>
      <c r="E194" s="2"/>
      <c r="F194" s="3"/>
      <c r="G194" s="2"/>
      <c r="H194" s="4" t="str">
        <f>IF($G$17="Y","OR","...")</f>
        <v>...</v>
      </c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  <c r="BE194" s="2"/>
      <c r="BF194" s="2"/>
      <c r="BG194" s="2"/>
    </row>
    <row r="195" spans="1:59">
      <c r="A195" s="1" t="str">
        <f>IF($H$17="Y",'Population Definitions'!$A$14,"...")</f>
        <v>...</v>
      </c>
      <c r="B195" s="4" t="str">
        <f>IF($H$17="Y","---&gt;","...")</f>
        <v>...</v>
      </c>
      <c r="C195" s="1" t="str">
        <f>IF($H$17="Y",'Population Definitions'!$A$8,"...")</f>
        <v>...</v>
      </c>
      <c r="E195" s="2"/>
      <c r="F195" s="3"/>
      <c r="G195" s="2"/>
      <c r="H195" s="4" t="str">
        <f>IF($H$17="Y","OR","...")</f>
        <v>...</v>
      </c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  <c r="BE195" s="2"/>
      <c r="BF195" s="2"/>
      <c r="BG195" s="2"/>
    </row>
    <row r="196" spans="1:59">
      <c r="A196" s="1" t="str">
        <f>IF($I$17="Y",'Population Definitions'!$A$14,"...")</f>
        <v>...</v>
      </c>
      <c r="B196" s="4" t="str">
        <f>IF($I$17="Y","---&gt;","...")</f>
        <v>...</v>
      </c>
      <c r="C196" s="1" t="str">
        <f>IF($I$17="Y",'Population Definitions'!$A$9,"...")</f>
        <v>...</v>
      </c>
      <c r="E196" s="2"/>
      <c r="F196" s="3"/>
      <c r="G196" s="2"/>
      <c r="H196" s="4" t="str">
        <f>IF($I$17="Y","OR","...")</f>
        <v>...</v>
      </c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  <c r="BE196" s="2"/>
      <c r="BF196" s="2"/>
      <c r="BG196" s="2"/>
    </row>
    <row r="197" spans="1:59">
      <c r="A197" s="1" t="str">
        <f>IF($J$17="Y",'Population Definitions'!$A$14,"...")</f>
        <v>...</v>
      </c>
      <c r="B197" s="4" t="str">
        <f>IF($J$17="Y","---&gt;","...")</f>
        <v>...</v>
      </c>
      <c r="C197" s="1" t="str">
        <f>IF($J$17="Y",'Population Definitions'!$A$10,"...")</f>
        <v>...</v>
      </c>
      <c r="E197" s="2"/>
      <c r="F197" s="3"/>
      <c r="G197" s="2"/>
      <c r="H197" s="4" t="str">
        <f>IF($J$17="Y","OR","...")</f>
        <v>...</v>
      </c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  <c r="BE197" s="2"/>
      <c r="BF197" s="2"/>
      <c r="BG197" s="2"/>
    </row>
    <row r="198" spans="1:59">
      <c r="A198" s="1" t="str">
        <f>IF($K$17="Y",'Population Definitions'!$A$14,"...")</f>
        <v>...</v>
      </c>
      <c r="B198" s="4" t="str">
        <f>IF($K$17="Y","---&gt;","...")</f>
        <v>...</v>
      </c>
      <c r="C198" s="1" t="str">
        <f>IF($K$17="Y",'Population Definitions'!$A$11,"...")</f>
        <v>...</v>
      </c>
      <c r="E198" s="2"/>
      <c r="F198" s="3"/>
      <c r="G198" s="2"/>
      <c r="H198" s="4" t="str">
        <f>IF($K$17="Y","OR","...")</f>
        <v>...</v>
      </c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  <c r="BE198" s="2"/>
      <c r="BF198" s="2"/>
      <c r="BG198" s="2"/>
    </row>
    <row r="199" spans="1:59">
      <c r="A199" s="1" t="str">
        <f>IF($L$17="Y",'Population Definitions'!$A$14,"...")</f>
        <v>...</v>
      </c>
      <c r="B199" s="4" t="str">
        <f>IF($L$17="Y","---&gt;","...")</f>
        <v>...</v>
      </c>
      <c r="C199" s="1" t="str">
        <f>IF($L$17="Y",'Population Definitions'!$A$12,"...")</f>
        <v>...</v>
      </c>
      <c r="E199" s="2"/>
      <c r="F199" s="3"/>
      <c r="G199" s="2"/>
      <c r="H199" s="4" t="str">
        <f>IF($L$17="Y","OR","...")</f>
        <v>...</v>
      </c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/>
      <c r="BB199" s="2"/>
      <c r="BC199" s="2"/>
      <c r="BD199" s="2"/>
      <c r="BE199" s="2"/>
      <c r="BF199" s="2"/>
      <c r="BG199" s="2"/>
    </row>
    <row r="200" spans="1:59">
      <c r="A200" s="1" t="str">
        <f>IF($M$17="Y",'Population Definitions'!$A$14,"...")</f>
        <v>...</v>
      </c>
      <c r="B200" s="4" t="str">
        <f>IF($M$17="Y","---&gt;","...")</f>
        <v>...</v>
      </c>
      <c r="C200" s="1" t="str">
        <f>IF($M$17="Y",'Population Definitions'!$A$13,"...")</f>
        <v>...</v>
      </c>
      <c r="E200" s="2"/>
      <c r="F200" s="3"/>
      <c r="G200" s="2"/>
      <c r="H200" s="4" t="str">
        <f>IF($M$17="Y","OR","...")</f>
        <v>...</v>
      </c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/>
      <c r="BB200" s="2"/>
      <c r="BC200" s="2"/>
      <c r="BD200" s="2"/>
      <c r="BE200" s="2"/>
      <c r="BF200" s="2"/>
      <c r="BG200" s="2"/>
    </row>
    <row r="201" spans="1:59">
      <c r="A201" s="1" t="str">
        <f>IF($N$17="Y",'Population Definitions'!$A$14,"...")</f>
        <v>Prisoners_PWID_males</v>
      </c>
      <c r="B201" s="4" t="str">
        <f>IF($N$17="Y","---&gt;","...")</f>
        <v>---&gt;</v>
      </c>
      <c r="C201" s="1" t="str">
        <f>IF($N$17="Y",'Population Definitions'!$A$14,"...")</f>
        <v>Prisoners_PWID_males</v>
      </c>
      <c r="D201" t="s">
        <v>62</v>
      </c>
      <c r="E201" s="3" t="s">
        <v>58</v>
      </c>
      <c r="F201" s="3"/>
      <c r="G201" s="3">
        <v>1</v>
      </c>
      <c r="H201" s="4" t="str">
        <f>IF($N$17="Y","OR","...")</f>
        <v>OR</v>
      </c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</row>
    <row r="202" spans="1:59">
      <c r="A202" s="1" t="str">
        <f>IF($O$17="Y",'Population Definitions'!$A$14,"...")</f>
        <v>...</v>
      </c>
      <c r="B202" s="4" t="str">
        <f>IF($O$17="Y","---&gt;","...")</f>
        <v>...</v>
      </c>
      <c r="C202" s="1" t="str">
        <f>IF($O$17="Y",'Population Definitions'!$A$15,"...")</f>
        <v>...</v>
      </c>
      <c r="E202" s="2"/>
      <c r="F202" s="3"/>
      <c r="G202" s="2"/>
      <c r="H202" s="4" t="str">
        <f>IF($O$17="Y","OR","...")</f>
        <v>...</v>
      </c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  <c r="BE202" s="2"/>
      <c r="BF202" s="2"/>
      <c r="BG202" s="2"/>
    </row>
    <row r="203" spans="1:59">
      <c r="A203" s="1" t="str">
        <f>IF($B$18="Y",'Population Definitions'!$A$15,"...")</f>
        <v>...</v>
      </c>
      <c r="B203" s="4" t="str">
        <f>IF($B$18="Y","---&gt;","...")</f>
        <v>...</v>
      </c>
      <c r="C203" s="1" t="str">
        <f>IF($B$18="Y",'Population Definitions'!$A$2,"...")</f>
        <v>...</v>
      </c>
      <c r="E203" s="2"/>
      <c r="F203" s="3"/>
      <c r="G203" s="2"/>
      <c r="H203" s="4" t="str">
        <f>IF($B$18="Y","OR","...")</f>
        <v>...</v>
      </c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  <c r="BE203" s="2"/>
      <c r="BF203" s="2"/>
      <c r="BG203" s="2"/>
    </row>
    <row r="204" spans="1:59">
      <c r="A204" s="1" t="str">
        <f>IF($C$18="Y",'Population Definitions'!$A$15,"...")</f>
        <v>...</v>
      </c>
      <c r="B204" s="4" t="str">
        <f>IF($C$18="Y","---&gt;","...")</f>
        <v>...</v>
      </c>
      <c r="C204" s="1" t="str">
        <f>IF($C$18="Y",'Population Definitions'!$A$3,"...")</f>
        <v>...</v>
      </c>
      <c r="E204" s="2"/>
      <c r="F204" s="3"/>
      <c r="G204" s="2"/>
      <c r="H204" s="4" t="str">
        <f>IF($C$18="Y","OR","...")</f>
        <v>...</v>
      </c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  <c r="BE204" s="2"/>
      <c r="BF204" s="2"/>
      <c r="BG204" s="2"/>
    </row>
    <row r="205" spans="1:59">
      <c r="A205" s="1" t="str">
        <f>IF($D$18="Y",'Population Definitions'!$A$15,"...")</f>
        <v>...</v>
      </c>
      <c r="B205" s="4" t="str">
        <f>IF($D$18="Y","---&gt;","...")</f>
        <v>...</v>
      </c>
      <c r="C205" s="1" t="str">
        <f>IF($D$18="Y",'Population Definitions'!$A$4,"...")</f>
        <v>...</v>
      </c>
      <c r="E205" s="2"/>
      <c r="F205" s="3"/>
      <c r="G205" s="2"/>
      <c r="H205" s="4" t="str">
        <f>IF($D$18="Y","OR","...")</f>
        <v>...</v>
      </c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  <c r="BE205" s="2"/>
      <c r="BF205" s="2"/>
      <c r="BG205" s="2"/>
    </row>
    <row r="206" spans="1:59">
      <c r="A206" s="1" t="str">
        <f>IF($E$18="Y",'Population Definitions'!$A$15,"...")</f>
        <v>...</v>
      </c>
      <c r="B206" s="4" t="str">
        <f>IF($E$18="Y","---&gt;","...")</f>
        <v>...</v>
      </c>
      <c r="C206" s="1" t="str">
        <f>IF($E$18="Y",'Population Definitions'!$A$5,"...")</f>
        <v>...</v>
      </c>
      <c r="E206" s="2"/>
      <c r="F206" s="3"/>
      <c r="G206" s="2"/>
      <c r="H206" s="4" t="str">
        <f>IF($E$18="Y","OR","...")</f>
        <v>...</v>
      </c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  <c r="BE206" s="2"/>
      <c r="BF206" s="2"/>
      <c r="BG206" s="2"/>
    </row>
    <row r="207" spans="1:59">
      <c r="A207" s="1" t="str">
        <f>IF($F$18="Y",'Population Definitions'!$A$15,"...")</f>
        <v>...</v>
      </c>
      <c r="B207" s="4" t="str">
        <f>IF($F$18="Y","---&gt;","...")</f>
        <v>...</v>
      </c>
      <c r="C207" s="1" t="str">
        <f>IF($F$18="Y",'Population Definitions'!$A$6,"...")</f>
        <v>...</v>
      </c>
      <c r="E207" s="2"/>
      <c r="F207" s="3"/>
      <c r="G207" s="2"/>
      <c r="H207" s="4" t="str">
        <f>IF($F$18="Y","OR","...")</f>
        <v>...</v>
      </c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  <c r="BE207" s="2"/>
      <c r="BF207" s="2"/>
      <c r="BG207" s="2"/>
    </row>
    <row r="208" spans="1:59">
      <c r="A208" s="1" t="str">
        <f>IF($G$18="Y",'Population Definitions'!$A$15,"...")</f>
        <v>...</v>
      </c>
      <c r="B208" s="4" t="str">
        <f>IF($G$18="Y","---&gt;","...")</f>
        <v>...</v>
      </c>
      <c r="C208" s="1" t="str">
        <f>IF($G$18="Y",'Population Definitions'!$A$7,"...")</f>
        <v>...</v>
      </c>
      <c r="E208" s="2"/>
      <c r="F208" s="3"/>
      <c r="G208" s="2"/>
      <c r="H208" s="4" t="str">
        <f>IF($G$18="Y","OR","...")</f>
        <v>...</v>
      </c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  <c r="AV208" s="2"/>
      <c r="AW208" s="2"/>
      <c r="AX208" s="2"/>
      <c r="AY208" s="2"/>
      <c r="AZ208" s="2"/>
      <c r="BA208" s="2"/>
      <c r="BB208" s="2"/>
      <c r="BC208" s="2"/>
      <c r="BD208" s="2"/>
      <c r="BE208" s="2"/>
      <c r="BF208" s="2"/>
      <c r="BG208" s="2"/>
    </row>
    <row r="209" spans="1:59">
      <c r="A209" s="1" t="str">
        <f>IF($H$18="Y",'Population Definitions'!$A$15,"...")</f>
        <v>...</v>
      </c>
      <c r="B209" s="4" t="str">
        <f>IF($H$18="Y","---&gt;","...")</f>
        <v>...</v>
      </c>
      <c r="C209" s="1" t="str">
        <f>IF($H$18="Y",'Population Definitions'!$A$8,"...")</f>
        <v>...</v>
      </c>
      <c r="E209" s="2"/>
      <c r="F209" s="3"/>
      <c r="G209" s="2"/>
      <c r="H209" s="4" t="str">
        <f>IF($H$18="Y","OR","...")</f>
        <v>...</v>
      </c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2"/>
      <c r="BE209" s="2"/>
      <c r="BF209" s="2"/>
      <c r="BG209" s="2"/>
    </row>
    <row r="210" spans="1:59">
      <c r="A210" s="1" t="str">
        <f>IF($I$18="Y",'Population Definitions'!$A$15,"...")</f>
        <v>...</v>
      </c>
      <c r="B210" s="4" t="str">
        <f>IF($I$18="Y","---&gt;","...")</f>
        <v>...</v>
      </c>
      <c r="C210" s="1" t="str">
        <f>IF($I$18="Y",'Population Definitions'!$A$9,"...")</f>
        <v>...</v>
      </c>
      <c r="E210" s="2"/>
      <c r="F210" s="3"/>
      <c r="G210" s="2"/>
      <c r="H210" s="4" t="str">
        <f>IF($I$18="Y","OR","...")</f>
        <v>...</v>
      </c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2"/>
      <c r="BE210" s="2"/>
      <c r="BF210" s="2"/>
      <c r="BG210" s="2"/>
    </row>
    <row r="211" spans="1:59">
      <c r="A211" s="1" t="str">
        <f>IF($J$18="Y",'Population Definitions'!$A$15,"...")</f>
        <v>...</v>
      </c>
      <c r="B211" s="4" t="str">
        <f>IF($J$18="Y","---&gt;","...")</f>
        <v>...</v>
      </c>
      <c r="C211" s="1" t="str">
        <f>IF($J$18="Y",'Population Definitions'!$A$10,"...")</f>
        <v>...</v>
      </c>
      <c r="E211" s="2"/>
      <c r="F211" s="3"/>
      <c r="G211" s="2"/>
      <c r="H211" s="4" t="str">
        <f>IF($J$18="Y","OR","...")</f>
        <v>...</v>
      </c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  <c r="BD211" s="2"/>
      <c r="BE211" s="2"/>
      <c r="BF211" s="2"/>
      <c r="BG211" s="2"/>
    </row>
    <row r="212" spans="1:59">
      <c r="A212" s="1" t="str">
        <f>IF($K$18="Y",'Population Definitions'!$A$15,"...")</f>
        <v>...</v>
      </c>
      <c r="B212" s="4" t="str">
        <f>IF($K$18="Y","---&gt;","...")</f>
        <v>...</v>
      </c>
      <c r="C212" s="1" t="str">
        <f>IF($K$18="Y",'Population Definitions'!$A$11,"...")</f>
        <v>...</v>
      </c>
      <c r="E212" s="2"/>
      <c r="F212" s="3"/>
      <c r="G212" s="2"/>
      <c r="H212" s="4" t="str">
        <f>IF($K$18="Y","OR","...")</f>
        <v>...</v>
      </c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  <c r="BD212" s="2"/>
      <c r="BE212" s="2"/>
      <c r="BF212" s="2"/>
      <c r="BG212" s="2"/>
    </row>
    <row r="213" spans="1:59">
      <c r="A213" s="1" t="str">
        <f>IF($L$18="Y",'Population Definitions'!$A$15,"...")</f>
        <v>...</v>
      </c>
      <c r="B213" s="4" t="str">
        <f>IF($L$18="Y","---&gt;","...")</f>
        <v>...</v>
      </c>
      <c r="C213" s="1" t="str">
        <f>IF($L$18="Y",'Population Definitions'!$A$12,"...")</f>
        <v>...</v>
      </c>
      <c r="E213" s="2"/>
      <c r="F213" s="3"/>
      <c r="G213" s="2"/>
      <c r="H213" s="4" t="str">
        <f>IF($L$18="Y","OR","...")</f>
        <v>...</v>
      </c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  <c r="BD213" s="2"/>
      <c r="BE213" s="2"/>
      <c r="BF213" s="2"/>
      <c r="BG213" s="2"/>
    </row>
    <row r="214" spans="1:59">
      <c r="A214" s="1" t="str">
        <f>IF($M$18="Y",'Population Definitions'!$A$15,"...")</f>
        <v>...</v>
      </c>
      <c r="B214" s="4" t="str">
        <f>IF($M$18="Y","---&gt;","...")</f>
        <v>...</v>
      </c>
      <c r="C214" s="1" t="str">
        <f>IF($M$18="Y",'Population Definitions'!$A$13,"...")</f>
        <v>...</v>
      </c>
      <c r="E214" s="2"/>
      <c r="F214" s="3"/>
      <c r="G214" s="2"/>
      <c r="H214" s="4" t="str">
        <f>IF($M$18="Y","OR","...")</f>
        <v>...</v>
      </c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  <c r="BD214" s="2"/>
      <c r="BE214" s="2"/>
      <c r="BF214" s="2"/>
      <c r="BG214" s="2"/>
    </row>
    <row r="215" spans="1:59">
      <c r="A215" s="1" t="str">
        <f>IF($N$18="Y",'Population Definitions'!$A$15,"...")</f>
        <v>...</v>
      </c>
      <c r="B215" s="4" t="str">
        <f>IF($N$18="Y","---&gt;","...")</f>
        <v>...</v>
      </c>
      <c r="C215" s="1" t="str">
        <f>IF($N$18="Y",'Population Definitions'!$A$14,"...")</f>
        <v>...</v>
      </c>
      <c r="E215" s="2"/>
      <c r="F215" s="3"/>
      <c r="G215" s="2"/>
      <c r="H215" s="4" t="str">
        <f>IF($N$18="Y","OR","...")</f>
        <v>...</v>
      </c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  <c r="BD215" s="2"/>
      <c r="BE215" s="2"/>
      <c r="BF215" s="2"/>
      <c r="BG215" s="2"/>
    </row>
    <row r="216" spans="1:59">
      <c r="A216" s="1" t="str">
        <f>IF($O$18="Y",'Population Definitions'!$A$15,"...")</f>
        <v>Prisoners_PWID_females</v>
      </c>
      <c r="B216" s="4" t="str">
        <f>IF($O$18="Y","---&gt;","...")</f>
        <v>---&gt;</v>
      </c>
      <c r="C216" s="1" t="str">
        <f>IF($O$18="Y",'Population Definitions'!$A$15,"...")</f>
        <v>Prisoners_PWID_females</v>
      </c>
      <c r="D216" t="s">
        <v>62</v>
      </c>
      <c r="E216" s="3" t="s">
        <v>58</v>
      </c>
      <c r="F216" s="3"/>
      <c r="G216" s="3">
        <v>1</v>
      </c>
      <c r="H216" s="4" t="str">
        <f>IF($O$18="Y","OR","...")</f>
        <v>OR</v>
      </c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  <c r="BF216" s="3"/>
      <c r="BG216" s="3"/>
    </row>
    <row r="218" spans="1:59">
      <c r="A218" s="1" t="s">
        <v>0</v>
      </c>
      <c r="B218" s="1" t="s">
        <v>1</v>
      </c>
      <c r="C218" s="1" t="s">
        <v>226</v>
      </c>
      <c r="D218" s="1" t="s">
        <v>227</v>
      </c>
    </row>
    <row r="219" spans="1:59">
      <c r="A219" t="s">
        <v>428</v>
      </c>
      <c r="B219" t="s">
        <v>429</v>
      </c>
      <c r="C219" t="s">
        <v>5</v>
      </c>
      <c r="D219" t="s">
        <v>5</v>
      </c>
    </row>
    <row r="221" spans="1:59">
      <c r="B221" s="1" t="str">
        <f>'Population Definitions'!$A$2</f>
        <v>PWID_males</v>
      </c>
      <c r="C221" s="1" t="str">
        <f>'Population Definitions'!$A$3</f>
        <v>PWID_females</v>
      </c>
      <c r="D221" s="1" t="str">
        <f>'Population Definitions'!$A$4</f>
        <v>0-9_males</v>
      </c>
      <c r="E221" s="1" t="str">
        <f>'Population Definitions'!$A$5</f>
        <v>0-9_females</v>
      </c>
      <c r="F221" s="1" t="str">
        <f>'Population Definitions'!$A$6</f>
        <v>10-17_males</v>
      </c>
      <c r="G221" s="1" t="str">
        <f>'Population Definitions'!$A$7</f>
        <v>10-17_females</v>
      </c>
      <c r="H221" s="1" t="str">
        <f>'Population Definitions'!$A$8</f>
        <v>18-64_males</v>
      </c>
      <c r="I221" s="1" t="str">
        <f>'Population Definitions'!$A$9</f>
        <v>18-64_females</v>
      </c>
      <c r="J221" s="1" t="str">
        <f>'Population Definitions'!$A$10</f>
        <v>65+_males</v>
      </c>
      <c r="K221" s="1" t="str">
        <f>'Population Definitions'!$A$11</f>
        <v>65+_females</v>
      </c>
      <c r="L221" s="1" t="str">
        <f>'Population Definitions'!$A$12</f>
        <v>Prisoners_males</v>
      </c>
      <c r="M221" s="1" t="str">
        <f>'Population Definitions'!$A$13</f>
        <v>Prisoners_females</v>
      </c>
      <c r="N221" s="1" t="str">
        <f>'Population Definitions'!$A$14</f>
        <v>Prisoners_PWID_males</v>
      </c>
      <c r="O221" s="1" t="str">
        <f>'Population Definitions'!$A$15</f>
        <v>Prisoners_PWID_females</v>
      </c>
    </row>
    <row r="222" spans="1:59">
      <c r="A222" s="1" t="str">
        <f>'Population Definitions'!$A$2</f>
        <v>PWID_males</v>
      </c>
      <c r="B222" s="5" t="s">
        <v>229</v>
      </c>
      <c r="C222" s="5" t="s">
        <v>229</v>
      </c>
      <c r="D222" s="5" t="s">
        <v>229</v>
      </c>
      <c r="E222" s="5" t="s">
        <v>229</v>
      </c>
      <c r="F222" s="5" t="s">
        <v>229</v>
      </c>
      <c r="G222" s="5" t="s">
        <v>229</v>
      </c>
      <c r="H222" s="5" t="s">
        <v>229</v>
      </c>
      <c r="I222" s="5" t="s">
        <v>229</v>
      </c>
      <c r="J222" s="5" t="s">
        <v>229</v>
      </c>
      <c r="K222" s="5" t="s">
        <v>229</v>
      </c>
      <c r="L222" s="5" t="s">
        <v>229</v>
      </c>
      <c r="M222" s="5" t="s">
        <v>229</v>
      </c>
      <c r="N222" s="5" t="s">
        <v>229</v>
      </c>
      <c r="O222" s="5" t="s">
        <v>229</v>
      </c>
    </row>
    <row r="223" spans="1:59">
      <c r="A223" s="1" t="str">
        <f>'Population Definitions'!$A$3</f>
        <v>PWID_females</v>
      </c>
      <c r="B223" s="5" t="s">
        <v>229</v>
      </c>
      <c r="C223" s="5" t="s">
        <v>229</v>
      </c>
      <c r="D223" s="5" t="s">
        <v>229</v>
      </c>
      <c r="E223" s="5" t="s">
        <v>229</v>
      </c>
      <c r="F223" s="5" t="s">
        <v>229</v>
      </c>
      <c r="G223" s="5" t="s">
        <v>229</v>
      </c>
      <c r="H223" s="5" t="s">
        <v>229</v>
      </c>
      <c r="I223" s="5" t="s">
        <v>229</v>
      </c>
      <c r="J223" s="5" t="s">
        <v>229</v>
      </c>
      <c r="K223" s="5" t="s">
        <v>229</v>
      </c>
      <c r="L223" s="5" t="s">
        <v>229</v>
      </c>
      <c r="M223" s="5" t="s">
        <v>229</v>
      </c>
      <c r="N223" s="5" t="s">
        <v>229</v>
      </c>
      <c r="O223" s="5" t="s">
        <v>229</v>
      </c>
    </row>
    <row r="224" spans="1:59">
      <c r="A224" s="1" t="str">
        <f>'Population Definitions'!$A$4</f>
        <v>0-9_males</v>
      </c>
      <c r="B224" s="5" t="s">
        <v>229</v>
      </c>
      <c r="C224" s="5" t="s">
        <v>229</v>
      </c>
      <c r="D224" s="5" t="s">
        <v>229</v>
      </c>
      <c r="E224" s="5" t="s">
        <v>229</v>
      </c>
      <c r="F224" s="5" t="s">
        <v>229</v>
      </c>
      <c r="G224" s="5" t="s">
        <v>229</v>
      </c>
      <c r="H224" s="5" t="s">
        <v>229</v>
      </c>
      <c r="I224" s="5" t="s">
        <v>229</v>
      </c>
      <c r="J224" s="5" t="s">
        <v>229</v>
      </c>
      <c r="K224" s="5" t="s">
        <v>229</v>
      </c>
      <c r="L224" s="5" t="s">
        <v>229</v>
      </c>
      <c r="M224" s="5" t="s">
        <v>229</v>
      </c>
      <c r="N224" s="5" t="s">
        <v>229</v>
      </c>
      <c r="O224" s="5" t="s">
        <v>229</v>
      </c>
    </row>
    <row r="225" spans="1:59">
      <c r="A225" s="1" t="str">
        <f>'Population Definitions'!$A$5</f>
        <v>0-9_females</v>
      </c>
      <c r="B225" s="5" t="s">
        <v>229</v>
      </c>
      <c r="C225" s="5" t="s">
        <v>229</v>
      </c>
      <c r="D225" s="5" t="s">
        <v>229</v>
      </c>
      <c r="E225" s="5" t="s">
        <v>229</v>
      </c>
      <c r="F225" s="5" t="s">
        <v>229</v>
      </c>
      <c r="G225" s="5" t="s">
        <v>229</v>
      </c>
      <c r="H225" s="5" t="s">
        <v>229</v>
      </c>
      <c r="I225" s="5" t="s">
        <v>229</v>
      </c>
      <c r="J225" s="5" t="s">
        <v>229</v>
      </c>
      <c r="K225" s="5" t="s">
        <v>229</v>
      </c>
      <c r="L225" s="5" t="s">
        <v>229</v>
      </c>
      <c r="M225" s="5" t="s">
        <v>229</v>
      </c>
      <c r="N225" s="5" t="s">
        <v>229</v>
      </c>
      <c r="O225" s="5" t="s">
        <v>229</v>
      </c>
    </row>
    <row r="226" spans="1:59">
      <c r="A226" s="1" t="str">
        <f>'Population Definitions'!$A$6</f>
        <v>10-17_males</v>
      </c>
      <c r="B226" s="5" t="s">
        <v>229</v>
      </c>
      <c r="C226" s="5" t="s">
        <v>229</v>
      </c>
      <c r="D226" s="5" t="s">
        <v>229</v>
      </c>
      <c r="E226" s="5" t="s">
        <v>229</v>
      </c>
      <c r="F226" s="5" t="s">
        <v>229</v>
      </c>
      <c r="G226" s="5" t="s">
        <v>229</v>
      </c>
      <c r="H226" s="5" t="s">
        <v>229</v>
      </c>
      <c r="I226" s="5" t="s">
        <v>229</v>
      </c>
      <c r="J226" s="5" t="s">
        <v>229</v>
      </c>
      <c r="K226" s="5" t="s">
        <v>229</v>
      </c>
      <c r="L226" s="5" t="s">
        <v>229</v>
      </c>
      <c r="M226" s="5" t="s">
        <v>229</v>
      </c>
      <c r="N226" s="5" t="s">
        <v>229</v>
      </c>
      <c r="O226" s="5" t="s">
        <v>229</v>
      </c>
    </row>
    <row r="227" spans="1:59">
      <c r="A227" s="1" t="str">
        <f>'Population Definitions'!$A$7</f>
        <v>10-17_females</v>
      </c>
      <c r="B227" s="5" t="s">
        <v>229</v>
      </c>
      <c r="C227" s="5" t="s">
        <v>229</v>
      </c>
      <c r="D227" s="5" t="s">
        <v>229</v>
      </c>
      <c r="E227" s="5" t="s">
        <v>229</v>
      </c>
      <c r="F227" s="5" t="s">
        <v>229</v>
      </c>
      <c r="G227" s="5" t="s">
        <v>229</v>
      </c>
      <c r="H227" s="5" t="s">
        <v>229</v>
      </c>
      <c r="I227" s="5" t="s">
        <v>229</v>
      </c>
      <c r="J227" s="5" t="s">
        <v>229</v>
      </c>
      <c r="K227" s="5" t="s">
        <v>229</v>
      </c>
      <c r="L227" s="5" t="s">
        <v>229</v>
      </c>
      <c r="M227" s="5" t="s">
        <v>229</v>
      </c>
      <c r="N227" s="5" t="s">
        <v>229</v>
      </c>
      <c r="O227" s="5" t="s">
        <v>229</v>
      </c>
    </row>
    <row r="228" spans="1:59">
      <c r="A228" s="1" t="str">
        <f>'Population Definitions'!$A$8</f>
        <v>18-64_males</v>
      </c>
      <c r="B228" s="5" t="s">
        <v>229</v>
      </c>
      <c r="C228" s="5" t="s">
        <v>229</v>
      </c>
      <c r="D228" s="5" t="s">
        <v>229</v>
      </c>
      <c r="E228" s="5" t="s">
        <v>229</v>
      </c>
      <c r="F228" s="5" t="s">
        <v>229</v>
      </c>
      <c r="G228" s="5" t="s">
        <v>229</v>
      </c>
      <c r="H228" s="5" t="s">
        <v>228</v>
      </c>
      <c r="I228" s="5" t="s">
        <v>228</v>
      </c>
      <c r="J228" s="5" t="s">
        <v>228</v>
      </c>
      <c r="K228" s="5" t="s">
        <v>228</v>
      </c>
      <c r="L228" s="5" t="s">
        <v>229</v>
      </c>
      <c r="M228" s="5" t="s">
        <v>229</v>
      </c>
      <c r="N228" s="5" t="s">
        <v>229</v>
      </c>
      <c r="O228" s="5" t="s">
        <v>229</v>
      </c>
    </row>
    <row r="229" spans="1:59">
      <c r="A229" s="1" t="str">
        <f>'Population Definitions'!$A$9</f>
        <v>18-64_females</v>
      </c>
      <c r="B229" s="5" t="s">
        <v>229</v>
      </c>
      <c r="C229" s="5" t="s">
        <v>229</v>
      </c>
      <c r="D229" s="5" t="s">
        <v>229</v>
      </c>
      <c r="E229" s="5" t="s">
        <v>229</v>
      </c>
      <c r="F229" s="5" t="s">
        <v>229</v>
      </c>
      <c r="G229" s="5" t="s">
        <v>229</v>
      </c>
      <c r="H229" s="5" t="s">
        <v>228</v>
      </c>
      <c r="I229" s="5" t="s">
        <v>228</v>
      </c>
      <c r="J229" s="5" t="s">
        <v>228</v>
      </c>
      <c r="K229" s="5" t="s">
        <v>228</v>
      </c>
      <c r="L229" s="5" t="s">
        <v>229</v>
      </c>
      <c r="M229" s="5" t="s">
        <v>229</v>
      </c>
      <c r="N229" s="5" t="s">
        <v>229</v>
      </c>
      <c r="O229" s="5" t="s">
        <v>229</v>
      </c>
    </row>
    <row r="230" spans="1:59">
      <c r="A230" s="1" t="str">
        <f>'Population Definitions'!$A$10</f>
        <v>65+_males</v>
      </c>
      <c r="B230" s="5" t="s">
        <v>229</v>
      </c>
      <c r="C230" s="5" t="s">
        <v>229</v>
      </c>
      <c r="D230" s="5" t="s">
        <v>229</v>
      </c>
      <c r="E230" s="5" t="s">
        <v>229</v>
      </c>
      <c r="F230" s="5" t="s">
        <v>229</v>
      </c>
      <c r="G230" s="5" t="s">
        <v>229</v>
      </c>
      <c r="H230" s="5" t="s">
        <v>228</v>
      </c>
      <c r="I230" s="5" t="s">
        <v>228</v>
      </c>
      <c r="J230" s="5" t="s">
        <v>228</v>
      </c>
      <c r="K230" s="5" t="s">
        <v>228</v>
      </c>
      <c r="L230" s="5" t="s">
        <v>229</v>
      </c>
      <c r="M230" s="5" t="s">
        <v>229</v>
      </c>
      <c r="N230" s="5" t="s">
        <v>229</v>
      </c>
      <c r="O230" s="5" t="s">
        <v>229</v>
      </c>
    </row>
    <row r="231" spans="1:59">
      <c r="A231" s="1" t="str">
        <f>'Population Definitions'!$A$11</f>
        <v>65+_females</v>
      </c>
      <c r="B231" s="5" t="s">
        <v>229</v>
      </c>
      <c r="C231" s="5" t="s">
        <v>229</v>
      </c>
      <c r="D231" s="5" t="s">
        <v>229</v>
      </c>
      <c r="E231" s="5" t="s">
        <v>229</v>
      </c>
      <c r="F231" s="5" t="s">
        <v>229</v>
      </c>
      <c r="G231" s="5" t="s">
        <v>229</v>
      </c>
      <c r="H231" s="5" t="s">
        <v>228</v>
      </c>
      <c r="I231" s="5" t="s">
        <v>228</v>
      </c>
      <c r="J231" s="5" t="s">
        <v>228</v>
      </c>
      <c r="K231" s="5" t="s">
        <v>228</v>
      </c>
      <c r="L231" s="5" t="s">
        <v>229</v>
      </c>
      <c r="M231" s="5" t="s">
        <v>229</v>
      </c>
      <c r="N231" s="5" t="s">
        <v>229</v>
      </c>
      <c r="O231" s="5" t="s">
        <v>229</v>
      </c>
    </row>
    <row r="232" spans="1:59">
      <c r="A232" s="1" t="str">
        <f>'Population Definitions'!$A$12</f>
        <v>Prisoners_males</v>
      </c>
      <c r="B232" s="5" t="s">
        <v>229</v>
      </c>
      <c r="C232" s="5" t="s">
        <v>229</v>
      </c>
      <c r="D232" s="5" t="s">
        <v>229</v>
      </c>
      <c r="E232" s="5" t="s">
        <v>229</v>
      </c>
      <c r="F232" s="5" t="s">
        <v>229</v>
      </c>
      <c r="G232" s="5" t="s">
        <v>229</v>
      </c>
      <c r="H232" s="5" t="s">
        <v>229</v>
      </c>
      <c r="I232" s="5" t="s">
        <v>229</v>
      </c>
      <c r="J232" s="5" t="s">
        <v>229</v>
      </c>
      <c r="K232" s="5" t="s">
        <v>229</v>
      </c>
      <c r="L232" s="5" t="s">
        <v>229</v>
      </c>
      <c r="M232" s="5" t="s">
        <v>229</v>
      </c>
      <c r="N232" s="5" t="s">
        <v>229</v>
      </c>
      <c r="O232" s="5" t="s">
        <v>229</v>
      </c>
    </row>
    <row r="233" spans="1:59">
      <c r="A233" s="1" t="str">
        <f>'Population Definitions'!$A$13</f>
        <v>Prisoners_females</v>
      </c>
      <c r="B233" s="5" t="s">
        <v>229</v>
      </c>
      <c r="C233" s="5" t="s">
        <v>229</v>
      </c>
      <c r="D233" s="5" t="s">
        <v>229</v>
      </c>
      <c r="E233" s="5" t="s">
        <v>229</v>
      </c>
      <c r="F233" s="5" t="s">
        <v>229</v>
      </c>
      <c r="G233" s="5" t="s">
        <v>229</v>
      </c>
      <c r="H233" s="5" t="s">
        <v>229</v>
      </c>
      <c r="I233" s="5" t="s">
        <v>229</v>
      </c>
      <c r="J233" s="5" t="s">
        <v>229</v>
      </c>
      <c r="K233" s="5" t="s">
        <v>229</v>
      </c>
      <c r="L233" s="5" t="s">
        <v>229</v>
      </c>
      <c r="M233" s="5" t="s">
        <v>229</v>
      </c>
      <c r="N233" s="5" t="s">
        <v>229</v>
      </c>
      <c r="O233" s="5" t="s">
        <v>229</v>
      </c>
    </row>
    <row r="234" spans="1:59">
      <c r="A234" s="1" t="str">
        <f>'Population Definitions'!$A$14</f>
        <v>Prisoners_PWID_males</v>
      </c>
      <c r="B234" s="5" t="s">
        <v>229</v>
      </c>
      <c r="C234" s="5" t="s">
        <v>229</v>
      </c>
      <c r="D234" s="5" t="s">
        <v>229</v>
      </c>
      <c r="E234" s="5" t="s">
        <v>229</v>
      </c>
      <c r="F234" s="5" t="s">
        <v>229</v>
      </c>
      <c r="G234" s="5" t="s">
        <v>229</v>
      </c>
      <c r="H234" s="5" t="s">
        <v>229</v>
      </c>
      <c r="I234" s="5" t="s">
        <v>229</v>
      </c>
      <c r="J234" s="5" t="s">
        <v>229</v>
      </c>
      <c r="K234" s="5" t="s">
        <v>229</v>
      </c>
      <c r="L234" s="5" t="s">
        <v>229</v>
      </c>
      <c r="M234" s="5" t="s">
        <v>229</v>
      </c>
      <c r="N234" s="5" t="s">
        <v>229</v>
      </c>
      <c r="O234" s="5" t="s">
        <v>229</v>
      </c>
    </row>
    <row r="235" spans="1:59">
      <c r="A235" s="1" t="str">
        <f>'Population Definitions'!$A$15</f>
        <v>Prisoners_PWID_females</v>
      </c>
      <c r="B235" s="5" t="s">
        <v>229</v>
      </c>
      <c r="C235" s="5" t="s">
        <v>229</v>
      </c>
      <c r="D235" s="5" t="s">
        <v>229</v>
      </c>
      <c r="E235" s="5" t="s">
        <v>229</v>
      </c>
      <c r="F235" s="5" t="s">
        <v>229</v>
      </c>
      <c r="G235" s="5" t="s">
        <v>229</v>
      </c>
      <c r="H235" s="5" t="s">
        <v>229</v>
      </c>
      <c r="I235" s="5" t="s">
        <v>229</v>
      </c>
      <c r="J235" s="5" t="s">
        <v>229</v>
      </c>
      <c r="K235" s="5" t="s">
        <v>229</v>
      </c>
      <c r="L235" s="5" t="s">
        <v>229</v>
      </c>
      <c r="M235" s="5" t="s">
        <v>229</v>
      </c>
      <c r="N235" s="5" t="s">
        <v>229</v>
      </c>
      <c r="O235" s="5" t="s">
        <v>229</v>
      </c>
    </row>
    <row r="237" spans="1:59">
      <c r="A237" s="1" t="s">
        <v>230</v>
      </c>
      <c r="B237" s="1"/>
      <c r="C237" s="1" t="s">
        <v>231</v>
      </c>
      <c r="D237" s="1" t="s">
        <v>31</v>
      </c>
      <c r="E237" s="1" t="s">
        <v>32</v>
      </c>
      <c r="F237" s="1" t="s">
        <v>33</v>
      </c>
      <c r="G237" s="1" t="s">
        <v>38</v>
      </c>
      <c r="H237" s="1"/>
      <c r="I237" s="1">
        <v>2000</v>
      </c>
      <c r="J237" s="1">
        <v>2001</v>
      </c>
      <c r="K237" s="1">
        <v>2002</v>
      </c>
      <c r="L237" s="1">
        <v>2003</v>
      </c>
      <c r="M237" s="1">
        <v>2004</v>
      </c>
      <c r="N237" s="1">
        <v>2005</v>
      </c>
      <c r="O237" s="1">
        <v>2006</v>
      </c>
      <c r="P237" s="1">
        <v>2007</v>
      </c>
      <c r="Q237" s="1">
        <v>2008</v>
      </c>
      <c r="R237" s="1">
        <v>2009</v>
      </c>
      <c r="S237" s="1">
        <v>2010</v>
      </c>
      <c r="T237" s="1">
        <v>2011</v>
      </c>
      <c r="U237" s="1">
        <v>2012</v>
      </c>
      <c r="V237" s="1">
        <v>2013</v>
      </c>
      <c r="W237" s="1">
        <v>2014</v>
      </c>
      <c r="X237" s="1">
        <v>2015</v>
      </c>
      <c r="Y237" s="1">
        <v>2016</v>
      </c>
      <c r="Z237" s="1">
        <v>2017</v>
      </c>
      <c r="AA237" s="1">
        <v>2018</v>
      </c>
      <c r="AB237" s="1">
        <v>2019</v>
      </c>
      <c r="AC237" s="1">
        <v>2020</v>
      </c>
      <c r="AD237" s="1">
        <v>2021</v>
      </c>
      <c r="AE237" s="1">
        <v>2022</v>
      </c>
      <c r="AF237" s="1">
        <v>2023</v>
      </c>
      <c r="AG237" s="1">
        <v>2024</v>
      </c>
      <c r="AH237" s="1">
        <v>2025</v>
      </c>
      <c r="AI237" s="1">
        <v>2026</v>
      </c>
      <c r="AJ237" s="1">
        <v>2027</v>
      </c>
      <c r="AK237" s="1">
        <v>2028</v>
      </c>
      <c r="AL237" s="1">
        <v>2029</v>
      </c>
      <c r="AM237" s="1">
        <v>2030</v>
      </c>
      <c r="AN237" s="1">
        <v>2031</v>
      </c>
      <c r="AO237" s="1">
        <v>2032</v>
      </c>
      <c r="AP237" s="1">
        <v>2033</v>
      </c>
      <c r="AQ237" s="1">
        <v>2034</v>
      </c>
      <c r="AR237" s="1">
        <v>2035</v>
      </c>
      <c r="AS237" s="1">
        <v>2036</v>
      </c>
      <c r="AT237" s="1">
        <v>2037</v>
      </c>
      <c r="AU237" s="1">
        <v>2038</v>
      </c>
      <c r="AV237" s="1">
        <v>2039</v>
      </c>
      <c r="AW237" s="1">
        <v>2040</v>
      </c>
      <c r="AX237" s="1">
        <v>2041</v>
      </c>
      <c r="AY237" s="1">
        <v>2042</v>
      </c>
      <c r="AZ237" s="1">
        <v>2043</v>
      </c>
      <c r="BA237" s="1">
        <v>2044</v>
      </c>
      <c r="BB237" s="1">
        <v>2045</v>
      </c>
      <c r="BC237" s="1">
        <v>2046</v>
      </c>
      <c r="BD237" s="1">
        <v>2047</v>
      </c>
      <c r="BE237" s="1">
        <v>2048</v>
      </c>
      <c r="BF237" s="1">
        <v>2049</v>
      </c>
      <c r="BG237" s="1">
        <v>2050</v>
      </c>
    </row>
    <row r="238" spans="1:59">
      <c r="A238" s="1" t="str">
        <f>IF($B$222="Y",'Population Definitions'!$A$2,"...")</f>
        <v>...</v>
      </c>
      <c r="B238" s="4" t="str">
        <f>IF($B$222="Y","---&gt;","...")</f>
        <v>...</v>
      </c>
      <c r="C238" s="1" t="str">
        <f>IF($B$222="Y",'Population Definitions'!$A$2,"...")</f>
        <v>...</v>
      </c>
      <c r="E238" s="2"/>
      <c r="F238" s="3"/>
      <c r="G238" s="2"/>
      <c r="H238" s="4" t="str">
        <f>IF($B$222="Y","OR","...")</f>
        <v>...</v>
      </c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  <c r="BC238" s="2"/>
      <c r="BD238" s="2"/>
      <c r="BE238" s="2"/>
      <c r="BF238" s="2"/>
      <c r="BG238" s="2"/>
    </row>
    <row r="239" spans="1:59">
      <c r="A239" s="1" t="str">
        <f>IF($C$222="Y",'Population Definitions'!$A$2,"...")</f>
        <v>...</v>
      </c>
      <c r="B239" s="4" t="str">
        <f>IF($C$222="Y","---&gt;","...")</f>
        <v>...</v>
      </c>
      <c r="C239" s="1" t="str">
        <f>IF($C$222="Y",'Population Definitions'!$A$3,"...")</f>
        <v>...</v>
      </c>
      <c r="E239" s="2"/>
      <c r="F239" s="3"/>
      <c r="G239" s="2"/>
      <c r="H239" s="4" t="str">
        <f>IF($C$222="Y","OR","...")</f>
        <v>...</v>
      </c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  <c r="BC239" s="2"/>
      <c r="BD239" s="2"/>
      <c r="BE239" s="2"/>
      <c r="BF239" s="2"/>
      <c r="BG239" s="2"/>
    </row>
    <row r="240" spans="1:59">
      <c r="A240" s="1" t="str">
        <f>IF($D$222="Y",'Population Definitions'!$A$2,"...")</f>
        <v>...</v>
      </c>
      <c r="B240" s="4" t="str">
        <f>IF($D$222="Y","---&gt;","...")</f>
        <v>...</v>
      </c>
      <c r="C240" s="1" t="str">
        <f>IF($D$222="Y",'Population Definitions'!$A$4,"...")</f>
        <v>...</v>
      </c>
      <c r="E240" s="2"/>
      <c r="F240" s="3"/>
      <c r="G240" s="2"/>
      <c r="H240" s="4" t="str">
        <f>IF($D$222="Y","OR","...")</f>
        <v>...</v>
      </c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  <c r="BC240" s="2"/>
      <c r="BD240" s="2"/>
      <c r="BE240" s="2"/>
      <c r="BF240" s="2"/>
      <c r="BG240" s="2"/>
    </row>
    <row r="241" spans="1:59">
      <c r="A241" s="1" t="str">
        <f>IF($E$222="Y",'Population Definitions'!$A$2,"...")</f>
        <v>...</v>
      </c>
      <c r="B241" s="4" t="str">
        <f>IF($E$222="Y","---&gt;","...")</f>
        <v>...</v>
      </c>
      <c r="C241" s="1" t="str">
        <f>IF($E$222="Y",'Population Definitions'!$A$5,"...")</f>
        <v>...</v>
      </c>
      <c r="E241" s="2"/>
      <c r="F241" s="3"/>
      <c r="G241" s="2"/>
      <c r="H241" s="4" t="str">
        <f>IF($E$222="Y","OR","...")</f>
        <v>...</v>
      </c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  <c r="BC241" s="2"/>
      <c r="BD241" s="2"/>
      <c r="BE241" s="2"/>
      <c r="BF241" s="2"/>
      <c r="BG241" s="2"/>
    </row>
    <row r="242" spans="1:59">
      <c r="A242" s="1" t="str">
        <f>IF($F$222="Y",'Population Definitions'!$A$2,"...")</f>
        <v>...</v>
      </c>
      <c r="B242" s="4" t="str">
        <f>IF($F$222="Y","---&gt;","...")</f>
        <v>...</v>
      </c>
      <c r="C242" s="1" t="str">
        <f>IF($F$222="Y",'Population Definitions'!$A$6,"...")</f>
        <v>...</v>
      </c>
      <c r="E242" s="2"/>
      <c r="F242" s="3"/>
      <c r="G242" s="2"/>
      <c r="H242" s="4" t="str">
        <f>IF($F$222="Y","OR","...")</f>
        <v>...</v>
      </c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  <c r="BC242" s="2"/>
      <c r="BD242" s="2"/>
      <c r="BE242" s="2"/>
      <c r="BF242" s="2"/>
      <c r="BG242" s="2"/>
    </row>
    <row r="243" spans="1:59">
      <c r="A243" s="1" t="str">
        <f>IF($G$222="Y",'Population Definitions'!$A$2,"...")</f>
        <v>...</v>
      </c>
      <c r="B243" s="4" t="str">
        <f>IF($G$222="Y","---&gt;","...")</f>
        <v>...</v>
      </c>
      <c r="C243" s="1" t="str">
        <f>IF($G$222="Y",'Population Definitions'!$A$7,"...")</f>
        <v>...</v>
      </c>
      <c r="E243" s="2"/>
      <c r="F243" s="3"/>
      <c r="G243" s="2"/>
      <c r="H243" s="4" t="str">
        <f>IF($G$222="Y","OR","...")</f>
        <v>...</v>
      </c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  <c r="BC243" s="2"/>
      <c r="BD243" s="2"/>
      <c r="BE243" s="2"/>
      <c r="BF243" s="2"/>
      <c r="BG243" s="2"/>
    </row>
    <row r="244" spans="1:59">
      <c r="A244" s="1" t="str">
        <f>IF($H$222="Y",'Population Definitions'!$A$2,"...")</f>
        <v>...</v>
      </c>
      <c r="B244" s="4" t="str">
        <f>IF($H$222="Y","---&gt;","...")</f>
        <v>...</v>
      </c>
      <c r="C244" s="1" t="str">
        <f>IF($H$222="Y",'Population Definitions'!$A$8,"...")</f>
        <v>...</v>
      </c>
      <c r="E244" s="2"/>
      <c r="F244" s="3"/>
      <c r="G244" s="2"/>
      <c r="H244" s="4" t="str">
        <f>IF($H$222="Y","OR","...")</f>
        <v>...</v>
      </c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  <c r="AX244" s="2"/>
      <c r="AY244" s="2"/>
      <c r="AZ244" s="2"/>
      <c r="BA244" s="2"/>
      <c r="BB244" s="2"/>
      <c r="BC244" s="2"/>
      <c r="BD244" s="2"/>
      <c r="BE244" s="2"/>
      <c r="BF244" s="2"/>
      <c r="BG244" s="2"/>
    </row>
    <row r="245" spans="1:59">
      <c r="A245" s="1" t="str">
        <f>IF($I$222="Y",'Population Definitions'!$A$2,"...")</f>
        <v>...</v>
      </c>
      <c r="B245" s="4" t="str">
        <f>IF($I$222="Y","---&gt;","...")</f>
        <v>...</v>
      </c>
      <c r="C245" s="1" t="str">
        <f>IF($I$222="Y",'Population Definitions'!$A$9,"...")</f>
        <v>...</v>
      </c>
      <c r="E245" s="2"/>
      <c r="F245" s="3"/>
      <c r="G245" s="2"/>
      <c r="H245" s="4" t="str">
        <f>IF($I$222="Y","OR","...")</f>
        <v>...</v>
      </c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  <c r="BC245" s="2"/>
      <c r="BD245" s="2"/>
      <c r="BE245" s="2"/>
      <c r="BF245" s="2"/>
      <c r="BG245" s="2"/>
    </row>
    <row r="246" spans="1:59">
      <c r="A246" s="1" t="str">
        <f>IF($J$222="Y",'Population Definitions'!$A$2,"...")</f>
        <v>...</v>
      </c>
      <c r="B246" s="4" t="str">
        <f>IF($J$222="Y","---&gt;","...")</f>
        <v>...</v>
      </c>
      <c r="C246" s="1" t="str">
        <f>IF($J$222="Y",'Population Definitions'!$A$10,"...")</f>
        <v>...</v>
      </c>
      <c r="E246" s="2"/>
      <c r="F246" s="3"/>
      <c r="G246" s="2"/>
      <c r="H246" s="4" t="str">
        <f>IF($J$222="Y","OR","...")</f>
        <v>...</v>
      </c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  <c r="BC246" s="2"/>
      <c r="BD246" s="2"/>
      <c r="BE246" s="2"/>
      <c r="BF246" s="2"/>
      <c r="BG246" s="2"/>
    </row>
    <row r="247" spans="1:59">
      <c r="A247" s="1" t="str">
        <f>IF($K$222="Y",'Population Definitions'!$A$2,"...")</f>
        <v>...</v>
      </c>
      <c r="B247" s="4" t="str">
        <f>IF($K$222="Y","---&gt;","...")</f>
        <v>...</v>
      </c>
      <c r="C247" s="1" t="str">
        <f>IF($K$222="Y",'Population Definitions'!$A$11,"...")</f>
        <v>...</v>
      </c>
      <c r="E247" s="2"/>
      <c r="F247" s="3"/>
      <c r="G247" s="2"/>
      <c r="H247" s="4" t="str">
        <f>IF($K$222="Y","OR","...")</f>
        <v>...</v>
      </c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  <c r="AT247" s="2"/>
      <c r="AU247" s="2"/>
      <c r="AV247" s="2"/>
      <c r="AW247" s="2"/>
      <c r="AX247" s="2"/>
      <c r="AY247" s="2"/>
      <c r="AZ247" s="2"/>
      <c r="BA247" s="2"/>
      <c r="BB247" s="2"/>
      <c r="BC247" s="2"/>
      <c r="BD247" s="2"/>
      <c r="BE247" s="2"/>
      <c r="BF247" s="2"/>
      <c r="BG247" s="2"/>
    </row>
    <row r="248" spans="1:59">
      <c r="A248" s="1" t="str">
        <f>IF($L$222="Y",'Population Definitions'!$A$2,"...")</f>
        <v>...</v>
      </c>
      <c r="B248" s="4" t="str">
        <f>IF($L$222="Y","---&gt;","...")</f>
        <v>...</v>
      </c>
      <c r="C248" s="1" t="str">
        <f>IF($L$222="Y",'Population Definitions'!$A$12,"...")</f>
        <v>...</v>
      </c>
      <c r="E248" s="2"/>
      <c r="F248" s="3"/>
      <c r="G248" s="2"/>
      <c r="H248" s="4" t="str">
        <f>IF($L$222="Y","OR","...")</f>
        <v>...</v>
      </c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  <c r="AT248" s="2"/>
      <c r="AU248" s="2"/>
      <c r="AV248" s="2"/>
      <c r="AW248" s="2"/>
      <c r="AX248" s="2"/>
      <c r="AY248" s="2"/>
      <c r="AZ248" s="2"/>
      <c r="BA248" s="2"/>
      <c r="BB248" s="2"/>
      <c r="BC248" s="2"/>
      <c r="BD248" s="2"/>
      <c r="BE248" s="2"/>
      <c r="BF248" s="2"/>
      <c r="BG248" s="2"/>
    </row>
    <row r="249" spans="1:59">
      <c r="A249" s="1" t="str">
        <f>IF($M$222="Y",'Population Definitions'!$A$2,"...")</f>
        <v>...</v>
      </c>
      <c r="B249" s="4" t="str">
        <f>IF($M$222="Y","---&gt;","...")</f>
        <v>...</v>
      </c>
      <c r="C249" s="1" t="str">
        <f>IF($M$222="Y",'Population Definitions'!$A$13,"...")</f>
        <v>...</v>
      </c>
      <c r="E249" s="2"/>
      <c r="F249" s="3"/>
      <c r="G249" s="2"/>
      <c r="H249" s="4" t="str">
        <f>IF($M$222="Y","OR","...")</f>
        <v>...</v>
      </c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2"/>
      <c r="BC249" s="2"/>
      <c r="BD249" s="2"/>
      <c r="BE249" s="2"/>
      <c r="BF249" s="2"/>
      <c r="BG249" s="2"/>
    </row>
    <row r="250" spans="1:59">
      <c r="A250" s="1" t="str">
        <f>IF($N$222="Y",'Population Definitions'!$A$2,"...")</f>
        <v>...</v>
      </c>
      <c r="B250" s="4" t="str">
        <f>IF($N$222="Y","---&gt;","...")</f>
        <v>...</v>
      </c>
      <c r="C250" s="1" t="str">
        <f>IF($N$222="Y",'Population Definitions'!$A$14,"...")</f>
        <v>...</v>
      </c>
      <c r="E250" s="2"/>
      <c r="F250" s="3"/>
      <c r="G250" s="2"/>
      <c r="H250" s="4" t="str">
        <f>IF($N$222="Y","OR","...")</f>
        <v>...</v>
      </c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  <c r="BC250" s="2"/>
      <c r="BD250" s="2"/>
      <c r="BE250" s="2"/>
      <c r="BF250" s="2"/>
      <c r="BG250" s="2"/>
    </row>
    <row r="251" spans="1:59">
      <c r="A251" s="1" t="str">
        <f>IF($O$222="Y",'Population Definitions'!$A$2,"...")</f>
        <v>...</v>
      </c>
      <c r="B251" s="4" t="str">
        <f>IF($O$222="Y","---&gt;","...")</f>
        <v>...</v>
      </c>
      <c r="C251" s="1" t="str">
        <f>IF($O$222="Y",'Population Definitions'!$A$15,"...")</f>
        <v>...</v>
      </c>
      <c r="E251" s="2"/>
      <c r="F251" s="3"/>
      <c r="G251" s="2"/>
      <c r="H251" s="4" t="str">
        <f>IF($O$222="Y","OR","...")</f>
        <v>...</v>
      </c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  <c r="BC251" s="2"/>
      <c r="BD251" s="2"/>
      <c r="BE251" s="2"/>
      <c r="BF251" s="2"/>
      <c r="BG251" s="2"/>
    </row>
    <row r="252" spans="1:59">
      <c r="A252" s="1" t="str">
        <f>IF($B$223="Y",'Population Definitions'!$A$3,"...")</f>
        <v>...</v>
      </c>
      <c r="B252" s="4" t="str">
        <f>IF($B$223="Y","---&gt;","...")</f>
        <v>...</v>
      </c>
      <c r="C252" s="1" t="str">
        <f>IF($B$223="Y",'Population Definitions'!$A$2,"...")</f>
        <v>...</v>
      </c>
      <c r="E252" s="2"/>
      <c r="F252" s="3"/>
      <c r="G252" s="2"/>
      <c r="H252" s="4" t="str">
        <f>IF($B$223="Y","OR","...")</f>
        <v>...</v>
      </c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/>
      <c r="BC252" s="2"/>
      <c r="BD252" s="2"/>
      <c r="BE252" s="2"/>
      <c r="BF252" s="2"/>
      <c r="BG252" s="2"/>
    </row>
    <row r="253" spans="1:59">
      <c r="A253" s="1" t="str">
        <f>IF($C$223="Y",'Population Definitions'!$A$3,"...")</f>
        <v>...</v>
      </c>
      <c r="B253" s="4" t="str">
        <f>IF($C$223="Y","---&gt;","...")</f>
        <v>...</v>
      </c>
      <c r="C253" s="1" t="str">
        <f>IF($C$223="Y",'Population Definitions'!$A$3,"...")</f>
        <v>...</v>
      </c>
      <c r="E253" s="2"/>
      <c r="F253" s="3"/>
      <c r="G253" s="2"/>
      <c r="H253" s="4" t="str">
        <f>IF($C$223="Y","OR","...")</f>
        <v>...</v>
      </c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  <c r="BC253" s="2"/>
      <c r="BD253" s="2"/>
      <c r="BE253" s="2"/>
      <c r="BF253" s="2"/>
      <c r="BG253" s="2"/>
    </row>
    <row r="254" spans="1:59">
      <c r="A254" s="1" t="str">
        <f>IF($D$223="Y",'Population Definitions'!$A$3,"...")</f>
        <v>...</v>
      </c>
      <c r="B254" s="4" t="str">
        <f>IF($D$223="Y","---&gt;","...")</f>
        <v>...</v>
      </c>
      <c r="C254" s="1" t="str">
        <f>IF($D$223="Y",'Population Definitions'!$A$4,"...")</f>
        <v>...</v>
      </c>
      <c r="E254" s="2"/>
      <c r="F254" s="3"/>
      <c r="G254" s="2"/>
      <c r="H254" s="4" t="str">
        <f>IF($D$223="Y","OR","...")</f>
        <v>...</v>
      </c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2"/>
      <c r="BC254" s="2"/>
      <c r="BD254" s="2"/>
      <c r="BE254" s="2"/>
      <c r="BF254" s="2"/>
      <c r="BG254" s="2"/>
    </row>
    <row r="255" spans="1:59">
      <c r="A255" s="1" t="str">
        <f>IF($E$223="Y",'Population Definitions'!$A$3,"...")</f>
        <v>...</v>
      </c>
      <c r="B255" s="4" t="str">
        <f>IF($E$223="Y","---&gt;","...")</f>
        <v>...</v>
      </c>
      <c r="C255" s="1" t="str">
        <f>IF($E$223="Y",'Population Definitions'!$A$5,"...")</f>
        <v>...</v>
      </c>
      <c r="E255" s="2"/>
      <c r="F255" s="3"/>
      <c r="G255" s="2"/>
      <c r="H255" s="4" t="str">
        <f>IF($E$223="Y","OR","...")</f>
        <v>...</v>
      </c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2"/>
      <c r="BC255" s="2"/>
      <c r="BD255" s="2"/>
      <c r="BE255" s="2"/>
      <c r="BF255" s="2"/>
      <c r="BG255" s="2"/>
    </row>
    <row r="256" spans="1:59">
      <c r="A256" s="1" t="str">
        <f>IF($F$223="Y",'Population Definitions'!$A$3,"...")</f>
        <v>...</v>
      </c>
      <c r="B256" s="4" t="str">
        <f>IF($F$223="Y","---&gt;","...")</f>
        <v>...</v>
      </c>
      <c r="C256" s="1" t="str">
        <f>IF($F$223="Y",'Population Definitions'!$A$6,"...")</f>
        <v>...</v>
      </c>
      <c r="E256" s="2"/>
      <c r="F256" s="3"/>
      <c r="G256" s="2"/>
      <c r="H256" s="4" t="str">
        <f>IF($F$223="Y","OR","...")</f>
        <v>...</v>
      </c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  <c r="BC256" s="2"/>
      <c r="BD256" s="2"/>
      <c r="BE256" s="2"/>
      <c r="BF256" s="2"/>
      <c r="BG256" s="2"/>
    </row>
    <row r="257" spans="1:59">
      <c r="A257" s="1" t="str">
        <f>IF($G$223="Y",'Population Definitions'!$A$3,"...")</f>
        <v>...</v>
      </c>
      <c r="B257" s="4" t="str">
        <f>IF($G$223="Y","---&gt;","...")</f>
        <v>...</v>
      </c>
      <c r="C257" s="1" t="str">
        <f>IF($G$223="Y",'Population Definitions'!$A$7,"...")</f>
        <v>...</v>
      </c>
      <c r="E257" s="2"/>
      <c r="F257" s="3"/>
      <c r="G257" s="2"/>
      <c r="H257" s="4" t="str">
        <f>IF($G$223="Y","OR","...")</f>
        <v>...</v>
      </c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  <c r="BB257" s="2"/>
      <c r="BC257" s="2"/>
      <c r="BD257" s="2"/>
      <c r="BE257" s="2"/>
      <c r="BF257" s="2"/>
      <c r="BG257" s="2"/>
    </row>
    <row r="258" spans="1:59">
      <c r="A258" s="1" t="str">
        <f>IF($H$223="Y",'Population Definitions'!$A$3,"...")</f>
        <v>...</v>
      </c>
      <c r="B258" s="4" t="str">
        <f>IF($H$223="Y","---&gt;","...")</f>
        <v>...</v>
      </c>
      <c r="C258" s="1" t="str">
        <f>IF($H$223="Y",'Population Definitions'!$A$8,"...")</f>
        <v>...</v>
      </c>
      <c r="E258" s="2"/>
      <c r="F258" s="3"/>
      <c r="G258" s="2"/>
      <c r="H258" s="4" t="str">
        <f>IF($H$223="Y","OR","...")</f>
        <v>...</v>
      </c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  <c r="AT258" s="2"/>
      <c r="AU258" s="2"/>
      <c r="AV258" s="2"/>
      <c r="AW258" s="2"/>
      <c r="AX258" s="2"/>
      <c r="AY258" s="2"/>
      <c r="AZ258" s="2"/>
      <c r="BA258" s="2"/>
      <c r="BB258" s="2"/>
      <c r="BC258" s="2"/>
      <c r="BD258" s="2"/>
      <c r="BE258" s="2"/>
      <c r="BF258" s="2"/>
      <c r="BG258" s="2"/>
    </row>
    <row r="259" spans="1:59">
      <c r="A259" s="1" t="str">
        <f>IF($I$223="Y",'Population Definitions'!$A$3,"...")</f>
        <v>...</v>
      </c>
      <c r="B259" s="4" t="str">
        <f>IF($I$223="Y","---&gt;","...")</f>
        <v>...</v>
      </c>
      <c r="C259" s="1" t="str">
        <f>IF($I$223="Y",'Population Definitions'!$A$9,"...")</f>
        <v>...</v>
      </c>
      <c r="E259" s="2"/>
      <c r="F259" s="3"/>
      <c r="G259" s="2"/>
      <c r="H259" s="4" t="str">
        <f>IF($I$223="Y","OR","...")</f>
        <v>...</v>
      </c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  <c r="AV259" s="2"/>
      <c r="AW259" s="2"/>
      <c r="AX259" s="2"/>
      <c r="AY259" s="2"/>
      <c r="AZ259" s="2"/>
      <c r="BA259" s="2"/>
      <c r="BB259" s="2"/>
      <c r="BC259" s="2"/>
      <c r="BD259" s="2"/>
      <c r="BE259" s="2"/>
      <c r="BF259" s="2"/>
      <c r="BG259" s="2"/>
    </row>
    <row r="260" spans="1:59">
      <c r="A260" s="1" t="str">
        <f>IF($J$223="Y",'Population Definitions'!$A$3,"...")</f>
        <v>...</v>
      </c>
      <c r="B260" s="4" t="str">
        <f>IF($J$223="Y","---&gt;","...")</f>
        <v>...</v>
      </c>
      <c r="C260" s="1" t="str">
        <f>IF($J$223="Y",'Population Definitions'!$A$10,"...")</f>
        <v>...</v>
      </c>
      <c r="E260" s="2"/>
      <c r="F260" s="3"/>
      <c r="G260" s="2"/>
      <c r="H260" s="4" t="str">
        <f>IF($J$223="Y","OR","...")</f>
        <v>...</v>
      </c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/>
      <c r="BC260" s="2"/>
      <c r="BD260" s="2"/>
      <c r="BE260" s="2"/>
      <c r="BF260" s="2"/>
      <c r="BG260" s="2"/>
    </row>
    <row r="261" spans="1:59">
      <c r="A261" s="1" t="str">
        <f>IF($K$223="Y",'Population Definitions'!$A$3,"...")</f>
        <v>...</v>
      </c>
      <c r="B261" s="4" t="str">
        <f>IF($K$223="Y","---&gt;","...")</f>
        <v>...</v>
      </c>
      <c r="C261" s="1" t="str">
        <f>IF($K$223="Y",'Population Definitions'!$A$11,"...")</f>
        <v>...</v>
      </c>
      <c r="E261" s="2"/>
      <c r="F261" s="3"/>
      <c r="G261" s="2"/>
      <c r="H261" s="4" t="str">
        <f>IF($K$223="Y","OR","...")</f>
        <v>...</v>
      </c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  <c r="BC261" s="2"/>
      <c r="BD261" s="2"/>
      <c r="BE261" s="2"/>
      <c r="BF261" s="2"/>
      <c r="BG261" s="2"/>
    </row>
    <row r="262" spans="1:59">
      <c r="A262" s="1" t="str">
        <f>IF($L$223="Y",'Population Definitions'!$A$3,"...")</f>
        <v>...</v>
      </c>
      <c r="B262" s="4" t="str">
        <f>IF($L$223="Y","---&gt;","...")</f>
        <v>...</v>
      </c>
      <c r="C262" s="1" t="str">
        <f>IF($L$223="Y",'Population Definitions'!$A$12,"...")</f>
        <v>...</v>
      </c>
      <c r="E262" s="2"/>
      <c r="F262" s="3"/>
      <c r="G262" s="2"/>
      <c r="H262" s="4" t="str">
        <f>IF($L$223="Y","OR","...")</f>
        <v>...</v>
      </c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  <c r="BB262" s="2"/>
      <c r="BC262" s="2"/>
      <c r="BD262" s="2"/>
      <c r="BE262" s="2"/>
      <c r="BF262" s="2"/>
      <c r="BG262" s="2"/>
    </row>
    <row r="263" spans="1:59">
      <c r="A263" s="1" t="str">
        <f>IF($M$223="Y",'Population Definitions'!$A$3,"...")</f>
        <v>...</v>
      </c>
      <c r="B263" s="4" t="str">
        <f>IF($M$223="Y","---&gt;","...")</f>
        <v>...</v>
      </c>
      <c r="C263" s="1" t="str">
        <f>IF($M$223="Y",'Population Definitions'!$A$13,"...")</f>
        <v>...</v>
      </c>
      <c r="E263" s="2"/>
      <c r="F263" s="3"/>
      <c r="G263" s="2"/>
      <c r="H263" s="4" t="str">
        <f>IF($M$223="Y","OR","...")</f>
        <v>...</v>
      </c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/>
      <c r="BC263" s="2"/>
      <c r="BD263" s="2"/>
      <c r="BE263" s="2"/>
      <c r="BF263" s="2"/>
      <c r="BG263" s="2"/>
    </row>
    <row r="264" spans="1:59">
      <c r="A264" s="1" t="str">
        <f>IF($N$223="Y",'Population Definitions'!$A$3,"...")</f>
        <v>...</v>
      </c>
      <c r="B264" s="4" t="str">
        <f>IF($N$223="Y","---&gt;","...")</f>
        <v>...</v>
      </c>
      <c r="C264" s="1" t="str">
        <f>IF($N$223="Y",'Population Definitions'!$A$14,"...")</f>
        <v>...</v>
      </c>
      <c r="E264" s="2"/>
      <c r="F264" s="3"/>
      <c r="G264" s="2"/>
      <c r="H264" s="4" t="str">
        <f>IF($N$223="Y","OR","...")</f>
        <v>...</v>
      </c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2"/>
      <c r="BC264" s="2"/>
      <c r="BD264" s="2"/>
      <c r="BE264" s="2"/>
      <c r="BF264" s="2"/>
      <c r="BG264" s="2"/>
    </row>
    <row r="265" spans="1:59">
      <c r="A265" s="1" t="str">
        <f>IF($O$223="Y",'Population Definitions'!$A$3,"...")</f>
        <v>...</v>
      </c>
      <c r="B265" s="4" t="str">
        <f>IF($O$223="Y","---&gt;","...")</f>
        <v>...</v>
      </c>
      <c r="C265" s="1" t="str">
        <f>IF($O$223="Y",'Population Definitions'!$A$15,"...")</f>
        <v>...</v>
      </c>
      <c r="E265" s="2"/>
      <c r="F265" s="3"/>
      <c r="G265" s="2"/>
      <c r="H265" s="4" t="str">
        <f>IF($O$223="Y","OR","...")</f>
        <v>...</v>
      </c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2"/>
      <c r="BC265" s="2"/>
      <c r="BD265" s="2"/>
      <c r="BE265" s="2"/>
      <c r="BF265" s="2"/>
      <c r="BG265" s="2"/>
    </row>
    <row r="266" spans="1:59">
      <c r="A266" s="1" t="str">
        <f>IF($B$224="Y",'Population Definitions'!$A$4,"...")</f>
        <v>...</v>
      </c>
      <c r="B266" s="4" t="str">
        <f>IF($B$224="Y","---&gt;","...")</f>
        <v>...</v>
      </c>
      <c r="C266" s="1" t="str">
        <f>IF($B$224="Y",'Population Definitions'!$A$2,"...")</f>
        <v>...</v>
      </c>
      <c r="E266" s="2"/>
      <c r="F266" s="3"/>
      <c r="G266" s="2"/>
      <c r="H266" s="4" t="str">
        <f>IF($B$224="Y","OR","...")</f>
        <v>...</v>
      </c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2"/>
      <c r="BC266" s="2"/>
      <c r="BD266" s="2"/>
      <c r="BE266" s="2"/>
      <c r="BF266" s="2"/>
      <c r="BG266" s="2"/>
    </row>
    <row r="267" spans="1:59">
      <c r="A267" s="1" t="str">
        <f>IF($C$224="Y",'Population Definitions'!$A$4,"...")</f>
        <v>...</v>
      </c>
      <c r="B267" s="4" t="str">
        <f>IF($C$224="Y","---&gt;","...")</f>
        <v>...</v>
      </c>
      <c r="C267" s="1" t="str">
        <f>IF($C$224="Y",'Population Definitions'!$A$3,"...")</f>
        <v>...</v>
      </c>
      <c r="E267" s="2"/>
      <c r="F267" s="3"/>
      <c r="G267" s="2"/>
      <c r="H267" s="4" t="str">
        <f>IF($C$224="Y","OR","...")</f>
        <v>...</v>
      </c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  <c r="BC267" s="2"/>
      <c r="BD267" s="2"/>
      <c r="BE267" s="2"/>
      <c r="BF267" s="2"/>
      <c r="BG267" s="2"/>
    </row>
    <row r="268" spans="1:59">
      <c r="A268" s="1" t="str">
        <f>IF($D$224="Y",'Population Definitions'!$A$4,"...")</f>
        <v>...</v>
      </c>
      <c r="B268" s="4" t="str">
        <f>IF($D$224="Y","---&gt;","...")</f>
        <v>...</v>
      </c>
      <c r="C268" s="1" t="str">
        <f>IF($D$224="Y",'Population Definitions'!$A$4,"...")</f>
        <v>...</v>
      </c>
      <c r="E268" s="2"/>
      <c r="F268" s="3"/>
      <c r="G268" s="2"/>
      <c r="H268" s="4" t="str">
        <f>IF($D$224="Y","OR","...")</f>
        <v>...</v>
      </c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  <c r="BC268" s="2"/>
      <c r="BD268" s="2"/>
      <c r="BE268" s="2"/>
      <c r="BF268" s="2"/>
      <c r="BG268" s="2"/>
    </row>
    <row r="269" spans="1:59">
      <c r="A269" s="1" t="str">
        <f>IF($E$224="Y",'Population Definitions'!$A$4,"...")</f>
        <v>...</v>
      </c>
      <c r="B269" s="4" t="str">
        <f>IF($E$224="Y","---&gt;","...")</f>
        <v>...</v>
      </c>
      <c r="C269" s="1" t="str">
        <f>IF($E$224="Y",'Population Definitions'!$A$5,"...")</f>
        <v>...</v>
      </c>
      <c r="E269" s="2"/>
      <c r="F269" s="3"/>
      <c r="G269" s="2"/>
      <c r="H269" s="4" t="str">
        <f>IF($E$224="Y","OR","...")</f>
        <v>...</v>
      </c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2"/>
      <c r="BC269" s="2"/>
      <c r="BD269" s="2"/>
      <c r="BE269" s="2"/>
      <c r="BF269" s="2"/>
      <c r="BG269" s="2"/>
    </row>
    <row r="270" spans="1:59">
      <c r="A270" s="1" t="str">
        <f>IF($F$224="Y",'Population Definitions'!$A$4,"...")</f>
        <v>...</v>
      </c>
      <c r="B270" s="4" t="str">
        <f>IF($F$224="Y","---&gt;","...")</f>
        <v>...</v>
      </c>
      <c r="C270" s="1" t="str">
        <f>IF($F$224="Y",'Population Definitions'!$A$6,"...")</f>
        <v>...</v>
      </c>
      <c r="E270" s="2"/>
      <c r="F270" s="3"/>
      <c r="G270" s="2"/>
      <c r="H270" s="4" t="str">
        <f>IF($F$224="Y","OR","...")</f>
        <v>...</v>
      </c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2"/>
      <c r="BC270" s="2"/>
      <c r="BD270" s="2"/>
      <c r="BE270" s="2"/>
      <c r="BF270" s="2"/>
      <c r="BG270" s="2"/>
    </row>
    <row r="271" spans="1:59">
      <c r="A271" s="1" t="str">
        <f>IF($G$224="Y",'Population Definitions'!$A$4,"...")</f>
        <v>...</v>
      </c>
      <c r="B271" s="4" t="str">
        <f>IF($G$224="Y","---&gt;","...")</f>
        <v>...</v>
      </c>
      <c r="C271" s="1" t="str">
        <f>IF($G$224="Y",'Population Definitions'!$A$7,"...")</f>
        <v>...</v>
      </c>
      <c r="E271" s="2"/>
      <c r="F271" s="3"/>
      <c r="G271" s="2"/>
      <c r="H271" s="4" t="str">
        <f>IF($G$224="Y","OR","...")</f>
        <v>...</v>
      </c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  <c r="BB271" s="2"/>
      <c r="BC271" s="2"/>
      <c r="BD271" s="2"/>
      <c r="BE271" s="2"/>
      <c r="BF271" s="2"/>
      <c r="BG271" s="2"/>
    </row>
    <row r="272" spans="1:59">
      <c r="A272" s="1" t="str">
        <f>IF($H$224="Y",'Population Definitions'!$A$4,"...")</f>
        <v>...</v>
      </c>
      <c r="B272" s="4" t="str">
        <f>IF($H$224="Y","---&gt;","...")</f>
        <v>...</v>
      </c>
      <c r="C272" s="1" t="str">
        <f>IF($H$224="Y",'Population Definitions'!$A$8,"...")</f>
        <v>...</v>
      </c>
      <c r="E272" s="2"/>
      <c r="F272" s="3"/>
      <c r="G272" s="2"/>
      <c r="H272" s="4" t="str">
        <f>IF($H$224="Y","OR","...")</f>
        <v>...</v>
      </c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/>
      <c r="BB272" s="2"/>
      <c r="BC272" s="2"/>
      <c r="BD272" s="2"/>
      <c r="BE272" s="2"/>
      <c r="BF272" s="2"/>
      <c r="BG272" s="2"/>
    </row>
    <row r="273" spans="1:59">
      <c r="A273" s="1" t="str">
        <f>IF($I$224="Y",'Population Definitions'!$A$4,"...")</f>
        <v>...</v>
      </c>
      <c r="B273" s="4" t="str">
        <f>IF($I$224="Y","---&gt;","...")</f>
        <v>...</v>
      </c>
      <c r="C273" s="1" t="str">
        <f>IF($I$224="Y",'Population Definitions'!$A$9,"...")</f>
        <v>...</v>
      </c>
      <c r="E273" s="2"/>
      <c r="F273" s="3"/>
      <c r="G273" s="2"/>
      <c r="H273" s="4" t="str">
        <f>IF($I$224="Y","OR","...")</f>
        <v>...</v>
      </c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  <c r="BB273" s="2"/>
      <c r="BC273" s="2"/>
      <c r="BD273" s="2"/>
      <c r="BE273" s="2"/>
      <c r="BF273" s="2"/>
      <c r="BG273" s="2"/>
    </row>
    <row r="274" spans="1:59">
      <c r="A274" s="1" t="str">
        <f>IF($J$224="Y",'Population Definitions'!$A$4,"...")</f>
        <v>...</v>
      </c>
      <c r="B274" s="4" t="str">
        <f>IF($J$224="Y","---&gt;","...")</f>
        <v>...</v>
      </c>
      <c r="C274" s="1" t="str">
        <f>IF($J$224="Y",'Population Definitions'!$A$10,"...")</f>
        <v>...</v>
      </c>
      <c r="E274" s="2"/>
      <c r="F274" s="3"/>
      <c r="G274" s="2"/>
      <c r="H274" s="4" t="str">
        <f>IF($J$224="Y","OR","...")</f>
        <v>...</v>
      </c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  <c r="BB274" s="2"/>
      <c r="BC274" s="2"/>
      <c r="BD274" s="2"/>
      <c r="BE274" s="2"/>
      <c r="BF274" s="2"/>
      <c r="BG274" s="2"/>
    </row>
    <row r="275" spans="1:59">
      <c r="A275" s="1" t="str">
        <f>IF($K$224="Y",'Population Definitions'!$A$4,"...")</f>
        <v>...</v>
      </c>
      <c r="B275" s="4" t="str">
        <f>IF($K$224="Y","---&gt;","...")</f>
        <v>...</v>
      </c>
      <c r="C275" s="1" t="str">
        <f>IF($K$224="Y",'Population Definitions'!$A$11,"...")</f>
        <v>...</v>
      </c>
      <c r="E275" s="2"/>
      <c r="F275" s="3"/>
      <c r="G275" s="2"/>
      <c r="H275" s="4" t="str">
        <f>IF($K$224="Y","OR","...")</f>
        <v>...</v>
      </c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  <c r="BB275" s="2"/>
      <c r="BC275" s="2"/>
      <c r="BD275" s="2"/>
      <c r="BE275" s="2"/>
      <c r="BF275" s="2"/>
      <c r="BG275" s="2"/>
    </row>
    <row r="276" spans="1:59">
      <c r="A276" s="1" t="str">
        <f>IF($L$224="Y",'Population Definitions'!$A$4,"...")</f>
        <v>...</v>
      </c>
      <c r="B276" s="4" t="str">
        <f>IF($L$224="Y","---&gt;","...")</f>
        <v>...</v>
      </c>
      <c r="C276" s="1" t="str">
        <f>IF($L$224="Y",'Population Definitions'!$A$12,"...")</f>
        <v>...</v>
      </c>
      <c r="E276" s="2"/>
      <c r="F276" s="3"/>
      <c r="G276" s="2"/>
      <c r="H276" s="4" t="str">
        <f>IF($L$224="Y","OR","...")</f>
        <v>...</v>
      </c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/>
      <c r="BB276" s="2"/>
      <c r="BC276" s="2"/>
      <c r="BD276" s="2"/>
      <c r="BE276" s="2"/>
      <c r="BF276" s="2"/>
      <c r="BG276" s="2"/>
    </row>
    <row r="277" spans="1:59">
      <c r="A277" s="1" t="str">
        <f>IF($M$224="Y",'Population Definitions'!$A$4,"...")</f>
        <v>...</v>
      </c>
      <c r="B277" s="4" t="str">
        <f>IF($M$224="Y","---&gt;","...")</f>
        <v>...</v>
      </c>
      <c r="C277" s="1" t="str">
        <f>IF($M$224="Y",'Population Definitions'!$A$13,"...")</f>
        <v>...</v>
      </c>
      <c r="E277" s="2"/>
      <c r="F277" s="3"/>
      <c r="G277" s="2"/>
      <c r="H277" s="4" t="str">
        <f>IF($M$224="Y","OR","...")</f>
        <v>...</v>
      </c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/>
      <c r="BB277" s="2"/>
      <c r="BC277" s="2"/>
      <c r="BD277" s="2"/>
      <c r="BE277" s="2"/>
      <c r="BF277" s="2"/>
      <c r="BG277" s="2"/>
    </row>
    <row r="278" spans="1:59">
      <c r="A278" s="1" t="str">
        <f>IF($N$224="Y",'Population Definitions'!$A$4,"...")</f>
        <v>...</v>
      </c>
      <c r="B278" s="4" t="str">
        <f>IF($N$224="Y","---&gt;","...")</f>
        <v>...</v>
      </c>
      <c r="C278" s="1" t="str">
        <f>IF($N$224="Y",'Population Definitions'!$A$14,"...")</f>
        <v>...</v>
      </c>
      <c r="E278" s="2"/>
      <c r="F278" s="3"/>
      <c r="G278" s="2"/>
      <c r="H278" s="4" t="str">
        <f>IF($N$224="Y","OR","...")</f>
        <v>...</v>
      </c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2"/>
      <c r="BC278" s="2"/>
      <c r="BD278" s="2"/>
      <c r="BE278" s="2"/>
      <c r="BF278" s="2"/>
      <c r="BG278" s="2"/>
    </row>
    <row r="279" spans="1:59">
      <c r="A279" s="1" t="str">
        <f>IF($O$224="Y",'Population Definitions'!$A$4,"...")</f>
        <v>...</v>
      </c>
      <c r="B279" s="4" t="str">
        <f>IF($O$224="Y","---&gt;","...")</f>
        <v>...</v>
      </c>
      <c r="C279" s="1" t="str">
        <f>IF($O$224="Y",'Population Definitions'!$A$15,"...")</f>
        <v>...</v>
      </c>
      <c r="E279" s="2"/>
      <c r="F279" s="3"/>
      <c r="G279" s="2"/>
      <c r="H279" s="4" t="str">
        <f>IF($O$224="Y","OR","...")</f>
        <v>...</v>
      </c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/>
      <c r="BC279" s="2"/>
      <c r="BD279" s="2"/>
      <c r="BE279" s="2"/>
      <c r="BF279" s="2"/>
      <c r="BG279" s="2"/>
    </row>
    <row r="280" spans="1:59">
      <c r="A280" s="1" t="str">
        <f>IF($B$225="Y",'Population Definitions'!$A$5,"...")</f>
        <v>...</v>
      </c>
      <c r="B280" s="4" t="str">
        <f>IF($B$225="Y","---&gt;","...")</f>
        <v>...</v>
      </c>
      <c r="C280" s="1" t="str">
        <f>IF($B$225="Y",'Population Definitions'!$A$2,"...")</f>
        <v>...</v>
      </c>
      <c r="E280" s="2"/>
      <c r="F280" s="3"/>
      <c r="G280" s="2"/>
      <c r="H280" s="4" t="str">
        <f>IF($B$225="Y","OR","...")</f>
        <v>...</v>
      </c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  <c r="BB280" s="2"/>
      <c r="BC280" s="2"/>
      <c r="BD280" s="2"/>
      <c r="BE280" s="2"/>
      <c r="BF280" s="2"/>
      <c r="BG280" s="2"/>
    </row>
    <row r="281" spans="1:59">
      <c r="A281" s="1" t="str">
        <f>IF($C$225="Y",'Population Definitions'!$A$5,"...")</f>
        <v>...</v>
      </c>
      <c r="B281" s="4" t="str">
        <f>IF($C$225="Y","---&gt;","...")</f>
        <v>...</v>
      </c>
      <c r="C281" s="1" t="str">
        <f>IF($C$225="Y",'Population Definitions'!$A$3,"...")</f>
        <v>...</v>
      </c>
      <c r="E281" s="2"/>
      <c r="F281" s="3"/>
      <c r="G281" s="2"/>
      <c r="H281" s="4" t="str">
        <f>IF($C$225="Y","OR","...")</f>
        <v>...</v>
      </c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  <c r="BB281" s="2"/>
      <c r="BC281" s="2"/>
      <c r="BD281" s="2"/>
      <c r="BE281" s="2"/>
      <c r="BF281" s="2"/>
      <c r="BG281" s="2"/>
    </row>
    <row r="282" spans="1:59">
      <c r="A282" s="1" t="str">
        <f>IF($D$225="Y",'Population Definitions'!$A$5,"...")</f>
        <v>...</v>
      </c>
      <c r="B282" s="4" t="str">
        <f>IF($D$225="Y","---&gt;","...")</f>
        <v>...</v>
      </c>
      <c r="C282" s="1" t="str">
        <f>IF($D$225="Y",'Population Definitions'!$A$4,"...")</f>
        <v>...</v>
      </c>
      <c r="E282" s="2"/>
      <c r="F282" s="3"/>
      <c r="G282" s="2"/>
      <c r="H282" s="4" t="str">
        <f>IF($D$225="Y","OR","...")</f>
        <v>...</v>
      </c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  <c r="BB282" s="2"/>
      <c r="BC282" s="2"/>
      <c r="BD282" s="2"/>
      <c r="BE282" s="2"/>
      <c r="BF282" s="2"/>
      <c r="BG282" s="2"/>
    </row>
    <row r="283" spans="1:59">
      <c r="A283" s="1" t="str">
        <f>IF($E$225="Y",'Population Definitions'!$A$5,"...")</f>
        <v>...</v>
      </c>
      <c r="B283" s="4" t="str">
        <f>IF($E$225="Y","---&gt;","...")</f>
        <v>...</v>
      </c>
      <c r="C283" s="1" t="str">
        <f>IF($E$225="Y",'Population Definitions'!$A$5,"...")</f>
        <v>...</v>
      </c>
      <c r="E283" s="2"/>
      <c r="F283" s="3"/>
      <c r="G283" s="2"/>
      <c r="H283" s="4" t="str">
        <f>IF($E$225="Y","OR","...")</f>
        <v>...</v>
      </c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  <c r="AT283" s="2"/>
      <c r="AU283" s="2"/>
      <c r="AV283" s="2"/>
      <c r="AW283" s="2"/>
      <c r="AX283" s="2"/>
      <c r="AY283" s="2"/>
      <c r="AZ283" s="2"/>
      <c r="BA283" s="2"/>
      <c r="BB283" s="2"/>
      <c r="BC283" s="2"/>
      <c r="BD283" s="2"/>
      <c r="BE283" s="2"/>
      <c r="BF283" s="2"/>
      <c r="BG283" s="2"/>
    </row>
    <row r="284" spans="1:59">
      <c r="A284" s="1" t="str">
        <f>IF($F$225="Y",'Population Definitions'!$A$5,"...")</f>
        <v>...</v>
      </c>
      <c r="B284" s="4" t="str">
        <f>IF($F$225="Y","---&gt;","...")</f>
        <v>...</v>
      </c>
      <c r="C284" s="1" t="str">
        <f>IF($F$225="Y",'Population Definitions'!$A$6,"...")</f>
        <v>...</v>
      </c>
      <c r="E284" s="2"/>
      <c r="F284" s="3"/>
      <c r="G284" s="2"/>
      <c r="H284" s="4" t="str">
        <f>IF($F$225="Y","OR","...")</f>
        <v>...</v>
      </c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  <c r="BB284" s="2"/>
      <c r="BC284" s="2"/>
      <c r="BD284" s="2"/>
      <c r="BE284" s="2"/>
      <c r="BF284" s="2"/>
      <c r="BG284" s="2"/>
    </row>
    <row r="285" spans="1:59">
      <c r="A285" s="1" t="str">
        <f>IF($G$225="Y",'Population Definitions'!$A$5,"...")</f>
        <v>...</v>
      </c>
      <c r="B285" s="4" t="str">
        <f>IF($G$225="Y","---&gt;","...")</f>
        <v>...</v>
      </c>
      <c r="C285" s="1" t="str">
        <f>IF($G$225="Y",'Population Definitions'!$A$7,"...")</f>
        <v>...</v>
      </c>
      <c r="E285" s="2"/>
      <c r="F285" s="3"/>
      <c r="G285" s="2"/>
      <c r="H285" s="4" t="str">
        <f>IF($G$225="Y","OR","...")</f>
        <v>...</v>
      </c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  <c r="BB285" s="2"/>
      <c r="BC285" s="2"/>
      <c r="BD285" s="2"/>
      <c r="BE285" s="2"/>
      <c r="BF285" s="2"/>
      <c r="BG285" s="2"/>
    </row>
    <row r="286" spans="1:59">
      <c r="A286" s="1" t="str">
        <f>IF($H$225="Y",'Population Definitions'!$A$5,"...")</f>
        <v>...</v>
      </c>
      <c r="B286" s="4" t="str">
        <f>IF($H$225="Y","---&gt;","...")</f>
        <v>...</v>
      </c>
      <c r="C286" s="1" t="str">
        <f>IF($H$225="Y",'Population Definitions'!$A$8,"...")</f>
        <v>...</v>
      </c>
      <c r="E286" s="2"/>
      <c r="F286" s="3"/>
      <c r="G286" s="2"/>
      <c r="H286" s="4" t="str">
        <f>IF($H$225="Y","OR","...")</f>
        <v>...</v>
      </c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  <c r="BB286" s="2"/>
      <c r="BC286" s="2"/>
      <c r="BD286" s="2"/>
      <c r="BE286" s="2"/>
      <c r="BF286" s="2"/>
      <c r="BG286" s="2"/>
    </row>
    <row r="287" spans="1:59">
      <c r="A287" s="1" t="str">
        <f>IF($I$225="Y",'Population Definitions'!$A$5,"...")</f>
        <v>...</v>
      </c>
      <c r="B287" s="4" t="str">
        <f>IF($I$225="Y","---&gt;","...")</f>
        <v>...</v>
      </c>
      <c r="C287" s="1" t="str">
        <f>IF($I$225="Y",'Population Definitions'!$A$9,"...")</f>
        <v>...</v>
      </c>
      <c r="E287" s="2"/>
      <c r="F287" s="3"/>
      <c r="G287" s="2"/>
      <c r="H287" s="4" t="str">
        <f>IF($I$225="Y","OR","...")</f>
        <v>...</v>
      </c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  <c r="BB287" s="2"/>
      <c r="BC287" s="2"/>
      <c r="BD287" s="2"/>
      <c r="BE287" s="2"/>
      <c r="BF287" s="2"/>
      <c r="BG287" s="2"/>
    </row>
    <row r="288" spans="1:59">
      <c r="A288" s="1" t="str">
        <f>IF($J$225="Y",'Population Definitions'!$A$5,"...")</f>
        <v>...</v>
      </c>
      <c r="B288" s="4" t="str">
        <f>IF($J$225="Y","---&gt;","...")</f>
        <v>...</v>
      </c>
      <c r="C288" s="1" t="str">
        <f>IF($J$225="Y",'Population Definitions'!$A$10,"...")</f>
        <v>...</v>
      </c>
      <c r="E288" s="2"/>
      <c r="F288" s="3"/>
      <c r="G288" s="2"/>
      <c r="H288" s="4" t="str">
        <f>IF($J$225="Y","OR","...")</f>
        <v>...</v>
      </c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  <c r="BB288" s="2"/>
      <c r="BC288" s="2"/>
      <c r="BD288" s="2"/>
      <c r="BE288" s="2"/>
      <c r="BF288" s="2"/>
      <c r="BG288" s="2"/>
    </row>
    <row r="289" spans="1:59">
      <c r="A289" s="1" t="str">
        <f>IF($K$225="Y",'Population Definitions'!$A$5,"...")</f>
        <v>...</v>
      </c>
      <c r="B289" s="4" t="str">
        <f>IF($K$225="Y","---&gt;","...")</f>
        <v>...</v>
      </c>
      <c r="C289" s="1" t="str">
        <f>IF($K$225="Y",'Population Definitions'!$A$11,"...")</f>
        <v>...</v>
      </c>
      <c r="E289" s="2"/>
      <c r="F289" s="3"/>
      <c r="G289" s="2"/>
      <c r="H289" s="4" t="str">
        <f>IF($K$225="Y","OR","...")</f>
        <v>...</v>
      </c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  <c r="BB289" s="2"/>
      <c r="BC289" s="2"/>
      <c r="BD289" s="2"/>
      <c r="BE289" s="2"/>
      <c r="BF289" s="2"/>
      <c r="BG289" s="2"/>
    </row>
    <row r="290" spans="1:59">
      <c r="A290" s="1" t="str">
        <f>IF($L$225="Y",'Population Definitions'!$A$5,"...")</f>
        <v>...</v>
      </c>
      <c r="B290" s="4" t="str">
        <f>IF($L$225="Y","---&gt;","...")</f>
        <v>...</v>
      </c>
      <c r="C290" s="1" t="str">
        <f>IF($L$225="Y",'Population Definitions'!$A$12,"...")</f>
        <v>...</v>
      </c>
      <c r="E290" s="2"/>
      <c r="F290" s="3"/>
      <c r="G290" s="2"/>
      <c r="H290" s="4" t="str">
        <f>IF($L$225="Y","OR","...")</f>
        <v>...</v>
      </c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  <c r="BB290" s="2"/>
      <c r="BC290" s="2"/>
      <c r="BD290" s="2"/>
      <c r="BE290" s="2"/>
      <c r="BF290" s="2"/>
      <c r="BG290" s="2"/>
    </row>
    <row r="291" spans="1:59">
      <c r="A291" s="1" t="str">
        <f>IF($M$225="Y",'Population Definitions'!$A$5,"...")</f>
        <v>...</v>
      </c>
      <c r="B291" s="4" t="str">
        <f>IF($M$225="Y","---&gt;","...")</f>
        <v>...</v>
      </c>
      <c r="C291" s="1" t="str">
        <f>IF($M$225="Y",'Population Definitions'!$A$13,"...")</f>
        <v>...</v>
      </c>
      <c r="E291" s="2"/>
      <c r="F291" s="3"/>
      <c r="G291" s="2"/>
      <c r="H291" s="4" t="str">
        <f>IF($M$225="Y","OR","...")</f>
        <v>...</v>
      </c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  <c r="BB291" s="2"/>
      <c r="BC291" s="2"/>
      <c r="BD291" s="2"/>
      <c r="BE291" s="2"/>
      <c r="BF291" s="2"/>
      <c r="BG291" s="2"/>
    </row>
    <row r="292" spans="1:59">
      <c r="A292" s="1" t="str">
        <f>IF($N$225="Y",'Population Definitions'!$A$5,"...")</f>
        <v>...</v>
      </c>
      <c r="B292" s="4" t="str">
        <f>IF($N$225="Y","---&gt;","...")</f>
        <v>...</v>
      </c>
      <c r="C292" s="1" t="str">
        <f>IF($N$225="Y",'Population Definitions'!$A$14,"...")</f>
        <v>...</v>
      </c>
      <c r="E292" s="2"/>
      <c r="F292" s="3"/>
      <c r="G292" s="2"/>
      <c r="H292" s="4" t="str">
        <f>IF($N$225="Y","OR","...")</f>
        <v>...</v>
      </c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/>
      <c r="BB292" s="2"/>
      <c r="BC292" s="2"/>
      <c r="BD292" s="2"/>
      <c r="BE292" s="2"/>
      <c r="BF292" s="2"/>
      <c r="BG292" s="2"/>
    </row>
    <row r="293" spans="1:59">
      <c r="A293" s="1" t="str">
        <f>IF($O$225="Y",'Population Definitions'!$A$5,"...")</f>
        <v>...</v>
      </c>
      <c r="B293" s="4" t="str">
        <f>IF($O$225="Y","---&gt;","...")</f>
        <v>...</v>
      </c>
      <c r="C293" s="1" t="str">
        <f>IF($O$225="Y",'Population Definitions'!$A$15,"...")</f>
        <v>...</v>
      </c>
      <c r="E293" s="2"/>
      <c r="F293" s="3"/>
      <c r="G293" s="2"/>
      <c r="H293" s="4" t="str">
        <f>IF($O$225="Y","OR","...")</f>
        <v>...</v>
      </c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  <c r="BB293" s="2"/>
      <c r="BC293" s="2"/>
      <c r="BD293" s="2"/>
      <c r="BE293" s="2"/>
      <c r="BF293" s="2"/>
      <c r="BG293" s="2"/>
    </row>
    <row r="294" spans="1:59">
      <c r="A294" s="1" t="str">
        <f>IF($B$226="Y",'Population Definitions'!$A$6,"...")</f>
        <v>...</v>
      </c>
      <c r="B294" s="4" t="str">
        <f>IF($B$226="Y","---&gt;","...")</f>
        <v>...</v>
      </c>
      <c r="C294" s="1" t="str">
        <f>IF($B$226="Y",'Population Definitions'!$A$2,"...")</f>
        <v>...</v>
      </c>
      <c r="E294" s="2"/>
      <c r="F294" s="3"/>
      <c r="G294" s="2"/>
      <c r="H294" s="4" t="str">
        <f>IF($B$226="Y","OR","...")</f>
        <v>...</v>
      </c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/>
      <c r="BB294" s="2"/>
      <c r="BC294" s="2"/>
      <c r="BD294" s="2"/>
      <c r="BE294" s="2"/>
      <c r="BF294" s="2"/>
      <c r="BG294" s="2"/>
    </row>
    <row r="295" spans="1:59">
      <c r="A295" s="1" t="str">
        <f>IF($C$226="Y",'Population Definitions'!$A$6,"...")</f>
        <v>...</v>
      </c>
      <c r="B295" s="4" t="str">
        <f>IF($C$226="Y","---&gt;","...")</f>
        <v>...</v>
      </c>
      <c r="C295" s="1" t="str">
        <f>IF($C$226="Y",'Population Definitions'!$A$3,"...")</f>
        <v>...</v>
      </c>
      <c r="E295" s="2"/>
      <c r="F295" s="3"/>
      <c r="G295" s="2"/>
      <c r="H295" s="4" t="str">
        <f>IF($C$226="Y","OR","...")</f>
        <v>...</v>
      </c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  <c r="AT295" s="2"/>
      <c r="AU295" s="2"/>
      <c r="AV295" s="2"/>
      <c r="AW295" s="2"/>
      <c r="AX295" s="2"/>
      <c r="AY295" s="2"/>
      <c r="AZ295" s="2"/>
      <c r="BA295" s="2"/>
      <c r="BB295" s="2"/>
      <c r="BC295" s="2"/>
      <c r="BD295" s="2"/>
      <c r="BE295" s="2"/>
      <c r="BF295" s="2"/>
      <c r="BG295" s="2"/>
    </row>
    <row r="296" spans="1:59">
      <c r="A296" s="1" t="str">
        <f>IF($D$226="Y",'Population Definitions'!$A$6,"...")</f>
        <v>...</v>
      </c>
      <c r="B296" s="4" t="str">
        <f>IF($D$226="Y","---&gt;","...")</f>
        <v>...</v>
      </c>
      <c r="C296" s="1" t="str">
        <f>IF($D$226="Y",'Population Definitions'!$A$4,"...")</f>
        <v>...</v>
      </c>
      <c r="E296" s="2"/>
      <c r="F296" s="3"/>
      <c r="G296" s="2"/>
      <c r="H296" s="4" t="str">
        <f>IF($D$226="Y","OR","...")</f>
        <v>...</v>
      </c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  <c r="AT296" s="2"/>
      <c r="AU296" s="2"/>
      <c r="AV296" s="2"/>
      <c r="AW296" s="2"/>
      <c r="AX296" s="2"/>
      <c r="AY296" s="2"/>
      <c r="AZ296" s="2"/>
      <c r="BA296" s="2"/>
      <c r="BB296" s="2"/>
      <c r="BC296" s="2"/>
      <c r="BD296" s="2"/>
      <c r="BE296" s="2"/>
      <c r="BF296" s="2"/>
      <c r="BG296" s="2"/>
    </row>
    <row r="297" spans="1:59">
      <c r="A297" s="1" t="str">
        <f>IF($E$226="Y",'Population Definitions'!$A$6,"...")</f>
        <v>...</v>
      </c>
      <c r="B297" s="4" t="str">
        <f>IF($E$226="Y","---&gt;","...")</f>
        <v>...</v>
      </c>
      <c r="C297" s="1" t="str">
        <f>IF($E$226="Y",'Population Definitions'!$A$5,"...")</f>
        <v>...</v>
      </c>
      <c r="E297" s="2"/>
      <c r="F297" s="3"/>
      <c r="G297" s="2"/>
      <c r="H297" s="4" t="str">
        <f>IF($E$226="Y","OR","...")</f>
        <v>...</v>
      </c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  <c r="BB297" s="2"/>
      <c r="BC297" s="2"/>
      <c r="BD297" s="2"/>
      <c r="BE297" s="2"/>
      <c r="BF297" s="2"/>
      <c r="BG297" s="2"/>
    </row>
    <row r="298" spans="1:59">
      <c r="A298" s="1" t="str">
        <f>IF($F$226="Y",'Population Definitions'!$A$6,"...")</f>
        <v>...</v>
      </c>
      <c r="B298" s="4" t="str">
        <f>IF($F$226="Y","---&gt;","...")</f>
        <v>...</v>
      </c>
      <c r="C298" s="1" t="str">
        <f>IF($F$226="Y",'Population Definitions'!$A$6,"...")</f>
        <v>...</v>
      </c>
      <c r="E298" s="2"/>
      <c r="F298" s="3"/>
      <c r="G298" s="2"/>
      <c r="H298" s="4" t="str">
        <f>IF($F$226="Y","OR","...")</f>
        <v>...</v>
      </c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2"/>
      <c r="BC298" s="2"/>
      <c r="BD298" s="2"/>
      <c r="BE298" s="2"/>
      <c r="BF298" s="2"/>
      <c r="BG298" s="2"/>
    </row>
    <row r="299" spans="1:59">
      <c r="A299" s="1" t="str">
        <f>IF($G$226="Y",'Population Definitions'!$A$6,"...")</f>
        <v>...</v>
      </c>
      <c r="B299" s="4" t="str">
        <f>IF($G$226="Y","---&gt;","...")</f>
        <v>...</v>
      </c>
      <c r="C299" s="1" t="str">
        <f>IF($G$226="Y",'Population Definitions'!$A$7,"...")</f>
        <v>...</v>
      </c>
      <c r="E299" s="2"/>
      <c r="F299" s="3"/>
      <c r="G299" s="2"/>
      <c r="H299" s="4" t="str">
        <f>IF($G$226="Y","OR","...")</f>
        <v>...</v>
      </c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2"/>
      <c r="BC299" s="2"/>
      <c r="BD299" s="2"/>
      <c r="BE299" s="2"/>
      <c r="BF299" s="2"/>
      <c r="BG299" s="2"/>
    </row>
    <row r="300" spans="1:59">
      <c r="A300" s="1" t="str">
        <f>IF($H$226="Y",'Population Definitions'!$A$6,"...")</f>
        <v>...</v>
      </c>
      <c r="B300" s="4" t="str">
        <f>IF($H$226="Y","---&gt;","...")</f>
        <v>...</v>
      </c>
      <c r="C300" s="1" t="str">
        <f>IF($H$226="Y",'Population Definitions'!$A$8,"...")</f>
        <v>...</v>
      </c>
      <c r="E300" s="2"/>
      <c r="F300" s="3"/>
      <c r="G300" s="2"/>
      <c r="H300" s="4" t="str">
        <f>IF($H$226="Y","OR","...")</f>
        <v>...</v>
      </c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  <c r="BB300" s="2"/>
      <c r="BC300" s="2"/>
      <c r="BD300" s="2"/>
      <c r="BE300" s="2"/>
      <c r="BF300" s="2"/>
      <c r="BG300" s="2"/>
    </row>
    <row r="301" spans="1:59">
      <c r="A301" s="1" t="str">
        <f>IF($I$226="Y",'Population Definitions'!$A$6,"...")</f>
        <v>...</v>
      </c>
      <c r="B301" s="4" t="str">
        <f>IF($I$226="Y","---&gt;","...")</f>
        <v>...</v>
      </c>
      <c r="C301" s="1" t="str">
        <f>IF($I$226="Y",'Population Definitions'!$A$9,"...")</f>
        <v>...</v>
      </c>
      <c r="E301" s="2"/>
      <c r="F301" s="3"/>
      <c r="G301" s="2"/>
      <c r="H301" s="4" t="str">
        <f>IF($I$226="Y","OR","...")</f>
        <v>...</v>
      </c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  <c r="BA301" s="2"/>
      <c r="BB301" s="2"/>
      <c r="BC301" s="2"/>
      <c r="BD301" s="2"/>
      <c r="BE301" s="2"/>
      <c r="BF301" s="2"/>
      <c r="BG301" s="2"/>
    </row>
    <row r="302" spans="1:59">
      <c r="A302" s="1" t="str">
        <f>IF($J$226="Y",'Population Definitions'!$A$6,"...")</f>
        <v>...</v>
      </c>
      <c r="B302" s="4" t="str">
        <f>IF($J$226="Y","---&gt;","...")</f>
        <v>...</v>
      </c>
      <c r="C302" s="1" t="str">
        <f>IF($J$226="Y",'Population Definitions'!$A$10,"...")</f>
        <v>...</v>
      </c>
      <c r="E302" s="2"/>
      <c r="F302" s="3"/>
      <c r="G302" s="2"/>
      <c r="H302" s="4" t="str">
        <f>IF($J$226="Y","OR","...")</f>
        <v>...</v>
      </c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  <c r="BA302" s="2"/>
      <c r="BB302" s="2"/>
      <c r="BC302" s="2"/>
      <c r="BD302" s="2"/>
      <c r="BE302" s="2"/>
      <c r="BF302" s="2"/>
      <c r="BG302" s="2"/>
    </row>
    <row r="303" spans="1:59">
      <c r="A303" s="1" t="str">
        <f>IF($K$226="Y",'Population Definitions'!$A$6,"...")</f>
        <v>...</v>
      </c>
      <c r="B303" s="4" t="str">
        <f>IF($K$226="Y","---&gt;","...")</f>
        <v>...</v>
      </c>
      <c r="C303" s="1" t="str">
        <f>IF($K$226="Y",'Population Definitions'!$A$11,"...")</f>
        <v>...</v>
      </c>
      <c r="E303" s="2"/>
      <c r="F303" s="3"/>
      <c r="G303" s="2"/>
      <c r="H303" s="4" t="str">
        <f>IF($K$226="Y","OR","...")</f>
        <v>...</v>
      </c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  <c r="BA303" s="2"/>
      <c r="BB303" s="2"/>
      <c r="BC303" s="2"/>
      <c r="BD303" s="2"/>
      <c r="BE303" s="2"/>
      <c r="BF303" s="2"/>
      <c r="BG303" s="2"/>
    </row>
    <row r="304" spans="1:59">
      <c r="A304" s="1" t="str">
        <f>IF($L$226="Y",'Population Definitions'!$A$6,"...")</f>
        <v>...</v>
      </c>
      <c r="B304" s="4" t="str">
        <f>IF($L$226="Y","---&gt;","...")</f>
        <v>...</v>
      </c>
      <c r="C304" s="1" t="str">
        <f>IF($L$226="Y",'Population Definitions'!$A$12,"...")</f>
        <v>...</v>
      </c>
      <c r="E304" s="2"/>
      <c r="F304" s="3"/>
      <c r="G304" s="2"/>
      <c r="H304" s="4" t="str">
        <f>IF($L$226="Y","OR","...")</f>
        <v>...</v>
      </c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  <c r="BA304" s="2"/>
      <c r="BB304" s="2"/>
      <c r="BC304" s="2"/>
      <c r="BD304" s="2"/>
      <c r="BE304" s="2"/>
      <c r="BF304" s="2"/>
      <c r="BG304" s="2"/>
    </row>
    <row r="305" spans="1:59">
      <c r="A305" s="1" t="str">
        <f>IF($M$226="Y",'Population Definitions'!$A$6,"...")</f>
        <v>...</v>
      </c>
      <c r="B305" s="4" t="str">
        <f>IF($M$226="Y","---&gt;","...")</f>
        <v>...</v>
      </c>
      <c r="C305" s="1" t="str">
        <f>IF($M$226="Y",'Population Definitions'!$A$13,"...")</f>
        <v>...</v>
      </c>
      <c r="E305" s="2"/>
      <c r="F305" s="3"/>
      <c r="G305" s="2"/>
      <c r="H305" s="4" t="str">
        <f>IF($M$226="Y","OR","...")</f>
        <v>...</v>
      </c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  <c r="AX305" s="2"/>
      <c r="AY305" s="2"/>
      <c r="AZ305" s="2"/>
      <c r="BA305" s="2"/>
      <c r="BB305" s="2"/>
      <c r="BC305" s="2"/>
      <c r="BD305" s="2"/>
      <c r="BE305" s="2"/>
      <c r="BF305" s="2"/>
      <c r="BG305" s="2"/>
    </row>
    <row r="306" spans="1:59">
      <c r="A306" s="1" t="str">
        <f>IF($N$226="Y",'Population Definitions'!$A$6,"...")</f>
        <v>...</v>
      </c>
      <c r="B306" s="4" t="str">
        <f>IF($N$226="Y","---&gt;","...")</f>
        <v>...</v>
      </c>
      <c r="C306" s="1" t="str">
        <f>IF($N$226="Y",'Population Definitions'!$A$14,"...")</f>
        <v>...</v>
      </c>
      <c r="E306" s="2"/>
      <c r="F306" s="3"/>
      <c r="G306" s="2"/>
      <c r="H306" s="4" t="str">
        <f>IF($N$226="Y","OR","...")</f>
        <v>...</v>
      </c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  <c r="BA306" s="2"/>
      <c r="BB306" s="2"/>
      <c r="BC306" s="2"/>
      <c r="BD306" s="2"/>
      <c r="BE306" s="2"/>
      <c r="BF306" s="2"/>
      <c r="BG306" s="2"/>
    </row>
    <row r="307" spans="1:59">
      <c r="A307" s="1" t="str">
        <f>IF($O$226="Y",'Population Definitions'!$A$6,"...")</f>
        <v>...</v>
      </c>
      <c r="B307" s="4" t="str">
        <f>IF($O$226="Y","---&gt;","...")</f>
        <v>...</v>
      </c>
      <c r="C307" s="1" t="str">
        <f>IF($O$226="Y",'Population Definitions'!$A$15,"...")</f>
        <v>...</v>
      </c>
      <c r="E307" s="2"/>
      <c r="F307" s="3"/>
      <c r="G307" s="2"/>
      <c r="H307" s="4" t="str">
        <f>IF($O$226="Y","OR","...")</f>
        <v>...</v>
      </c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  <c r="BA307" s="2"/>
      <c r="BB307" s="2"/>
      <c r="BC307" s="2"/>
      <c r="BD307" s="2"/>
      <c r="BE307" s="2"/>
      <c r="BF307" s="2"/>
      <c r="BG307" s="2"/>
    </row>
    <row r="308" spans="1:59">
      <c r="A308" s="1" t="str">
        <f>IF($B$227="Y",'Population Definitions'!$A$7,"...")</f>
        <v>...</v>
      </c>
      <c r="B308" s="4" t="str">
        <f>IF($B$227="Y","---&gt;","...")</f>
        <v>...</v>
      </c>
      <c r="C308" s="1" t="str">
        <f>IF($B$227="Y",'Population Definitions'!$A$2,"...")</f>
        <v>...</v>
      </c>
      <c r="E308" s="2"/>
      <c r="F308" s="3"/>
      <c r="G308" s="2"/>
      <c r="H308" s="4" t="str">
        <f>IF($B$227="Y","OR","...")</f>
        <v>...</v>
      </c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  <c r="AR308" s="2"/>
      <c r="AS308" s="2"/>
      <c r="AT308" s="2"/>
      <c r="AU308" s="2"/>
      <c r="AV308" s="2"/>
      <c r="AW308" s="2"/>
      <c r="AX308" s="2"/>
      <c r="AY308" s="2"/>
      <c r="AZ308" s="2"/>
      <c r="BA308" s="2"/>
      <c r="BB308" s="2"/>
      <c r="BC308" s="2"/>
      <c r="BD308" s="2"/>
      <c r="BE308" s="2"/>
      <c r="BF308" s="2"/>
      <c r="BG308" s="2"/>
    </row>
    <row r="309" spans="1:59">
      <c r="A309" s="1" t="str">
        <f>IF($C$227="Y",'Population Definitions'!$A$7,"...")</f>
        <v>...</v>
      </c>
      <c r="B309" s="4" t="str">
        <f>IF($C$227="Y","---&gt;","...")</f>
        <v>...</v>
      </c>
      <c r="C309" s="1" t="str">
        <f>IF($C$227="Y",'Population Definitions'!$A$3,"...")</f>
        <v>...</v>
      </c>
      <c r="E309" s="2"/>
      <c r="F309" s="3"/>
      <c r="G309" s="2"/>
      <c r="H309" s="4" t="str">
        <f>IF($C$227="Y","OR","...")</f>
        <v>...</v>
      </c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  <c r="BA309" s="2"/>
      <c r="BB309" s="2"/>
      <c r="BC309" s="2"/>
      <c r="BD309" s="2"/>
      <c r="BE309" s="2"/>
      <c r="BF309" s="2"/>
      <c r="BG309" s="2"/>
    </row>
    <row r="310" spans="1:59">
      <c r="A310" s="1" t="str">
        <f>IF($D$227="Y",'Population Definitions'!$A$7,"...")</f>
        <v>...</v>
      </c>
      <c r="B310" s="4" t="str">
        <f>IF($D$227="Y","---&gt;","...")</f>
        <v>...</v>
      </c>
      <c r="C310" s="1" t="str">
        <f>IF($D$227="Y",'Population Definitions'!$A$4,"...")</f>
        <v>...</v>
      </c>
      <c r="E310" s="2"/>
      <c r="F310" s="3"/>
      <c r="G310" s="2"/>
      <c r="H310" s="4" t="str">
        <f>IF($D$227="Y","OR","...")</f>
        <v>...</v>
      </c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  <c r="BA310" s="2"/>
      <c r="BB310" s="2"/>
      <c r="BC310" s="2"/>
      <c r="BD310" s="2"/>
      <c r="BE310" s="2"/>
      <c r="BF310" s="2"/>
      <c r="BG310" s="2"/>
    </row>
    <row r="311" spans="1:59">
      <c r="A311" s="1" t="str">
        <f>IF($E$227="Y",'Population Definitions'!$A$7,"...")</f>
        <v>...</v>
      </c>
      <c r="B311" s="4" t="str">
        <f>IF($E$227="Y","---&gt;","...")</f>
        <v>...</v>
      </c>
      <c r="C311" s="1" t="str">
        <f>IF($E$227="Y",'Population Definitions'!$A$5,"...")</f>
        <v>...</v>
      </c>
      <c r="E311" s="2"/>
      <c r="F311" s="3"/>
      <c r="G311" s="2"/>
      <c r="H311" s="4" t="str">
        <f>IF($E$227="Y","OR","...")</f>
        <v>...</v>
      </c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/>
      <c r="BA311" s="2"/>
      <c r="BB311" s="2"/>
      <c r="BC311" s="2"/>
      <c r="BD311" s="2"/>
      <c r="BE311" s="2"/>
      <c r="BF311" s="2"/>
      <c r="BG311" s="2"/>
    </row>
    <row r="312" spans="1:59">
      <c r="A312" s="1" t="str">
        <f>IF($F$227="Y",'Population Definitions'!$A$7,"...")</f>
        <v>...</v>
      </c>
      <c r="B312" s="4" t="str">
        <f>IF($F$227="Y","---&gt;","...")</f>
        <v>...</v>
      </c>
      <c r="C312" s="1" t="str">
        <f>IF($F$227="Y",'Population Definitions'!$A$6,"...")</f>
        <v>...</v>
      </c>
      <c r="E312" s="2"/>
      <c r="F312" s="3"/>
      <c r="G312" s="2"/>
      <c r="H312" s="4" t="str">
        <f>IF($F$227="Y","OR","...")</f>
        <v>...</v>
      </c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  <c r="AX312" s="2"/>
      <c r="AY312" s="2"/>
      <c r="AZ312" s="2"/>
      <c r="BA312" s="2"/>
      <c r="BB312" s="2"/>
      <c r="BC312" s="2"/>
      <c r="BD312" s="2"/>
      <c r="BE312" s="2"/>
      <c r="BF312" s="2"/>
      <c r="BG312" s="2"/>
    </row>
    <row r="313" spans="1:59">
      <c r="A313" s="1" t="str">
        <f>IF($G$227="Y",'Population Definitions'!$A$7,"...")</f>
        <v>...</v>
      </c>
      <c r="B313" s="4" t="str">
        <f>IF($G$227="Y","---&gt;","...")</f>
        <v>...</v>
      </c>
      <c r="C313" s="1" t="str">
        <f>IF($G$227="Y",'Population Definitions'!$A$7,"...")</f>
        <v>...</v>
      </c>
      <c r="E313" s="2"/>
      <c r="F313" s="3"/>
      <c r="G313" s="2"/>
      <c r="H313" s="4" t="str">
        <f>IF($G$227="Y","OR","...")</f>
        <v>...</v>
      </c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/>
      <c r="AZ313" s="2"/>
      <c r="BA313" s="2"/>
      <c r="BB313" s="2"/>
      <c r="BC313" s="2"/>
      <c r="BD313" s="2"/>
      <c r="BE313" s="2"/>
      <c r="BF313" s="2"/>
      <c r="BG313" s="2"/>
    </row>
    <row r="314" spans="1:59">
      <c r="A314" s="1" t="str">
        <f>IF($H$227="Y",'Population Definitions'!$A$7,"...")</f>
        <v>...</v>
      </c>
      <c r="B314" s="4" t="str">
        <f>IF($H$227="Y","---&gt;","...")</f>
        <v>...</v>
      </c>
      <c r="C314" s="1" t="str">
        <f>IF($H$227="Y",'Population Definitions'!$A$8,"...")</f>
        <v>...</v>
      </c>
      <c r="E314" s="2"/>
      <c r="F314" s="3"/>
      <c r="G314" s="2"/>
      <c r="H314" s="4" t="str">
        <f>IF($H$227="Y","OR","...")</f>
        <v>...</v>
      </c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  <c r="BA314" s="2"/>
      <c r="BB314" s="2"/>
      <c r="BC314" s="2"/>
      <c r="BD314" s="2"/>
      <c r="BE314" s="2"/>
      <c r="BF314" s="2"/>
      <c r="BG314" s="2"/>
    </row>
    <row r="315" spans="1:59">
      <c r="A315" s="1" t="str">
        <f>IF($I$227="Y",'Population Definitions'!$A$7,"...")</f>
        <v>...</v>
      </c>
      <c r="B315" s="4" t="str">
        <f>IF($I$227="Y","---&gt;","...")</f>
        <v>...</v>
      </c>
      <c r="C315" s="1" t="str">
        <f>IF($I$227="Y",'Population Definitions'!$A$9,"...")</f>
        <v>...</v>
      </c>
      <c r="E315" s="2"/>
      <c r="F315" s="3"/>
      <c r="G315" s="2"/>
      <c r="H315" s="4" t="str">
        <f>IF($I$227="Y","OR","...")</f>
        <v>...</v>
      </c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2"/>
      <c r="BA315" s="2"/>
      <c r="BB315" s="2"/>
      <c r="BC315" s="2"/>
      <c r="BD315" s="2"/>
      <c r="BE315" s="2"/>
      <c r="BF315" s="2"/>
      <c r="BG315" s="2"/>
    </row>
    <row r="316" spans="1:59">
      <c r="A316" s="1" t="str">
        <f>IF($J$227="Y",'Population Definitions'!$A$7,"...")</f>
        <v>...</v>
      </c>
      <c r="B316" s="4" t="str">
        <f>IF($J$227="Y","---&gt;","...")</f>
        <v>...</v>
      </c>
      <c r="C316" s="1" t="str">
        <f>IF($J$227="Y",'Population Definitions'!$A$10,"...")</f>
        <v>...</v>
      </c>
      <c r="E316" s="2"/>
      <c r="F316" s="3"/>
      <c r="G316" s="2"/>
      <c r="H316" s="4" t="str">
        <f>IF($J$227="Y","OR","...")</f>
        <v>...</v>
      </c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  <c r="BA316" s="2"/>
      <c r="BB316" s="2"/>
      <c r="BC316" s="2"/>
      <c r="BD316" s="2"/>
      <c r="BE316" s="2"/>
      <c r="BF316" s="2"/>
      <c r="BG316" s="2"/>
    </row>
    <row r="317" spans="1:59">
      <c r="A317" s="1" t="str">
        <f>IF($K$227="Y",'Population Definitions'!$A$7,"...")</f>
        <v>...</v>
      </c>
      <c r="B317" s="4" t="str">
        <f>IF($K$227="Y","---&gt;","...")</f>
        <v>...</v>
      </c>
      <c r="C317" s="1" t="str">
        <f>IF($K$227="Y",'Population Definitions'!$A$11,"...")</f>
        <v>...</v>
      </c>
      <c r="E317" s="2"/>
      <c r="F317" s="3"/>
      <c r="G317" s="2"/>
      <c r="H317" s="4" t="str">
        <f>IF($K$227="Y","OR","...")</f>
        <v>...</v>
      </c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X317" s="2"/>
      <c r="AY317" s="2"/>
      <c r="AZ317" s="2"/>
      <c r="BA317" s="2"/>
      <c r="BB317" s="2"/>
      <c r="BC317" s="2"/>
      <c r="BD317" s="2"/>
      <c r="BE317" s="2"/>
      <c r="BF317" s="2"/>
      <c r="BG317" s="2"/>
    </row>
    <row r="318" spans="1:59">
      <c r="A318" s="1" t="str">
        <f>IF($L$227="Y",'Population Definitions'!$A$7,"...")</f>
        <v>...</v>
      </c>
      <c r="B318" s="4" t="str">
        <f>IF($L$227="Y","---&gt;","...")</f>
        <v>...</v>
      </c>
      <c r="C318" s="1" t="str">
        <f>IF($L$227="Y",'Population Definitions'!$A$12,"...")</f>
        <v>...</v>
      </c>
      <c r="E318" s="2"/>
      <c r="F318" s="3"/>
      <c r="G318" s="2"/>
      <c r="H318" s="4" t="str">
        <f>IF($L$227="Y","OR","...")</f>
        <v>...</v>
      </c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  <c r="AQ318" s="2"/>
      <c r="AR318" s="2"/>
      <c r="AS318" s="2"/>
      <c r="AT318" s="2"/>
      <c r="AU318" s="2"/>
      <c r="AV318" s="2"/>
      <c r="AW318" s="2"/>
      <c r="AX318" s="2"/>
      <c r="AY318" s="2"/>
      <c r="AZ318" s="2"/>
      <c r="BA318" s="2"/>
      <c r="BB318" s="2"/>
      <c r="BC318" s="2"/>
      <c r="BD318" s="2"/>
      <c r="BE318" s="2"/>
      <c r="BF318" s="2"/>
      <c r="BG318" s="2"/>
    </row>
    <row r="319" spans="1:59">
      <c r="A319" s="1" t="str">
        <f>IF($M$227="Y",'Population Definitions'!$A$7,"...")</f>
        <v>...</v>
      </c>
      <c r="B319" s="4" t="str">
        <f>IF($M$227="Y","---&gt;","...")</f>
        <v>...</v>
      </c>
      <c r="C319" s="1" t="str">
        <f>IF($M$227="Y",'Population Definitions'!$A$13,"...")</f>
        <v>...</v>
      </c>
      <c r="E319" s="2"/>
      <c r="F319" s="3"/>
      <c r="G319" s="2"/>
      <c r="H319" s="4" t="str">
        <f>IF($M$227="Y","OR","...")</f>
        <v>...</v>
      </c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  <c r="AQ319" s="2"/>
      <c r="AR319" s="2"/>
      <c r="AS319" s="2"/>
      <c r="AT319" s="2"/>
      <c r="AU319" s="2"/>
      <c r="AV319" s="2"/>
      <c r="AW319" s="2"/>
      <c r="AX319" s="2"/>
      <c r="AY319" s="2"/>
      <c r="AZ319" s="2"/>
      <c r="BA319" s="2"/>
      <c r="BB319" s="2"/>
      <c r="BC319" s="2"/>
      <c r="BD319" s="2"/>
      <c r="BE319" s="2"/>
      <c r="BF319" s="2"/>
      <c r="BG319" s="2"/>
    </row>
    <row r="320" spans="1:59">
      <c r="A320" s="1" t="str">
        <f>IF($N$227="Y",'Population Definitions'!$A$7,"...")</f>
        <v>...</v>
      </c>
      <c r="B320" s="4" t="str">
        <f>IF($N$227="Y","---&gt;","...")</f>
        <v>...</v>
      </c>
      <c r="C320" s="1" t="str">
        <f>IF($N$227="Y",'Population Definitions'!$A$14,"...")</f>
        <v>...</v>
      </c>
      <c r="E320" s="2"/>
      <c r="F320" s="3"/>
      <c r="G320" s="2"/>
      <c r="H320" s="4" t="str">
        <f>IF($N$227="Y","OR","...")</f>
        <v>...</v>
      </c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  <c r="AQ320" s="2"/>
      <c r="AR320" s="2"/>
      <c r="AS320" s="2"/>
      <c r="AT320" s="2"/>
      <c r="AU320" s="2"/>
      <c r="AV320" s="2"/>
      <c r="AW320" s="2"/>
      <c r="AX320" s="2"/>
      <c r="AY320" s="2"/>
      <c r="AZ320" s="2"/>
      <c r="BA320" s="2"/>
      <c r="BB320" s="2"/>
      <c r="BC320" s="2"/>
      <c r="BD320" s="2"/>
      <c r="BE320" s="2"/>
      <c r="BF320" s="2"/>
      <c r="BG320" s="2"/>
    </row>
    <row r="321" spans="1:59">
      <c r="A321" s="1" t="str">
        <f>IF($O$227="Y",'Population Definitions'!$A$7,"...")</f>
        <v>...</v>
      </c>
      <c r="B321" s="4" t="str">
        <f>IF($O$227="Y","---&gt;","...")</f>
        <v>...</v>
      </c>
      <c r="C321" s="1" t="str">
        <f>IF($O$227="Y",'Population Definitions'!$A$15,"...")</f>
        <v>...</v>
      </c>
      <c r="E321" s="2"/>
      <c r="F321" s="3"/>
      <c r="G321" s="2"/>
      <c r="H321" s="4" t="str">
        <f>IF($O$227="Y","OR","...")</f>
        <v>...</v>
      </c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  <c r="AQ321" s="2"/>
      <c r="AR321" s="2"/>
      <c r="AS321" s="2"/>
      <c r="AT321" s="2"/>
      <c r="AU321" s="2"/>
      <c r="AV321" s="2"/>
      <c r="AW321" s="2"/>
      <c r="AX321" s="2"/>
      <c r="AY321" s="2"/>
      <c r="AZ321" s="2"/>
      <c r="BA321" s="2"/>
      <c r="BB321" s="2"/>
      <c r="BC321" s="2"/>
      <c r="BD321" s="2"/>
      <c r="BE321" s="2"/>
      <c r="BF321" s="2"/>
      <c r="BG321" s="2"/>
    </row>
    <row r="322" spans="1:59">
      <c r="A322" s="1" t="str">
        <f>IF($B$228="Y",'Population Definitions'!$A$8,"...")</f>
        <v>...</v>
      </c>
      <c r="B322" s="4" t="str">
        <f>IF($B$228="Y","---&gt;","...")</f>
        <v>...</v>
      </c>
      <c r="C322" s="1" t="str">
        <f>IF($B$228="Y",'Population Definitions'!$A$2,"...")</f>
        <v>...</v>
      </c>
      <c r="E322" s="2"/>
      <c r="F322" s="3"/>
      <c r="G322" s="2"/>
      <c r="H322" s="4" t="str">
        <f>IF($B$228="Y","OR","...")</f>
        <v>...</v>
      </c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  <c r="AN322" s="2"/>
      <c r="AO322" s="2"/>
      <c r="AP322" s="2"/>
      <c r="AQ322" s="2"/>
      <c r="AR322" s="2"/>
      <c r="AS322" s="2"/>
      <c r="AT322" s="2"/>
      <c r="AU322" s="2"/>
      <c r="AV322" s="2"/>
      <c r="AW322" s="2"/>
      <c r="AX322" s="2"/>
      <c r="AY322" s="2"/>
      <c r="AZ322" s="2"/>
      <c r="BA322" s="2"/>
      <c r="BB322" s="2"/>
      <c r="BC322" s="2"/>
      <c r="BD322" s="2"/>
      <c r="BE322" s="2"/>
      <c r="BF322" s="2"/>
      <c r="BG322" s="2"/>
    </row>
    <row r="323" spans="1:59">
      <c r="A323" s="1" t="str">
        <f>IF($C$228="Y",'Population Definitions'!$A$8,"...")</f>
        <v>...</v>
      </c>
      <c r="B323" s="4" t="str">
        <f>IF($C$228="Y","---&gt;","...")</f>
        <v>...</v>
      </c>
      <c r="C323" s="1" t="str">
        <f>IF($C$228="Y",'Population Definitions'!$A$3,"...")</f>
        <v>...</v>
      </c>
      <c r="E323" s="2"/>
      <c r="F323" s="3"/>
      <c r="G323" s="2"/>
      <c r="H323" s="4" t="str">
        <f>IF($C$228="Y","OR","...")</f>
        <v>...</v>
      </c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  <c r="AQ323" s="2"/>
      <c r="AR323" s="2"/>
      <c r="AS323" s="2"/>
      <c r="AT323" s="2"/>
      <c r="AU323" s="2"/>
      <c r="AV323" s="2"/>
      <c r="AW323" s="2"/>
      <c r="AX323" s="2"/>
      <c r="AY323" s="2"/>
      <c r="AZ323" s="2"/>
      <c r="BA323" s="2"/>
      <c r="BB323" s="2"/>
      <c r="BC323" s="2"/>
      <c r="BD323" s="2"/>
      <c r="BE323" s="2"/>
      <c r="BF323" s="2"/>
      <c r="BG323" s="2"/>
    </row>
    <row r="324" spans="1:59">
      <c r="A324" s="1" t="str">
        <f>IF($D$228="Y",'Population Definitions'!$A$8,"...")</f>
        <v>...</v>
      </c>
      <c r="B324" s="4" t="str">
        <f>IF($D$228="Y","---&gt;","...")</f>
        <v>...</v>
      </c>
      <c r="C324" s="1" t="str">
        <f>IF($D$228="Y",'Population Definitions'!$A$4,"...")</f>
        <v>...</v>
      </c>
      <c r="E324" s="2"/>
      <c r="F324" s="3"/>
      <c r="G324" s="2"/>
      <c r="H324" s="4" t="str">
        <f>IF($D$228="Y","OR","...")</f>
        <v>...</v>
      </c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  <c r="AQ324" s="2"/>
      <c r="AR324" s="2"/>
      <c r="AS324" s="2"/>
      <c r="AT324" s="2"/>
      <c r="AU324" s="2"/>
      <c r="AV324" s="2"/>
      <c r="AW324" s="2"/>
      <c r="AX324" s="2"/>
      <c r="AY324" s="2"/>
      <c r="AZ324" s="2"/>
      <c r="BA324" s="2"/>
      <c r="BB324" s="2"/>
      <c r="BC324" s="2"/>
      <c r="BD324" s="2"/>
      <c r="BE324" s="2"/>
      <c r="BF324" s="2"/>
      <c r="BG324" s="2"/>
    </row>
    <row r="325" spans="1:59">
      <c r="A325" s="1" t="str">
        <f>IF($E$228="Y",'Population Definitions'!$A$8,"...")</f>
        <v>...</v>
      </c>
      <c r="B325" s="4" t="str">
        <f>IF($E$228="Y","---&gt;","...")</f>
        <v>...</v>
      </c>
      <c r="C325" s="1" t="str">
        <f>IF($E$228="Y",'Population Definitions'!$A$5,"...")</f>
        <v>...</v>
      </c>
      <c r="E325" s="2"/>
      <c r="F325" s="3"/>
      <c r="G325" s="2"/>
      <c r="H325" s="4" t="str">
        <f>IF($E$228="Y","OR","...")</f>
        <v>...</v>
      </c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  <c r="AQ325" s="2"/>
      <c r="AR325" s="2"/>
      <c r="AS325" s="2"/>
      <c r="AT325" s="2"/>
      <c r="AU325" s="2"/>
      <c r="AV325" s="2"/>
      <c r="AW325" s="2"/>
      <c r="AX325" s="2"/>
      <c r="AY325" s="2"/>
      <c r="AZ325" s="2"/>
      <c r="BA325" s="2"/>
      <c r="BB325" s="2"/>
      <c r="BC325" s="2"/>
      <c r="BD325" s="2"/>
      <c r="BE325" s="2"/>
      <c r="BF325" s="2"/>
      <c r="BG325" s="2"/>
    </row>
    <row r="326" spans="1:59">
      <c r="A326" s="1" t="str">
        <f>IF($F$228="Y",'Population Definitions'!$A$8,"...")</f>
        <v>...</v>
      </c>
      <c r="B326" s="4" t="str">
        <f>IF($F$228="Y","---&gt;","...")</f>
        <v>...</v>
      </c>
      <c r="C326" s="1" t="str">
        <f>IF($F$228="Y",'Population Definitions'!$A$6,"...")</f>
        <v>...</v>
      </c>
      <c r="E326" s="2"/>
      <c r="F326" s="3"/>
      <c r="G326" s="2"/>
      <c r="H326" s="4" t="str">
        <f>IF($F$228="Y","OR","...")</f>
        <v>...</v>
      </c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  <c r="AP326" s="2"/>
      <c r="AQ326" s="2"/>
      <c r="AR326" s="2"/>
      <c r="AS326" s="2"/>
      <c r="AT326" s="2"/>
      <c r="AU326" s="2"/>
      <c r="AV326" s="2"/>
      <c r="AW326" s="2"/>
      <c r="AX326" s="2"/>
      <c r="AY326" s="2"/>
      <c r="AZ326" s="2"/>
      <c r="BA326" s="2"/>
      <c r="BB326" s="2"/>
      <c r="BC326" s="2"/>
      <c r="BD326" s="2"/>
      <c r="BE326" s="2"/>
      <c r="BF326" s="2"/>
      <c r="BG326" s="2"/>
    </row>
    <row r="327" spans="1:59">
      <c r="A327" s="1" t="str">
        <f>IF($G$228="Y",'Population Definitions'!$A$8,"...")</f>
        <v>...</v>
      </c>
      <c r="B327" s="4" t="str">
        <f>IF($G$228="Y","---&gt;","...")</f>
        <v>...</v>
      </c>
      <c r="C327" s="1" t="str">
        <f>IF($G$228="Y",'Population Definitions'!$A$7,"...")</f>
        <v>...</v>
      </c>
      <c r="E327" s="2"/>
      <c r="F327" s="3"/>
      <c r="G327" s="2"/>
      <c r="H327" s="4" t="str">
        <f>IF($G$228="Y","OR","...")</f>
        <v>...</v>
      </c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  <c r="AQ327" s="2"/>
      <c r="AR327" s="2"/>
      <c r="AS327" s="2"/>
      <c r="AT327" s="2"/>
      <c r="AU327" s="2"/>
      <c r="AV327" s="2"/>
      <c r="AW327" s="2"/>
      <c r="AX327" s="2"/>
      <c r="AY327" s="2"/>
      <c r="AZ327" s="2"/>
      <c r="BA327" s="2"/>
      <c r="BB327" s="2"/>
      <c r="BC327" s="2"/>
      <c r="BD327" s="2"/>
      <c r="BE327" s="2"/>
      <c r="BF327" s="2"/>
      <c r="BG327" s="2"/>
    </row>
    <row r="328" spans="1:59">
      <c r="A328" s="1" t="str">
        <f>IF($H$228="Y",'Population Definitions'!$A$8,"...")</f>
        <v>18-64_males</v>
      </c>
      <c r="B328" s="4" t="str">
        <f>IF($H$228="Y","---&gt;","...")</f>
        <v>---&gt;</v>
      </c>
      <c r="C328" s="1" t="str">
        <f>IF($H$228="Y",'Population Definitions'!$A$8,"...")</f>
        <v>18-64_males</v>
      </c>
      <c r="D328" t="s">
        <v>62</v>
      </c>
      <c r="E328" s="3" t="s">
        <v>58</v>
      </c>
      <c r="F328" s="3"/>
      <c r="G328" s="3">
        <v>1</v>
      </c>
      <c r="H328" s="4" t="str">
        <f>IF($H$228="Y","OR","...")</f>
        <v>OR</v>
      </c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  <c r="AK328" s="3"/>
      <c r="AL328" s="3"/>
      <c r="AM328" s="3"/>
      <c r="AN328" s="3"/>
      <c r="AO328" s="3"/>
      <c r="AP328" s="3"/>
      <c r="AQ328" s="3"/>
      <c r="AR328" s="3"/>
      <c r="AS328" s="3"/>
      <c r="AT328" s="3"/>
      <c r="AU328" s="3"/>
      <c r="AV328" s="3"/>
      <c r="AW328" s="3"/>
      <c r="AX328" s="3"/>
      <c r="AY328" s="3"/>
      <c r="AZ328" s="3"/>
      <c r="BA328" s="3"/>
      <c r="BB328" s="3"/>
      <c r="BC328" s="3"/>
      <c r="BD328" s="3"/>
      <c r="BE328" s="3"/>
      <c r="BF328" s="3"/>
      <c r="BG328" s="3"/>
    </row>
    <row r="329" spans="1:59">
      <c r="A329" s="1" t="str">
        <f>IF($I$228="Y",'Population Definitions'!$A$8,"...")</f>
        <v>18-64_males</v>
      </c>
      <c r="B329" s="4" t="str">
        <f>IF($I$228="Y","---&gt;","...")</f>
        <v>---&gt;</v>
      </c>
      <c r="C329" s="1" t="str">
        <f>IF($I$228="Y",'Population Definitions'!$A$9,"...")</f>
        <v>18-64_females</v>
      </c>
      <c r="D329" t="s">
        <v>62</v>
      </c>
      <c r="E329" s="3" t="s">
        <v>58</v>
      </c>
      <c r="F329" s="3"/>
      <c r="G329" s="3">
        <v>1</v>
      </c>
      <c r="H329" s="4" t="str">
        <f>IF($I$228="Y","OR","...")</f>
        <v>OR</v>
      </c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/>
      <c r="AK329" s="3"/>
      <c r="AL329" s="3"/>
      <c r="AM329" s="3"/>
      <c r="AN329" s="3"/>
      <c r="AO329" s="3"/>
      <c r="AP329" s="3"/>
      <c r="AQ329" s="3"/>
      <c r="AR329" s="3"/>
      <c r="AS329" s="3"/>
      <c r="AT329" s="3"/>
      <c r="AU329" s="3"/>
      <c r="AV329" s="3"/>
      <c r="AW329" s="3"/>
      <c r="AX329" s="3"/>
      <c r="AY329" s="3"/>
      <c r="AZ329" s="3"/>
      <c r="BA329" s="3"/>
      <c r="BB329" s="3"/>
      <c r="BC329" s="3"/>
      <c r="BD329" s="3"/>
      <c r="BE329" s="3"/>
      <c r="BF329" s="3"/>
      <c r="BG329" s="3"/>
    </row>
    <row r="330" spans="1:59">
      <c r="A330" s="1" t="str">
        <f>IF($J$228="Y",'Population Definitions'!$A$8,"...")</f>
        <v>18-64_males</v>
      </c>
      <c r="B330" s="4" t="str">
        <f>IF($J$228="Y","---&gt;","...")</f>
        <v>---&gt;</v>
      </c>
      <c r="C330" s="1" t="str">
        <f>IF($J$228="Y",'Population Definitions'!$A$10,"...")</f>
        <v>65+_males</v>
      </c>
      <c r="D330" t="s">
        <v>62</v>
      </c>
      <c r="E330" s="3" t="s">
        <v>58</v>
      </c>
      <c r="F330" s="3"/>
      <c r="G330" s="3">
        <v>1</v>
      </c>
      <c r="H330" s="4" t="str">
        <f>IF($J$228="Y","OR","...")</f>
        <v>OR</v>
      </c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3"/>
      <c r="AK330" s="3"/>
      <c r="AL330" s="3"/>
      <c r="AM330" s="3"/>
      <c r="AN330" s="3"/>
      <c r="AO330" s="3"/>
      <c r="AP330" s="3"/>
      <c r="AQ330" s="3"/>
      <c r="AR330" s="3"/>
      <c r="AS330" s="3"/>
      <c r="AT330" s="3"/>
      <c r="AU330" s="3"/>
      <c r="AV330" s="3"/>
      <c r="AW330" s="3"/>
      <c r="AX330" s="3"/>
      <c r="AY330" s="3"/>
      <c r="AZ330" s="3"/>
      <c r="BA330" s="3"/>
      <c r="BB330" s="3"/>
      <c r="BC330" s="3"/>
      <c r="BD330" s="3"/>
      <c r="BE330" s="3"/>
      <c r="BF330" s="3"/>
      <c r="BG330" s="3"/>
    </row>
    <row r="331" spans="1:59">
      <c r="A331" s="1" t="str">
        <f>IF($K$228="Y",'Population Definitions'!$A$8,"...")</f>
        <v>18-64_males</v>
      </c>
      <c r="B331" s="4" t="str">
        <f>IF($K$228="Y","---&gt;","...")</f>
        <v>---&gt;</v>
      </c>
      <c r="C331" s="1" t="str">
        <f>IF($K$228="Y",'Population Definitions'!$A$11,"...")</f>
        <v>65+_females</v>
      </c>
      <c r="D331" t="s">
        <v>62</v>
      </c>
      <c r="E331" s="3" t="s">
        <v>58</v>
      </c>
      <c r="F331" s="3"/>
      <c r="G331" s="3">
        <v>1</v>
      </c>
      <c r="H331" s="4" t="str">
        <f>IF($K$228="Y","OR","...")</f>
        <v>OR</v>
      </c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3"/>
      <c r="AK331" s="3"/>
      <c r="AL331" s="3"/>
      <c r="AM331" s="3"/>
      <c r="AN331" s="3"/>
      <c r="AO331" s="3"/>
      <c r="AP331" s="3"/>
      <c r="AQ331" s="3"/>
      <c r="AR331" s="3"/>
      <c r="AS331" s="3"/>
      <c r="AT331" s="3"/>
      <c r="AU331" s="3"/>
      <c r="AV331" s="3"/>
      <c r="AW331" s="3"/>
      <c r="AX331" s="3"/>
      <c r="AY331" s="3"/>
      <c r="AZ331" s="3"/>
      <c r="BA331" s="3"/>
      <c r="BB331" s="3"/>
      <c r="BC331" s="3"/>
      <c r="BD331" s="3"/>
      <c r="BE331" s="3"/>
      <c r="BF331" s="3"/>
      <c r="BG331" s="3"/>
    </row>
    <row r="332" spans="1:59">
      <c r="A332" s="1" t="str">
        <f>IF($L$228="Y",'Population Definitions'!$A$8,"...")</f>
        <v>...</v>
      </c>
      <c r="B332" s="4" t="str">
        <f>IF($L$228="Y","---&gt;","...")</f>
        <v>...</v>
      </c>
      <c r="C332" s="1" t="str">
        <f>IF($L$228="Y",'Population Definitions'!$A$12,"...")</f>
        <v>...</v>
      </c>
      <c r="E332" s="2"/>
      <c r="F332" s="3"/>
      <c r="G332" s="2"/>
      <c r="H332" s="4" t="str">
        <f>IF($L$228="Y","OR","...")</f>
        <v>...</v>
      </c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  <c r="AP332" s="2"/>
      <c r="AQ332" s="2"/>
      <c r="AR332" s="2"/>
      <c r="AS332" s="2"/>
      <c r="AT332" s="2"/>
      <c r="AU332" s="2"/>
      <c r="AV332" s="2"/>
      <c r="AW332" s="2"/>
      <c r="AX332" s="2"/>
      <c r="AY332" s="2"/>
      <c r="AZ332" s="2"/>
      <c r="BA332" s="2"/>
      <c r="BB332" s="2"/>
      <c r="BC332" s="2"/>
      <c r="BD332" s="2"/>
      <c r="BE332" s="2"/>
      <c r="BF332" s="2"/>
      <c r="BG332" s="2"/>
    </row>
    <row r="333" spans="1:59">
      <c r="A333" s="1" t="str">
        <f>IF($M$228="Y",'Population Definitions'!$A$8,"...")</f>
        <v>...</v>
      </c>
      <c r="B333" s="4" t="str">
        <f>IF($M$228="Y","---&gt;","...")</f>
        <v>...</v>
      </c>
      <c r="C333" s="1" t="str">
        <f>IF($M$228="Y",'Population Definitions'!$A$13,"...")</f>
        <v>...</v>
      </c>
      <c r="E333" s="2"/>
      <c r="F333" s="3"/>
      <c r="G333" s="2"/>
      <c r="H333" s="4" t="str">
        <f>IF($M$228="Y","OR","...")</f>
        <v>...</v>
      </c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  <c r="AM333" s="2"/>
      <c r="AN333" s="2"/>
      <c r="AO333" s="2"/>
      <c r="AP333" s="2"/>
      <c r="AQ333" s="2"/>
      <c r="AR333" s="2"/>
      <c r="AS333" s="2"/>
      <c r="AT333" s="2"/>
      <c r="AU333" s="2"/>
      <c r="AV333" s="2"/>
      <c r="AW333" s="2"/>
      <c r="AX333" s="2"/>
      <c r="AY333" s="2"/>
      <c r="AZ333" s="2"/>
      <c r="BA333" s="2"/>
      <c r="BB333" s="2"/>
      <c r="BC333" s="2"/>
      <c r="BD333" s="2"/>
      <c r="BE333" s="2"/>
      <c r="BF333" s="2"/>
      <c r="BG333" s="2"/>
    </row>
    <row r="334" spans="1:59">
      <c r="A334" s="1" t="str">
        <f>IF($N$228="Y",'Population Definitions'!$A$8,"...")</f>
        <v>...</v>
      </c>
      <c r="B334" s="4" t="str">
        <f>IF($N$228="Y","---&gt;","...")</f>
        <v>...</v>
      </c>
      <c r="C334" s="1" t="str">
        <f>IF($N$228="Y",'Population Definitions'!$A$14,"...")</f>
        <v>...</v>
      </c>
      <c r="E334" s="2"/>
      <c r="F334" s="3"/>
      <c r="G334" s="2"/>
      <c r="H334" s="4" t="str">
        <f>IF($N$228="Y","OR","...")</f>
        <v>...</v>
      </c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  <c r="AP334" s="2"/>
      <c r="AQ334" s="2"/>
      <c r="AR334" s="2"/>
      <c r="AS334" s="2"/>
      <c r="AT334" s="2"/>
      <c r="AU334" s="2"/>
      <c r="AV334" s="2"/>
      <c r="AW334" s="2"/>
      <c r="AX334" s="2"/>
      <c r="AY334" s="2"/>
      <c r="AZ334" s="2"/>
      <c r="BA334" s="2"/>
      <c r="BB334" s="2"/>
      <c r="BC334" s="2"/>
      <c r="BD334" s="2"/>
      <c r="BE334" s="2"/>
      <c r="BF334" s="2"/>
      <c r="BG334" s="2"/>
    </row>
    <row r="335" spans="1:59">
      <c r="A335" s="1" t="str">
        <f>IF($O$228="Y",'Population Definitions'!$A$8,"...")</f>
        <v>...</v>
      </c>
      <c r="B335" s="4" t="str">
        <f>IF($O$228="Y","---&gt;","...")</f>
        <v>...</v>
      </c>
      <c r="C335" s="1" t="str">
        <f>IF($O$228="Y",'Population Definitions'!$A$15,"...")</f>
        <v>...</v>
      </c>
      <c r="E335" s="2"/>
      <c r="F335" s="3"/>
      <c r="G335" s="2"/>
      <c r="H335" s="4" t="str">
        <f>IF($O$228="Y","OR","...")</f>
        <v>...</v>
      </c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  <c r="AQ335" s="2"/>
      <c r="AR335" s="2"/>
      <c r="AS335" s="2"/>
      <c r="AT335" s="2"/>
      <c r="AU335" s="2"/>
      <c r="AV335" s="2"/>
      <c r="AW335" s="2"/>
      <c r="AX335" s="2"/>
      <c r="AY335" s="2"/>
      <c r="AZ335" s="2"/>
      <c r="BA335" s="2"/>
      <c r="BB335" s="2"/>
      <c r="BC335" s="2"/>
      <c r="BD335" s="2"/>
      <c r="BE335" s="2"/>
      <c r="BF335" s="2"/>
      <c r="BG335" s="2"/>
    </row>
    <row r="336" spans="1:59">
      <c r="A336" s="1" t="str">
        <f>IF($B$229="Y",'Population Definitions'!$A$9,"...")</f>
        <v>...</v>
      </c>
      <c r="B336" s="4" t="str">
        <f>IF($B$229="Y","---&gt;","...")</f>
        <v>...</v>
      </c>
      <c r="C336" s="1" t="str">
        <f>IF($B$229="Y",'Population Definitions'!$A$2,"...")</f>
        <v>...</v>
      </c>
      <c r="E336" s="2"/>
      <c r="F336" s="3"/>
      <c r="G336" s="2"/>
      <c r="H336" s="4" t="str">
        <f>IF($B$229="Y","OR","...")</f>
        <v>...</v>
      </c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2"/>
      <c r="AQ336" s="2"/>
      <c r="AR336" s="2"/>
      <c r="AS336" s="2"/>
      <c r="AT336" s="2"/>
      <c r="AU336" s="2"/>
      <c r="AV336" s="2"/>
      <c r="AW336" s="2"/>
      <c r="AX336" s="2"/>
      <c r="AY336" s="2"/>
      <c r="AZ336" s="2"/>
      <c r="BA336" s="2"/>
      <c r="BB336" s="2"/>
      <c r="BC336" s="2"/>
      <c r="BD336" s="2"/>
      <c r="BE336" s="2"/>
      <c r="BF336" s="2"/>
      <c r="BG336" s="2"/>
    </row>
    <row r="337" spans="1:59">
      <c r="A337" s="1" t="str">
        <f>IF($C$229="Y",'Population Definitions'!$A$9,"...")</f>
        <v>...</v>
      </c>
      <c r="B337" s="4" t="str">
        <f>IF($C$229="Y","---&gt;","...")</f>
        <v>...</v>
      </c>
      <c r="C337" s="1" t="str">
        <f>IF($C$229="Y",'Population Definitions'!$A$3,"...")</f>
        <v>...</v>
      </c>
      <c r="E337" s="2"/>
      <c r="F337" s="3"/>
      <c r="G337" s="2"/>
      <c r="H337" s="4" t="str">
        <f>IF($C$229="Y","OR","...")</f>
        <v>...</v>
      </c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  <c r="AN337" s="2"/>
      <c r="AO337" s="2"/>
      <c r="AP337" s="2"/>
      <c r="AQ337" s="2"/>
      <c r="AR337" s="2"/>
      <c r="AS337" s="2"/>
      <c r="AT337" s="2"/>
      <c r="AU337" s="2"/>
      <c r="AV337" s="2"/>
      <c r="AW337" s="2"/>
      <c r="AX337" s="2"/>
      <c r="AY337" s="2"/>
      <c r="AZ337" s="2"/>
      <c r="BA337" s="2"/>
      <c r="BB337" s="2"/>
      <c r="BC337" s="2"/>
      <c r="BD337" s="2"/>
      <c r="BE337" s="2"/>
      <c r="BF337" s="2"/>
      <c r="BG337" s="2"/>
    </row>
    <row r="338" spans="1:59">
      <c r="A338" s="1" t="str">
        <f>IF($D$229="Y",'Population Definitions'!$A$9,"...")</f>
        <v>...</v>
      </c>
      <c r="B338" s="4" t="str">
        <f>IF($D$229="Y","---&gt;","...")</f>
        <v>...</v>
      </c>
      <c r="C338" s="1" t="str">
        <f>IF($D$229="Y",'Population Definitions'!$A$4,"...")</f>
        <v>...</v>
      </c>
      <c r="E338" s="2"/>
      <c r="F338" s="3"/>
      <c r="G338" s="2"/>
      <c r="H338" s="4" t="str">
        <f>IF($D$229="Y","OR","...")</f>
        <v>...</v>
      </c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2"/>
      <c r="AQ338" s="2"/>
      <c r="AR338" s="2"/>
      <c r="AS338" s="2"/>
      <c r="AT338" s="2"/>
      <c r="AU338" s="2"/>
      <c r="AV338" s="2"/>
      <c r="AW338" s="2"/>
      <c r="AX338" s="2"/>
      <c r="AY338" s="2"/>
      <c r="AZ338" s="2"/>
      <c r="BA338" s="2"/>
      <c r="BB338" s="2"/>
      <c r="BC338" s="2"/>
      <c r="BD338" s="2"/>
      <c r="BE338" s="2"/>
      <c r="BF338" s="2"/>
      <c r="BG338" s="2"/>
    </row>
    <row r="339" spans="1:59">
      <c r="A339" s="1" t="str">
        <f>IF($E$229="Y",'Population Definitions'!$A$9,"...")</f>
        <v>...</v>
      </c>
      <c r="B339" s="4" t="str">
        <f>IF($E$229="Y","---&gt;","...")</f>
        <v>...</v>
      </c>
      <c r="C339" s="1" t="str">
        <f>IF($E$229="Y",'Population Definitions'!$A$5,"...")</f>
        <v>...</v>
      </c>
      <c r="E339" s="2"/>
      <c r="F339" s="3"/>
      <c r="G339" s="2"/>
      <c r="H339" s="4" t="str">
        <f>IF($E$229="Y","OR","...")</f>
        <v>...</v>
      </c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  <c r="AP339" s="2"/>
      <c r="AQ339" s="2"/>
      <c r="AR339" s="2"/>
      <c r="AS339" s="2"/>
      <c r="AT339" s="2"/>
      <c r="AU339" s="2"/>
      <c r="AV339" s="2"/>
      <c r="AW339" s="2"/>
      <c r="AX339" s="2"/>
      <c r="AY339" s="2"/>
      <c r="AZ339" s="2"/>
      <c r="BA339" s="2"/>
      <c r="BB339" s="2"/>
      <c r="BC339" s="2"/>
      <c r="BD339" s="2"/>
      <c r="BE339" s="2"/>
      <c r="BF339" s="2"/>
      <c r="BG339" s="2"/>
    </row>
    <row r="340" spans="1:59">
      <c r="A340" s="1" t="str">
        <f>IF($F$229="Y",'Population Definitions'!$A$9,"...")</f>
        <v>...</v>
      </c>
      <c r="B340" s="4" t="str">
        <f>IF($F$229="Y","---&gt;","...")</f>
        <v>...</v>
      </c>
      <c r="C340" s="1" t="str">
        <f>IF($F$229="Y",'Population Definitions'!$A$6,"...")</f>
        <v>...</v>
      </c>
      <c r="E340" s="2"/>
      <c r="F340" s="3"/>
      <c r="G340" s="2"/>
      <c r="H340" s="4" t="str">
        <f>IF($F$229="Y","OR","...")</f>
        <v>...</v>
      </c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  <c r="AQ340" s="2"/>
      <c r="AR340" s="2"/>
      <c r="AS340" s="2"/>
      <c r="AT340" s="2"/>
      <c r="AU340" s="2"/>
      <c r="AV340" s="2"/>
      <c r="AW340" s="2"/>
      <c r="AX340" s="2"/>
      <c r="AY340" s="2"/>
      <c r="AZ340" s="2"/>
      <c r="BA340" s="2"/>
      <c r="BB340" s="2"/>
      <c r="BC340" s="2"/>
      <c r="BD340" s="2"/>
      <c r="BE340" s="2"/>
      <c r="BF340" s="2"/>
      <c r="BG340" s="2"/>
    </row>
    <row r="341" spans="1:59">
      <c r="A341" s="1" t="str">
        <f>IF($G$229="Y",'Population Definitions'!$A$9,"...")</f>
        <v>...</v>
      </c>
      <c r="B341" s="4" t="str">
        <f>IF($G$229="Y","---&gt;","...")</f>
        <v>...</v>
      </c>
      <c r="C341" s="1" t="str">
        <f>IF($G$229="Y",'Population Definitions'!$A$7,"...")</f>
        <v>...</v>
      </c>
      <c r="E341" s="2"/>
      <c r="F341" s="3"/>
      <c r="G341" s="2"/>
      <c r="H341" s="4" t="str">
        <f>IF($G$229="Y","OR","...")</f>
        <v>...</v>
      </c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"/>
      <c r="AQ341" s="2"/>
      <c r="AR341" s="2"/>
      <c r="AS341" s="2"/>
      <c r="AT341" s="2"/>
      <c r="AU341" s="2"/>
      <c r="AV341" s="2"/>
      <c r="AW341" s="2"/>
      <c r="AX341" s="2"/>
      <c r="AY341" s="2"/>
      <c r="AZ341" s="2"/>
      <c r="BA341" s="2"/>
      <c r="BB341" s="2"/>
      <c r="BC341" s="2"/>
      <c r="BD341" s="2"/>
      <c r="BE341" s="2"/>
      <c r="BF341" s="2"/>
      <c r="BG341" s="2"/>
    </row>
    <row r="342" spans="1:59">
      <c r="A342" s="1" t="str">
        <f>IF($H$229="Y",'Population Definitions'!$A$9,"...")</f>
        <v>18-64_females</v>
      </c>
      <c r="B342" s="4" t="str">
        <f>IF($H$229="Y","---&gt;","...")</f>
        <v>---&gt;</v>
      </c>
      <c r="C342" s="1" t="str">
        <f>IF($H$229="Y",'Population Definitions'!$A$8,"...")</f>
        <v>18-64_males</v>
      </c>
      <c r="D342" t="s">
        <v>62</v>
      </c>
      <c r="E342" s="3" t="s">
        <v>58</v>
      </c>
      <c r="F342" s="3"/>
      <c r="G342" s="3">
        <v>1</v>
      </c>
      <c r="H342" s="4" t="str">
        <f>IF($H$229="Y","OR","...")</f>
        <v>OR</v>
      </c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  <c r="AJ342" s="3"/>
      <c r="AK342" s="3"/>
      <c r="AL342" s="3"/>
      <c r="AM342" s="3"/>
      <c r="AN342" s="3"/>
      <c r="AO342" s="3"/>
      <c r="AP342" s="3"/>
      <c r="AQ342" s="3"/>
      <c r="AR342" s="3"/>
      <c r="AS342" s="3"/>
      <c r="AT342" s="3"/>
      <c r="AU342" s="3"/>
      <c r="AV342" s="3"/>
      <c r="AW342" s="3"/>
      <c r="AX342" s="3"/>
      <c r="AY342" s="3"/>
      <c r="AZ342" s="3"/>
      <c r="BA342" s="3"/>
      <c r="BB342" s="3"/>
      <c r="BC342" s="3"/>
      <c r="BD342" s="3"/>
      <c r="BE342" s="3"/>
      <c r="BF342" s="3"/>
      <c r="BG342" s="3"/>
    </row>
    <row r="343" spans="1:59">
      <c r="A343" s="1" t="str">
        <f>IF($I$229="Y",'Population Definitions'!$A$9,"...")</f>
        <v>18-64_females</v>
      </c>
      <c r="B343" s="4" t="str">
        <f>IF($I$229="Y","---&gt;","...")</f>
        <v>---&gt;</v>
      </c>
      <c r="C343" s="1" t="str">
        <f>IF($I$229="Y",'Population Definitions'!$A$9,"...")</f>
        <v>18-64_females</v>
      </c>
      <c r="D343" t="s">
        <v>62</v>
      </c>
      <c r="E343" s="3" t="s">
        <v>58</v>
      </c>
      <c r="F343" s="3"/>
      <c r="G343" s="3">
        <v>1</v>
      </c>
      <c r="H343" s="4" t="str">
        <f>IF($I$229="Y","OR","...")</f>
        <v>OR</v>
      </c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/>
      <c r="AJ343" s="3"/>
      <c r="AK343" s="3"/>
      <c r="AL343" s="3"/>
      <c r="AM343" s="3"/>
      <c r="AN343" s="3"/>
      <c r="AO343" s="3"/>
      <c r="AP343" s="3"/>
      <c r="AQ343" s="3"/>
      <c r="AR343" s="3"/>
      <c r="AS343" s="3"/>
      <c r="AT343" s="3"/>
      <c r="AU343" s="3"/>
      <c r="AV343" s="3"/>
      <c r="AW343" s="3"/>
      <c r="AX343" s="3"/>
      <c r="AY343" s="3"/>
      <c r="AZ343" s="3"/>
      <c r="BA343" s="3"/>
      <c r="BB343" s="3"/>
      <c r="BC343" s="3"/>
      <c r="BD343" s="3"/>
      <c r="BE343" s="3"/>
      <c r="BF343" s="3"/>
      <c r="BG343" s="3"/>
    </row>
    <row r="344" spans="1:59">
      <c r="A344" s="1" t="str">
        <f>IF($J$229="Y",'Population Definitions'!$A$9,"...")</f>
        <v>18-64_females</v>
      </c>
      <c r="B344" s="4" t="str">
        <f>IF($J$229="Y","---&gt;","...")</f>
        <v>---&gt;</v>
      </c>
      <c r="C344" s="1" t="str">
        <f>IF($J$229="Y",'Population Definitions'!$A$10,"...")</f>
        <v>65+_males</v>
      </c>
      <c r="D344" t="s">
        <v>62</v>
      </c>
      <c r="E344" s="3" t="s">
        <v>58</v>
      </c>
      <c r="F344" s="3"/>
      <c r="G344" s="3">
        <v>1</v>
      </c>
      <c r="H344" s="4" t="str">
        <f>IF($J$229="Y","OR","...")</f>
        <v>OR</v>
      </c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  <c r="AK344" s="3"/>
      <c r="AL344" s="3"/>
      <c r="AM344" s="3"/>
      <c r="AN344" s="3"/>
      <c r="AO344" s="3"/>
      <c r="AP344" s="3"/>
      <c r="AQ344" s="3"/>
      <c r="AR344" s="3"/>
      <c r="AS344" s="3"/>
      <c r="AT344" s="3"/>
      <c r="AU344" s="3"/>
      <c r="AV344" s="3"/>
      <c r="AW344" s="3"/>
      <c r="AX344" s="3"/>
      <c r="AY344" s="3"/>
      <c r="AZ344" s="3"/>
      <c r="BA344" s="3"/>
      <c r="BB344" s="3"/>
      <c r="BC344" s="3"/>
      <c r="BD344" s="3"/>
      <c r="BE344" s="3"/>
      <c r="BF344" s="3"/>
      <c r="BG344" s="3"/>
    </row>
    <row r="345" spans="1:59">
      <c r="A345" s="1" t="str">
        <f>IF($K$229="Y",'Population Definitions'!$A$9,"...")</f>
        <v>18-64_females</v>
      </c>
      <c r="B345" s="4" t="str">
        <f>IF($K$229="Y","---&gt;","...")</f>
        <v>---&gt;</v>
      </c>
      <c r="C345" s="1" t="str">
        <f>IF($K$229="Y",'Population Definitions'!$A$11,"...")</f>
        <v>65+_females</v>
      </c>
      <c r="D345" t="s">
        <v>62</v>
      </c>
      <c r="E345" s="3" t="s">
        <v>58</v>
      </c>
      <c r="F345" s="3"/>
      <c r="G345" s="3">
        <v>1</v>
      </c>
      <c r="H345" s="4" t="str">
        <f>IF($K$229="Y","OR","...")</f>
        <v>OR</v>
      </c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  <c r="AJ345" s="3"/>
      <c r="AK345" s="3"/>
      <c r="AL345" s="3"/>
      <c r="AM345" s="3"/>
      <c r="AN345" s="3"/>
      <c r="AO345" s="3"/>
      <c r="AP345" s="3"/>
      <c r="AQ345" s="3"/>
      <c r="AR345" s="3"/>
      <c r="AS345" s="3"/>
      <c r="AT345" s="3"/>
      <c r="AU345" s="3"/>
      <c r="AV345" s="3"/>
      <c r="AW345" s="3"/>
      <c r="AX345" s="3"/>
      <c r="AY345" s="3"/>
      <c r="AZ345" s="3"/>
      <c r="BA345" s="3"/>
      <c r="BB345" s="3"/>
      <c r="BC345" s="3"/>
      <c r="BD345" s="3"/>
      <c r="BE345" s="3"/>
      <c r="BF345" s="3"/>
      <c r="BG345" s="3"/>
    </row>
    <row r="346" spans="1:59">
      <c r="A346" s="1" t="str">
        <f>IF($L$229="Y",'Population Definitions'!$A$9,"...")</f>
        <v>...</v>
      </c>
      <c r="B346" s="4" t="str">
        <f>IF($L$229="Y","---&gt;","...")</f>
        <v>...</v>
      </c>
      <c r="C346" s="1" t="str">
        <f>IF($L$229="Y",'Population Definitions'!$A$12,"...")</f>
        <v>...</v>
      </c>
      <c r="E346" s="2"/>
      <c r="F346" s="3"/>
      <c r="G346" s="2"/>
      <c r="H346" s="4" t="str">
        <f>IF($L$229="Y","OR","...")</f>
        <v>...</v>
      </c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  <c r="AQ346" s="2"/>
      <c r="AR346" s="2"/>
      <c r="AS346" s="2"/>
      <c r="AT346" s="2"/>
      <c r="AU346" s="2"/>
      <c r="AV346" s="2"/>
      <c r="AW346" s="2"/>
      <c r="AX346" s="2"/>
      <c r="AY346" s="2"/>
      <c r="AZ346" s="2"/>
      <c r="BA346" s="2"/>
      <c r="BB346" s="2"/>
      <c r="BC346" s="2"/>
      <c r="BD346" s="2"/>
      <c r="BE346" s="2"/>
      <c r="BF346" s="2"/>
      <c r="BG346" s="2"/>
    </row>
    <row r="347" spans="1:59">
      <c r="A347" s="1" t="str">
        <f>IF($M$229="Y",'Population Definitions'!$A$9,"...")</f>
        <v>...</v>
      </c>
      <c r="B347" s="4" t="str">
        <f>IF($M$229="Y","---&gt;","...")</f>
        <v>...</v>
      </c>
      <c r="C347" s="1" t="str">
        <f>IF($M$229="Y",'Population Definitions'!$A$13,"...")</f>
        <v>...</v>
      </c>
      <c r="E347" s="2"/>
      <c r="F347" s="3"/>
      <c r="G347" s="2"/>
      <c r="H347" s="4" t="str">
        <f>IF($M$229="Y","OR","...")</f>
        <v>...</v>
      </c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2"/>
      <c r="AQ347" s="2"/>
      <c r="AR347" s="2"/>
      <c r="AS347" s="2"/>
      <c r="AT347" s="2"/>
      <c r="AU347" s="2"/>
      <c r="AV347" s="2"/>
      <c r="AW347" s="2"/>
      <c r="AX347" s="2"/>
      <c r="AY347" s="2"/>
      <c r="AZ347" s="2"/>
      <c r="BA347" s="2"/>
      <c r="BB347" s="2"/>
      <c r="BC347" s="2"/>
      <c r="BD347" s="2"/>
      <c r="BE347" s="2"/>
      <c r="BF347" s="2"/>
      <c r="BG347" s="2"/>
    </row>
    <row r="348" spans="1:59">
      <c r="A348" s="1" t="str">
        <f>IF($N$229="Y",'Population Definitions'!$A$9,"...")</f>
        <v>...</v>
      </c>
      <c r="B348" s="4" t="str">
        <f>IF($N$229="Y","---&gt;","...")</f>
        <v>...</v>
      </c>
      <c r="C348" s="1" t="str">
        <f>IF($N$229="Y",'Population Definitions'!$A$14,"...")</f>
        <v>...</v>
      </c>
      <c r="E348" s="2"/>
      <c r="F348" s="3"/>
      <c r="G348" s="2"/>
      <c r="H348" s="4" t="str">
        <f>IF($N$229="Y","OR","...")</f>
        <v>...</v>
      </c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/>
      <c r="AQ348" s="2"/>
      <c r="AR348" s="2"/>
      <c r="AS348" s="2"/>
      <c r="AT348" s="2"/>
      <c r="AU348" s="2"/>
      <c r="AV348" s="2"/>
      <c r="AW348" s="2"/>
      <c r="AX348" s="2"/>
      <c r="AY348" s="2"/>
      <c r="AZ348" s="2"/>
      <c r="BA348" s="2"/>
      <c r="BB348" s="2"/>
      <c r="BC348" s="2"/>
      <c r="BD348" s="2"/>
      <c r="BE348" s="2"/>
      <c r="BF348" s="2"/>
      <c r="BG348" s="2"/>
    </row>
    <row r="349" spans="1:59">
      <c r="A349" s="1" t="str">
        <f>IF($O$229="Y",'Population Definitions'!$A$9,"...")</f>
        <v>...</v>
      </c>
      <c r="B349" s="4" t="str">
        <f>IF($O$229="Y","---&gt;","...")</f>
        <v>...</v>
      </c>
      <c r="C349" s="1" t="str">
        <f>IF($O$229="Y",'Population Definitions'!$A$15,"...")</f>
        <v>...</v>
      </c>
      <c r="E349" s="2"/>
      <c r="F349" s="3"/>
      <c r="G349" s="2"/>
      <c r="H349" s="4" t="str">
        <f>IF($O$229="Y","OR","...")</f>
        <v>...</v>
      </c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  <c r="AQ349" s="2"/>
      <c r="AR349" s="2"/>
      <c r="AS349" s="2"/>
      <c r="AT349" s="2"/>
      <c r="AU349" s="2"/>
      <c r="AV349" s="2"/>
      <c r="AW349" s="2"/>
      <c r="AX349" s="2"/>
      <c r="AY349" s="2"/>
      <c r="AZ349" s="2"/>
      <c r="BA349" s="2"/>
      <c r="BB349" s="2"/>
      <c r="BC349" s="2"/>
      <c r="BD349" s="2"/>
      <c r="BE349" s="2"/>
      <c r="BF349" s="2"/>
      <c r="BG349" s="2"/>
    </row>
    <row r="350" spans="1:59">
      <c r="A350" s="1" t="str">
        <f>IF($B$230="Y",'Population Definitions'!$A$10,"...")</f>
        <v>...</v>
      </c>
      <c r="B350" s="4" t="str">
        <f>IF($B$230="Y","---&gt;","...")</f>
        <v>...</v>
      </c>
      <c r="C350" s="1" t="str">
        <f>IF($B$230="Y",'Population Definitions'!$A$2,"...")</f>
        <v>...</v>
      </c>
      <c r="E350" s="2"/>
      <c r="F350" s="3"/>
      <c r="G350" s="2"/>
      <c r="H350" s="4" t="str">
        <f>IF($B$230="Y","OR","...")</f>
        <v>...</v>
      </c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  <c r="AQ350" s="2"/>
      <c r="AR350" s="2"/>
      <c r="AS350" s="2"/>
      <c r="AT350" s="2"/>
      <c r="AU350" s="2"/>
      <c r="AV350" s="2"/>
      <c r="AW350" s="2"/>
      <c r="AX350" s="2"/>
      <c r="AY350" s="2"/>
      <c r="AZ350" s="2"/>
      <c r="BA350" s="2"/>
      <c r="BB350" s="2"/>
      <c r="BC350" s="2"/>
      <c r="BD350" s="2"/>
      <c r="BE350" s="2"/>
      <c r="BF350" s="2"/>
      <c r="BG350" s="2"/>
    </row>
    <row r="351" spans="1:59">
      <c r="A351" s="1" t="str">
        <f>IF($C$230="Y",'Population Definitions'!$A$10,"...")</f>
        <v>...</v>
      </c>
      <c r="B351" s="4" t="str">
        <f>IF($C$230="Y","---&gt;","...")</f>
        <v>...</v>
      </c>
      <c r="C351" s="1" t="str">
        <f>IF($C$230="Y",'Population Definitions'!$A$3,"...")</f>
        <v>...</v>
      </c>
      <c r="E351" s="2"/>
      <c r="F351" s="3"/>
      <c r="G351" s="2"/>
      <c r="H351" s="4" t="str">
        <f>IF($C$230="Y","OR","...")</f>
        <v>...</v>
      </c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  <c r="AQ351" s="2"/>
      <c r="AR351" s="2"/>
      <c r="AS351" s="2"/>
      <c r="AT351" s="2"/>
      <c r="AU351" s="2"/>
      <c r="AV351" s="2"/>
      <c r="AW351" s="2"/>
      <c r="AX351" s="2"/>
      <c r="AY351" s="2"/>
      <c r="AZ351" s="2"/>
      <c r="BA351" s="2"/>
      <c r="BB351" s="2"/>
      <c r="BC351" s="2"/>
      <c r="BD351" s="2"/>
      <c r="BE351" s="2"/>
      <c r="BF351" s="2"/>
      <c r="BG351" s="2"/>
    </row>
    <row r="352" spans="1:59">
      <c r="A352" s="1" t="str">
        <f>IF($D$230="Y",'Population Definitions'!$A$10,"...")</f>
        <v>...</v>
      </c>
      <c r="B352" s="4" t="str">
        <f>IF($D$230="Y","---&gt;","...")</f>
        <v>...</v>
      </c>
      <c r="C352" s="1" t="str">
        <f>IF($D$230="Y",'Population Definitions'!$A$4,"...")</f>
        <v>...</v>
      </c>
      <c r="E352" s="2"/>
      <c r="F352" s="3"/>
      <c r="G352" s="2"/>
      <c r="H352" s="4" t="str">
        <f>IF($D$230="Y","OR","...")</f>
        <v>...</v>
      </c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  <c r="AQ352" s="2"/>
      <c r="AR352" s="2"/>
      <c r="AS352" s="2"/>
      <c r="AT352" s="2"/>
      <c r="AU352" s="2"/>
      <c r="AV352" s="2"/>
      <c r="AW352" s="2"/>
      <c r="AX352" s="2"/>
      <c r="AY352" s="2"/>
      <c r="AZ352" s="2"/>
      <c r="BA352" s="2"/>
      <c r="BB352" s="2"/>
      <c r="BC352" s="2"/>
      <c r="BD352" s="2"/>
      <c r="BE352" s="2"/>
      <c r="BF352" s="2"/>
      <c r="BG352" s="2"/>
    </row>
    <row r="353" spans="1:59">
      <c r="A353" s="1" t="str">
        <f>IF($E$230="Y",'Population Definitions'!$A$10,"...")</f>
        <v>...</v>
      </c>
      <c r="B353" s="4" t="str">
        <f>IF($E$230="Y","---&gt;","...")</f>
        <v>...</v>
      </c>
      <c r="C353" s="1" t="str">
        <f>IF($E$230="Y",'Population Definitions'!$A$5,"...")</f>
        <v>...</v>
      </c>
      <c r="E353" s="2"/>
      <c r="F353" s="3"/>
      <c r="G353" s="2"/>
      <c r="H353" s="4" t="str">
        <f>IF($E$230="Y","OR","...")</f>
        <v>...</v>
      </c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  <c r="AQ353" s="2"/>
      <c r="AR353" s="2"/>
      <c r="AS353" s="2"/>
      <c r="AT353" s="2"/>
      <c r="AU353" s="2"/>
      <c r="AV353" s="2"/>
      <c r="AW353" s="2"/>
      <c r="AX353" s="2"/>
      <c r="AY353" s="2"/>
      <c r="AZ353" s="2"/>
      <c r="BA353" s="2"/>
      <c r="BB353" s="2"/>
      <c r="BC353" s="2"/>
      <c r="BD353" s="2"/>
      <c r="BE353" s="2"/>
      <c r="BF353" s="2"/>
      <c r="BG353" s="2"/>
    </row>
    <row r="354" spans="1:59">
      <c r="A354" s="1" t="str">
        <f>IF($F$230="Y",'Population Definitions'!$A$10,"...")</f>
        <v>...</v>
      </c>
      <c r="B354" s="4" t="str">
        <f>IF($F$230="Y","---&gt;","...")</f>
        <v>...</v>
      </c>
      <c r="C354" s="1" t="str">
        <f>IF($F$230="Y",'Population Definitions'!$A$6,"...")</f>
        <v>...</v>
      </c>
      <c r="E354" s="2"/>
      <c r="F354" s="3"/>
      <c r="G354" s="2"/>
      <c r="H354" s="4" t="str">
        <f>IF($F$230="Y","OR","...")</f>
        <v>...</v>
      </c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2"/>
      <c r="AQ354" s="2"/>
      <c r="AR354" s="2"/>
      <c r="AS354" s="2"/>
      <c r="AT354" s="2"/>
      <c r="AU354" s="2"/>
      <c r="AV354" s="2"/>
      <c r="AW354" s="2"/>
      <c r="AX354" s="2"/>
      <c r="AY354" s="2"/>
      <c r="AZ354" s="2"/>
      <c r="BA354" s="2"/>
      <c r="BB354" s="2"/>
      <c r="BC354" s="2"/>
      <c r="BD354" s="2"/>
      <c r="BE354" s="2"/>
      <c r="BF354" s="2"/>
      <c r="BG354" s="2"/>
    </row>
    <row r="355" spans="1:59">
      <c r="A355" s="1" t="str">
        <f>IF($G$230="Y",'Population Definitions'!$A$10,"...")</f>
        <v>...</v>
      </c>
      <c r="B355" s="4" t="str">
        <f>IF($G$230="Y","---&gt;","...")</f>
        <v>...</v>
      </c>
      <c r="C355" s="1" t="str">
        <f>IF($G$230="Y",'Population Definitions'!$A$7,"...")</f>
        <v>...</v>
      </c>
      <c r="E355" s="2"/>
      <c r="F355" s="3"/>
      <c r="G355" s="2"/>
      <c r="H355" s="4" t="str">
        <f>IF($G$230="Y","OR","...")</f>
        <v>...</v>
      </c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  <c r="AP355" s="2"/>
      <c r="AQ355" s="2"/>
      <c r="AR355" s="2"/>
      <c r="AS355" s="2"/>
      <c r="AT355" s="2"/>
      <c r="AU355" s="2"/>
      <c r="AV355" s="2"/>
      <c r="AW355" s="2"/>
      <c r="AX355" s="2"/>
      <c r="AY355" s="2"/>
      <c r="AZ355" s="2"/>
      <c r="BA355" s="2"/>
      <c r="BB355" s="2"/>
      <c r="BC355" s="2"/>
      <c r="BD355" s="2"/>
      <c r="BE355" s="2"/>
      <c r="BF355" s="2"/>
      <c r="BG355" s="2"/>
    </row>
    <row r="356" spans="1:59">
      <c r="A356" s="1" t="str">
        <f>IF($H$230="Y",'Population Definitions'!$A$10,"...")</f>
        <v>65+_males</v>
      </c>
      <c r="B356" s="4" t="str">
        <f>IF($H$230="Y","---&gt;","...")</f>
        <v>---&gt;</v>
      </c>
      <c r="C356" s="1" t="str">
        <f>IF($H$230="Y",'Population Definitions'!$A$8,"...")</f>
        <v>18-64_males</v>
      </c>
      <c r="D356" t="s">
        <v>62</v>
      </c>
      <c r="E356" s="3" t="s">
        <v>58</v>
      </c>
      <c r="F356" s="3"/>
      <c r="G356" s="3">
        <v>1</v>
      </c>
      <c r="H356" s="4" t="str">
        <f>IF($H$230="Y","OR","...")</f>
        <v>OR</v>
      </c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  <c r="AI356" s="3"/>
      <c r="AJ356" s="3"/>
      <c r="AK356" s="3"/>
      <c r="AL356" s="3"/>
      <c r="AM356" s="3"/>
      <c r="AN356" s="3"/>
      <c r="AO356" s="3"/>
      <c r="AP356" s="3"/>
      <c r="AQ356" s="3"/>
      <c r="AR356" s="3"/>
      <c r="AS356" s="3"/>
      <c r="AT356" s="3"/>
      <c r="AU356" s="3"/>
      <c r="AV356" s="3"/>
      <c r="AW356" s="3"/>
      <c r="AX356" s="3"/>
      <c r="AY356" s="3"/>
      <c r="AZ356" s="3"/>
      <c r="BA356" s="3"/>
      <c r="BB356" s="3"/>
      <c r="BC356" s="3"/>
      <c r="BD356" s="3"/>
      <c r="BE356" s="3"/>
      <c r="BF356" s="3"/>
      <c r="BG356" s="3"/>
    </row>
    <row r="357" spans="1:59">
      <c r="A357" s="1" t="str">
        <f>IF($I$230="Y",'Population Definitions'!$A$10,"...")</f>
        <v>65+_males</v>
      </c>
      <c r="B357" s="4" t="str">
        <f>IF($I$230="Y","---&gt;","...")</f>
        <v>---&gt;</v>
      </c>
      <c r="C357" s="1" t="str">
        <f>IF($I$230="Y",'Population Definitions'!$A$9,"...")</f>
        <v>18-64_females</v>
      </c>
      <c r="D357" t="s">
        <v>62</v>
      </c>
      <c r="E357" s="3" t="s">
        <v>58</v>
      </c>
      <c r="F357" s="3"/>
      <c r="G357" s="3">
        <v>1</v>
      </c>
      <c r="H357" s="4" t="str">
        <f>IF($I$230="Y","OR","...")</f>
        <v>OR</v>
      </c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  <c r="AI357" s="3"/>
      <c r="AJ357" s="3"/>
      <c r="AK357" s="3"/>
      <c r="AL357" s="3"/>
      <c r="AM357" s="3"/>
      <c r="AN357" s="3"/>
      <c r="AO357" s="3"/>
      <c r="AP357" s="3"/>
      <c r="AQ357" s="3"/>
      <c r="AR357" s="3"/>
      <c r="AS357" s="3"/>
      <c r="AT357" s="3"/>
      <c r="AU357" s="3"/>
      <c r="AV357" s="3"/>
      <c r="AW357" s="3"/>
      <c r="AX357" s="3"/>
      <c r="AY357" s="3"/>
      <c r="AZ357" s="3"/>
      <c r="BA357" s="3"/>
      <c r="BB357" s="3"/>
      <c r="BC357" s="3"/>
      <c r="BD357" s="3"/>
      <c r="BE357" s="3"/>
      <c r="BF357" s="3"/>
      <c r="BG357" s="3"/>
    </row>
    <row r="358" spans="1:59">
      <c r="A358" s="1" t="str">
        <f>IF($J$230="Y",'Population Definitions'!$A$10,"...")</f>
        <v>65+_males</v>
      </c>
      <c r="B358" s="4" t="str">
        <f>IF($J$230="Y","---&gt;","...")</f>
        <v>---&gt;</v>
      </c>
      <c r="C358" s="1" t="str">
        <f>IF($J$230="Y",'Population Definitions'!$A$10,"...")</f>
        <v>65+_males</v>
      </c>
      <c r="D358" t="s">
        <v>62</v>
      </c>
      <c r="E358" s="3" t="s">
        <v>58</v>
      </c>
      <c r="F358" s="3"/>
      <c r="G358" s="3">
        <v>1</v>
      </c>
      <c r="H358" s="4" t="str">
        <f>IF($J$230="Y","OR","...")</f>
        <v>OR</v>
      </c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  <c r="AI358" s="3"/>
      <c r="AJ358" s="3"/>
      <c r="AK358" s="3"/>
      <c r="AL358" s="3"/>
      <c r="AM358" s="3"/>
      <c r="AN358" s="3"/>
      <c r="AO358" s="3"/>
      <c r="AP358" s="3"/>
      <c r="AQ358" s="3"/>
      <c r="AR358" s="3"/>
      <c r="AS358" s="3"/>
      <c r="AT358" s="3"/>
      <c r="AU358" s="3"/>
      <c r="AV358" s="3"/>
      <c r="AW358" s="3"/>
      <c r="AX358" s="3"/>
      <c r="AY358" s="3"/>
      <c r="AZ358" s="3"/>
      <c r="BA358" s="3"/>
      <c r="BB358" s="3"/>
      <c r="BC358" s="3"/>
      <c r="BD358" s="3"/>
      <c r="BE358" s="3"/>
      <c r="BF358" s="3"/>
      <c r="BG358" s="3"/>
    </row>
    <row r="359" spans="1:59">
      <c r="A359" s="1" t="str">
        <f>IF($K$230="Y",'Population Definitions'!$A$10,"...")</f>
        <v>65+_males</v>
      </c>
      <c r="B359" s="4" t="str">
        <f>IF($K$230="Y","---&gt;","...")</f>
        <v>---&gt;</v>
      </c>
      <c r="C359" s="1" t="str">
        <f>IF($K$230="Y",'Population Definitions'!$A$11,"...")</f>
        <v>65+_females</v>
      </c>
      <c r="D359" t="s">
        <v>62</v>
      </c>
      <c r="E359" s="3" t="s">
        <v>58</v>
      </c>
      <c r="F359" s="3"/>
      <c r="G359" s="3">
        <v>1</v>
      </c>
      <c r="H359" s="4" t="str">
        <f>IF($K$230="Y","OR","...")</f>
        <v>OR</v>
      </c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  <c r="AI359" s="3"/>
      <c r="AJ359" s="3"/>
      <c r="AK359" s="3"/>
      <c r="AL359" s="3"/>
      <c r="AM359" s="3"/>
      <c r="AN359" s="3"/>
      <c r="AO359" s="3"/>
      <c r="AP359" s="3"/>
      <c r="AQ359" s="3"/>
      <c r="AR359" s="3"/>
      <c r="AS359" s="3"/>
      <c r="AT359" s="3"/>
      <c r="AU359" s="3"/>
      <c r="AV359" s="3"/>
      <c r="AW359" s="3"/>
      <c r="AX359" s="3"/>
      <c r="AY359" s="3"/>
      <c r="AZ359" s="3"/>
      <c r="BA359" s="3"/>
      <c r="BB359" s="3"/>
      <c r="BC359" s="3"/>
      <c r="BD359" s="3"/>
      <c r="BE359" s="3"/>
      <c r="BF359" s="3"/>
      <c r="BG359" s="3"/>
    </row>
    <row r="360" spans="1:59">
      <c r="A360" s="1" t="str">
        <f>IF($L$230="Y",'Population Definitions'!$A$10,"...")</f>
        <v>...</v>
      </c>
      <c r="B360" s="4" t="str">
        <f>IF($L$230="Y","---&gt;","...")</f>
        <v>...</v>
      </c>
      <c r="C360" s="1" t="str">
        <f>IF($L$230="Y",'Population Definitions'!$A$12,"...")</f>
        <v>...</v>
      </c>
      <c r="E360" s="2"/>
      <c r="F360" s="3"/>
      <c r="G360" s="2"/>
      <c r="H360" s="4" t="str">
        <f>IF($L$230="Y","OR","...")</f>
        <v>...</v>
      </c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  <c r="AQ360" s="2"/>
      <c r="AR360" s="2"/>
      <c r="AS360" s="2"/>
      <c r="AT360" s="2"/>
      <c r="AU360" s="2"/>
      <c r="AV360" s="2"/>
      <c r="AW360" s="2"/>
      <c r="AX360" s="2"/>
      <c r="AY360" s="2"/>
      <c r="AZ360" s="2"/>
      <c r="BA360" s="2"/>
      <c r="BB360" s="2"/>
      <c r="BC360" s="2"/>
      <c r="BD360" s="2"/>
      <c r="BE360" s="2"/>
      <c r="BF360" s="2"/>
      <c r="BG360" s="2"/>
    </row>
    <row r="361" spans="1:59">
      <c r="A361" s="1" t="str">
        <f>IF($M$230="Y",'Population Definitions'!$A$10,"...")</f>
        <v>...</v>
      </c>
      <c r="B361" s="4" t="str">
        <f>IF($M$230="Y","---&gt;","...")</f>
        <v>...</v>
      </c>
      <c r="C361" s="1" t="str">
        <f>IF($M$230="Y",'Population Definitions'!$A$13,"...")</f>
        <v>...</v>
      </c>
      <c r="E361" s="2"/>
      <c r="F361" s="3"/>
      <c r="G361" s="2"/>
      <c r="H361" s="4" t="str">
        <f>IF($M$230="Y","OR","...")</f>
        <v>...</v>
      </c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  <c r="AQ361" s="2"/>
      <c r="AR361" s="2"/>
      <c r="AS361" s="2"/>
      <c r="AT361" s="2"/>
      <c r="AU361" s="2"/>
      <c r="AV361" s="2"/>
      <c r="AW361" s="2"/>
      <c r="AX361" s="2"/>
      <c r="AY361" s="2"/>
      <c r="AZ361" s="2"/>
      <c r="BA361" s="2"/>
      <c r="BB361" s="2"/>
      <c r="BC361" s="2"/>
      <c r="BD361" s="2"/>
      <c r="BE361" s="2"/>
      <c r="BF361" s="2"/>
      <c r="BG361" s="2"/>
    </row>
    <row r="362" spans="1:59">
      <c r="A362" s="1" t="str">
        <f>IF($N$230="Y",'Population Definitions'!$A$10,"...")</f>
        <v>...</v>
      </c>
      <c r="B362" s="4" t="str">
        <f>IF($N$230="Y","---&gt;","...")</f>
        <v>...</v>
      </c>
      <c r="C362" s="1" t="str">
        <f>IF($N$230="Y",'Population Definitions'!$A$14,"...")</f>
        <v>...</v>
      </c>
      <c r="E362" s="2"/>
      <c r="F362" s="3"/>
      <c r="G362" s="2"/>
      <c r="H362" s="4" t="str">
        <f>IF($N$230="Y","OR","...")</f>
        <v>...</v>
      </c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  <c r="AQ362" s="2"/>
      <c r="AR362" s="2"/>
      <c r="AS362" s="2"/>
      <c r="AT362" s="2"/>
      <c r="AU362" s="2"/>
      <c r="AV362" s="2"/>
      <c r="AW362" s="2"/>
      <c r="AX362" s="2"/>
      <c r="AY362" s="2"/>
      <c r="AZ362" s="2"/>
      <c r="BA362" s="2"/>
      <c r="BB362" s="2"/>
      <c r="BC362" s="2"/>
      <c r="BD362" s="2"/>
      <c r="BE362" s="2"/>
      <c r="BF362" s="2"/>
      <c r="BG362" s="2"/>
    </row>
    <row r="363" spans="1:59">
      <c r="A363" s="1" t="str">
        <f>IF($O$230="Y",'Population Definitions'!$A$10,"...")</f>
        <v>...</v>
      </c>
      <c r="B363" s="4" t="str">
        <f>IF($O$230="Y","---&gt;","...")</f>
        <v>...</v>
      </c>
      <c r="C363" s="1" t="str">
        <f>IF($O$230="Y",'Population Definitions'!$A$15,"...")</f>
        <v>...</v>
      </c>
      <c r="E363" s="2"/>
      <c r="F363" s="3"/>
      <c r="G363" s="2"/>
      <c r="H363" s="4" t="str">
        <f>IF($O$230="Y","OR","...")</f>
        <v>...</v>
      </c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  <c r="AQ363" s="2"/>
      <c r="AR363" s="2"/>
      <c r="AS363" s="2"/>
      <c r="AT363" s="2"/>
      <c r="AU363" s="2"/>
      <c r="AV363" s="2"/>
      <c r="AW363" s="2"/>
      <c r="AX363" s="2"/>
      <c r="AY363" s="2"/>
      <c r="AZ363" s="2"/>
      <c r="BA363" s="2"/>
      <c r="BB363" s="2"/>
      <c r="BC363" s="2"/>
      <c r="BD363" s="2"/>
      <c r="BE363" s="2"/>
      <c r="BF363" s="2"/>
      <c r="BG363" s="2"/>
    </row>
    <row r="364" spans="1:59">
      <c r="A364" s="1" t="str">
        <f>IF($B$231="Y",'Population Definitions'!$A$11,"...")</f>
        <v>...</v>
      </c>
      <c r="B364" s="4" t="str">
        <f>IF($B$231="Y","---&gt;","...")</f>
        <v>...</v>
      </c>
      <c r="C364" s="1" t="str">
        <f>IF($B$231="Y",'Population Definitions'!$A$2,"...")</f>
        <v>...</v>
      </c>
      <c r="E364" s="2"/>
      <c r="F364" s="3"/>
      <c r="G364" s="2"/>
      <c r="H364" s="4" t="str">
        <f>IF($B$231="Y","OR","...")</f>
        <v>...</v>
      </c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  <c r="AP364" s="2"/>
      <c r="AQ364" s="2"/>
      <c r="AR364" s="2"/>
      <c r="AS364" s="2"/>
      <c r="AT364" s="2"/>
      <c r="AU364" s="2"/>
      <c r="AV364" s="2"/>
      <c r="AW364" s="2"/>
      <c r="AX364" s="2"/>
      <c r="AY364" s="2"/>
      <c r="AZ364" s="2"/>
      <c r="BA364" s="2"/>
      <c r="BB364" s="2"/>
      <c r="BC364" s="2"/>
      <c r="BD364" s="2"/>
      <c r="BE364" s="2"/>
      <c r="BF364" s="2"/>
      <c r="BG364" s="2"/>
    </row>
    <row r="365" spans="1:59">
      <c r="A365" s="1" t="str">
        <f>IF($C$231="Y",'Population Definitions'!$A$11,"...")</f>
        <v>...</v>
      </c>
      <c r="B365" s="4" t="str">
        <f>IF($C$231="Y","---&gt;","...")</f>
        <v>...</v>
      </c>
      <c r="C365" s="1" t="str">
        <f>IF($C$231="Y",'Population Definitions'!$A$3,"...")</f>
        <v>...</v>
      </c>
      <c r="E365" s="2"/>
      <c r="F365" s="3"/>
      <c r="G365" s="2"/>
      <c r="H365" s="4" t="str">
        <f>IF($C$231="Y","OR","...")</f>
        <v>...</v>
      </c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2"/>
      <c r="AQ365" s="2"/>
      <c r="AR365" s="2"/>
      <c r="AS365" s="2"/>
      <c r="AT365" s="2"/>
      <c r="AU365" s="2"/>
      <c r="AV365" s="2"/>
      <c r="AW365" s="2"/>
      <c r="AX365" s="2"/>
      <c r="AY365" s="2"/>
      <c r="AZ365" s="2"/>
      <c r="BA365" s="2"/>
      <c r="BB365" s="2"/>
      <c r="BC365" s="2"/>
      <c r="BD365" s="2"/>
      <c r="BE365" s="2"/>
      <c r="BF365" s="2"/>
      <c r="BG365" s="2"/>
    </row>
    <row r="366" spans="1:59">
      <c r="A366" s="1" t="str">
        <f>IF($D$231="Y",'Population Definitions'!$A$11,"...")</f>
        <v>...</v>
      </c>
      <c r="B366" s="4" t="str">
        <f>IF($D$231="Y","---&gt;","...")</f>
        <v>...</v>
      </c>
      <c r="C366" s="1" t="str">
        <f>IF($D$231="Y",'Population Definitions'!$A$4,"...")</f>
        <v>...</v>
      </c>
      <c r="E366" s="2"/>
      <c r="F366" s="3"/>
      <c r="G366" s="2"/>
      <c r="H366" s="4" t="str">
        <f>IF($D$231="Y","OR","...")</f>
        <v>...</v>
      </c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2"/>
      <c r="AQ366" s="2"/>
      <c r="AR366" s="2"/>
      <c r="AS366" s="2"/>
      <c r="AT366" s="2"/>
      <c r="AU366" s="2"/>
      <c r="AV366" s="2"/>
      <c r="AW366" s="2"/>
      <c r="AX366" s="2"/>
      <c r="AY366" s="2"/>
      <c r="AZ366" s="2"/>
      <c r="BA366" s="2"/>
      <c r="BB366" s="2"/>
      <c r="BC366" s="2"/>
      <c r="BD366" s="2"/>
      <c r="BE366" s="2"/>
      <c r="BF366" s="2"/>
      <c r="BG366" s="2"/>
    </row>
    <row r="367" spans="1:59">
      <c r="A367" s="1" t="str">
        <f>IF($E$231="Y",'Population Definitions'!$A$11,"...")</f>
        <v>...</v>
      </c>
      <c r="B367" s="4" t="str">
        <f>IF($E$231="Y","---&gt;","...")</f>
        <v>...</v>
      </c>
      <c r="C367" s="1" t="str">
        <f>IF($E$231="Y",'Population Definitions'!$A$5,"...")</f>
        <v>...</v>
      </c>
      <c r="E367" s="2"/>
      <c r="F367" s="3"/>
      <c r="G367" s="2"/>
      <c r="H367" s="4" t="str">
        <f>IF($E$231="Y","OR","...")</f>
        <v>...</v>
      </c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  <c r="AQ367" s="2"/>
      <c r="AR367" s="2"/>
      <c r="AS367" s="2"/>
      <c r="AT367" s="2"/>
      <c r="AU367" s="2"/>
      <c r="AV367" s="2"/>
      <c r="AW367" s="2"/>
      <c r="AX367" s="2"/>
      <c r="AY367" s="2"/>
      <c r="AZ367" s="2"/>
      <c r="BA367" s="2"/>
      <c r="BB367" s="2"/>
      <c r="BC367" s="2"/>
      <c r="BD367" s="2"/>
      <c r="BE367" s="2"/>
      <c r="BF367" s="2"/>
      <c r="BG367" s="2"/>
    </row>
    <row r="368" spans="1:59">
      <c r="A368" s="1" t="str">
        <f>IF($F$231="Y",'Population Definitions'!$A$11,"...")</f>
        <v>...</v>
      </c>
      <c r="B368" s="4" t="str">
        <f>IF($F$231="Y","---&gt;","...")</f>
        <v>...</v>
      </c>
      <c r="C368" s="1" t="str">
        <f>IF($F$231="Y",'Population Definitions'!$A$6,"...")</f>
        <v>...</v>
      </c>
      <c r="E368" s="2"/>
      <c r="F368" s="3"/>
      <c r="G368" s="2"/>
      <c r="H368" s="4" t="str">
        <f>IF($F$231="Y","OR","...")</f>
        <v>...</v>
      </c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2"/>
      <c r="AQ368" s="2"/>
      <c r="AR368" s="2"/>
      <c r="AS368" s="2"/>
      <c r="AT368" s="2"/>
      <c r="AU368" s="2"/>
      <c r="AV368" s="2"/>
      <c r="AW368" s="2"/>
      <c r="AX368" s="2"/>
      <c r="AY368" s="2"/>
      <c r="AZ368" s="2"/>
      <c r="BA368" s="2"/>
      <c r="BB368" s="2"/>
      <c r="BC368" s="2"/>
      <c r="BD368" s="2"/>
      <c r="BE368" s="2"/>
      <c r="BF368" s="2"/>
      <c r="BG368" s="2"/>
    </row>
    <row r="369" spans="1:59">
      <c r="A369" s="1" t="str">
        <f>IF($G$231="Y",'Population Definitions'!$A$11,"...")</f>
        <v>...</v>
      </c>
      <c r="B369" s="4" t="str">
        <f>IF($G$231="Y","---&gt;","...")</f>
        <v>...</v>
      </c>
      <c r="C369" s="1" t="str">
        <f>IF($G$231="Y",'Population Definitions'!$A$7,"...")</f>
        <v>...</v>
      </c>
      <c r="E369" s="2"/>
      <c r="F369" s="3"/>
      <c r="G369" s="2"/>
      <c r="H369" s="4" t="str">
        <f>IF($G$231="Y","OR","...")</f>
        <v>...</v>
      </c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  <c r="AQ369" s="2"/>
      <c r="AR369" s="2"/>
      <c r="AS369" s="2"/>
      <c r="AT369" s="2"/>
      <c r="AU369" s="2"/>
      <c r="AV369" s="2"/>
      <c r="AW369" s="2"/>
      <c r="AX369" s="2"/>
      <c r="AY369" s="2"/>
      <c r="AZ369" s="2"/>
      <c r="BA369" s="2"/>
      <c r="BB369" s="2"/>
      <c r="BC369" s="2"/>
      <c r="BD369" s="2"/>
      <c r="BE369" s="2"/>
      <c r="BF369" s="2"/>
      <c r="BG369" s="2"/>
    </row>
    <row r="370" spans="1:59">
      <c r="A370" s="1" t="str">
        <f>IF($H$231="Y",'Population Definitions'!$A$11,"...")</f>
        <v>65+_females</v>
      </c>
      <c r="B370" s="4" t="str">
        <f>IF($H$231="Y","---&gt;","...")</f>
        <v>---&gt;</v>
      </c>
      <c r="C370" s="1" t="str">
        <f>IF($H$231="Y",'Population Definitions'!$A$8,"...")</f>
        <v>18-64_males</v>
      </c>
      <c r="D370" t="s">
        <v>62</v>
      </c>
      <c r="E370" s="3" t="s">
        <v>58</v>
      </c>
      <c r="F370" s="3"/>
      <c r="G370" s="3">
        <v>1</v>
      </c>
      <c r="H370" s="4" t="str">
        <f>IF($H$231="Y","OR","...")</f>
        <v>OR</v>
      </c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  <c r="AI370" s="3"/>
      <c r="AJ370" s="3"/>
      <c r="AK370" s="3"/>
      <c r="AL370" s="3"/>
      <c r="AM370" s="3"/>
      <c r="AN370" s="3"/>
      <c r="AO370" s="3"/>
      <c r="AP370" s="3"/>
      <c r="AQ370" s="3"/>
      <c r="AR370" s="3"/>
      <c r="AS370" s="3"/>
      <c r="AT370" s="3"/>
      <c r="AU370" s="3"/>
      <c r="AV370" s="3"/>
      <c r="AW370" s="3"/>
      <c r="AX370" s="3"/>
      <c r="AY370" s="3"/>
      <c r="AZ370" s="3"/>
      <c r="BA370" s="3"/>
      <c r="BB370" s="3"/>
      <c r="BC370" s="3"/>
      <c r="BD370" s="3"/>
      <c r="BE370" s="3"/>
      <c r="BF370" s="3"/>
      <c r="BG370" s="3"/>
    </row>
    <row r="371" spans="1:59">
      <c r="A371" s="1" t="str">
        <f>IF($I$231="Y",'Population Definitions'!$A$11,"...")</f>
        <v>65+_females</v>
      </c>
      <c r="B371" s="4" t="str">
        <f>IF($I$231="Y","---&gt;","...")</f>
        <v>---&gt;</v>
      </c>
      <c r="C371" s="1" t="str">
        <f>IF($I$231="Y",'Population Definitions'!$A$9,"...")</f>
        <v>18-64_females</v>
      </c>
      <c r="D371" t="s">
        <v>62</v>
      </c>
      <c r="E371" s="3" t="s">
        <v>58</v>
      </c>
      <c r="F371" s="3"/>
      <c r="G371" s="3">
        <v>1</v>
      </c>
      <c r="H371" s="4" t="str">
        <f>IF($I$231="Y","OR","...")</f>
        <v>OR</v>
      </c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  <c r="AI371" s="3"/>
      <c r="AJ371" s="3"/>
      <c r="AK371" s="3"/>
      <c r="AL371" s="3"/>
      <c r="AM371" s="3"/>
      <c r="AN371" s="3"/>
      <c r="AO371" s="3"/>
      <c r="AP371" s="3"/>
      <c r="AQ371" s="3"/>
      <c r="AR371" s="3"/>
      <c r="AS371" s="3"/>
      <c r="AT371" s="3"/>
      <c r="AU371" s="3"/>
      <c r="AV371" s="3"/>
      <c r="AW371" s="3"/>
      <c r="AX371" s="3"/>
      <c r="AY371" s="3"/>
      <c r="AZ371" s="3"/>
      <c r="BA371" s="3"/>
      <c r="BB371" s="3"/>
      <c r="BC371" s="3"/>
      <c r="BD371" s="3"/>
      <c r="BE371" s="3"/>
      <c r="BF371" s="3"/>
      <c r="BG371" s="3"/>
    </row>
    <row r="372" spans="1:59">
      <c r="A372" s="1" t="str">
        <f>IF($J$231="Y",'Population Definitions'!$A$11,"...")</f>
        <v>65+_females</v>
      </c>
      <c r="B372" s="4" t="str">
        <f>IF($J$231="Y","---&gt;","...")</f>
        <v>---&gt;</v>
      </c>
      <c r="C372" s="1" t="str">
        <f>IF($J$231="Y",'Population Definitions'!$A$10,"...")</f>
        <v>65+_males</v>
      </c>
      <c r="D372" t="s">
        <v>62</v>
      </c>
      <c r="E372" s="3" t="s">
        <v>58</v>
      </c>
      <c r="F372" s="3"/>
      <c r="G372" s="3">
        <v>1</v>
      </c>
      <c r="H372" s="4" t="str">
        <f>IF($J$231="Y","OR","...")</f>
        <v>OR</v>
      </c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  <c r="AI372" s="3"/>
      <c r="AJ372" s="3"/>
      <c r="AK372" s="3"/>
      <c r="AL372" s="3"/>
      <c r="AM372" s="3"/>
      <c r="AN372" s="3"/>
      <c r="AO372" s="3"/>
      <c r="AP372" s="3"/>
      <c r="AQ372" s="3"/>
      <c r="AR372" s="3"/>
      <c r="AS372" s="3"/>
      <c r="AT372" s="3"/>
      <c r="AU372" s="3"/>
      <c r="AV372" s="3"/>
      <c r="AW372" s="3"/>
      <c r="AX372" s="3"/>
      <c r="AY372" s="3"/>
      <c r="AZ372" s="3"/>
      <c r="BA372" s="3"/>
      <c r="BB372" s="3"/>
      <c r="BC372" s="3"/>
      <c r="BD372" s="3"/>
      <c r="BE372" s="3"/>
      <c r="BF372" s="3"/>
      <c r="BG372" s="3"/>
    </row>
    <row r="373" spans="1:59">
      <c r="A373" s="1" t="str">
        <f>IF($K$231="Y",'Population Definitions'!$A$11,"...")</f>
        <v>65+_females</v>
      </c>
      <c r="B373" s="4" t="str">
        <f>IF($K$231="Y","---&gt;","...")</f>
        <v>---&gt;</v>
      </c>
      <c r="C373" s="1" t="str">
        <f>IF($K$231="Y",'Population Definitions'!$A$11,"...")</f>
        <v>65+_females</v>
      </c>
      <c r="D373" t="s">
        <v>62</v>
      </c>
      <c r="E373" s="3" t="s">
        <v>58</v>
      </c>
      <c r="F373" s="3"/>
      <c r="G373" s="3">
        <v>1</v>
      </c>
      <c r="H373" s="4" t="str">
        <f>IF($K$231="Y","OR","...")</f>
        <v>OR</v>
      </c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  <c r="AI373" s="3"/>
      <c r="AJ373" s="3"/>
      <c r="AK373" s="3"/>
      <c r="AL373" s="3"/>
      <c r="AM373" s="3"/>
      <c r="AN373" s="3"/>
      <c r="AO373" s="3"/>
      <c r="AP373" s="3"/>
      <c r="AQ373" s="3"/>
      <c r="AR373" s="3"/>
      <c r="AS373" s="3"/>
      <c r="AT373" s="3"/>
      <c r="AU373" s="3"/>
      <c r="AV373" s="3"/>
      <c r="AW373" s="3"/>
      <c r="AX373" s="3"/>
      <c r="AY373" s="3"/>
      <c r="AZ373" s="3"/>
      <c r="BA373" s="3"/>
      <c r="BB373" s="3"/>
      <c r="BC373" s="3"/>
      <c r="BD373" s="3"/>
      <c r="BE373" s="3"/>
      <c r="BF373" s="3"/>
      <c r="BG373" s="3"/>
    </row>
    <row r="374" spans="1:59">
      <c r="A374" s="1" t="str">
        <f>IF($L$231="Y",'Population Definitions'!$A$11,"...")</f>
        <v>...</v>
      </c>
      <c r="B374" s="4" t="str">
        <f>IF($L$231="Y","---&gt;","...")</f>
        <v>...</v>
      </c>
      <c r="C374" s="1" t="str">
        <f>IF($L$231="Y",'Population Definitions'!$A$12,"...")</f>
        <v>...</v>
      </c>
      <c r="E374" s="2"/>
      <c r="F374" s="3"/>
      <c r="G374" s="2"/>
      <c r="H374" s="4" t="str">
        <f>IF($L$231="Y","OR","...")</f>
        <v>...</v>
      </c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2"/>
      <c r="AQ374" s="2"/>
      <c r="AR374" s="2"/>
      <c r="AS374" s="2"/>
      <c r="AT374" s="2"/>
      <c r="AU374" s="2"/>
      <c r="AV374" s="2"/>
      <c r="AW374" s="2"/>
      <c r="AX374" s="2"/>
      <c r="AY374" s="2"/>
      <c r="AZ374" s="2"/>
      <c r="BA374" s="2"/>
      <c r="BB374" s="2"/>
      <c r="BC374" s="2"/>
      <c r="BD374" s="2"/>
      <c r="BE374" s="2"/>
      <c r="BF374" s="2"/>
      <c r="BG374" s="2"/>
    </row>
    <row r="375" spans="1:59">
      <c r="A375" s="1" t="str">
        <f>IF($M$231="Y",'Population Definitions'!$A$11,"...")</f>
        <v>...</v>
      </c>
      <c r="B375" s="4" t="str">
        <f>IF($M$231="Y","---&gt;","...")</f>
        <v>...</v>
      </c>
      <c r="C375" s="1" t="str">
        <f>IF($M$231="Y",'Population Definitions'!$A$13,"...")</f>
        <v>...</v>
      </c>
      <c r="E375" s="2"/>
      <c r="F375" s="3"/>
      <c r="G375" s="2"/>
      <c r="H375" s="4" t="str">
        <f>IF($M$231="Y","OR","...")</f>
        <v>...</v>
      </c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  <c r="AQ375" s="2"/>
      <c r="AR375" s="2"/>
      <c r="AS375" s="2"/>
      <c r="AT375" s="2"/>
      <c r="AU375" s="2"/>
      <c r="AV375" s="2"/>
      <c r="AW375" s="2"/>
      <c r="AX375" s="2"/>
      <c r="AY375" s="2"/>
      <c r="AZ375" s="2"/>
      <c r="BA375" s="2"/>
      <c r="BB375" s="2"/>
      <c r="BC375" s="2"/>
      <c r="BD375" s="2"/>
      <c r="BE375" s="2"/>
      <c r="BF375" s="2"/>
      <c r="BG375" s="2"/>
    </row>
    <row r="376" spans="1:59">
      <c r="A376" s="1" t="str">
        <f>IF($N$231="Y",'Population Definitions'!$A$11,"...")</f>
        <v>...</v>
      </c>
      <c r="B376" s="4" t="str">
        <f>IF($N$231="Y","---&gt;","...")</f>
        <v>...</v>
      </c>
      <c r="C376" s="1" t="str">
        <f>IF($N$231="Y",'Population Definitions'!$A$14,"...")</f>
        <v>...</v>
      </c>
      <c r="E376" s="2"/>
      <c r="F376" s="3"/>
      <c r="G376" s="2"/>
      <c r="H376" s="4" t="str">
        <f>IF($N$231="Y","OR","...")</f>
        <v>...</v>
      </c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2"/>
      <c r="AQ376" s="2"/>
      <c r="AR376" s="2"/>
      <c r="AS376" s="2"/>
      <c r="AT376" s="2"/>
      <c r="AU376" s="2"/>
      <c r="AV376" s="2"/>
      <c r="AW376" s="2"/>
      <c r="AX376" s="2"/>
      <c r="AY376" s="2"/>
      <c r="AZ376" s="2"/>
      <c r="BA376" s="2"/>
      <c r="BB376" s="2"/>
      <c r="BC376" s="2"/>
      <c r="BD376" s="2"/>
      <c r="BE376" s="2"/>
      <c r="BF376" s="2"/>
      <c r="BG376" s="2"/>
    </row>
    <row r="377" spans="1:59">
      <c r="A377" s="1" t="str">
        <f>IF($O$231="Y",'Population Definitions'!$A$11,"...")</f>
        <v>...</v>
      </c>
      <c r="B377" s="4" t="str">
        <f>IF($O$231="Y","---&gt;","...")</f>
        <v>...</v>
      </c>
      <c r="C377" s="1" t="str">
        <f>IF($O$231="Y",'Population Definitions'!$A$15,"...")</f>
        <v>...</v>
      </c>
      <c r="E377" s="2"/>
      <c r="F377" s="3"/>
      <c r="G377" s="2"/>
      <c r="H377" s="4" t="str">
        <f>IF($O$231="Y","OR","...")</f>
        <v>...</v>
      </c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  <c r="AP377" s="2"/>
      <c r="AQ377" s="2"/>
      <c r="AR377" s="2"/>
      <c r="AS377" s="2"/>
      <c r="AT377" s="2"/>
      <c r="AU377" s="2"/>
      <c r="AV377" s="2"/>
      <c r="AW377" s="2"/>
      <c r="AX377" s="2"/>
      <c r="AY377" s="2"/>
      <c r="AZ377" s="2"/>
      <c r="BA377" s="2"/>
      <c r="BB377" s="2"/>
      <c r="BC377" s="2"/>
      <c r="BD377" s="2"/>
      <c r="BE377" s="2"/>
      <c r="BF377" s="2"/>
      <c r="BG377" s="2"/>
    </row>
    <row r="378" spans="1:59">
      <c r="A378" s="1" t="str">
        <f>IF($B$232="Y",'Population Definitions'!$A$12,"...")</f>
        <v>...</v>
      </c>
      <c r="B378" s="4" t="str">
        <f>IF($B$232="Y","---&gt;","...")</f>
        <v>...</v>
      </c>
      <c r="C378" s="1" t="str">
        <f>IF($B$232="Y",'Population Definitions'!$A$2,"...")</f>
        <v>...</v>
      </c>
      <c r="E378" s="2"/>
      <c r="F378" s="3"/>
      <c r="G378" s="2"/>
      <c r="H378" s="4" t="str">
        <f>IF($B$232="Y","OR","...")</f>
        <v>...</v>
      </c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2"/>
      <c r="AQ378" s="2"/>
      <c r="AR378" s="2"/>
      <c r="AS378" s="2"/>
      <c r="AT378" s="2"/>
      <c r="AU378" s="2"/>
      <c r="AV378" s="2"/>
      <c r="AW378" s="2"/>
      <c r="AX378" s="2"/>
      <c r="AY378" s="2"/>
      <c r="AZ378" s="2"/>
      <c r="BA378" s="2"/>
      <c r="BB378" s="2"/>
      <c r="BC378" s="2"/>
      <c r="BD378" s="2"/>
      <c r="BE378" s="2"/>
      <c r="BF378" s="2"/>
      <c r="BG378" s="2"/>
    </row>
    <row r="379" spans="1:59">
      <c r="A379" s="1" t="str">
        <f>IF($C$232="Y",'Population Definitions'!$A$12,"...")</f>
        <v>...</v>
      </c>
      <c r="B379" s="4" t="str">
        <f>IF($C$232="Y","---&gt;","...")</f>
        <v>...</v>
      </c>
      <c r="C379" s="1" t="str">
        <f>IF($C$232="Y",'Population Definitions'!$A$3,"...")</f>
        <v>...</v>
      </c>
      <c r="E379" s="2"/>
      <c r="F379" s="3"/>
      <c r="G379" s="2"/>
      <c r="H379" s="4" t="str">
        <f>IF($C$232="Y","OR","...")</f>
        <v>...</v>
      </c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  <c r="AP379" s="2"/>
      <c r="AQ379" s="2"/>
      <c r="AR379" s="2"/>
      <c r="AS379" s="2"/>
      <c r="AT379" s="2"/>
      <c r="AU379" s="2"/>
      <c r="AV379" s="2"/>
      <c r="AW379" s="2"/>
      <c r="AX379" s="2"/>
      <c r="AY379" s="2"/>
      <c r="AZ379" s="2"/>
      <c r="BA379" s="2"/>
      <c r="BB379" s="2"/>
      <c r="BC379" s="2"/>
      <c r="BD379" s="2"/>
      <c r="BE379" s="2"/>
      <c r="BF379" s="2"/>
      <c r="BG379" s="2"/>
    </row>
    <row r="380" spans="1:59">
      <c r="A380" s="1" t="str">
        <f>IF($D$232="Y",'Population Definitions'!$A$12,"...")</f>
        <v>...</v>
      </c>
      <c r="B380" s="4" t="str">
        <f>IF($D$232="Y","---&gt;","...")</f>
        <v>...</v>
      </c>
      <c r="C380" s="1" t="str">
        <f>IF($D$232="Y",'Population Definitions'!$A$4,"...")</f>
        <v>...</v>
      </c>
      <c r="E380" s="2"/>
      <c r="F380" s="3"/>
      <c r="G380" s="2"/>
      <c r="H380" s="4" t="str">
        <f>IF($D$232="Y","OR","...")</f>
        <v>...</v>
      </c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  <c r="AP380" s="2"/>
      <c r="AQ380" s="2"/>
      <c r="AR380" s="2"/>
      <c r="AS380" s="2"/>
      <c r="AT380" s="2"/>
      <c r="AU380" s="2"/>
      <c r="AV380" s="2"/>
      <c r="AW380" s="2"/>
      <c r="AX380" s="2"/>
      <c r="AY380" s="2"/>
      <c r="AZ380" s="2"/>
      <c r="BA380" s="2"/>
      <c r="BB380" s="2"/>
      <c r="BC380" s="2"/>
      <c r="BD380" s="2"/>
      <c r="BE380" s="2"/>
      <c r="BF380" s="2"/>
      <c r="BG380" s="2"/>
    </row>
    <row r="381" spans="1:59">
      <c r="A381" s="1" t="str">
        <f>IF($E$232="Y",'Population Definitions'!$A$12,"...")</f>
        <v>...</v>
      </c>
      <c r="B381" s="4" t="str">
        <f>IF($E$232="Y","---&gt;","...")</f>
        <v>...</v>
      </c>
      <c r="C381" s="1" t="str">
        <f>IF($E$232="Y",'Population Definitions'!$A$5,"...")</f>
        <v>...</v>
      </c>
      <c r="E381" s="2"/>
      <c r="F381" s="3"/>
      <c r="G381" s="2"/>
      <c r="H381" s="4" t="str">
        <f>IF($E$232="Y","OR","...")</f>
        <v>...</v>
      </c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  <c r="AP381" s="2"/>
      <c r="AQ381" s="2"/>
      <c r="AR381" s="2"/>
      <c r="AS381" s="2"/>
      <c r="AT381" s="2"/>
      <c r="AU381" s="2"/>
      <c r="AV381" s="2"/>
      <c r="AW381" s="2"/>
      <c r="AX381" s="2"/>
      <c r="AY381" s="2"/>
      <c r="AZ381" s="2"/>
      <c r="BA381" s="2"/>
      <c r="BB381" s="2"/>
      <c r="BC381" s="2"/>
      <c r="BD381" s="2"/>
      <c r="BE381" s="2"/>
      <c r="BF381" s="2"/>
      <c r="BG381" s="2"/>
    </row>
    <row r="382" spans="1:59">
      <c r="A382" s="1" t="str">
        <f>IF($F$232="Y",'Population Definitions'!$A$12,"...")</f>
        <v>...</v>
      </c>
      <c r="B382" s="4" t="str">
        <f>IF($F$232="Y","---&gt;","...")</f>
        <v>...</v>
      </c>
      <c r="C382" s="1" t="str">
        <f>IF($F$232="Y",'Population Definitions'!$A$6,"...")</f>
        <v>...</v>
      </c>
      <c r="E382" s="2"/>
      <c r="F382" s="3"/>
      <c r="G382" s="2"/>
      <c r="H382" s="4" t="str">
        <f>IF($F$232="Y","OR","...")</f>
        <v>...</v>
      </c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/>
      <c r="AQ382" s="2"/>
      <c r="AR382" s="2"/>
      <c r="AS382" s="2"/>
      <c r="AT382" s="2"/>
      <c r="AU382" s="2"/>
      <c r="AV382" s="2"/>
      <c r="AW382" s="2"/>
      <c r="AX382" s="2"/>
      <c r="AY382" s="2"/>
      <c r="AZ382" s="2"/>
      <c r="BA382" s="2"/>
      <c r="BB382" s="2"/>
      <c r="BC382" s="2"/>
      <c r="BD382" s="2"/>
      <c r="BE382" s="2"/>
      <c r="BF382" s="2"/>
      <c r="BG382" s="2"/>
    </row>
    <row r="383" spans="1:59">
      <c r="A383" s="1" t="str">
        <f>IF($G$232="Y",'Population Definitions'!$A$12,"...")</f>
        <v>...</v>
      </c>
      <c r="B383" s="4" t="str">
        <f>IF($G$232="Y","---&gt;","...")</f>
        <v>...</v>
      </c>
      <c r="C383" s="1" t="str">
        <f>IF($G$232="Y",'Population Definitions'!$A$7,"...")</f>
        <v>...</v>
      </c>
      <c r="E383" s="2"/>
      <c r="F383" s="3"/>
      <c r="G383" s="2"/>
      <c r="H383" s="4" t="str">
        <f>IF($G$232="Y","OR","...")</f>
        <v>...</v>
      </c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  <c r="AM383" s="2"/>
      <c r="AN383" s="2"/>
      <c r="AO383" s="2"/>
      <c r="AP383" s="2"/>
      <c r="AQ383" s="2"/>
      <c r="AR383" s="2"/>
      <c r="AS383" s="2"/>
      <c r="AT383" s="2"/>
      <c r="AU383" s="2"/>
      <c r="AV383" s="2"/>
      <c r="AW383" s="2"/>
      <c r="AX383" s="2"/>
      <c r="AY383" s="2"/>
      <c r="AZ383" s="2"/>
      <c r="BA383" s="2"/>
      <c r="BB383" s="2"/>
      <c r="BC383" s="2"/>
      <c r="BD383" s="2"/>
      <c r="BE383" s="2"/>
      <c r="BF383" s="2"/>
      <c r="BG383" s="2"/>
    </row>
    <row r="384" spans="1:59">
      <c r="A384" s="1" t="str">
        <f>IF($H$232="Y",'Population Definitions'!$A$12,"...")</f>
        <v>...</v>
      </c>
      <c r="B384" s="4" t="str">
        <f>IF($H$232="Y","---&gt;","...")</f>
        <v>...</v>
      </c>
      <c r="C384" s="1" t="str">
        <f>IF($H$232="Y",'Population Definitions'!$A$8,"...")</f>
        <v>...</v>
      </c>
      <c r="E384" s="2"/>
      <c r="F384" s="3"/>
      <c r="G384" s="2"/>
      <c r="H384" s="4" t="str">
        <f>IF($H$232="Y","OR","...")</f>
        <v>...</v>
      </c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  <c r="AP384" s="2"/>
      <c r="AQ384" s="2"/>
      <c r="AR384" s="2"/>
      <c r="AS384" s="2"/>
      <c r="AT384" s="2"/>
      <c r="AU384" s="2"/>
      <c r="AV384" s="2"/>
      <c r="AW384" s="2"/>
      <c r="AX384" s="2"/>
      <c r="AY384" s="2"/>
      <c r="AZ384" s="2"/>
      <c r="BA384" s="2"/>
      <c r="BB384" s="2"/>
      <c r="BC384" s="2"/>
      <c r="BD384" s="2"/>
      <c r="BE384" s="2"/>
      <c r="BF384" s="2"/>
      <c r="BG384" s="2"/>
    </row>
    <row r="385" spans="1:59">
      <c r="A385" s="1" t="str">
        <f>IF($I$232="Y",'Population Definitions'!$A$12,"...")</f>
        <v>...</v>
      </c>
      <c r="B385" s="4" t="str">
        <f>IF($I$232="Y","---&gt;","...")</f>
        <v>...</v>
      </c>
      <c r="C385" s="1" t="str">
        <f>IF($I$232="Y",'Population Definitions'!$A$9,"...")</f>
        <v>...</v>
      </c>
      <c r="E385" s="2"/>
      <c r="F385" s="3"/>
      <c r="G385" s="2"/>
      <c r="H385" s="4" t="str">
        <f>IF($I$232="Y","OR","...")</f>
        <v>...</v>
      </c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  <c r="AP385" s="2"/>
      <c r="AQ385" s="2"/>
      <c r="AR385" s="2"/>
      <c r="AS385" s="2"/>
      <c r="AT385" s="2"/>
      <c r="AU385" s="2"/>
      <c r="AV385" s="2"/>
      <c r="AW385" s="2"/>
      <c r="AX385" s="2"/>
      <c r="AY385" s="2"/>
      <c r="AZ385" s="2"/>
      <c r="BA385" s="2"/>
      <c r="BB385" s="2"/>
      <c r="BC385" s="2"/>
      <c r="BD385" s="2"/>
      <c r="BE385" s="2"/>
      <c r="BF385" s="2"/>
      <c r="BG385" s="2"/>
    </row>
    <row r="386" spans="1:59">
      <c r="A386" s="1" t="str">
        <f>IF($J$232="Y",'Population Definitions'!$A$12,"...")</f>
        <v>...</v>
      </c>
      <c r="B386" s="4" t="str">
        <f>IF($J$232="Y","---&gt;","...")</f>
        <v>...</v>
      </c>
      <c r="C386" s="1" t="str">
        <f>IF($J$232="Y",'Population Definitions'!$A$10,"...")</f>
        <v>...</v>
      </c>
      <c r="E386" s="2"/>
      <c r="F386" s="3"/>
      <c r="G386" s="2"/>
      <c r="H386" s="4" t="str">
        <f>IF($J$232="Y","OR","...")</f>
        <v>...</v>
      </c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2"/>
      <c r="AQ386" s="2"/>
      <c r="AR386" s="2"/>
      <c r="AS386" s="2"/>
      <c r="AT386" s="2"/>
      <c r="AU386" s="2"/>
      <c r="AV386" s="2"/>
      <c r="AW386" s="2"/>
      <c r="AX386" s="2"/>
      <c r="AY386" s="2"/>
      <c r="AZ386" s="2"/>
      <c r="BA386" s="2"/>
      <c r="BB386" s="2"/>
      <c r="BC386" s="2"/>
      <c r="BD386" s="2"/>
      <c r="BE386" s="2"/>
      <c r="BF386" s="2"/>
      <c r="BG386" s="2"/>
    </row>
    <row r="387" spans="1:59">
      <c r="A387" s="1" t="str">
        <f>IF($K$232="Y",'Population Definitions'!$A$12,"...")</f>
        <v>...</v>
      </c>
      <c r="B387" s="4" t="str">
        <f>IF($K$232="Y","---&gt;","...")</f>
        <v>...</v>
      </c>
      <c r="C387" s="1" t="str">
        <f>IF($K$232="Y",'Population Definitions'!$A$11,"...")</f>
        <v>...</v>
      </c>
      <c r="E387" s="2"/>
      <c r="F387" s="3"/>
      <c r="G387" s="2"/>
      <c r="H387" s="4" t="str">
        <f>IF($K$232="Y","OR","...")</f>
        <v>...</v>
      </c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"/>
      <c r="AQ387" s="2"/>
      <c r="AR387" s="2"/>
      <c r="AS387" s="2"/>
      <c r="AT387" s="2"/>
      <c r="AU387" s="2"/>
      <c r="AV387" s="2"/>
      <c r="AW387" s="2"/>
      <c r="AX387" s="2"/>
      <c r="AY387" s="2"/>
      <c r="AZ387" s="2"/>
      <c r="BA387" s="2"/>
      <c r="BB387" s="2"/>
      <c r="BC387" s="2"/>
      <c r="BD387" s="2"/>
      <c r="BE387" s="2"/>
      <c r="BF387" s="2"/>
      <c r="BG387" s="2"/>
    </row>
    <row r="388" spans="1:59">
      <c r="A388" s="1" t="str">
        <f>IF($L$232="Y",'Population Definitions'!$A$12,"...")</f>
        <v>...</v>
      </c>
      <c r="B388" s="4" t="str">
        <f>IF($L$232="Y","---&gt;","...")</f>
        <v>...</v>
      </c>
      <c r="C388" s="1" t="str">
        <f>IF($L$232="Y",'Population Definitions'!$A$12,"...")</f>
        <v>...</v>
      </c>
      <c r="E388" s="2"/>
      <c r="F388" s="3"/>
      <c r="G388" s="2"/>
      <c r="H388" s="4" t="str">
        <f>IF($L$232="Y","OR","...")</f>
        <v>...</v>
      </c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  <c r="AP388" s="2"/>
      <c r="AQ388" s="2"/>
      <c r="AR388" s="2"/>
      <c r="AS388" s="2"/>
      <c r="AT388" s="2"/>
      <c r="AU388" s="2"/>
      <c r="AV388" s="2"/>
      <c r="AW388" s="2"/>
      <c r="AX388" s="2"/>
      <c r="AY388" s="2"/>
      <c r="AZ388" s="2"/>
      <c r="BA388" s="2"/>
      <c r="BB388" s="2"/>
      <c r="BC388" s="2"/>
      <c r="BD388" s="2"/>
      <c r="BE388" s="2"/>
      <c r="BF388" s="2"/>
      <c r="BG388" s="2"/>
    </row>
    <row r="389" spans="1:59">
      <c r="A389" s="1" t="str">
        <f>IF($M$232="Y",'Population Definitions'!$A$12,"...")</f>
        <v>...</v>
      </c>
      <c r="B389" s="4" t="str">
        <f>IF($M$232="Y","---&gt;","...")</f>
        <v>...</v>
      </c>
      <c r="C389" s="1" t="str">
        <f>IF($M$232="Y",'Population Definitions'!$A$13,"...")</f>
        <v>...</v>
      </c>
      <c r="E389" s="2"/>
      <c r="F389" s="3"/>
      <c r="G389" s="2"/>
      <c r="H389" s="4" t="str">
        <f>IF($M$232="Y","OR","...")</f>
        <v>...</v>
      </c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  <c r="AQ389" s="2"/>
      <c r="AR389" s="2"/>
      <c r="AS389" s="2"/>
      <c r="AT389" s="2"/>
      <c r="AU389" s="2"/>
      <c r="AV389" s="2"/>
      <c r="AW389" s="2"/>
      <c r="AX389" s="2"/>
      <c r="AY389" s="2"/>
      <c r="AZ389" s="2"/>
      <c r="BA389" s="2"/>
      <c r="BB389" s="2"/>
      <c r="BC389" s="2"/>
      <c r="BD389" s="2"/>
      <c r="BE389" s="2"/>
      <c r="BF389" s="2"/>
      <c r="BG389" s="2"/>
    </row>
    <row r="390" spans="1:59">
      <c r="A390" s="1" t="str">
        <f>IF($N$232="Y",'Population Definitions'!$A$12,"...")</f>
        <v>...</v>
      </c>
      <c r="B390" s="4" t="str">
        <f>IF($N$232="Y","---&gt;","...")</f>
        <v>...</v>
      </c>
      <c r="C390" s="1" t="str">
        <f>IF($N$232="Y",'Population Definitions'!$A$14,"...")</f>
        <v>...</v>
      </c>
      <c r="E390" s="2"/>
      <c r="F390" s="3"/>
      <c r="G390" s="2"/>
      <c r="H390" s="4" t="str">
        <f>IF($N$232="Y","OR","...")</f>
        <v>...</v>
      </c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  <c r="AP390" s="2"/>
      <c r="AQ390" s="2"/>
      <c r="AR390" s="2"/>
      <c r="AS390" s="2"/>
      <c r="AT390" s="2"/>
      <c r="AU390" s="2"/>
      <c r="AV390" s="2"/>
      <c r="AW390" s="2"/>
      <c r="AX390" s="2"/>
      <c r="AY390" s="2"/>
      <c r="AZ390" s="2"/>
      <c r="BA390" s="2"/>
      <c r="BB390" s="2"/>
      <c r="BC390" s="2"/>
      <c r="BD390" s="2"/>
      <c r="BE390" s="2"/>
      <c r="BF390" s="2"/>
      <c r="BG390" s="2"/>
    </row>
    <row r="391" spans="1:59">
      <c r="A391" s="1" t="str">
        <f>IF($O$232="Y",'Population Definitions'!$A$12,"...")</f>
        <v>...</v>
      </c>
      <c r="B391" s="4" t="str">
        <f>IF($O$232="Y","---&gt;","...")</f>
        <v>...</v>
      </c>
      <c r="C391" s="1" t="str">
        <f>IF($O$232="Y",'Population Definitions'!$A$15,"...")</f>
        <v>...</v>
      </c>
      <c r="E391" s="2"/>
      <c r="F391" s="3"/>
      <c r="G391" s="2"/>
      <c r="H391" s="4" t="str">
        <f>IF($O$232="Y","OR","...")</f>
        <v>...</v>
      </c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  <c r="AM391" s="2"/>
      <c r="AN391" s="2"/>
      <c r="AO391" s="2"/>
      <c r="AP391" s="2"/>
      <c r="AQ391" s="2"/>
      <c r="AR391" s="2"/>
      <c r="AS391" s="2"/>
      <c r="AT391" s="2"/>
      <c r="AU391" s="2"/>
      <c r="AV391" s="2"/>
      <c r="AW391" s="2"/>
      <c r="AX391" s="2"/>
      <c r="AY391" s="2"/>
      <c r="AZ391" s="2"/>
      <c r="BA391" s="2"/>
      <c r="BB391" s="2"/>
      <c r="BC391" s="2"/>
      <c r="BD391" s="2"/>
      <c r="BE391" s="2"/>
      <c r="BF391" s="2"/>
      <c r="BG391" s="2"/>
    </row>
    <row r="392" spans="1:59">
      <c r="A392" s="1" t="str">
        <f>IF($B$233="Y",'Population Definitions'!$A$13,"...")</f>
        <v>...</v>
      </c>
      <c r="B392" s="4" t="str">
        <f>IF($B$233="Y","---&gt;","...")</f>
        <v>...</v>
      </c>
      <c r="C392" s="1" t="str">
        <f>IF($B$233="Y",'Population Definitions'!$A$2,"...")</f>
        <v>...</v>
      </c>
      <c r="E392" s="2"/>
      <c r="F392" s="3"/>
      <c r="G392" s="2"/>
      <c r="H392" s="4" t="str">
        <f>IF($B$233="Y","OR","...")</f>
        <v>...</v>
      </c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  <c r="AM392" s="2"/>
      <c r="AN392" s="2"/>
      <c r="AO392" s="2"/>
      <c r="AP392" s="2"/>
      <c r="AQ392" s="2"/>
      <c r="AR392" s="2"/>
      <c r="AS392" s="2"/>
      <c r="AT392" s="2"/>
      <c r="AU392" s="2"/>
      <c r="AV392" s="2"/>
      <c r="AW392" s="2"/>
      <c r="AX392" s="2"/>
      <c r="AY392" s="2"/>
      <c r="AZ392" s="2"/>
      <c r="BA392" s="2"/>
      <c r="BB392" s="2"/>
      <c r="BC392" s="2"/>
      <c r="BD392" s="2"/>
      <c r="BE392" s="2"/>
      <c r="BF392" s="2"/>
      <c r="BG392" s="2"/>
    </row>
    <row r="393" spans="1:59">
      <c r="A393" s="1" t="str">
        <f>IF($C$233="Y",'Population Definitions'!$A$13,"...")</f>
        <v>...</v>
      </c>
      <c r="B393" s="4" t="str">
        <f>IF($C$233="Y","---&gt;","...")</f>
        <v>...</v>
      </c>
      <c r="C393" s="1" t="str">
        <f>IF($C$233="Y",'Population Definitions'!$A$3,"...")</f>
        <v>...</v>
      </c>
      <c r="E393" s="2"/>
      <c r="F393" s="3"/>
      <c r="G393" s="2"/>
      <c r="H393" s="4" t="str">
        <f>IF($C$233="Y","OR","...")</f>
        <v>...</v>
      </c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  <c r="AP393" s="2"/>
      <c r="AQ393" s="2"/>
      <c r="AR393" s="2"/>
      <c r="AS393" s="2"/>
      <c r="AT393" s="2"/>
      <c r="AU393" s="2"/>
      <c r="AV393" s="2"/>
      <c r="AW393" s="2"/>
      <c r="AX393" s="2"/>
      <c r="AY393" s="2"/>
      <c r="AZ393" s="2"/>
      <c r="BA393" s="2"/>
      <c r="BB393" s="2"/>
      <c r="BC393" s="2"/>
      <c r="BD393" s="2"/>
      <c r="BE393" s="2"/>
      <c r="BF393" s="2"/>
      <c r="BG393" s="2"/>
    </row>
    <row r="394" spans="1:59">
      <c r="A394" s="1" t="str">
        <f>IF($D$233="Y",'Population Definitions'!$A$13,"...")</f>
        <v>...</v>
      </c>
      <c r="B394" s="4" t="str">
        <f>IF($D$233="Y","---&gt;","...")</f>
        <v>...</v>
      </c>
      <c r="C394" s="1" t="str">
        <f>IF($D$233="Y",'Population Definitions'!$A$4,"...")</f>
        <v>...</v>
      </c>
      <c r="E394" s="2"/>
      <c r="F394" s="3"/>
      <c r="G394" s="2"/>
      <c r="H394" s="4" t="str">
        <f>IF($D$233="Y","OR","...")</f>
        <v>...</v>
      </c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  <c r="AP394" s="2"/>
      <c r="AQ394" s="2"/>
      <c r="AR394" s="2"/>
      <c r="AS394" s="2"/>
      <c r="AT394" s="2"/>
      <c r="AU394" s="2"/>
      <c r="AV394" s="2"/>
      <c r="AW394" s="2"/>
      <c r="AX394" s="2"/>
      <c r="AY394" s="2"/>
      <c r="AZ394" s="2"/>
      <c r="BA394" s="2"/>
      <c r="BB394" s="2"/>
      <c r="BC394" s="2"/>
      <c r="BD394" s="2"/>
      <c r="BE394" s="2"/>
      <c r="BF394" s="2"/>
      <c r="BG394" s="2"/>
    </row>
    <row r="395" spans="1:59">
      <c r="A395" s="1" t="str">
        <f>IF($E$233="Y",'Population Definitions'!$A$13,"...")</f>
        <v>...</v>
      </c>
      <c r="B395" s="4" t="str">
        <f>IF($E$233="Y","---&gt;","...")</f>
        <v>...</v>
      </c>
      <c r="C395" s="1" t="str">
        <f>IF($E$233="Y",'Population Definitions'!$A$5,"...")</f>
        <v>...</v>
      </c>
      <c r="E395" s="2"/>
      <c r="F395" s="3"/>
      <c r="G395" s="2"/>
      <c r="H395" s="4" t="str">
        <f>IF($E$233="Y","OR","...")</f>
        <v>...</v>
      </c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  <c r="AP395" s="2"/>
      <c r="AQ395" s="2"/>
      <c r="AR395" s="2"/>
      <c r="AS395" s="2"/>
      <c r="AT395" s="2"/>
      <c r="AU395" s="2"/>
      <c r="AV395" s="2"/>
      <c r="AW395" s="2"/>
      <c r="AX395" s="2"/>
      <c r="AY395" s="2"/>
      <c r="AZ395" s="2"/>
      <c r="BA395" s="2"/>
      <c r="BB395" s="2"/>
      <c r="BC395" s="2"/>
      <c r="BD395" s="2"/>
      <c r="BE395" s="2"/>
      <c r="BF395" s="2"/>
      <c r="BG395" s="2"/>
    </row>
    <row r="396" spans="1:59">
      <c r="A396" s="1" t="str">
        <f>IF($F$233="Y",'Population Definitions'!$A$13,"...")</f>
        <v>...</v>
      </c>
      <c r="B396" s="4" t="str">
        <f>IF($F$233="Y","---&gt;","...")</f>
        <v>...</v>
      </c>
      <c r="C396" s="1" t="str">
        <f>IF($F$233="Y",'Population Definitions'!$A$6,"...")</f>
        <v>...</v>
      </c>
      <c r="E396" s="2"/>
      <c r="F396" s="3"/>
      <c r="G396" s="2"/>
      <c r="H396" s="4" t="str">
        <f>IF($F$233="Y","OR","...")</f>
        <v>...</v>
      </c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  <c r="AP396" s="2"/>
      <c r="AQ396" s="2"/>
      <c r="AR396" s="2"/>
      <c r="AS396" s="2"/>
      <c r="AT396" s="2"/>
      <c r="AU396" s="2"/>
      <c r="AV396" s="2"/>
      <c r="AW396" s="2"/>
      <c r="AX396" s="2"/>
      <c r="AY396" s="2"/>
      <c r="AZ396" s="2"/>
      <c r="BA396" s="2"/>
      <c r="BB396" s="2"/>
      <c r="BC396" s="2"/>
      <c r="BD396" s="2"/>
      <c r="BE396" s="2"/>
      <c r="BF396" s="2"/>
      <c r="BG396" s="2"/>
    </row>
    <row r="397" spans="1:59">
      <c r="A397" s="1" t="str">
        <f>IF($G$233="Y",'Population Definitions'!$A$13,"...")</f>
        <v>...</v>
      </c>
      <c r="B397" s="4" t="str">
        <f>IF($G$233="Y","---&gt;","...")</f>
        <v>...</v>
      </c>
      <c r="C397" s="1" t="str">
        <f>IF($G$233="Y",'Population Definitions'!$A$7,"...")</f>
        <v>...</v>
      </c>
      <c r="E397" s="2"/>
      <c r="F397" s="3"/>
      <c r="G397" s="2"/>
      <c r="H397" s="4" t="str">
        <f>IF($G$233="Y","OR","...")</f>
        <v>...</v>
      </c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  <c r="AP397" s="2"/>
      <c r="AQ397" s="2"/>
      <c r="AR397" s="2"/>
      <c r="AS397" s="2"/>
      <c r="AT397" s="2"/>
      <c r="AU397" s="2"/>
      <c r="AV397" s="2"/>
      <c r="AW397" s="2"/>
      <c r="AX397" s="2"/>
      <c r="AY397" s="2"/>
      <c r="AZ397" s="2"/>
      <c r="BA397" s="2"/>
      <c r="BB397" s="2"/>
      <c r="BC397" s="2"/>
      <c r="BD397" s="2"/>
      <c r="BE397" s="2"/>
      <c r="BF397" s="2"/>
      <c r="BG397" s="2"/>
    </row>
    <row r="398" spans="1:59">
      <c r="A398" s="1" t="str">
        <f>IF($H$233="Y",'Population Definitions'!$A$13,"...")</f>
        <v>...</v>
      </c>
      <c r="B398" s="4" t="str">
        <f>IF($H$233="Y","---&gt;","...")</f>
        <v>...</v>
      </c>
      <c r="C398" s="1" t="str">
        <f>IF($H$233="Y",'Population Definitions'!$A$8,"...")</f>
        <v>...</v>
      </c>
      <c r="E398" s="2"/>
      <c r="F398" s="3"/>
      <c r="G398" s="2"/>
      <c r="H398" s="4" t="str">
        <f>IF($H$233="Y","OR","...")</f>
        <v>...</v>
      </c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  <c r="AP398" s="2"/>
      <c r="AQ398" s="2"/>
      <c r="AR398" s="2"/>
      <c r="AS398" s="2"/>
      <c r="AT398" s="2"/>
      <c r="AU398" s="2"/>
      <c r="AV398" s="2"/>
      <c r="AW398" s="2"/>
      <c r="AX398" s="2"/>
      <c r="AY398" s="2"/>
      <c r="AZ398" s="2"/>
      <c r="BA398" s="2"/>
      <c r="BB398" s="2"/>
      <c r="BC398" s="2"/>
      <c r="BD398" s="2"/>
      <c r="BE398" s="2"/>
      <c r="BF398" s="2"/>
      <c r="BG398" s="2"/>
    </row>
    <row r="399" spans="1:59">
      <c r="A399" s="1" t="str">
        <f>IF($I$233="Y",'Population Definitions'!$A$13,"...")</f>
        <v>...</v>
      </c>
      <c r="B399" s="4" t="str">
        <f>IF($I$233="Y","---&gt;","...")</f>
        <v>...</v>
      </c>
      <c r="C399" s="1" t="str">
        <f>IF($I$233="Y",'Population Definitions'!$A$9,"...")</f>
        <v>...</v>
      </c>
      <c r="E399" s="2"/>
      <c r="F399" s="3"/>
      <c r="G399" s="2"/>
      <c r="H399" s="4" t="str">
        <f>IF($I$233="Y","OR","...")</f>
        <v>...</v>
      </c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  <c r="AP399" s="2"/>
      <c r="AQ399" s="2"/>
      <c r="AR399" s="2"/>
      <c r="AS399" s="2"/>
      <c r="AT399" s="2"/>
      <c r="AU399" s="2"/>
      <c r="AV399" s="2"/>
      <c r="AW399" s="2"/>
      <c r="AX399" s="2"/>
      <c r="AY399" s="2"/>
      <c r="AZ399" s="2"/>
      <c r="BA399" s="2"/>
      <c r="BB399" s="2"/>
      <c r="BC399" s="2"/>
      <c r="BD399" s="2"/>
      <c r="BE399" s="2"/>
      <c r="BF399" s="2"/>
      <c r="BG399" s="2"/>
    </row>
    <row r="400" spans="1:59">
      <c r="A400" s="1" t="str">
        <f>IF($J$233="Y",'Population Definitions'!$A$13,"...")</f>
        <v>...</v>
      </c>
      <c r="B400" s="4" t="str">
        <f>IF($J$233="Y","---&gt;","...")</f>
        <v>...</v>
      </c>
      <c r="C400" s="1" t="str">
        <f>IF($J$233="Y",'Population Definitions'!$A$10,"...")</f>
        <v>...</v>
      </c>
      <c r="E400" s="2"/>
      <c r="F400" s="3"/>
      <c r="G400" s="2"/>
      <c r="H400" s="4" t="str">
        <f>IF($J$233="Y","OR","...")</f>
        <v>...</v>
      </c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  <c r="AP400" s="2"/>
      <c r="AQ400" s="2"/>
      <c r="AR400" s="2"/>
      <c r="AS400" s="2"/>
      <c r="AT400" s="2"/>
      <c r="AU400" s="2"/>
      <c r="AV400" s="2"/>
      <c r="AW400" s="2"/>
      <c r="AX400" s="2"/>
      <c r="AY400" s="2"/>
      <c r="AZ400" s="2"/>
      <c r="BA400" s="2"/>
      <c r="BB400" s="2"/>
      <c r="BC400" s="2"/>
      <c r="BD400" s="2"/>
      <c r="BE400" s="2"/>
      <c r="BF400" s="2"/>
      <c r="BG400" s="2"/>
    </row>
    <row r="401" spans="1:59">
      <c r="A401" s="1" t="str">
        <f>IF($K$233="Y",'Population Definitions'!$A$13,"...")</f>
        <v>...</v>
      </c>
      <c r="B401" s="4" t="str">
        <f>IF($K$233="Y","---&gt;","...")</f>
        <v>...</v>
      </c>
      <c r="C401" s="1" t="str">
        <f>IF($K$233="Y",'Population Definitions'!$A$11,"...")</f>
        <v>...</v>
      </c>
      <c r="E401" s="2"/>
      <c r="F401" s="3"/>
      <c r="G401" s="2"/>
      <c r="H401" s="4" t="str">
        <f>IF($K$233="Y","OR","...")</f>
        <v>...</v>
      </c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  <c r="AO401" s="2"/>
      <c r="AP401" s="2"/>
      <c r="AQ401" s="2"/>
      <c r="AR401" s="2"/>
      <c r="AS401" s="2"/>
      <c r="AT401" s="2"/>
      <c r="AU401" s="2"/>
      <c r="AV401" s="2"/>
      <c r="AW401" s="2"/>
      <c r="AX401" s="2"/>
      <c r="AY401" s="2"/>
      <c r="AZ401" s="2"/>
      <c r="BA401" s="2"/>
      <c r="BB401" s="2"/>
      <c r="BC401" s="2"/>
      <c r="BD401" s="2"/>
      <c r="BE401" s="2"/>
      <c r="BF401" s="2"/>
      <c r="BG401" s="2"/>
    </row>
    <row r="402" spans="1:59">
      <c r="A402" s="1" t="str">
        <f>IF($L$233="Y",'Population Definitions'!$A$13,"...")</f>
        <v>...</v>
      </c>
      <c r="B402" s="4" t="str">
        <f>IF($L$233="Y","---&gt;","...")</f>
        <v>...</v>
      </c>
      <c r="C402" s="1" t="str">
        <f>IF($L$233="Y",'Population Definitions'!$A$12,"...")</f>
        <v>...</v>
      </c>
      <c r="E402" s="2"/>
      <c r="F402" s="3"/>
      <c r="G402" s="2"/>
      <c r="H402" s="4" t="str">
        <f>IF($L$233="Y","OR","...")</f>
        <v>...</v>
      </c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  <c r="AO402" s="2"/>
      <c r="AP402" s="2"/>
      <c r="AQ402" s="2"/>
      <c r="AR402" s="2"/>
      <c r="AS402" s="2"/>
      <c r="AT402" s="2"/>
      <c r="AU402" s="2"/>
      <c r="AV402" s="2"/>
      <c r="AW402" s="2"/>
      <c r="AX402" s="2"/>
      <c r="AY402" s="2"/>
      <c r="AZ402" s="2"/>
      <c r="BA402" s="2"/>
      <c r="BB402" s="2"/>
      <c r="BC402" s="2"/>
      <c r="BD402" s="2"/>
      <c r="BE402" s="2"/>
      <c r="BF402" s="2"/>
      <c r="BG402" s="2"/>
    </row>
    <row r="403" spans="1:59">
      <c r="A403" s="1" t="str">
        <f>IF($M$233="Y",'Population Definitions'!$A$13,"...")</f>
        <v>...</v>
      </c>
      <c r="B403" s="4" t="str">
        <f>IF($M$233="Y","---&gt;","...")</f>
        <v>...</v>
      </c>
      <c r="C403" s="1" t="str">
        <f>IF($M$233="Y",'Population Definitions'!$A$13,"...")</f>
        <v>...</v>
      </c>
      <c r="E403" s="2"/>
      <c r="F403" s="3"/>
      <c r="G403" s="2"/>
      <c r="H403" s="4" t="str">
        <f>IF($M$233="Y","OR","...")</f>
        <v>...</v>
      </c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  <c r="AO403" s="2"/>
      <c r="AP403" s="2"/>
      <c r="AQ403" s="2"/>
      <c r="AR403" s="2"/>
      <c r="AS403" s="2"/>
      <c r="AT403" s="2"/>
      <c r="AU403" s="2"/>
      <c r="AV403" s="2"/>
      <c r="AW403" s="2"/>
      <c r="AX403" s="2"/>
      <c r="AY403" s="2"/>
      <c r="AZ403" s="2"/>
      <c r="BA403" s="2"/>
      <c r="BB403" s="2"/>
      <c r="BC403" s="2"/>
      <c r="BD403" s="2"/>
      <c r="BE403" s="2"/>
      <c r="BF403" s="2"/>
      <c r="BG403" s="2"/>
    </row>
    <row r="404" spans="1:59">
      <c r="A404" s="1" t="str">
        <f>IF($N$233="Y",'Population Definitions'!$A$13,"...")</f>
        <v>...</v>
      </c>
      <c r="B404" s="4" t="str">
        <f>IF($N$233="Y","---&gt;","...")</f>
        <v>...</v>
      </c>
      <c r="C404" s="1" t="str">
        <f>IF($N$233="Y",'Population Definitions'!$A$14,"...")</f>
        <v>...</v>
      </c>
      <c r="E404" s="2"/>
      <c r="F404" s="3"/>
      <c r="G404" s="2"/>
      <c r="H404" s="4" t="str">
        <f>IF($N$233="Y","OR","...")</f>
        <v>...</v>
      </c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  <c r="AO404" s="2"/>
      <c r="AP404" s="2"/>
      <c r="AQ404" s="2"/>
      <c r="AR404" s="2"/>
      <c r="AS404" s="2"/>
      <c r="AT404" s="2"/>
      <c r="AU404" s="2"/>
      <c r="AV404" s="2"/>
      <c r="AW404" s="2"/>
      <c r="AX404" s="2"/>
      <c r="AY404" s="2"/>
      <c r="AZ404" s="2"/>
      <c r="BA404" s="2"/>
      <c r="BB404" s="2"/>
      <c r="BC404" s="2"/>
      <c r="BD404" s="2"/>
      <c r="BE404" s="2"/>
      <c r="BF404" s="2"/>
      <c r="BG404" s="2"/>
    </row>
    <row r="405" spans="1:59">
      <c r="A405" s="1" t="str">
        <f>IF($O$233="Y",'Population Definitions'!$A$13,"...")</f>
        <v>...</v>
      </c>
      <c r="B405" s="4" t="str">
        <f>IF($O$233="Y","---&gt;","...")</f>
        <v>...</v>
      </c>
      <c r="C405" s="1" t="str">
        <f>IF($O$233="Y",'Population Definitions'!$A$15,"...")</f>
        <v>...</v>
      </c>
      <c r="E405" s="2"/>
      <c r="F405" s="3"/>
      <c r="G405" s="2"/>
      <c r="H405" s="4" t="str">
        <f>IF($O$233="Y","OR","...")</f>
        <v>...</v>
      </c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  <c r="AO405" s="2"/>
      <c r="AP405" s="2"/>
      <c r="AQ405" s="2"/>
      <c r="AR405" s="2"/>
      <c r="AS405" s="2"/>
      <c r="AT405" s="2"/>
      <c r="AU405" s="2"/>
      <c r="AV405" s="2"/>
      <c r="AW405" s="2"/>
      <c r="AX405" s="2"/>
      <c r="AY405" s="2"/>
      <c r="AZ405" s="2"/>
      <c r="BA405" s="2"/>
      <c r="BB405" s="2"/>
      <c r="BC405" s="2"/>
      <c r="BD405" s="2"/>
      <c r="BE405" s="2"/>
      <c r="BF405" s="2"/>
      <c r="BG405" s="2"/>
    </row>
    <row r="406" spans="1:59">
      <c r="A406" s="1" t="str">
        <f>IF($B$234="Y",'Population Definitions'!$A$14,"...")</f>
        <v>...</v>
      </c>
      <c r="B406" s="4" t="str">
        <f>IF($B$234="Y","---&gt;","...")</f>
        <v>...</v>
      </c>
      <c r="C406" s="1" t="str">
        <f>IF($B$234="Y",'Population Definitions'!$A$2,"...")</f>
        <v>...</v>
      </c>
      <c r="E406" s="2"/>
      <c r="F406" s="3"/>
      <c r="G406" s="2"/>
      <c r="H406" s="4" t="str">
        <f>IF($B$234="Y","OR","...")</f>
        <v>...</v>
      </c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  <c r="AO406" s="2"/>
      <c r="AP406" s="2"/>
      <c r="AQ406" s="2"/>
      <c r="AR406" s="2"/>
      <c r="AS406" s="2"/>
      <c r="AT406" s="2"/>
      <c r="AU406" s="2"/>
      <c r="AV406" s="2"/>
      <c r="AW406" s="2"/>
      <c r="AX406" s="2"/>
      <c r="AY406" s="2"/>
      <c r="AZ406" s="2"/>
      <c r="BA406" s="2"/>
      <c r="BB406" s="2"/>
      <c r="BC406" s="2"/>
      <c r="BD406" s="2"/>
      <c r="BE406" s="2"/>
      <c r="BF406" s="2"/>
      <c r="BG406" s="2"/>
    </row>
    <row r="407" spans="1:59">
      <c r="A407" s="1" t="str">
        <f>IF($C$234="Y",'Population Definitions'!$A$14,"...")</f>
        <v>...</v>
      </c>
      <c r="B407" s="4" t="str">
        <f>IF($C$234="Y","---&gt;","...")</f>
        <v>...</v>
      </c>
      <c r="C407" s="1" t="str">
        <f>IF($C$234="Y",'Population Definitions'!$A$3,"...")</f>
        <v>...</v>
      </c>
      <c r="E407" s="2"/>
      <c r="F407" s="3"/>
      <c r="G407" s="2"/>
      <c r="H407" s="4" t="str">
        <f>IF($C$234="Y","OR","...")</f>
        <v>...</v>
      </c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  <c r="AO407" s="2"/>
      <c r="AP407" s="2"/>
      <c r="AQ407" s="2"/>
      <c r="AR407" s="2"/>
      <c r="AS407" s="2"/>
      <c r="AT407" s="2"/>
      <c r="AU407" s="2"/>
      <c r="AV407" s="2"/>
      <c r="AW407" s="2"/>
      <c r="AX407" s="2"/>
      <c r="AY407" s="2"/>
      <c r="AZ407" s="2"/>
      <c r="BA407" s="2"/>
      <c r="BB407" s="2"/>
      <c r="BC407" s="2"/>
      <c r="BD407" s="2"/>
      <c r="BE407" s="2"/>
      <c r="BF407" s="2"/>
      <c r="BG407" s="2"/>
    </row>
    <row r="408" spans="1:59">
      <c r="A408" s="1" t="str">
        <f>IF($D$234="Y",'Population Definitions'!$A$14,"...")</f>
        <v>...</v>
      </c>
      <c r="B408" s="4" t="str">
        <f>IF($D$234="Y","---&gt;","...")</f>
        <v>...</v>
      </c>
      <c r="C408" s="1" t="str">
        <f>IF($D$234="Y",'Population Definitions'!$A$4,"...")</f>
        <v>...</v>
      </c>
      <c r="E408" s="2"/>
      <c r="F408" s="3"/>
      <c r="G408" s="2"/>
      <c r="H408" s="4" t="str">
        <f>IF($D$234="Y","OR","...")</f>
        <v>...</v>
      </c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  <c r="AM408" s="2"/>
      <c r="AN408" s="2"/>
      <c r="AO408" s="2"/>
      <c r="AP408" s="2"/>
      <c r="AQ408" s="2"/>
      <c r="AR408" s="2"/>
      <c r="AS408" s="2"/>
      <c r="AT408" s="2"/>
      <c r="AU408" s="2"/>
      <c r="AV408" s="2"/>
      <c r="AW408" s="2"/>
      <c r="AX408" s="2"/>
      <c r="AY408" s="2"/>
      <c r="AZ408" s="2"/>
      <c r="BA408" s="2"/>
      <c r="BB408" s="2"/>
      <c r="BC408" s="2"/>
      <c r="BD408" s="2"/>
      <c r="BE408" s="2"/>
      <c r="BF408" s="2"/>
      <c r="BG408" s="2"/>
    </row>
    <row r="409" spans="1:59">
      <c r="A409" s="1" t="str">
        <f>IF($E$234="Y",'Population Definitions'!$A$14,"...")</f>
        <v>...</v>
      </c>
      <c r="B409" s="4" t="str">
        <f>IF($E$234="Y","---&gt;","...")</f>
        <v>...</v>
      </c>
      <c r="C409" s="1" t="str">
        <f>IF($E$234="Y",'Population Definitions'!$A$5,"...")</f>
        <v>...</v>
      </c>
      <c r="E409" s="2"/>
      <c r="F409" s="3"/>
      <c r="G409" s="2"/>
      <c r="H409" s="4" t="str">
        <f>IF($E$234="Y","OR","...")</f>
        <v>...</v>
      </c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  <c r="AO409" s="2"/>
      <c r="AP409" s="2"/>
      <c r="AQ409" s="2"/>
      <c r="AR409" s="2"/>
      <c r="AS409" s="2"/>
      <c r="AT409" s="2"/>
      <c r="AU409" s="2"/>
      <c r="AV409" s="2"/>
      <c r="AW409" s="2"/>
      <c r="AX409" s="2"/>
      <c r="AY409" s="2"/>
      <c r="AZ409" s="2"/>
      <c r="BA409" s="2"/>
      <c r="BB409" s="2"/>
      <c r="BC409" s="2"/>
      <c r="BD409" s="2"/>
      <c r="BE409" s="2"/>
      <c r="BF409" s="2"/>
      <c r="BG409" s="2"/>
    </row>
    <row r="410" spans="1:59">
      <c r="A410" s="1" t="str">
        <f>IF($F$234="Y",'Population Definitions'!$A$14,"...")</f>
        <v>...</v>
      </c>
      <c r="B410" s="4" t="str">
        <f>IF($F$234="Y","---&gt;","...")</f>
        <v>...</v>
      </c>
      <c r="C410" s="1" t="str">
        <f>IF($F$234="Y",'Population Definitions'!$A$6,"...")</f>
        <v>...</v>
      </c>
      <c r="E410" s="2"/>
      <c r="F410" s="3"/>
      <c r="G410" s="2"/>
      <c r="H410" s="4" t="str">
        <f>IF($F$234="Y","OR","...")</f>
        <v>...</v>
      </c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  <c r="AO410" s="2"/>
      <c r="AP410" s="2"/>
      <c r="AQ410" s="2"/>
      <c r="AR410" s="2"/>
      <c r="AS410" s="2"/>
      <c r="AT410" s="2"/>
      <c r="AU410" s="2"/>
      <c r="AV410" s="2"/>
      <c r="AW410" s="2"/>
      <c r="AX410" s="2"/>
      <c r="AY410" s="2"/>
      <c r="AZ410" s="2"/>
      <c r="BA410" s="2"/>
      <c r="BB410" s="2"/>
      <c r="BC410" s="2"/>
      <c r="BD410" s="2"/>
      <c r="BE410" s="2"/>
      <c r="BF410" s="2"/>
      <c r="BG410" s="2"/>
    </row>
    <row r="411" spans="1:59">
      <c r="A411" s="1" t="str">
        <f>IF($G$234="Y",'Population Definitions'!$A$14,"...")</f>
        <v>...</v>
      </c>
      <c r="B411" s="4" t="str">
        <f>IF($G$234="Y","---&gt;","...")</f>
        <v>...</v>
      </c>
      <c r="C411" s="1" t="str">
        <f>IF($G$234="Y",'Population Definitions'!$A$7,"...")</f>
        <v>...</v>
      </c>
      <c r="E411" s="2"/>
      <c r="F411" s="3"/>
      <c r="G411" s="2"/>
      <c r="H411" s="4" t="str">
        <f>IF($G$234="Y","OR","...")</f>
        <v>...</v>
      </c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  <c r="AO411" s="2"/>
      <c r="AP411" s="2"/>
      <c r="AQ411" s="2"/>
      <c r="AR411" s="2"/>
      <c r="AS411" s="2"/>
      <c r="AT411" s="2"/>
      <c r="AU411" s="2"/>
      <c r="AV411" s="2"/>
      <c r="AW411" s="2"/>
      <c r="AX411" s="2"/>
      <c r="AY411" s="2"/>
      <c r="AZ411" s="2"/>
      <c r="BA411" s="2"/>
      <c r="BB411" s="2"/>
      <c r="BC411" s="2"/>
      <c r="BD411" s="2"/>
      <c r="BE411" s="2"/>
      <c r="BF411" s="2"/>
      <c r="BG411" s="2"/>
    </row>
    <row r="412" spans="1:59">
      <c r="A412" s="1" t="str">
        <f>IF($H$234="Y",'Population Definitions'!$A$14,"...")</f>
        <v>...</v>
      </c>
      <c r="B412" s="4" t="str">
        <f>IF($H$234="Y","---&gt;","...")</f>
        <v>...</v>
      </c>
      <c r="C412" s="1" t="str">
        <f>IF($H$234="Y",'Population Definitions'!$A$8,"...")</f>
        <v>...</v>
      </c>
      <c r="E412" s="2"/>
      <c r="F412" s="3"/>
      <c r="G412" s="2"/>
      <c r="H412" s="4" t="str">
        <f>IF($H$234="Y","OR","...")</f>
        <v>...</v>
      </c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  <c r="AO412" s="2"/>
      <c r="AP412" s="2"/>
      <c r="AQ412" s="2"/>
      <c r="AR412" s="2"/>
      <c r="AS412" s="2"/>
      <c r="AT412" s="2"/>
      <c r="AU412" s="2"/>
      <c r="AV412" s="2"/>
      <c r="AW412" s="2"/>
      <c r="AX412" s="2"/>
      <c r="AY412" s="2"/>
      <c r="AZ412" s="2"/>
      <c r="BA412" s="2"/>
      <c r="BB412" s="2"/>
      <c r="BC412" s="2"/>
      <c r="BD412" s="2"/>
      <c r="BE412" s="2"/>
      <c r="BF412" s="2"/>
      <c r="BG412" s="2"/>
    </row>
    <row r="413" spans="1:59">
      <c r="A413" s="1" t="str">
        <f>IF($I$234="Y",'Population Definitions'!$A$14,"...")</f>
        <v>...</v>
      </c>
      <c r="B413" s="4" t="str">
        <f>IF($I$234="Y","---&gt;","...")</f>
        <v>...</v>
      </c>
      <c r="C413" s="1" t="str">
        <f>IF($I$234="Y",'Population Definitions'!$A$9,"...")</f>
        <v>...</v>
      </c>
      <c r="E413" s="2"/>
      <c r="F413" s="3"/>
      <c r="G413" s="2"/>
      <c r="H413" s="4" t="str">
        <f>IF($I$234="Y","OR","...")</f>
        <v>...</v>
      </c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  <c r="AO413" s="2"/>
      <c r="AP413" s="2"/>
      <c r="AQ413" s="2"/>
      <c r="AR413" s="2"/>
      <c r="AS413" s="2"/>
      <c r="AT413" s="2"/>
      <c r="AU413" s="2"/>
      <c r="AV413" s="2"/>
      <c r="AW413" s="2"/>
      <c r="AX413" s="2"/>
      <c r="AY413" s="2"/>
      <c r="AZ413" s="2"/>
      <c r="BA413" s="2"/>
      <c r="BB413" s="2"/>
      <c r="BC413" s="2"/>
      <c r="BD413" s="2"/>
      <c r="BE413" s="2"/>
      <c r="BF413" s="2"/>
      <c r="BG413" s="2"/>
    </row>
    <row r="414" spans="1:59">
      <c r="A414" s="1" t="str">
        <f>IF($J$234="Y",'Population Definitions'!$A$14,"...")</f>
        <v>...</v>
      </c>
      <c r="B414" s="4" t="str">
        <f>IF($J$234="Y","---&gt;","...")</f>
        <v>...</v>
      </c>
      <c r="C414" s="1" t="str">
        <f>IF($J$234="Y",'Population Definitions'!$A$10,"...")</f>
        <v>...</v>
      </c>
      <c r="E414" s="2"/>
      <c r="F414" s="3"/>
      <c r="G414" s="2"/>
      <c r="H414" s="4" t="str">
        <f>IF($J$234="Y","OR","...")</f>
        <v>...</v>
      </c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  <c r="AO414" s="2"/>
      <c r="AP414" s="2"/>
      <c r="AQ414" s="2"/>
      <c r="AR414" s="2"/>
      <c r="AS414" s="2"/>
      <c r="AT414" s="2"/>
      <c r="AU414" s="2"/>
      <c r="AV414" s="2"/>
      <c r="AW414" s="2"/>
      <c r="AX414" s="2"/>
      <c r="AY414" s="2"/>
      <c r="AZ414" s="2"/>
      <c r="BA414" s="2"/>
      <c r="BB414" s="2"/>
      <c r="BC414" s="2"/>
      <c r="BD414" s="2"/>
      <c r="BE414" s="2"/>
      <c r="BF414" s="2"/>
      <c r="BG414" s="2"/>
    </row>
    <row r="415" spans="1:59">
      <c r="A415" s="1" t="str">
        <f>IF($K$234="Y",'Population Definitions'!$A$14,"...")</f>
        <v>...</v>
      </c>
      <c r="B415" s="4" t="str">
        <f>IF($K$234="Y","---&gt;","...")</f>
        <v>...</v>
      </c>
      <c r="C415" s="1" t="str">
        <f>IF($K$234="Y",'Population Definitions'!$A$11,"...")</f>
        <v>...</v>
      </c>
      <c r="E415" s="2"/>
      <c r="F415" s="3"/>
      <c r="G415" s="2"/>
      <c r="H415" s="4" t="str">
        <f>IF($K$234="Y","OR","...")</f>
        <v>...</v>
      </c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  <c r="AO415" s="2"/>
      <c r="AP415" s="2"/>
      <c r="AQ415" s="2"/>
      <c r="AR415" s="2"/>
      <c r="AS415" s="2"/>
      <c r="AT415" s="2"/>
      <c r="AU415" s="2"/>
      <c r="AV415" s="2"/>
      <c r="AW415" s="2"/>
      <c r="AX415" s="2"/>
      <c r="AY415" s="2"/>
      <c r="AZ415" s="2"/>
      <c r="BA415" s="2"/>
      <c r="BB415" s="2"/>
      <c r="BC415" s="2"/>
      <c r="BD415" s="2"/>
      <c r="BE415" s="2"/>
      <c r="BF415" s="2"/>
      <c r="BG415" s="2"/>
    </row>
    <row r="416" spans="1:59">
      <c r="A416" s="1" t="str">
        <f>IF($L$234="Y",'Population Definitions'!$A$14,"...")</f>
        <v>...</v>
      </c>
      <c r="B416" s="4" t="str">
        <f>IF($L$234="Y","---&gt;","...")</f>
        <v>...</v>
      </c>
      <c r="C416" s="1" t="str">
        <f>IF($L$234="Y",'Population Definitions'!$A$12,"...")</f>
        <v>...</v>
      </c>
      <c r="E416" s="2"/>
      <c r="F416" s="3"/>
      <c r="G416" s="2"/>
      <c r="H416" s="4" t="str">
        <f>IF($L$234="Y","OR","...")</f>
        <v>...</v>
      </c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  <c r="AO416" s="2"/>
      <c r="AP416" s="2"/>
      <c r="AQ416" s="2"/>
      <c r="AR416" s="2"/>
      <c r="AS416" s="2"/>
      <c r="AT416" s="2"/>
      <c r="AU416" s="2"/>
      <c r="AV416" s="2"/>
      <c r="AW416" s="2"/>
      <c r="AX416" s="2"/>
      <c r="AY416" s="2"/>
      <c r="AZ416" s="2"/>
      <c r="BA416" s="2"/>
      <c r="BB416" s="2"/>
      <c r="BC416" s="2"/>
      <c r="BD416" s="2"/>
      <c r="BE416" s="2"/>
      <c r="BF416" s="2"/>
      <c r="BG416" s="2"/>
    </row>
    <row r="417" spans="1:59">
      <c r="A417" s="1" t="str">
        <f>IF($M$234="Y",'Population Definitions'!$A$14,"...")</f>
        <v>...</v>
      </c>
      <c r="B417" s="4" t="str">
        <f>IF($M$234="Y","---&gt;","...")</f>
        <v>...</v>
      </c>
      <c r="C417" s="1" t="str">
        <f>IF($M$234="Y",'Population Definitions'!$A$13,"...")</f>
        <v>...</v>
      </c>
      <c r="E417" s="2"/>
      <c r="F417" s="3"/>
      <c r="G417" s="2"/>
      <c r="H417" s="4" t="str">
        <f>IF($M$234="Y","OR","...")</f>
        <v>...</v>
      </c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  <c r="AO417" s="2"/>
      <c r="AP417" s="2"/>
      <c r="AQ417" s="2"/>
      <c r="AR417" s="2"/>
      <c r="AS417" s="2"/>
      <c r="AT417" s="2"/>
      <c r="AU417" s="2"/>
      <c r="AV417" s="2"/>
      <c r="AW417" s="2"/>
      <c r="AX417" s="2"/>
      <c r="AY417" s="2"/>
      <c r="AZ417" s="2"/>
      <c r="BA417" s="2"/>
      <c r="BB417" s="2"/>
      <c r="BC417" s="2"/>
      <c r="BD417" s="2"/>
      <c r="BE417" s="2"/>
      <c r="BF417" s="2"/>
      <c r="BG417" s="2"/>
    </row>
    <row r="418" spans="1:59">
      <c r="A418" s="1" t="str">
        <f>IF($N$234="Y",'Population Definitions'!$A$14,"...")</f>
        <v>...</v>
      </c>
      <c r="B418" s="4" t="str">
        <f>IF($N$234="Y","---&gt;","...")</f>
        <v>...</v>
      </c>
      <c r="C418" s="1" t="str">
        <f>IF($N$234="Y",'Population Definitions'!$A$14,"...")</f>
        <v>...</v>
      </c>
      <c r="E418" s="2"/>
      <c r="F418" s="3"/>
      <c r="G418" s="2"/>
      <c r="H418" s="4" t="str">
        <f>IF($N$234="Y","OR","...")</f>
        <v>...</v>
      </c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  <c r="AO418" s="2"/>
      <c r="AP418" s="2"/>
      <c r="AQ418" s="2"/>
      <c r="AR418" s="2"/>
      <c r="AS418" s="2"/>
      <c r="AT418" s="2"/>
      <c r="AU418" s="2"/>
      <c r="AV418" s="2"/>
      <c r="AW418" s="2"/>
      <c r="AX418" s="2"/>
      <c r="AY418" s="2"/>
      <c r="AZ418" s="2"/>
      <c r="BA418" s="2"/>
      <c r="BB418" s="2"/>
      <c r="BC418" s="2"/>
      <c r="BD418" s="2"/>
      <c r="BE418" s="2"/>
      <c r="BF418" s="2"/>
      <c r="BG418" s="2"/>
    </row>
    <row r="419" spans="1:59">
      <c r="A419" s="1" t="str">
        <f>IF($O$234="Y",'Population Definitions'!$A$14,"...")</f>
        <v>...</v>
      </c>
      <c r="B419" s="4" t="str">
        <f>IF($O$234="Y","---&gt;","...")</f>
        <v>...</v>
      </c>
      <c r="C419" s="1" t="str">
        <f>IF($O$234="Y",'Population Definitions'!$A$15,"...")</f>
        <v>...</v>
      </c>
      <c r="E419" s="2"/>
      <c r="F419" s="3"/>
      <c r="G419" s="2"/>
      <c r="H419" s="4" t="str">
        <f>IF($O$234="Y","OR","...")</f>
        <v>...</v>
      </c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  <c r="AO419" s="2"/>
      <c r="AP419" s="2"/>
      <c r="AQ419" s="2"/>
      <c r="AR419" s="2"/>
      <c r="AS419" s="2"/>
      <c r="AT419" s="2"/>
      <c r="AU419" s="2"/>
      <c r="AV419" s="2"/>
      <c r="AW419" s="2"/>
      <c r="AX419" s="2"/>
      <c r="AY419" s="2"/>
      <c r="AZ419" s="2"/>
      <c r="BA419" s="2"/>
      <c r="BB419" s="2"/>
      <c r="BC419" s="2"/>
      <c r="BD419" s="2"/>
      <c r="BE419" s="2"/>
      <c r="BF419" s="2"/>
      <c r="BG419" s="2"/>
    </row>
    <row r="420" spans="1:59">
      <c r="A420" s="1" t="str">
        <f>IF($B$235="Y",'Population Definitions'!$A$15,"...")</f>
        <v>...</v>
      </c>
      <c r="B420" s="4" t="str">
        <f>IF($B$235="Y","---&gt;","...")</f>
        <v>...</v>
      </c>
      <c r="C420" s="1" t="str">
        <f>IF($B$235="Y",'Population Definitions'!$A$2,"...")</f>
        <v>...</v>
      </c>
      <c r="E420" s="2"/>
      <c r="F420" s="3"/>
      <c r="G420" s="2"/>
      <c r="H420" s="4" t="str">
        <f>IF($B$235="Y","OR","...")</f>
        <v>...</v>
      </c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  <c r="AO420" s="2"/>
      <c r="AP420" s="2"/>
      <c r="AQ420" s="2"/>
      <c r="AR420" s="2"/>
      <c r="AS420" s="2"/>
      <c r="AT420" s="2"/>
      <c r="AU420" s="2"/>
      <c r="AV420" s="2"/>
      <c r="AW420" s="2"/>
      <c r="AX420" s="2"/>
      <c r="AY420" s="2"/>
      <c r="AZ420" s="2"/>
      <c r="BA420" s="2"/>
      <c r="BB420" s="2"/>
      <c r="BC420" s="2"/>
      <c r="BD420" s="2"/>
      <c r="BE420" s="2"/>
      <c r="BF420" s="2"/>
      <c r="BG420" s="2"/>
    </row>
    <row r="421" spans="1:59">
      <c r="A421" s="1" t="str">
        <f>IF($C$235="Y",'Population Definitions'!$A$15,"...")</f>
        <v>...</v>
      </c>
      <c r="B421" s="4" t="str">
        <f>IF($C$235="Y","---&gt;","...")</f>
        <v>...</v>
      </c>
      <c r="C421" s="1" t="str">
        <f>IF($C$235="Y",'Population Definitions'!$A$3,"...")</f>
        <v>...</v>
      </c>
      <c r="E421" s="2"/>
      <c r="F421" s="3"/>
      <c r="G421" s="2"/>
      <c r="H421" s="4" t="str">
        <f>IF($C$235="Y","OR","...")</f>
        <v>...</v>
      </c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  <c r="AO421" s="2"/>
      <c r="AP421" s="2"/>
      <c r="AQ421" s="2"/>
      <c r="AR421" s="2"/>
      <c r="AS421" s="2"/>
      <c r="AT421" s="2"/>
      <c r="AU421" s="2"/>
      <c r="AV421" s="2"/>
      <c r="AW421" s="2"/>
      <c r="AX421" s="2"/>
      <c r="AY421" s="2"/>
      <c r="AZ421" s="2"/>
      <c r="BA421" s="2"/>
      <c r="BB421" s="2"/>
      <c r="BC421" s="2"/>
      <c r="BD421" s="2"/>
      <c r="BE421" s="2"/>
      <c r="BF421" s="2"/>
      <c r="BG421" s="2"/>
    </row>
    <row r="422" spans="1:59">
      <c r="A422" s="1" t="str">
        <f>IF($D$235="Y",'Population Definitions'!$A$15,"...")</f>
        <v>...</v>
      </c>
      <c r="B422" s="4" t="str">
        <f>IF($D$235="Y","---&gt;","...")</f>
        <v>...</v>
      </c>
      <c r="C422" s="1" t="str">
        <f>IF($D$235="Y",'Population Definitions'!$A$4,"...")</f>
        <v>...</v>
      </c>
      <c r="E422" s="2"/>
      <c r="F422" s="3"/>
      <c r="G422" s="2"/>
      <c r="H422" s="4" t="str">
        <f>IF($D$235="Y","OR","...")</f>
        <v>...</v>
      </c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  <c r="AO422" s="2"/>
      <c r="AP422" s="2"/>
      <c r="AQ422" s="2"/>
      <c r="AR422" s="2"/>
      <c r="AS422" s="2"/>
      <c r="AT422" s="2"/>
      <c r="AU422" s="2"/>
      <c r="AV422" s="2"/>
      <c r="AW422" s="2"/>
      <c r="AX422" s="2"/>
      <c r="AY422" s="2"/>
      <c r="AZ422" s="2"/>
      <c r="BA422" s="2"/>
      <c r="BB422" s="2"/>
      <c r="BC422" s="2"/>
      <c r="BD422" s="2"/>
      <c r="BE422" s="2"/>
      <c r="BF422" s="2"/>
      <c r="BG422" s="2"/>
    </row>
    <row r="423" spans="1:59">
      <c r="A423" s="1" t="str">
        <f>IF($E$235="Y",'Population Definitions'!$A$15,"...")</f>
        <v>...</v>
      </c>
      <c r="B423" s="4" t="str">
        <f>IF($E$235="Y","---&gt;","...")</f>
        <v>...</v>
      </c>
      <c r="C423" s="1" t="str">
        <f>IF($E$235="Y",'Population Definitions'!$A$5,"...")</f>
        <v>...</v>
      </c>
      <c r="E423" s="2"/>
      <c r="F423" s="3"/>
      <c r="G423" s="2"/>
      <c r="H423" s="4" t="str">
        <f>IF($E$235="Y","OR","...")</f>
        <v>...</v>
      </c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  <c r="AO423" s="2"/>
      <c r="AP423" s="2"/>
      <c r="AQ423" s="2"/>
      <c r="AR423" s="2"/>
      <c r="AS423" s="2"/>
      <c r="AT423" s="2"/>
      <c r="AU423" s="2"/>
      <c r="AV423" s="2"/>
      <c r="AW423" s="2"/>
      <c r="AX423" s="2"/>
      <c r="AY423" s="2"/>
      <c r="AZ423" s="2"/>
      <c r="BA423" s="2"/>
      <c r="BB423" s="2"/>
      <c r="BC423" s="2"/>
      <c r="BD423" s="2"/>
      <c r="BE423" s="2"/>
      <c r="BF423" s="2"/>
      <c r="BG423" s="2"/>
    </row>
    <row r="424" spans="1:59">
      <c r="A424" s="1" t="str">
        <f>IF($F$235="Y",'Population Definitions'!$A$15,"...")</f>
        <v>...</v>
      </c>
      <c r="B424" s="4" t="str">
        <f>IF($F$235="Y","---&gt;","...")</f>
        <v>...</v>
      </c>
      <c r="C424" s="1" t="str">
        <f>IF($F$235="Y",'Population Definitions'!$A$6,"...")</f>
        <v>...</v>
      </c>
      <c r="E424" s="2"/>
      <c r="F424" s="3"/>
      <c r="G424" s="2"/>
      <c r="H424" s="4" t="str">
        <f>IF($F$235="Y","OR","...")</f>
        <v>...</v>
      </c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  <c r="AO424" s="2"/>
      <c r="AP424" s="2"/>
      <c r="AQ424" s="2"/>
      <c r="AR424" s="2"/>
      <c r="AS424" s="2"/>
      <c r="AT424" s="2"/>
      <c r="AU424" s="2"/>
      <c r="AV424" s="2"/>
      <c r="AW424" s="2"/>
      <c r="AX424" s="2"/>
      <c r="AY424" s="2"/>
      <c r="AZ424" s="2"/>
      <c r="BA424" s="2"/>
      <c r="BB424" s="2"/>
      <c r="BC424" s="2"/>
      <c r="BD424" s="2"/>
      <c r="BE424" s="2"/>
      <c r="BF424" s="2"/>
      <c r="BG424" s="2"/>
    </row>
    <row r="425" spans="1:59">
      <c r="A425" s="1" t="str">
        <f>IF($G$235="Y",'Population Definitions'!$A$15,"...")</f>
        <v>...</v>
      </c>
      <c r="B425" s="4" t="str">
        <f>IF($G$235="Y","---&gt;","...")</f>
        <v>...</v>
      </c>
      <c r="C425" s="1" t="str">
        <f>IF($G$235="Y",'Population Definitions'!$A$7,"...")</f>
        <v>...</v>
      </c>
      <c r="E425" s="2"/>
      <c r="F425" s="3"/>
      <c r="G425" s="2"/>
      <c r="H425" s="4" t="str">
        <f>IF($G$235="Y","OR","...")</f>
        <v>...</v>
      </c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  <c r="AO425" s="2"/>
      <c r="AP425" s="2"/>
      <c r="AQ425" s="2"/>
      <c r="AR425" s="2"/>
      <c r="AS425" s="2"/>
      <c r="AT425" s="2"/>
      <c r="AU425" s="2"/>
      <c r="AV425" s="2"/>
      <c r="AW425" s="2"/>
      <c r="AX425" s="2"/>
      <c r="AY425" s="2"/>
      <c r="AZ425" s="2"/>
      <c r="BA425" s="2"/>
      <c r="BB425" s="2"/>
      <c r="BC425" s="2"/>
      <c r="BD425" s="2"/>
      <c r="BE425" s="2"/>
      <c r="BF425" s="2"/>
      <c r="BG425" s="2"/>
    </row>
    <row r="426" spans="1:59">
      <c r="A426" s="1" t="str">
        <f>IF($H$235="Y",'Population Definitions'!$A$15,"...")</f>
        <v>...</v>
      </c>
      <c r="B426" s="4" t="str">
        <f>IF($H$235="Y","---&gt;","...")</f>
        <v>...</v>
      </c>
      <c r="C426" s="1" t="str">
        <f>IF($H$235="Y",'Population Definitions'!$A$8,"...")</f>
        <v>...</v>
      </c>
      <c r="E426" s="2"/>
      <c r="F426" s="3"/>
      <c r="G426" s="2"/>
      <c r="H426" s="4" t="str">
        <f>IF($H$235="Y","OR","...")</f>
        <v>...</v>
      </c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  <c r="AO426" s="2"/>
      <c r="AP426" s="2"/>
      <c r="AQ426" s="2"/>
      <c r="AR426" s="2"/>
      <c r="AS426" s="2"/>
      <c r="AT426" s="2"/>
      <c r="AU426" s="2"/>
      <c r="AV426" s="2"/>
      <c r="AW426" s="2"/>
      <c r="AX426" s="2"/>
      <c r="AY426" s="2"/>
      <c r="AZ426" s="2"/>
      <c r="BA426" s="2"/>
      <c r="BB426" s="2"/>
      <c r="BC426" s="2"/>
      <c r="BD426" s="2"/>
      <c r="BE426" s="2"/>
      <c r="BF426" s="2"/>
      <c r="BG426" s="2"/>
    </row>
    <row r="427" spans="1:59">
      <c r="A427" s="1" t="str">
        <f>IF($I$235="Y",'Population Definitions'!$A$15,"...")</f>
        <v>...</v>
      </c>
      <c r="B427" s="4" t="str">
        <f>IF($I$235="Y","---&gt;","...")</f>
        <v>...</v>
      </c>
      <c r="C427" s="1" t="str">
        <f>IF($I$235="Y",'Population Definitions'!$A$9,"...")</f>
        <v>...</v>
      </c>
      <c r="E427" s="2"/>
      <c r="F427" s="3"/>
      <c r="G427" s="2"/>
      <c r="H427" s="4" t="str">
        <f>IF($I$235="Y","OR","...")</f>
        <v>...</v>
      </c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  <c r="AO427" s="2"/>
      <c r="AP427" s="2"/>
      <c r="AQ427" s="2"/>
      <c r="AR427" s="2"/>
      <c r="AS427" s="2"/>
      <c r="AT427" s="2"/>
      <c r="AU427" s="2"/>
      <c r="AV427" s="2"/>
      <c r="AW427" s="2"/>
      <c r="AX427" s="2"/>
      <c r="AY427" s="2"/>
      <c r="AZ427" s="2"/>
      <c r="BA427" s="2"/>
      <c r="BB427" s="2"/>
      <c r="BC427" s="2"/>
      <c r="BD427" s="2"/>
      <c r="BE427" s="2"/>
      <c r="BF427" s="2"/>
      <c r="BG427" s="2"/>
    </row>
    <row r="428" spans="1:59">
      <c r="A428" s="1" t="str">
        <f>IF($J$235="Y",'Population Definitions'!$A$15,"...")</f>
        <v>...</v>
      </c>
      <c r="B428" s="4" t="str">
        <f>IF($J$235="Y","---&gt;","...")</f>
        <v>...</v>
      </c>
      <c r="C428" s="1" t="str">
        <f>IF($J$235="Y",'Population Definitions'!$A$10,"...")</f>
        <v>...</v>
      </c>
      <c r="E428" s="2"/>
      <c r="F428" s="3"/>
      <c r="G428" s="2"/>
      <c r="H428" s="4" t="str">
        <f>IF($J$235="Y","OR","...")</f>
        <v>...</v>
      </c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  <c r="AO428" s="2"/>
      <c r="AP428" s="2"/>
      <c r="AQ428" s="2"/>
      <c r="AR428" s="2"/>
      <c r="AS428" s="2"/>
      <c r="AT428" s="2"/>
      <c r="AU428" s="2"/>
      <c r="AV428" s="2"/>
      <c r="AW428" s="2"/>
      <c r="AX428" s="2"/>
      <c r="AY428" s="2"/>
      <c r="AZ428" s="2"/>
      <c r="BA428" s="2"/>
      <c r="BB428" s="2"/>
      <c r="BC428" s="2"/>
      <c r="BD428" s="2"/>
      <c r="BE428" s="2"/>
      <c r="BF428" s="2"/>
      <c r="BG428" s="2"/>
    </row>
    <row r="429" spans="1:59">
      <c r="A429" s="1" t="str">
        <f>IF($K$235="Y",'Population Definitions'!$A$15,"...")</f>
        <v>...</v>
      </c>
      <c r="B429" s="4" t="str">
        <f>IF($K$235="Y","---&gt;","...")</f>
        <v>...</v>
      </c>
      <c r="C429" s="1" t="str">
        <f>IF($K$235="Y",'Population Definitions'!$A$11,"...")</f>
        <v>...</v>
      </c>
      <c r="E429" s="2"/>
      <c r="F429" s="3"/>
      <c r="G429" s="2"/>
      <c r="H429" s="4" t="str">
        <f>IF($K$235="Y","OR","...")</f>
        <v>...</v>
      </c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  <c r="AO429" s="2"/>
      <c r="AP429" s="2"/>
      <c r="AQ429" s="2"/>
      <c r="AR429" s="2"/>
      <c r="AS429" s="2"/>
      <c r="AT429" s="2"/>
      <c r="AU429" s="2"/>
      <c r="AV429" s="2"/>
      <c r="AW429" s="2"/>
      <c r="AX429" s="2"/>
      <c r="AY429" s="2"/>
      <c r="AZ429" s="2"/>
      <c r="BA429" s="2"/>
      <c r="BB429" s="2"/>
      <c r="BC429" s="2"/>
      <c r="BD429" s="2"/>
      <c r="BE429" s="2"/>
      <c r="BF429" s="2"/>
      <c r="BG429" s="2"/>
    </row>
    <row r="430" spans="1:59">
      <c r="A430" s="1" t="str">
        <f>IF($L$235="Y",'Population Definitions'!$A$15,"...")</f>
        <v>...</v>
      </c>
      <c r="B430" s="4" t="str">
        <f>IF($L$235="Y","---&gt;","...")</f>
        <v>...</v>
      </c>
      <c r="C430" s="1" t="str">
        <f>IF($L$235="Y",'Population Definitions'!$A$12,"...")</f>
        <v>...</v>
      </c>
      <c r="E430" s="2"/>
      <c r="F430" s="3"/>
      <c r="G430" s="2"/>
      <c r="H430" s="4" t="str">
        <f>IF($L$235="Y","OR","...")</f>
        <v>...</v>
      </c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  <c r="AO430" s="2"/>
      <c r="AP430" s="2"/>
      <c r="AQ430" s="2"/>
      <c r="AR430" s="2"/>
      <c r="AS430" s="2"/>
      <c r="AT430" s="2"/>
      <c r="AU430" s="2"/>
      <c r="AV430" s="2"/>
      <c r="AW430" s="2"/>
      <c r="AX430" s="2"/>
      <c r="AY430" s="2"/>
      <c r="AZ430" s="2"/>
      <c r="BA430" s="2"/>
      <c r="BB430" s="2"/>
      <c r="BC430" s="2"/>
      <c r="BD430" s="2"/>
      <c r="BE430" s="2"/>
      <c r="BF430" s="2"/>
      <c r="BG430" s="2"/>
    </row>
    <row r="431" spans="1:59">
      <c r="A431" s="1" t="str">
        <f>IF($M$235="Y",'Population Definitions'!$A$15,"...")</f>
        <v>...</v>
      </c>
      <c r="B431" s="4" t="str">
        <f>IF($M$235="Y","---&gt;","...")</f>
        <v>...</v>
      </c>
      <c r="C431" s="1" t="str">
        <f>IF($M$235="Y",'Population Definitions'!$A$13,"...")</f>
        <v>...</v>
      </c>
      <c r="E431" s="2"/>
      <c r="F431" s="3"/>
      <c r="G431" s="2"/>
      <c r="H431" s="4" t="str">
        <f>IF($M$235="Y","OR","...")</f>
        <v>...</v>
      </c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  <c r="AO431" s="2"/>
      <c r="AP431" s="2"/>
      <c r="AQ431" s="2"/>
      <c r="AR431" s="2"/>
      <c r="AS431" s="2"/>
      <c r="AT431" s="2"/>
      <c r="AU431" s="2"/>
      <c r="AV431" s="2"/>
      <c r="AW431" s="2"/>
      <c r="AX431" s="2"/>
      <c r="AY431" s="2"/>
      <c r="AZ431" s="2"/>
      <c r="BA431" s="2"/>
      <c r="BB431" s="2"/>
      <c r="BC431" s="2"/>
      <c r="BD431" s="2"/>
      <c r="BE431" s="2"/>
      <c r="BF431" s="2"/>
      <c r="BG431" s="2"/>
    </row>
    <row r="432" spans="1:59">
      <c r="A432" s="1" t="str">
        <f>IF($N$235="Y",'Population Definitions'!$A$15,"...")</f>
        <v>...</v>
      </c>
      <c r="B432" s="4" t="str">
        <f>IF($N$235="Y","---&gt;","...")</f>
        <v>...</v>
      </c>
      <c r="C432" s="1" t="str">
        <f>IF($N$235="Y",'Population Definitions'!$A$14,"...")</f>
        <v>...</v>
      </c>
      <c r="E432" s="2"/>
      <c r="F432" s="3"/>
      <c r="G432" s="2"/>
      <c r="H432" s="4" t="str">
        <f>IF($N$235="Y","OR","...")</f>
        <v>...</v>
      </c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  <c r="AO432" s="2"/>
      <c r="AP432" s="2"/>
      <c r="AQ432" s="2"/>
      <c r="AR432" s="2"/>
      <c r="AS432" s="2"/>
      <c r="AT432" s="2"/>
      <c r="AU432" s="2"/>
      <c r="AV432" s="2"/>
      <c r="AW432" s="2"/>
      <c r="AX432" s="2"/>
      <c r="AY432" s="2"/>
      <c r="AZ432" s="2"/>
      <c r="BA432" s="2"/>
      <c r="BB432" s="2"/>
      <c r="BC432" s="2"/>
      <c r="BD432" s="2"/>
      <c r="BE432" s="2"/>
      <c r="BF432" s="2"/>
      <c r="BG432" s="2"/>
    </row>
    <row r="433" spans="1:59">
      <c r="A433" s="1" t="str">
        <f>IF($O$235="Y",'Population Definitions'!$A$15,"...")</f>
        <v>...</v>
      </c>
      <c r="B433" s="4" t="str">
        <f>IF($O$235="Y","---&gt;","...")</f>
        <v>...</v>
      </c>
      <c r="C433" s="1" t="str">
        <f>IF($O$235="Y",'Population Definitions'!$A$15,"...")</f>
        <v>...</v>
      </c>
      <c r="E433" s="2"/>
      <c r="F433" s="3"/>
      <c r="G433" s="2"/>
      <c r="H433" s="4" t="str">
        <f>IF($O$235="Y","OR","...")</f>
        <v>...</v>
      </c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  <c r="AM433" s="2"/>
      <c r="AN433" s="2"/>
      <c r="AO433" s="2"/>
      <c r="AP433" s="2"/>
      <c r="AQ433" s="2"/>
      <c r="AR433" s="2"/>
      <c r="AS433" s="2"/>
      <c r="AT433" s="2"/>
      <c r="AU433" s="2"/>
      <c r="AV433" s="2"/>
      <c r="AW433" s="2"/>
      <c r="AX433" s="2"/>
      <c r="AY433" s="2"/>
      <c r="AZ433" s="2"/>
      <c r="BA433" s="2"/>
      <c r="BB433" s="2"/>
      <c r="BC433" s="2"/>
      <c r="BD433" s="2"/>
      <c r="BE433" s="2"/>
      <c r="BF433" s="2"/>
      <c r="BG433" s="2"/>
    </row>
  </sheetData>
  <conditionalFormatting sqref="B10">
    <cfRule type="cellIs" dxfId="2" priority="141" operator="equal">
      <formula>"Y"</formula>
    </cfRule>
    <cfRule type="cellIs" dxfId="3" priority="142" operator="equal">
      <formula>"N"</formula>
    </cfRule>
  </conditionalFormatting>
  <conditionalFormatting sqref="B11">
    <cfRule type="cellIs" dxfId="2" priority="169" operator="equal">
      <formula>"Y"</formula>
    </cfRule>
    <cfRule type="cellIs" dxfId="3" priority="170" operator="equal">
      <formula>"N"</formula>
    </cfRule>
  </conditionalFormatting>
  <conditionalFormatting sqref="B12">
    <cfRule type="cellIs" dxfId="2" priority="197" operator="equal">
      <formula>"Y"</formula>
    </cfRule>
    <cfRule type="cellIs" dxfId="3" priority="198" operator="equal">
      <formula>"N"</formula>
    </cfRule>
  </conditionalFormatting>
  <conditionalFormatting sqref="B13">
    <cfRule type="cellIs" dxfId="2" priority="225" operator="equal">
      <formula>"Y"</formula>
    </cfRule>
    <cfRule type="cellIs" dxfId="3" priority="226" operator="equal">
      <formula>"N"</formula>
    </cfRule>
  </conditionalFormatting>
  <conditionalFormatting sqref="B14">
    <cfRule type="cellIs" dxfId="2" priority="253" operator="equal">
      <formula>"Y"</formula>
    </cfRule>
    <cfRule type="cellIs" dxfId="3" priority="254" operator="equal">
      <formula>"N"</formula>
    </cfRule>
  </conditionalFormatting>
  <conditionalFormatting sqref="B15">
    <cfRule type="cellIs" dxfId="2" priority="281" operator="equal">
      <formula>"Y"</formula>
    </cfRule>
    <cfRule type="cellIs" dxfId="3" priority="282" operator="equal">
      <formula>"N"</formula>
    </cfRule>
  </conditionalFormatting>
  <conditionalFormatting sqref="B16">
    <cfRule type="cellIs" dxfId="2" priority="309" operator="equal">
      <formula>"Y"</formula>
    </cfRule>
    <cfRule type="cellIs" dxfId="3" priority="310" operator="equal">
      <formula>"N"</formula>
    </cfRule>
  </conditionalFormatting>
  <conditionalFormatting sqref="B17">
    <cfRule type="cellIs" dxfId="2" priority="337" operator="equal">
      <formula>"Y"</formula>
    </cfRule>
    <cfRule type="cellIs" dxfId="3" priority="338" operator="equal">
      <formula>"N"</formula>
    </cfRule>
  </conditionalFormatting>
  <conditionalFormatting sqref="B18">
    <cfRule type="cellIs" dxfId="2" priority="365" operator="equal">
      <formula>"Y"</formula>
    </cfRule>
    <cfRule type="cellIs" dxfId="3" priority="366" operator="equal">
      <formula>"N"</formula>
    </cfRule>
  </conditionalFormatting>
  <conditionalFormatting sqref="B222">
    <cfRule type="cellIs" dxfId="2" priority="981" operator="equal">
      <formula>"Y"</formula>
    </cfRule>
    <cfRule type="cellIs" dxfId="3" priority="982" operator="equal">
      <formula>"N"</formula>
    </cfRule>
  </conditionalFormatting>
  <conditionalFormatting sqref="B223">
    <cfRule type="cellIs" dxfId="2" priority="1009" operator="equal">
      <formula>"Y"</formula>
    </cfRule>
    <cfRule type="cellIs" dxfId="3" priority="1010" operator="equal">
      <formula>"N"</formula>
    </cfRule>
  </conditionalFormatting>
  <conditionalFormatting sqref="B224">
    <cfRule type="cellIs" dxfId="2" priority="1037" operator="equal">
      <formula>"Y"</formula>
    </cfRule>
    <cfRule type="cellIs" dxfId="3" priority="1038" operator="equal">
      <formula>"N"</formula>
    </cfRule>
  </conditionalFormatting>
  <conditionalFormatting sqref="B225">
    <cfRule type="cellIs" dxfId="2" priority="1065" operator="equal">
      <formula>"Y"</formula>
    </cfRule>
    <cfRule type="cellIs" dxfId="3" priority="1066" operator="equal">
      <formula>"N"</formula>
    </cfRule>
  </conditionalFormatting>
  <conditionalFormatting sqref="B226">
    <cfRule type="cellIs" dxfId="2" priority="1093" operator="equal">
      <formula>"Y"</formula>
    </cfRule>
    <cfRule type="cellIs" dxfId="3" priority="1094" operator="equal">
      <formula>"N"</formula>
    </cfRule>
  </conditionalFormatting>
  <conditionalFormatting sqref="B227">
    <cfRule type="cellIs" dxfId="2" priority="1121" operator="equal">
      <formula>"Y"</formula>
    </cfRule>
    <cfRule type="cellIs" dxfId="3" priority="1122" operator="equal">
      <formula>"N"</formula>
    </cfRule>
  </conditionalFormatting>
  <conditionalFormatting sqref="B228">
    <cfRule type="cellIs" dxfId="2" priority="1149" operator="equal">
      <formula>"Y"</formula>
    </cfRule>
    <cfRule type="cellIs" dxfId="3" priority="1150" operator="equal">
      <formula>"N"</formula>
    </cfRule>
  </conditionalFormatting>
  <conditionalFormatting sqref="B229">
    <cfRule type="cellIs" dxfId="2" priority="1177" operator="equal">
      <formula>"Y"</formula>
    </cfRule>
    <cfRule type="cellIs" dxfId="3" priority="1178" operator="equal">
      <formula>"N"</formula>
    </cfRule>
  </conditionalFormatting>
  <conditionalFormatting sqref="B230">
    <cfRule type="cellIs" dxfId="2" priority="1205" operator="equal">
      <formula>"Y"</formula>
    </cfRule>
    <cfRule type="cellIs" dxfId="3" priority="1206" operator="equal">
      <formula>"N"</formula>
    </cfRule>
  </conditionalFormatting>
  <conditionalFormatting sqref="B231">
    <cfRule type="cellIs" dxfId="2" priority="1233" operator="equal">
      <formula>"Y"</formula>
    </cfRule>
    <cfRule type="cellIs" dxfId="3" priority="1234" operator="equal">
      <formula>"N"</formula>
    </cfRule>
  </conditionalFormatting>
  <conditionalFormatting sqref="B232">
    <cfRule type="cellIs" dxfId="2" priority="1261" operator="equal">
      <formula>"Y"</formula>
    </cfRule>
    <cfRule type="cellIs" dxfId="3" priority="1262" operator="equal">
      <formula>"N"</formula>
    </cfRule>
  </conditionalFormatting>
  <conditionalFormatting sqref="B233">
    <cfRule type="cellIs" dxfId="2" priority="1289" operator="equal">
      <formula>"Y"</formula>
    </cfRule>
    <cfRule type="cellIs" dxfId="3" priority="1290" operator="equal">
      <formula>"N"</formula>
    </cfRule>
  </conditionalFormatting>
  <conditionalFormatting sqref="B234">
    <cfRule type="cellIs" dxfId="2" priority="1317" operator="equal">
      <formula>"Y"</formula>
    </cfRule>
    <cfRule type="cellIs" dxfId="3" priority="1318" operator="equal">
      <formula>"N"</formula>
    </cfRule>
  </conditionalFormatting>
  <conditionalFormatting sqref="B235">
    <cfRule type="cellIs" dxfId="2" priority="1345" operator="equal">
      <formula>"Y"</formula>
    </cfRule>
    <cfRule type="cellIs" dxfId="3" priority="1346" operator="equal">
      <formula>"N"</formula>
    </cfRule>
  </conditionalFormatting>
  <conditionalFormatting sqref="B5">
    <cfRule type="cellIs" dxfId="2" priority="1" operator="equal">
      <formula>"Y"</formula>
    </cfRule>
    <cfRule type="cellIs" dxfId="3" priority="2" operator="equal">
      <formula>"N"</formula>
    </cfRule>
  </conditionalFormatting>
  <conditionalFormatting sqref="B6">
    <cfRule type="cellIs" dxfId="2" priority="29" operator="equal">
      <formula>"Y"</formula>
    </cfRule>
    <cfRule type="cellIs" dxfId="3" priority="30" operator="equal">
      <formula>"N"</formula>
    </cfRule>
  </conditionalFormatting>
  <conditionalFormatting sqref="B7">
    <cfRule type="cellIs" dxfId="2" priority="57" operator="equal">
      <formula>"Y"</formula>
    </cfRule>
    <cfRule type="cellIs" dxfId="3" priority="58" operator="equal">
      <formula>"N"</formula>
    </cfRule>
  </conditionalFormatting>
  <conditionalFormatting sqref="B8">
    <cfRule type="cellIs" dxfId="2" priority="85" operator="equal">
      <formula>"Y"</formula>
    </cfRule>
    <cfRule type="cellIs" dxfId="3" priority="86" operator="equal">
      <formula>"N"</formula>
    </cfRule>
  </conditionalFormatting>
  <conditionalFormatting sqref="B9">
    <cfRule type="cellIs" dxfId="2" priority="113" operator="equal">
      <formula>"Y"</formula>
    </cfRule>
    <cfRule type="cellIs" dxfId="3" priority="114" operator="equal">
      <formula>"N"</formula>
    </cfRule>
  </conditionalFormatting>
  <conditionalFormatting sqref="C10">
    <cfRule type="cellIs" dxfId="2" priority="143" operator="equal">
      <formula>"Y"</formula>
    </cfRule>
    <cfRule type="cellIs" dxfId="3" priority="144" operator="equal">
      <formula>"N"</formula>
    </cfRule>
  </conditionalFormatting>
  <conditionalFormatting sqref="C11">
    <cfRule type="cellIs" dxfId="2" priority="171" operator="equal">
      <formula>"Y"</formula>
    </cfRule>
    <cfRule type="cellIs" dxfId="3" priority="172" operator="equal">
      <formula>"N"</formula>
    </cfRule>
  </conditionalFormatting>
  <conditionalFormatting sqref="C12">
    <cfRule type="cellIs" dxfId="2" priority="199" operator="equal">
      <formula>"Y"</formula>
    </cfRule>
    <cfRule type="cellIs" dxfId="3" priority="200" operator="equal">
      <formula>"N"</formula>
    </cfRule>
  </conditionalFormatting>
  <conditionalFormatting sqref="C13">
    <cfRule type="cellIs" dxfId="2" priority="227" operator="equal">
      <formula>"Y"</formula>
    </cfRule>
    <cfRule type="cellIs" dxfId="3" priority="228" operator="equal">
      <formula>"N"</formula>
    </cfRule>
  </conditionalFormatting>
  <conditionalFormatting sqref="C14">
    <cfRule type="cellIs" dxfId="2" priority="255" operator="equal">
      <formula>"Y"</formula>
    </cfRule>
    <cfRule type="cellIs" dxfId="3" priority="256" operator="equal">
      <formula>"N"</formula>
    </cfRule>
  </conditionalFormatting>
  <conditionalFormatting sqref="C15">
    <cfRule type="cellIs" dxfId="2" priority="283" operator="equal">
      <formula>"Y"</formula>
    </cfRule>
    <cfRule type="cellIs" dxfId="3" priority="284" operator="equal">
      <formula>"N"</formula>
    </cfRule>
  </conditionalFormatting>
  <conditionalFormatting sqref="C16">
    <cfRule type="cellIs" dxfId="2" priority="311" operator="equal">
      <formula>"Y"</formula>
    </cfRule>
    <cfRule type="cellIs" dxfId="3" priority="312" operator="equal">
      <formula>"N"</formula>
    </cfRule>
  </conditionalFormatting>
  <conditionalFormatting sqref="C17">
    <cfRule type="cellIs" dxfId="2" priority="339" operator="equal">
      <formula>"Y"</formula>
    </cfRule>
    <cfRule type="cellIs" dxfId="3" priority="340" operator="equal">
      <formula>"N"</formula>
    </cfRule>
  </conditionalFormatting>
  <conditionalFormatting sqref="C18">
    <cfRule type="cellIs" dxfId="2" priority="367" operator="equal">
      <formula>"Y"</formula>
    </cfRule>
    <cfRule type="cellIs" dxfId="3" priority="368" operator="equal">
      <formula>"N"</formula>
    </cfRule>
  </conditionalFormatting>
  <conditionalFormatting sqref="C222">
    <cfRule type="cellIs" dxfId="2" priority="983" operator="equal">
      <formula>"Y"</formula>
    </cfRule>
    <cfRule type="cellIs" dxfId="3" priority="984" operator="equal">
      <formula>"N"</formula>
    </cfRule>
  </conditionalFormatting>
  <conditionalFormatting sqref="C223">
    <cfRule type="cellIs" dxfId="2" priority="1011" operator="equal">
      <formula>"Y"</formula>
    </cfRule>
    <cfRule type="cellIs" dxfId="3" priority="1012" operator="equal">
      <formula>"N"</formula>
    </cfRule>
  </conditionalFormatting>
  <conditionalFormatting sqref="C224">
    <cfRule type="cellIs" dxfId="2" priority="1039" operator="equal">
      <formula>"Y"</formula>
    </cfRule>
    <cfRule type="cellIs" dxfId="3" priority="1040" operator="equal">
      <formula>"N"</formula>
    </cfRule>
  </conditionalFormatting>
  <conditionalFormatting sqref="C225">
    <cfRule type="cellIs" dxfId="2" priority="1067" operator="equal">
      <formula>"Y"</formula>
    </cfRule>
    <cfRule type="cellIs" dxfId="3" priority="1068" operator="equal">
      <formula>"N"</formula>
    </cfRule>
  </conditionalFormatting>
  <conditionalFormatting sqref="C226">
    <cfRule type="cellIs" dxfId="2" priority="1095" operator="equal">
      <formula>"Y"</formula>
    </cfRule>
    <cfRule type="cellIs" dxfId="3" priority="1096" operator="equal">
      <formula>"N"</formula>
    </cfRule>
  </conditionalFormatting>
  <conditionalFormatting sqref="C227">
    <cfRule type="cellIs" dxfId="2" priority="1123" operator="equal">
      <formula>"Y"</formula>
    </cfRule>
    <cfRule type="cellIs" dxfId="3" priority="1124" operator="equal">
      <formula>"N"</formula>
    </cfRule>
  </conditionalFormatting>
  <conditionalFormatting sqref="C228">
    <cfRule type="cellIs" dxfId="2" priority="1151" operator="equal">
      <formula>"Y"</formula>
    </cfRule>
    <cfRule type="cellIs" dxfId="3" priority="1152" operator="equal">
      <formula>"N"</formula>
    </cfRule>
  </conditionalFormatting>
  <conditionalFormatting sqref="C229">
    <cfRule type="cellIs" dxfId="2" priority="1179" operator="equal">
      <formula>"Y"</formula>
    </cfRule>
    <cfRule type="cellIs" dxfId="3" priority="1180" operator="equal">
      <formula>"N"</formula>
    </cfRule>
  </conditionalFormatting>
  <conditionalFormatting sqref="C230">
    <cfRule type="cellIs" dxfId="2" priority="1207" operator="equal">
      <formula>"Y"</formula>
    </cfRule>
    <cfRule type="cellIs" dxfId="3" priority="1208" operator="equal">
      <formula>"N"</formula>
    </cfRule>
  </conditionalFormatting>
  <conditionalFormatting sqref="C231">
    <cfRule type="cellIs" dxfId="2" priority="1235" operator="equal">
      <formula>"Y"</formula>
    </cfRule>
    <cfRule type="cellIs" dxfId="3" priority="1236" operator="equal">
      <formula>"N"</formula>
    </cfRule>
  </conditionalFormatting>
  <conditionalFormatting sqref="C232">
    <cfRule type="cellIs" dxfId="2" priority="1263" operator="equal">
      <formula>"Y"</formula>
    </cfRule>
    <cfRule type="cellIs" dxfId="3" priority="1264" operator="equal">
      <formula>"N"</formula>
    </cfRule>
  </conditionalFormatting>
  <conditionalFormatting sqref="C233">
    <cfRule type="cellIs" dxfId="2" priority="1291" operator="equal">
      <formula>"Y"</formula>
    </cfRule>
    <cfRule type="cellIs" dxfId="3" priority="1292" operator="equal">
      <formula>"N"</formula>
    </cfRule>
  </conditionalFormatting>
  <conditionalFormatting sqref="C234">
    <cfRule type="cellIs" dxfId="2" priority="1319" operator="equal">
      <formula>"Y"</formula>
    </cfRule>
    <cfRule type="cellIs" dxfId="3" priority="1320" operator="equal">
      <formula>"N"</formula>
    </cfRule>
  </conditionalFormatting>
  <conditionalFormatting sqref="C235">
    <cfRule type="cellIs" dxfId="2" priority="1347" operator="equal">
      <formula>"Y"</formula>
    </cfRule>
    <cfRule type="cellIs" dxfId="3" priority="1348" operator="equal">
      <formula>"N"</formula>
    </cfRule>
  </conditionalFormatting>
  <conditionalFormatting sqref="C5">
    <cfRule type="cellIs" dxfId="2" priority="3" operator="equal">
      <formula>"Y"</formula>
    </cfRule>
    <cfRule type="cellIs" dxfId="3" priority="4" operator="equal">
      <formula>"N"</formula>
    </cfRule>
  </conditionalFormatting>
  <conditionalFormatting sqref="C6">
    <cfRule type="cellIs" dxfId="2" priority="31" operator="equal">
      <formula>"Y"</formula>
    </cfRule>
    <cfRule type="cellIs" dxfId="3" priority="32" operator="equal">
      <formula>"N"</formula>
    </cfRule>
  </conditionalFormatting>
  <conditionalFormatting sqref="C7">
    <cfRule type="cellIs" dxfId="2" priority="59" operator="equal">
      <formula>"Y"</formula>
    </cfRule>
    <cfRule type="cellIs" dxfId="3" priority="60" operator="equal">
      <formula>"N"</formula>
    </cfRule>
  </conditionalFormatting>
  <conditionalFormatting sqref="C8">
    <cfRule type="cellIs" dxfId="2" priority="87" operator="equal">
      <formula>"Y"</formula>
    </cfRule>
    <cfRule type="cellIs" dxfId="3" priority="88" operator="equal">
      <formula>"N"</formula>
    </cfRule>
  </conditionalFormatting>
  <conditionalFormatting sqref="C9">
    <cfRule type="cellIs" dxfId="2" priority="115" operator="equal">
      <formula>"Y"</formula>
    </cfRule>
    <cfRule type="cellIs" dxfId="3" priority="116" operator="equal">
      <formula>"N"</formula>
    </cfRule>
  </conditionalFormatting>
  <conditionalFormatting sqref="D10">
    <cfRule type="cellIs" dxfId="2" priority="145" operator="equal">
      <formula>"Y"</formula>
    </cfRule>
    <cfRule type="cellIs" dxfId="3" priority="146" operator="equal">
      <formula>"N"</formula>
    </cfRule>
  </conditionalFormatting>
  <conditionalFormatting sqref="D100:BG100">
    <cfRule type="expression" dxfId="4" priority="632">
      <formula>$K$10&lt;&gt;"Y"</formula>
    </cfRule>
  </conditionalFormatting>
  <conditionalFormatting sqref="D101:BG101">
    <cfRule type="expression" dxfId="4" priority="635">
      <formula>$L$10&lt;&gt;"Y"</formula>
    </cfRule>
  </conditionalFormatting>
  <conditionalFormatting sqref="D102:BG102">
    <cfRule type="expression" dxfId="4" priority="638">
      <formula>$M$10&lt;&gt;"Y"</formula>
    </cfRule>
  </conditionalFormatting>
  <conditionalFormatting sqref="D103:BG103">
    <cfRule type="expression" dxfId="4" priority="641">
      <formula>$N$10&lt;&gt;"Y"</formula>
    </cfRule>
  </conditionalFormatting>
  <conditionalFormatting sqref="D104:BG104">
    <cfRule type="expression" dxfId="4" priority="644">
      <formula>$O$10&lt;&gt;"Y"</formula>
    </cfRule>
  </conditionalFormatting>
  <conditionalFormatting sqref="D105:BG105">
    <cfRule type="expression" dxfId="4" priority="647">
      <formula>$B$11&lt;&gt;"Y"</formula>
    </cfRule>
  </conditionalFormatting>
  <conditionalFormatting sqref="D106:BG106">
    <cfRule type="expression" dxfId="4" priority="650">
      <formula>$C$11&lt;&gt;"Y"</formula>
    </cfRule>
  </conditionalFormatting>
  <conditionalFormatting sqref="D107:BG107">
    <cfRule type="expression" dxfId="4" priority="653">
      <formula>$D$11&lt;&gt;"Y"</formula>
    </cfRule>
  </conditionalFormatting>
  <conditionalFormatting sqref="D108:BG108">
    <cfRule type="expression" dxfId="4" priority="656">
      <formula>$E$11&lt;&gt;"Y"</formula>
    </cfRule>
  </conditionalFormatting>
  <conditionalFormatting sqref="D109:BG109">
    <cfRule type="expression" dxfId="4" priority="659">
      <formula>$F$11&lt;&gt;"Y"</formula>
    </cfRule>
  </conditionalFormatting>
  <conditionalFormatting sqref="D11">
    <cfRule type="cellIs" dxfId="2" priority="173" operator="equal">
      <formula>"Y"</formula>
    </cfRule>
    <cfRule type="cellIs" dxfId="3" priority="174" operator="equal">
      <formula>"N"</formula>
    </cfRule>
  </conditionalFormatting>
  <conditionalFormatting sqref="D110:BG110">
    <cfRule type="expression" dxfId="4" priority="662">
      <formula>$G$11&lt;&gt;"Y"</formula>
    </cfRule>
  </conditionalFormatting>
  <conditionalFormatting sqref="D111:BG111">
    <cfRule type="expression" dxfId="4" priority="665">
      <formula>$H$11&lt;&gt;"Y"</formula>
    </cfRule>
  </conditionalFormatting>
  <conditionalFormatting sqref="D112:BG112">
    <cfRule type="expression" dxfId="4" priority="668">
      <formula>$I$11&lt;&gt;"Y"</formula>
    </cfRule>
  </conditionalFormatting>
  <conditionalFormatting sqref="D113:BG113">
    <cfRule type="expression" dxfId="4" priority="671">
      <formula>$J$11&lt;&gt;"Y"</formula>
    </cfRule>
  </conditionalFormatting>
  <conditionalFormatting sqref="D114:BG114">
    <cfRule type="expression" dxfId="4" priority="674">
      <formula>$K$11&lt;&gt;"Y"</formula>
    </cfRule>
  </conditionalFormatting>
  <conditionalFormatting sqref="D115:BG115">
    <cfRule type="expression" dxfId="4" priority="677">
      <formula>$L$11&lt;&gt;"Y"</formula>
    </cfRule>
  </conditionalFormatting>
  <conditionalFormatting sqref="D116:BG116">
    <cfRule type="expression" dxfId="4" priority="680">
      <formula>$M$11&lt;&gt;"Y"</formula>
    </cfRule>
  </conditionalFormatting>
  <conditionalFormatting sqref="D117:BG117">
    <cfRule type="expression" dxfId="4" priority="683">
      <formula>$N$11&lt;&gt;"Y"</formula>
    </cfRule>
  </conditionalFormatting>
  <conditionalFormatting sqref="D118:BG118">
    <cfRule type="expression" dxfId="4" priority="686">
      <formula>$O$11&lt;&gt;"Y"</formula>
    </cfRule>
  </conditionalFormatting>
  <conditionalFormatting sqref="D119:BG119">
    <cfRule type="expression" dxfId="4" priority="689">
      <formula>$B$12&lt;&gt;"Y"</formula>
    </cfRule>
  </conditionalFormatting>
  <conditionalFormatting sqref="D12">
    <cfRule type="cellIs" dxfId="2" priority="201" operator="equal">
      <formula>"Y"</formula>
    </cfRule>
    <cfRule type="cellIs" dxfId="3" priority="202" operator="equal">
      <formula>"N"</formula>
    </cfRule>
  </conditionalFormatting>
  <conditionalFormatting sqref="D120:BG120">
    <cfRule type="expression" dxfId="4" priority="692">
      <formula>$C$12&lt;&gt;"Y"</formula>
    </cfRule>
  </conditionalFormatting>
  <conditionalFormatting sqref="D121:BG121">
    <cfRule type="expression" dxfId="4" priority="695">
      <formula>$D$12&lt;&gt;"Y"</formula>
    </cfRule>
  </conditionalFormatting>
  <conditionalFormatting sqref="D122:BG122">
    <cfRule type="expression" dxfId="4" priority="698">
      <formula>$E$12&lt;&gt;"Y"</formula>
    </cfRule>
  </conditionalFormatting>
  <conditionalFormatting sqref="D123:BG123">
    <cfRule type="expression" dxfId="4" priority="701">
      <formula>$F$12&lt;&gt;"Y"</formula>
    </cfRule>
  </conditionalFormatting>
  <conditionalFormatting sqref="D124:BG124">
    <cfRule type="expression" dxfId="4" priority="704">
      <formula>$G$12&lt;&gt;"Y"</formula>
    </cfRule>
  </conditionalFormatting>
  <conditionalFormatting sqref="D125:BG125">
    <cfRule type="expression" dxfId="4" priority="707">
      <formula>$H$12&lt;&gt;"Y"</formula>
    </cfRule>
  </conditionalFormatting>
  <conditionalFormatting sqref="D126:BG126">
    <cfRule type="expression" dxfId="4" priority="710">
      <formula>$I$12&lt;&gt;"Y"</formula>
    </cfRule>
  </conditionalFormatting>
  <conditionalFormatting sqref="D127:BG127">
    <cfRule type="expression" dxfId="4" priority="713">
      <formula>$J$12&lt;&gt;"Y"</formula>
    </cfRule>
  </conditionalFormatting>
  <conditionalFormatting sqref="D128:BG128">
    <cfRule type="expression" dxfId="4" priority="716">
      <formula>$K$12&lt;&gt;"Y"</formula>
    </cfRule>
  </conditionalFormatting>
  <conditionalFormatting sqref="D129:BG129">
    <cfRule type="expression" dxfId="4" priority="719">
      <formula>$L$12&lt;&gt;"Y"</formula>
    </cfRule>
  </conditionalFormatting>
  <conditionalFormatting sqref="D13">
    <cfRule type="cellIs" dxfId="2" priority="229" operator="equal">
      <formula>"Y"</formula>
    </cfRule>
    <cfRule type="cellIs" dxfId="3" priority="230" operator="equal">
      <formula>"N"</formula>
    </cfRule>
  </conditionalFormatting>
  <conditionalFormatting sqref="D130:BG130">
    <cfRule type="expression" dxfId="4" priority="722">
      <formula>$M$12&lt;&gt;"Y"</formula>
    </cfRule>
  </conditionalFormatting>
  <conditionalFormatting sqref="D131:BG131">
    <cfRule type="expression" dxfId="4" priority="725">
      <formula>$N$12&lt;&gt;"Y"</formula>
    </cfRule>
  </conditionalFormatting>
  <conditionalFormatting sqref="D132:BG132">
    <cfRule type="expression" dxfId="4" priority="728">
      <formula>$O$12&lt;&gt;"Y"</formula>
    </cfRule>
  </conditionalFormatting>
  <conditionalFormatting sqref="D133:BG133">
    <cfRule type="expression" dxfId="4" priority="731">
      <formula>$B$13&lt;&gt;"Y"</formula>
    </cfRule>
  </conditionalFormatting>
  <conditionalFormatting sqref="D134:BG134">
    <cfRule type="expression" dxfId="4" priority="734">
      <formula>$C$13&lt;&gt;"Y"</formula>
    </cfRule>
  </conditionalFormatting>
  <conditionalFormatting sqref="D135:BG135">
    <cfRule type="expression" dxfId="4" priority="737">
      <formula>$D$13&lt;&gt;"Y"</formula>
    </cfRule>
  </conditionalFormatting>
  <conditionalFormatting sqref="D136:BG136">
    <cfRule type="expression" dxfId="4" priority="740">
      <formula>$E$13&lt;&gt;"Y"</formula>
    </cfRule>
  </conditionalFormatting>
  <conditionalFormatting sqref="D137:BG137">
    <cfRule type="expression" dxfId="4" priority="743">
      <formula>$F$13&lt;&gt;"Y"</formula>
    </cfRule>
  </conditionalFormatting>
  <conditionalFormatting sqref="D138:BG138">
    <cfRule type="expression" dxfId="4" priority="746">
      <formula>$G$13&lt;&gt;"Y"</formula>
    </cfRule>
  </conditionalFormatting>
  <conditionalFormatting sqref="D139:BG139">
    <cfRule type="expression" dxfId="4" priority="749">
      <formula>$H$13&lt;&gt;"Y"</formula>
    </cfRule>
  </conditionalFormatting>
  <conditionalFormatting sqref="D14">
    <cfRule type="cellIs" dxfId="2" priority="257" operator="equal">
      <formula>"Y"</formula>
    </cfRule>
    <cfRule type="cellIs" dxfId="3" priority="258" operator="equal">
      <formula>"N"</formula>
    </cfRule>
  </conditionalFormatting>
  <conditionalFormatting sqref="D140:BG140">
    <cfRule type="expression" dxfId="4" priority="752">
      <formula>$I$13&lt;&gt;"Y"</formula>
    </cfRule>
  </conditionalFormatting>
  <conditionalFormatting sqref="D141:BG141">
    <cfRule type="expression" dxfId="4" priority="755">
      <formula>$J$13&lt;&gt;"Y"</formula>
    </cfRule>
  </conditionalFormatting>
  <conditionalFormatting sqref="D142:BG142">
    <cfRule type="expression" dxfId="4" priority="758">
      <formula>$K$13&lt;&gt;"Y"</formula>
    </cfRule>
  </conditionalFormatting>
  <conditionalFormatting sqref="D143:BG143">
    <cfRule type="expression" dxfId="4" priority="761">
      <formula>$L$13&lt;&gt;"Y"</formula>
    </cfRule>
  </conditionalFormatting>
  <conditionalFormatting sqref="D144:BG144">
    <cfRule type="expression" dxfId="4" priority="764">
      <formula>$M$13&lt;&gt;"Y"</formula>
    </cfRule>
  </conditionalFormatting>
  <conditionalFormatting sqref="D145:BG145">
    <cfRule type="expression" dxfId="4" priority="767">
      <formula>$N$13&lt;&gt;"Y"</formula>
    </cfRule>
  </conditionalFormatting>
  <conditionalFormatting sqref="D146:BG146">
    <cfRule type="expression" dxfId="4" priority="770">
      <formula>$O$13&lt;&gt;"Y"</formula>
    </cfRule>
  </conditionalFormatting>
  <conditionalFormatting sqref="D147:BG147">
    <cfRule type="expression" dxfId="4" priority="773">
      <formula>$B$14&lt;&gt;"Y"</formula>
    </cfRule>
  </conditionalFormatting>
  <conditionalFormatting sqref="D148:BG148">
    <cfRule type="expression" dxfId="4" priority="776">
      <formula>$C$14&lt;&gt;"Y"</formula>
    </cfRule>
  </conditionalFormatting>
  <conditionalFormatting sqref="D149:BG149">
    <cfRule type="expression" dxfId="4" priority="779">
      <formula>$D$14&lt;&gt;"Y"</formula>
    </cfRule>
  </conditionalFormatting>
  <conditionalFormatting sqref="D15">
    <cfRule type="cellIs" dxfId="2" priority="285" operator="equal">
      <formula>"Y"</formula>
    </cfRule>
    <cfRule type="cellIs" dxfId="3" priority="286" operator="equal">
      <formula>"N"</formula>
    </cfRule>
  </conditionalFormatting>
  <conditionalFormatting sqref="D150:BG150">
    <cfRule type="expression" dxfId="4" priority="782">
      <formula>$E$14&lt;&gt;"Y"</formula>
    </cfRule>
  </conditionalFormatting>
  <conditionalFormatting sqref="D151:BG151">
    <cfRule type="expression" dxfId="4" priority="785">
      <formula>$F$14&lt;&gt;"Y"</formula>
    </cfRule>
  </conditionalFormatting>
  <conditionalFormatting sqref="D152:BG152">
    <cfRule type="expression" dxfId="4" priority="788">
      <formula>$G$14&lt;&gt;"Y"</formula>
    </cfRule>
  </conditionalFormatting>
  <conditionalFormatting sqref="D153:BG153">
    <cfRule type="expression" dxfId="4" priority="791">
      <formula>$H$14&lt;&gt;"Y"</formula>
    </cfRule>
  </conditionalFormatting>
  <conditionalFormatting sqref="D154:BG154">
    <cfRule type="expression" dxfId="4" priority="794">
      <formula>$I$14&lt;&gt;"Y"</formula>
    </cfRule>
  </conditionalFormatting>
  <conditionalFormatting sqref="D155:BG155">
    <cfRule type="expression" dxfId="4" priority="797">
      <formula>$J$14&lt;&gt;"Y"</formula>
    </cfRule>
  </conditionalFormatting>
  <conditionalFormatting sqref="D156:BG156">
    <cfRule type="expression" dxfId="4" priority="800">
      <formula>$K$14&lt;&gt;"Y"</formula>
    </cfRule>
  </conditionalFormatting>
  <conditionalFormatting sqref="D157:BG157">
    <cfRule type="expression" dxfId="4" priority="803">
      <formula>$L$14&lt;&gt;"Y"</formula>
    </cfRule>
  </conditionalFormatting>
  <conditionalFormatting sqref="D158:BG158">
    <cfRule type="expression" dxfId="4" priority="806">
      <formula>$M$14&lt;&gt;"Y"</formula>
    </cfRule>
  </conditionalFormatting>
  <conditionalFormatting sqref="D159:BG159">
    <cfRule type="expression" dxfId="4" priority="809">
      <formula>$N$14&lt;&gt;"Y"</formula>
    </cfRule>
  </conditionalFormatting>
  <conditionalFormatting sqref="D16">
    <cfRule type="cellIs" dxfId="2" priority="313" operator="equal">
      <formula>"Y"</formula>
    </cfRule>
    <cfRule type="cellIs" dxfId="3" priority="314" operator="equal">
      <formula>"N"</formula>
    </cfRule>
  </conditionalFormatting>
  <conditionalFormatting sqref="D160:BG160">
    <cfRule type="expression" dxfId="4" priority="812">
      <formula>$O$14&lt;&gt;"Y"</formula>
    </cfRule>
  </conditionalFormatting>
  <conditionalFormatting sqref="D161:BG161">
    <cfRule type="expression" dxfId="4" priority="815">
      <formula>$B$15&lt;&gt;"Y"</formula>
    </cfRule>
  </conditionalFormatting>
  <conditionalFormatting sqref="D162:BG162">
    <cfRule type="expression" dxfId="4" priority="818">
      <formula>$C$15&lt;&gt;"Y"</formula>
    </cfRule>
  </conditionalFormatting>
  <conditionalFormatting sqref="D163:BG163">
    <cfRule type="expression" dxfId="4" priority="821">
      <formula>$D$15&lt;&gt;"Y"</formula>
    </cfRule>
  </conditionalFormatting>
  <conditionalFormatting sqref="D164:BG164">
    <cfRule type="expression" dxfId="4" priority="824">
      <formula>$E$15&lt;&gt;"Y"</formula>
    </cfRule>
  </conditionalFormatting>
  <conditionalFormatting sqref="D165:BG165">
    <cfRule type="expression" dxfId="4" priority="827">
      <formula>$F$15&lt;&gt;"Y"</formula>
    </cfRule>
  </conditionalFormatting>
  <conditionalFormatting sqref="D166:BG166">
    <cfRule type="expression" dxfId="4" priority="830">
      <formula>$G$15&lt;&gt;"Y"</formula>
    </cfRule>
  </conditionalFormatting>
  <conditionalFormatting sqref="D167:BG167">
    <cfRule type="expression" dxfId="4" priority="833">
      <formula>$H$15&lt;&gt;"Y"</formula>
    </cfRule>
  </conditionalFormatting>
  <conditionalFormatting sqref="D168:BG168">
    <cfRule type="expression" dxfId="4" priority="836">
      <formula>$I$15&lt;&gt;"Y"</formula>
    </cfRule>
  </conditionalFormatting>
  <conditionalFormatting sqref="D169:BG169">
    <cfRule type="expression" dxfId="4" priority="839">
      <formula>$J$15&lt;&gt;"Y"</formula>
    </cfRule>
  </conditionalFormatting>
  <conditionalFormatting sqref="D17">
    <cfRule type="cellIs" dxfId="2" priority="341" operator="equal">
      <formula>"Y"</formula>
    </cfRule>
    <cfRule type="cellIs" dxfId="3" priority="342" operator="equal">
      <formula>"N"</formula>
    </cfRule>
  </conditionalFormatting>
  <conditionalFormatting sqref="D170:BG170">
    <cfRule type="expression" dxfId="4" priority="842">
      <formula>$K$15&lt;&gt;"Y"</formula>
    </cfRule>
  </conditionalFormatting>
  <conditionalFormatting sqref="D171:BG171">
    <cfRule type="expression" dxfId="4" priority="845">
      <formula>$L$15&lt;&gt;"Y"</formula>
    </cfRule>
  </conditionalFormatting>
  <conditionalFormatting sqref="D172:BG172">
    <cfRule type="expression" dxfId="4" priority="848">
      <formula>$M$15&lt;&gt;"Y"</formula>
    </cfRule>
  </conditionalFormatting>
  <conditionalFormatting sqref="D173:BG173">
    <cfRule type="expression" dxfId="4" priority="851">
      <formula>$N$15&lt;&gt;"Y"</formula>
    </cfRule>
  </conditionalFormatting>
  <conditionalFormatting sqref="D174:BG174">
    <cfRule type="expression" dxfId="4" priority="854">
      <formula>$O$15&lt;&gt;"Y"</formula>
    </cfRule>
  </conditionalFormatting>
  <conditionalFormatting sqref="D175:BG175">
    <cfRule type="expression" dxfId="4" priority="857">
      <formula>$B$16&lt;&gt;"Y"</formula>
    </cfRule>
  </conditionalFormatting>
  <conditionalFormatting sqref="D176:BG176">
    <cfRule type="expression" dxfId="4" priority="860">
      <formula>$C$16&lt;&gt;"Y"</formula>
    </cfRule>
  </conditionalFormatting>
  <conditionalFormatting sqref="D177:BG177">
    <cfRule type="expression" dxfId="4" priority="863">
      <formula>$D$16&lt;&gt;"Y"</formula>
    </cfRule>
  </conditionalFormatting>
  <conditionalFormatting sqref="D178:BG178">
    <cfRule type="expression" dxfId="4" priority="866">
      <formula>$E$16&lt;&gt;"Y"</formula>
    </cfRule>
  </conditionalFormatting>
  <conditionalFormatting sqref="D179:BG179">
    <cfRule type="expression" dxfId="4" priority="869">
      <formula>$F$16&lt;&gt;"Y"</formula>
    </cfRule>
  </conditionalFormatting>
  <conditionalFormatting sqref="D18">
    <cfRule type="cellIs" dxfId="2" priority="369" operator="equal">
      <formula>"Y"</formula>
    </cfRule>
    <cfRule type="cellIs" dxfId="3" priority="370" operator="equal">
      <formula>"N"</formula>
    </cfRule>
  </conditionalFormatting>
  <conditionalFormatting sqref="D180:BG180">
    <cfRule type="expression" dxfId="4" priority="872">
      <formula>$G$16&lt;&gt;"Y"</formula>
    </cfRule>
  </conditionalFormatting>
  <conditionalFormatting sqref="D181:BG181">
    <cfRule type="expression" dxfId="4" priority="875">
      <formula>$H$16&lt;&gt;"Y"</formula>
    </cfRule>
  </conditionalFormatting>
  <conditionalFormatting sqref="D182:BG182">
    <cfRule type="expression" dxfId="4" priority="878">
      <formula>$I$16&lt;&gt;"Y"</formula>
    </cfRule>
  </conditionalFormatting>
  <conditionalFormatting sqref="D183:BG183">
    <cfRule type="expression" dxfId="4" priority="881">
      <formula>$J$16&lt;&gt;"Y"</formula>
    </cfRule>
  </conditionalFormatting>
  <conditionalFormatting sqref="D184:BG184">
    <cfRule type="expression" dxfId="4" priority="884">
      <formula>$K$16&lt;&gt;"Y"</formula>
    </cfRule>
  </conditionalFormatting>
  <conditionalFormatting sqref="D185:BG185">
    <cfRule type="expression" dxfId="4" priority="887">
      <formula>$L$16&lt;&gt;"Y"</formula>
    </cfRule>
  </conditionalFormatting>
  <conditionalFormatting sqref="D186:BG186">
    <cfRule type="expression" dxfId="4" priority="890">
      <formula>$M$16&lt;&gt;"Y"</formula>
    </cfRule>
  </conditionalFormatting>
  <conditionalFormatting sqref="D187:BG187">
    <cfRule type="expression" dxfId="4" priority="893">
      <formula>$N$16&lt;&gt;"Y"</formula>
    </cfRule>
  </conditionalFormatting>
  <conditionalFormatting sqref="D188:BG188">
    <cfRule type="expression" dxfId="4" priority="896">
      <formula>$O$16&lt;&gt;"Y"</formula>
    </cfRule>
  </conditionalFormatting>
  <conditionalFormatting sqref="D189:BG189">
    <cfRule type="expression" dxfId="4" priority="899">
      <formula>$B$17&lt;&gt;"Y"</formula>
    </cfRule>
  </conditionalFormatting>
  <conditionalFormatting sqref="D190:BG190">
    <cfRule type="expression" dxfId="4" priority="902">
      <formula>$C$17&lt;&gt;"Y"</formula>
    </cfRule>
  </conditionalFormatting>
  <conditionalFormatting sqref="D191:BG191">
    <cfRule type="expression" dxfId="4" priority="905">
      <formula>$D$17&lt;&gt;"Y"</formula>
    </cfRule>
  </conditionalFormatting>
  <conditionalFormatting sqref="D192:BG192">
    <cfRule type="expression" dxfId="4" priority="908">
      <formula>$E$17&lt;&gt;"Y"</formula>
    </cfRule>
  </conditionalFormatting>
  <conditionalFormatting sqref="D193:BG193">
    <cfRule type="expression" dxfId="4" priority="911">
      <formula>$F$17&lt;&gt;"Y"</formula>
    </cfRule>
  </conditionalFormatting>
  <conditionalFormatting sqref="D194:BG194">
    <cfRule type="expression" dxfId="4" priority="914">
      <formula>$G$17&lt;&gt;"Y"</formula>
    </cfRule>
  </conditionalFormatting>
  <conditionalFormatting sqref="D195:BG195">
    <cfRule type="expression" dxfId="4" priority="917">
      <formula>$H$17&lt;&gt;"Y"</formula>
    </cfRule>
  </conditionalFormatting>
  <conditionalFormatting sqref="D196:BG196">
    <cfRule type="expression" dxfId="4" priority="920">
      <formula>$I$17&lt;&gt;"Y"</formula>
    </cfRule>
  </conditionalFormatting>
  <conditionalFormatting sqref="D197:BG197">
    <cfRule type="expression" dxfId="4" priority="923">
      <formula>$J$17&lt;&gt;"Y"</formula>
    </cfRule>
  </conditionalFormatting>
  <conditionalFormatting sqref="D198:BG198">
    <cfRule type="expression" dxfId="4" priority="926">
      <formula>$K$17&lt;&gt;"Y"</formula>
    </cfRule>
  </conditionalFormatting>
  <conditionalFormatting sqref="D199:BG199">
    <cfRule type="expression" dxfId="4" priority="929">
      <formula>$L$17&lt;&gt;"Y"</formula>
    </cfRule>
  </conditionalFormatting>
  <conditionalFormatting sqref="D200:BG200">
    <cfRule type="expression" dxfId="4" priority="932">
      <formula>$M$17&lt;&gt;"Y"</formula>
    </cfRule>
  </conditionalFormatting>
  <conditionalFormatting sqref="D201:BG201">
    <cfRule type="expression" dxfId="4" priority="935">
      <formula>$N$17&lt;&gt;"Y"</formula>
    </cfRule>
  </conditionalFormatting>
  <conditionalFormatting sqref="D202:BG202">
    <cfRule type="expression" dxfId="4" priority="938">
      <formula>$O$17&lt;&gt;"Y"</formula>
    </cfRule>
  </conditionalFormatting>
  <conditionalFormatting sqref="D203:BG203">
    <cfRule type="expression" dxfId="4" priority="941">
      <formula>$B$18&lt;&gt;"Y"</formula>
    </cfRule>
  </conditionalFormatting>
  <conditionalFormatting sqref="D204:BG204">
    <cfRule type="expression" dxfId="4" priority="944">
      <formula>$C$18&lt;&gt;"Y"</formula>
    </cfRule>
  </conditionalFormatting>
  <conditionalFormatting sqref="D205:BG205">
    <cfRule type="expression" dxfId="4" priority="947">
      <formula>$D$18&lt;&gt;"Y"</formula>
    </cfRule>
  </conditionalFormatting>
  <conditionalFormatting sqref="D206:BG206">
    <cfRule type="expression" dxfId="4" priority="950">
      <formula>$E$18&lt;&gt;"Y"</formula>
    </cfRule>
  </conditionalFormatting>
  <conditionalFormatting sqref="D207:BG207">
    <cfRule type="expression" dxfId="4" priority="953">
      <formula>$F$18&lt;&gt;"Y"</formula>
    </cfRule>
  </conditionalFormatting>
  <conditionalFormatting sqref="D208:BG208">
    <cfRule type="expression" dxfId="4" priority="956">
      <formula>$G$18&lt;&gt;"Y"</formula>
    </cfRule>
  </conditionalFormatting>
  <conditionalFormatting sqref="D209:BG209">
    <cfRule type="expression" dxfId="4" priority="959">
      <formula>$H$18&lt;&gt;"Y"</formula>
    </cfRule>
  </conditionalFormatting>
  <conditionalFormatting sqref="D210:BG210">
    <cfRule type="expression" dxfId="4" priority="962">
      <formula>$I$18&lt;&gt;"Y"</formula>
    </cfRule>
  </conditionalFormatting>
  <conditionalFormatting sqref="D211:BG211">
    <cfRule type="expression" dxfId="4" priority="965">
      <formula>$J$18&lt;&gt;"Y"</formula>
    </cfRule>
  </conditionalFormatting>
  <conditionalFormatting sqref="D212:BG212">
    <cfRule type="expression" dxfId="4" priority="968">
      <formula>$K$18&lt;&gt;"Y"</formula>
    </cfRule>
  </conditionalFormatting>
  <conditionalFormatting sqref="D213:BG213">
    <cfRule type="expression" dxfId="4" priority="971">
      <formula>$L$18&lt;&gt;"Y"</formula>
    </cfRule>
  </conditionalFormatting>
  <conditionalFormatting sqref="D214:BG214">
    <cfRule type="expression" dxfId="4" priority="974">
      <formula>$M$18&lt;&gt;"Y"</formula>
    </cfRule>
  </conditionalFormatting>
  <conditionalFormatting sqref="D215:BG215">
    <cfRule type="expression" dxfId="4" priority="977">
      <formula>$N$18&lt;&gt;"Y"</formula>
    </cfRule>
  </conditionalFormatting>
  <conditionalFormatting sqref="D216:BG216">
    <cfRule type="expression" dxfId="4" priority="980">
      <formula>$O$18&lt;&gt;"Y"</formula>
    </cfRule>
  </conditionalFormatting>
  <conditionalFormatting sqref="D21:BG21">
    <cfRule type="expression" dxfId="4" priority="395">
      <formula>$B$5&lt;&gt;"Y"</formula>
    </cfRule>
  </conditionalFormatting>
  <conditionalFormatting sqref="D222">
    <cfRule type="cellIs" dxfId="2" priority="985" operator="equal">
      <formula>"Y"</formula>
    </cfRule>
    <cfRule type="cellIs" dxfId="3" priority="986" operator="equal">
      <formula>"N"</formula>
    </cfRule>
  </conditionalFormatting>
  <conditionalFormatting sqref="D223">
    <cfRule type="cellIs" dxfId="2" priority="1013" operator="equal">
      <formula>"Y"</formula>
    </cfRule>
    <cfRule type="cellIs" dxfId="3" priority="1014" operator="equal">
      <formula>"N"</formula>
    </cfRule>
  </conditionalFormatting>
  <conditionalFormatting sqref="D224">
    <cfRule type="cellIs" dxfId="2" priority="1041" operator="equal">
      <formula>"Y"</formula>
    </cfRule>
    <cfRule type="cellIs" dxfId="3" priority="1042" operator="equal">
      <formula>"N"</formula>
    </cfRule>
  </conditionalFormatting>
  <conditionalFormatting sqref="D225">
    <cfRule type="cellIs" dxfId="2" priority="1069" operator="equal">
      <formula>"Y"</formula>
    </cfRule>
    <cfRule type="cellIs" dxfId="3" priority="1070" operator="equal">
      <formula>"N"</formula>
    </cfRule>
  </conditionalFormatting>
  <conditionalFormatting sqref="D226">
    <cfRule type="cellIs" dxfId="2" priority="1097" operator="equal">
      <formula>"Y"</formula>
    </cfRule>
    <cfRule type="cellIs" dxfId="3" priority="1098" operator="equal">
      <formula>"N"</formula>
    </cfRule>
  </conditionalFormatting>
  <conditionalFormatting sqref="D227">
    <cfRule type="cellIs" dxfId="2" priority="1125" operator="equal">
      <formula>"Y"</formula>
    </cfRule>
    <cfRule type="cellIs" dxfId="3" priority="1126" operator="equal">
      <formula>"N"</formula>
    </cfRule>
  </conditionalFormatting>
  <conditionalFormatting sqref="D228">
    <cfRule type="cellIs" dxfId="2" priority="1153" operator="equal">
      <formula>"Y"</formula>
    </cfRule>
    <cfRule type="cellIs" dxfId="3" priority="1154" operator="equal">
      <formula>"N"</formula>
    </cfRule>
  </conditionalFormatting>
  <conditionalFormatting sqref="D229">
    <cfRule type="cellIs" dxfId="2" priority="1181" operator="equal">
      <formula>"Y"</formula>
    </cfRule>
    <cfRule type="cellIs" dxfId="3" priority="1182" operator="equal">
      <formula>"N"</formula>
    </cfRule>
  </conditionalFormatting>
  <conditionalFormatting sqref="D22:BG22">
    <cfRule type="expression" dxfId="4" priority="398">
      <formula>$C$5&lt;&gt;"Y"</formula>
    </cfRule>
  </conditionalFormatting>
  <conditionalFormatting sqref="D230">
    <cfRule type="cellIs" dxfId="2" priority="1209" operator="equal">
      <formula>"Y"</formula>
    </cfRule>
    <cfRule type="cellIs" dxfId="3" priority="1210" operator="equal">
      <formula>"N"</formula>
    </cfRule>
  </conditionalFormatting>
  <conditionalFormatting sqref="D231">
    <cfRule type="cellIs" dxfId="2" priority="1237" operator="equal">
      <formula>"Y"</formula>
    </cfRule>
    <cfRule type="cellIs" dxfId="3" priority="1238" operator="equal">
      <formula>"N"</formula>
    </cfRule>
  </conditionalFormatting>
  <conditionalFormatting sqref="D232">
    <cfRule type="cellIs" dxfId="2" priority="1265" operator="equal">
      <formula>"Y"</formula>
    </cfRule>
    <cfRule type="cellIs" dxfId="3" priority="1266" operator="equal">
      <formula>"N"</formula>
    </cfRule>
  </conditionalFormatting>
  <conditionalFormatting sqref="D233">
    <cfRule type="cellIs" dxfId="2" priority="1293" operator="equal">
      <formula>"Y"</formula>
    </cfRule>
    <cfRule type="cellIs" dxfId="3" priority="1294" operator="equal">
      <formula>"N"</formula>
    </cfRule>
  </conditionalFormatting>
  <conditionalFormatting sqref="D234">
    <cfRule type="cellIs" dxfId="2" priority="1321" operator="equal">
      <formula>"Y"</formula>
    </cfRule>
    <cfRule type="cellIs" dxfId="3" priority="1322" operator="equal">
      <formula>"N"</formula>
    </cfRule>
  </conditionalFormatting>
  <conditionalFormatting sqref="D235">
    <cfRule type="cellIs" dxfId="2" priority="1349" operator="equal">
      <formula>"Y"</formula>
    </cfRule>
    <cfRule type="cellIs" dxfId="3" priority="1350" operator="equal">
      <formula>"N"</formula>
    </cfRule>
  </conditionalFormatting>
  <conditionalFormatting sqref="D238:BG238">
    <cfRule type="expression" dxfId="4" priority="1375">
      <formula>$B$222&lt;&gt;"Y"</formula>
    </cfRule>
  </conditionalFormatting>
  <conditionalFormatting sqref="D239:BG239">
    <cfRule type="expression" dxfId="4" priority="1378">
      <formula>$C$222&lt;&gt;"Y"</formula>
    </cfRule>
  </conditionalFormatting>
  <conditionalFormatting sqref="D23:BG23">
    <cfRule type="expression" dxfId="4" priority="401">
      <formula>$D$5&lt;&gt;"Y"</formula>
    </cfRule>
  </conditionalFormatting>
  <conditionalFormatting sqref="D240:BG240">
    <cfRule type="expression" dxfId="4" priority="1381">
      <formula>$D$222&lt;&gt;"Y"</formula>
    </cfRule>
  </conditionalFormatting>
  <conditionalFormatting sqref="D241:BG241">
    <cfRule type="expression" dxfId="4" priority="1384">
      <formula>$E$222&lt;&gt;"Y"</formula>
    </cfRule>
  </conditionalFormatting>
  <conditionalFormatting sqref="D242:BG242">
    <cfRule type="expression" dxfId="4" priority="1387">
      <formula>$F$222&lt;&gt;"Y"</formula>
    </cfRule>
  </conditionalFormatting>
  <conditionalFormatting sqref="D243:BG243">
    <cfRule type="expression" dxfId="4" priority="1390">
      <formula>$G$222&lt;&gt;"Y"</formula>
    </cfRule>
  </conditionalFormatting>
  <conditionalFormatting sqref="D244:BG244">
    <cfRule type="expression" dxfId="4" priority="1393">
      <formula>$H$222&lt;&gt;"Y"</formula>
    </cfRule>
  </conditionalFormatting>
  <conditionalFormatting sqref="D245:BG245">
    <cfRule type="expression" dxfId="4" priority="1396">
      <formula>$I$222&lt;&gt;"Y"</formula>
    </cfRule>
  </conditionalFormatting>
  <conditionalFormatting sqref="D246:BG246">
    <cfRule type="expression" dxfId="4" priority="1399">
      <formula>$J$222&lt;&gt;"Y"</formula>
    </cfRule>
  </conditionalFormatting>
  <conditionalFormatting sqref="D247:BG247">
    <cfRule type="expression" dxfId="4" priority="1402">
      <formula>$K$222&lt;&gt;"Y"</formula>
    </cfRule>
  </conditionalFormatting>
  <conditionalFormatting sqref="D248:BG248">
    <cfRule type="expression" dxfId="4" priority="1405">
      <formula>$L$222&lt;&gt;"Y"</formula>
    </cfRule>
  </conditionalFormatting>
  <conditionalFormatting sqref="D249:BG249">
    <cfRule type="expression" dxfId="4" priority="1408">
      <formula>$M$222&lt;&gt;"Y"</formula>
    </cfRule>
  </conditionalFormatting>
  <conditionalFormatting sqref="D24:BG24">
    <cfRule type="expression" dxfId="4" priority="404">
      <formula>$E$5&lt;&gt;"Y"</formula>
    </cfRule>
  </conditionalFormatting>
  <conditionalFormatting sqref="D250:BG250">
    <cfRule type="expression" dxfId="4" priority="1411">
      <formula>$N$222&lt;&gt;"Y"</formula>
    </cfRule>
  </conditionalFormatting>
  <conditionalFormatting sqref="D251:BG251">
    <cfRule type="expression" dxfId="4" priority="1414">
      <formula>$O$222&lt;&gt;"Y"</formula>
    </cfRule>
  </conditionalFormatting>
  <conditionalFormatting sqref="D252:BG252">
    <cfRule type="expression" dxfId="4" priority="1417">
      <formula>$B$223&lt;&gt;"Y"</formula>
    </cfRule>
  </conditionalFormatting>
  <conditionalFormatting sqref="D253:BG253">
    <cfRule type="expression" dxfId="4" priority="1420">
      <formula>$C$223&lt;&gt;"Y"</formula>
    </cfRule>
  </conditionalFormatting>
  <conditionalFormatting sqref="D254:BG254">
    <cfRule type="expression" dxfId="4" priority="1423">
      <formula>$D$223&lt;&gt;"Y"</formula>
    </cfRule>
  </conditionalFormatting>
  <conditionalFormatting sqref="D255:BG255">
    <cfRule type="expression" dxfId="4" priority="1426">
      <formula>$E$223&lt;&gt;"Y"</formula>
    </cfRule>
  </conditionalFormatting>
  <conditionalFormatting sqref="D256:BG256">
    <cfRule type="expression" dxfId="4" priority="1429">
      <formula>$F$223&lt;&gt;"Y"</formula>
    </cfRule>
  </conditionalFormatting>
  <conditionalFormatting sqref="D257:BG257">
    <cfRule type="expression" dxfId="4" priority="1432">
      <formula>$G$223&lt;&gt;"Y"</formula>
    </cfRule>
  </conditionalFormatting>
  <conditionalFormatting sqref="D258:BG258">
    <cfRule type="expression" dxfId="4" priority="1435">
      <formula>$H$223&lt;&gt;"Y"</formula>
    </cfRule>
  </conditionalFormatting>
  <conditionalFormatting sqref="D259:BG259">
    <cfRule type="expression" dxfId="4" priority="1438">
      <formula>$I$223&lt;&gt;"Y"</formula>
    </cfRule>
  </conditionalFormatting>
  <conditionalFormatting sqref="D25:BG25">
    <cfRule type="expression" dxfId="4" priority="407">
      <formula>$F$5&lt;&gt;"Y"</formula>
    </cfRule>
  </conditionalFormatting>
  <conditionalFormatting sqref="D260:BG260">
    <cfRule type="expression" dxfId="4" priority="1441">
      <formula>$J$223&lt;&gt;"Y"</formula>
    </cfRule>
  </conditionalFormatting>
  <conditionalFormatting sqref="D261:BG261">
    <cfRule type="expression" dxfId="4" priority="1444">
      <formula>$K$223&lt;&gt;"Y"</formula>
    </cfRule>
  </conditionalFormatting>
  <conditionalFormatting sqref="D262:BG262">
    <cfRule type="expression" dxfId="4" priority="1447">
      <formula>$L$223&lt;&gt;"Y"</formula>
    </cfRule>
  </conditionalFormatting>
  <conditionalFormatting sqref="D263:BG263">
    <cfRule type="expression" dxfId="4" priority="1450">
      <formula>$M$223&lt;&gt;"Y"</formula>
    </cfRule>
  </conditionalFormatting>
  <conditionalFormatting sqref="D264:BG264">
    <cfRule type="expression" dxfId="4" priority="1453">
      <formula>$N$223&lt;&gt;"Y"</formula>
    </cfRule>
  </conditionalFormatting>
  <conditionalFormatting sqref="D265:BG265">
    <cfRule type="expression" dxfId="4" priority="1456">
      <formula>$O$223&lt;&gt;"Y"</formula>
    </cfRule>
  </conditionalFormatting>
  <conditionalFormatting sqref="D266:BG266">
    <cfRule type="expression" dxfId="4" priority="1459">
      <formula>$B$224&lt;&gt;"Y"</formula>
    </cfRule>
  </conditionalFormatting>
  <conditionalFormatting sqref="D267:BG267">
    <cfRule type="expression" dxfId="4" priority="1462">
      <formula>$C$224&lt;&gt;"Y"</formula>
    </cfRule>
  </conditionalFormatting>
  <conditionalFormatting sqref="D268:BG268">
    <cfRule type="expression" dxfId="4" priority="1465">
      <formula>$D$224&lt;&gt;"Y"</formula>
    </cfRule>
  </conditionalFormatting>
  <conditionalFormatting sqref="D269:BG269">
    <cfRule type="expression" dxfId="4" priority="1468">
      <formula>$E$224&lt;&gt;"Y"</formula>
    </cfRule>
  </conditionalFormatting>
  <conditionalFormatting sqref="D26:BG26">
    <cfRule type="expression" dxfId="4" priority="410">
      <formula>$G$5&lt;&gt;"Y"</formula>
    </cfRule>
  </conditionalFormatting>
  <conditionalFormatting sqref="D270:BG270">
    <cfRule type="expression" dxfId="4" priority="1471">
      <formula>$F$224&lt;&gt;"Y"</formula>
    </cfRule>
  </conditionalFormatting>
  <conditionalFormatting sqref="D271:BG271">
    <cfRule type="expression" dxfId="4" priority="1474">
      <formula>$G$224&lt;&gt;"Y"</formula>
    </cfRule>
  </conditionalFormatting>
  <conditionalFormatting sqref="D272:BG272">
    <cfRule type="expression" dxfId="4" priority="1477">
      <formula>$H$224&lt;&gt;"Y"</formula>
    </cfRule>
  </conditionalFormatting>
  <conditionalFormatting sqref="D273:BG273">
    <cfRule type="expression" dxfId="4" priority="1480">
      <formula>$I$224&lt;&gt;"Y"</formula>
    </cfRule>
  </conditionalFormatting>
  <conditionalFormatting sqref="D274:BG274">
    <cfRule type="expression" dxfId="4" priority="1483">
      <formula>$J$224&lt;&gt;"Y"</formula>
    </cfRule>
  </conditionalFormatting>
  <conditionalFormatting sqref="D275:BG275">
    <cfRule type="expression" dxfId="4" priority="1486">
      <formula>$K$224&lt;&gt;"Y"</formula>
    </cfRule>
  </conditionalFormatting>
  <conditionalFormatting sqref="D276:BG276">
    <cfRule type="expression" dxfId="4" priority="1489">
      <formula>$L$224&lt;&gt;"Y"</formula>
    </cfRule>
  </conditionalFormatting>
  <conditionalFormatting sqref="D277:BG277">
    <cfRule type="expression" dxfId="4" priority="1492">
      <formula>$M$224&lt;&gt;"Y"</formula>
    </cfRule>
  </conditionalFormatting>
  <conditionalFormatting sqref="D278:BG278">
    <cfRule type="expression" dxfId="4" priority="1495">
      <formula>$N$224&lt;&gt;"Y"</formula>
    </cfRule>
  </conditionalFormatting>
  <conditionalFormatting sqref="D279:BG279">
    <cfRule type="expression" dxfId="4" priority="1498">
      <formula>$O$224&lt;&gt;"Y"</formula>
    </cfRule>
  </conditionalFormatting>
  <conditionalFormatting sqref="D27:BG27">
    <cfRule type="expression" dxfId="4" priority="413">
      <formula>$H$5&lt;&gt;"Y"</formula>
    </cfRule>
  </conditionalFormatting>
  <conditionalFormatting sqref="D280:BG280">
    <cfRule type="expression" dxfId="4" priority="1501">
      <formula>$B$225&lt;&gt;"Y"</formula>
    </cfRule>
  </conditionalFormatting>
  <conditionalFormatting sqref="D281:BG281">
    <cfRule type="expression" dxfId="4" priority="1504">
      <formula>$C$225&lt;&gt;"Y"</formula>
    </cfRule>
  </conditionalFormatting>
  <conditionalFormatting sqref="D282:BG282">
    <cfRule type="expression" dxfId="4" priority="1507">
      <formula>$D$225&lt;&gt;"Y"</formula>
    </cfRule>
  </conditionalFormatting>
  <conditionalFormatting sqref="D283:BG283">
    <cfRule type="expression" dxfId="4" priority="1510">
      <formula>$E$225&lt;&gt;"Y"</formula>
    </cfRule>
  </conditionalFormatting>
  <conditionalFormatting sqref="D284:BG284">
    <cfRule type="expression" dxfId="4" priority="1513">
      <formula>$F$225&lt;&gt;"Y"</formula>
    </cfRule>
  </conditionalFormatting>
  <conditionalFormatting sqref="D285:BG285">
    <cfRule type="expression" dxfId="4" priority="1516">
      <formula>$G$225&lt;&gt;"Y"</formula>
    </cfRule>
  </conditionalFormatting>
  <conditionalFormatting sqref="D286:BG286">
    <cfRule type="expression" dxfId="4" priority="1519">
      <formula>$H$225&lt;&gt;"Y"</formula>
    </cfRule>
  </conditionalFormatting>
  <conditionalFormatting sqref="D287:BG287">
    <cfRule type="expression" dxfId="4" priority="1522">
      <formula>$I$225&lt;&gt;"Y"</formula>
    </cfRule>
  </conditionalFormatting>
  <conditionalFormatting sqref="D288:BG288">
    <cfRule type="expression" dxfId="4" priority="1525">
      <formula>$J$225&lt;&gt;"Y"</formula>
    </cfRule>
  </conditionalFormatting>
  <conditionalFormatting sqref="D289:BG289">
    <cfRule type="expression" dxfId="4" priority="1528">
      <formula>$K$225&lt;&gt;"Y"</formula>
    </cfRule>
  </conditionalFormatting>
  <conditionalFormatting sqref="D28:BG28">
    <cfRule type="expression" dxfId="4" priority="416">
      <formula>$I$5&lt;&gt;"Y"</formula>
    </cfRule>
  </conditionalFormatting>
  <conditionalFormatting sqref="D290:BG290">
    <cfRule type="expression" dxfId="4" priority="1531">
      <formula>$L$225&lt;&gt;"Y"</formula>
    </cfRule>
  </conditionalFormatting>
  <conditionalFormatting sqref="D291:BG291">
    <cfRule type="expression" dxfId="4" priority="1534">
      <formula>$M$225&lt;&gt;"Y"</formula>
    </cfRule>
  </conditionalFormatting>
  <conditionalFormatting sqref="D292:BG292">
    <cfRule type="expression" dxfId="4" priority="1537">
      <formula>$N$225&lt;&gt;"Y"</formula>
    </cfRule>
  </conditionalFormatting>
  <conditionalFormatting sqref="D293:BG293">
    <cfRule type="expression" dxfId="4" priority="1540">
      <formula>$O$225&lt;&gt;"Y"</formula>
    </cfRule>
  </conditionalFormatting>
  <conditionalFormatting sqref="D294:BG294">
    <cfRule type="expression" dxfId="4" priority="1543">
      <formula>$B$226&lt;&gt;"Y"</formula>
    </cfRule>
  </conditionalFormatting>
  <conditionalFormatting sqref="D295:BG295">
    <cfRule type="expression" dxfId="4" priority="1546">
      <formula>$C$226&lt;&gt;"Y"</formula>
    </cfRule>
  </conditionalFormatting>
  <conditionalFormatting sqref="D296:BG296">
    <cfRule type="expression" dxfId="4" priority="1549">
      <formula>$D$226&lt;&gt;"Y"</formula>
    </cfRule>
  </conditionalFormatting>
  <conditionalFormatting sqref="D297:BG297">
    <cfRule type="expression" dxfId="4" priority="1552">
      <formula>$E$226&lt;&gt;"Y"</formula>
    </cfRule>
  </conditionalFormatting>
  <conditionalFormatting sqref="D298:BG298">
    <cfRule type="expression" dxfId="4" priority="1555">
      <formula>$F$226&lt;&gt;"Y"</formula>
    </cfRule>
  </conditionalFormatting>
  <conditionalFormatting sqref="D299:BG299">
    <cfRule type="expression" dxfId="4" priority="1558">
      <formula>$G$226&lt;&gt;"Y"</formula>
    </cfRule>
  </conditionalFormatting>
  <conditionalFormatting sqref="D29:BG29">
    <cfRule type="expression" dxfId="4" priority="419">
      <formula>$J$5&lt;&gt;"Y"</formula>
    </cfRule>
  </conditionalFormatting>
  <conditionalFormatting sqref="D300:BG300">
    <cfRule type="expression" dxfId="4" priority="1561">
      <formula>$H$226&lt;&gt;"Y"</formula>
    </cfRule>
  </conditionalFormatting>
  <conditionalFormatting sqref="D301:BG301">
    <cfRule type="expression" dxfId="4" priority="1564">
      <formula>$I$226&lt;&gt;"Y"</formula>
    </cfRule>
  </conditionalFormatting>
  <conditionalFormatting sqref="D302:BG302">
    <cfRule type="expression" dxfId="4" priority="1567">
      <formula>$J$226&lt;&gt;"Y"</formula>
    </cfRule>
  </conditionalFormatting>
  <conditionalFormatting sqref="D303:BG303">
    <cfRule type="expression" dxfId="4" priority="1570">
      <formula>$K$226&lt;&gt;"Y"</formula>
    </cfRule>
  </conditionalFormatting>
  <conditionalFormatting sqref="D304:BG304">
    <cfRule type="expression" dxfId="4" priority="1573">
      <formula>$L$226&lt;&gt;"Y"</formula>
    </cfRule>
  </conditionalFormatting>
  <conditionalFormatting sqref="D305:BG305">
    <cfRule type="expression" dxfId="4" priority="1576">
      <formula>$M$226&lt;&gt;"Y"</formula>
    </cfRule>
  </conditionalFormatting>
  <conditionalFormatting sqref="D306:BG306">
    <cfRule type="expression" dxfId="4" priority="1579">
      <formula>$N$226&lt;&gt;"Y"</formula>
    </cfRule>
  </conditionalFormatting>
  <conditionalFormatting sqref="D307:BG307">
    <cfRule type="expression" dxfId="4" priority="1582">
      <formula>$O$226&lt;&gt;"Y"</formula>
    </cfRule>
  </conditionalFormatting>
  <conditionalFormatting sqref="D308:BG308">
    <cfRule type="expression" dxfId="4" priority="1585">
      <formula>$B$227&lt;&gt;"Y"</formula>
    </cfRule>
  </conditionalFormatting>
  <conditionalFormatting sqref="D309:BG309">
    <cfRule type="expression" dxfId="4" priority="1588">
      <formula>$C$227&lt;&gt;"Y"</formula>
    </cfRule>
  </conditionalFormatting>
  <conditionalFormatting sqref="D30:BG30">
    <cfRule type="expression" dxfId="4" priority="422">
      <formula>$K$5&lt;&gt;"Y"</formula>
    </cfRule>
  </conditionalFormatting>
  <conditionalFormatting sqref="D310:BG310">
    <cfRule type="expression" dxfId="4" priority="1591">
      <formula>$D$227&lt;&gt;"Y"</formula>
    </cfRule>
  </conditionalFormatting>
  <conditionalFormatting sqref="D311:BG311">
    <cfRule type="expression" dxfId="4" priority="1594">
      <formula>$E$227&lt;&gt;"Y"</formula>
    </cfRule>
  </conditionalFormatting>
  <conditionalFormatting sqref="D312:BG312">
    <cfRule type="expression" dxfId="4" priority="1597">
      <formula>$F$227&lt;&gt;"Y"</formula>
    </cfRule>
  </conditionalFormatting>
  <conditionalFormatting sqref="D313:BG313">
    <cfRule type="expression" dxfId="4" priority="1600">
      <formula>$G$227&lt;&gt;"Y"</formula>
    </cfRule>
  </conditionalFormatting>
  <conditionalFormatting sqref="D314:BG314">
    <cfRule type="expression" dxfId="4" priority="1603">
      <formula>$H$227&lt;&gt;"Y"</formula>
    </cfRule>
  </conditionalFormatting>
  <conditionalFormatting sqref="D315:BG315">
    <cfRule type="expression" dxfId="4" priority="1606">
      <formula>$I$227&lt;&gt;"Y"</formula>
    </cfRule>
  </conditionalFormatting>
  <conditionalFormatting sqref="D316:BG316">
    <cfRule type="expression" dxfId="4" priority="1609">
      <formula>$J$227&lt;&gt;"Y"</formula>
    </cfRule>
  </conditionalFormatting>
  <conditionalFormatting sqref="D317:BG317">
    <cfRule type="expression" dxfId="4" priority="1612">
      <formula>$K$227&lt;&gt;"Y"</formula>
    </cfRule>
  </conditionalFormatting>
  <conditionalFormatting sqref="D318:BG318">
    <cfRule type="expression" dxfId="4" priority="1615">
      <formula>$L$227&lt;&gt;"Y"</formula>
    </cfRule>
  </conditionalFormatting>
  <conditionalFormatting sqref="D319:BG319">
    <cfRule type="expression" dxfId="4" priority="1618">
      <formula>$M$227&lt;&gt;"Y"</formula>
    </cfRule>
  </conditionalFormatting>
  <conditionalFormatting sqref="D31:BG31">
    <cfRule type="expression" dxfId="4" priority="425">
      <formula>$L$5&lt;&gt;"Y"</formula>
    </cfRule>
  </conditionalFormatting>
  <conditionalFormatting sqref="D320:BG320">
    <cfRule type="expression" dxfId="4" priority="1621">
      <formula>$N$227&lt;&gt;"Y"</formula>
    </cfRule>
  </conditionalFormatting>
  <conditionalFormatting sqref="D321:BG321">
    <cfRule type="expression" dxfId="4" priority="1624">
      <formula>$O$227&lt;&gt;"Y"</formula>
    </cfRule>
  </conditionalFormatting>
  <conditionalFormatting sqref="D322:BG322">
    <cfRule type="expression" dxfId="4" priority="1627">
      <formula>$B$228&lt;&gt;"Y"</formula>
    </cfRule>
  </conditionalFormatting>
  <conditionalFormatting sqref="D323:BG323">
    <cfRule type="expression" dxfId="4" priority="1630">
      <formula>$C$228&lt;&gt;"Y"</formula>
    </cfRule>
  </conditionalFormatting>
  <conditionalFormatting sqref="D324:BG324">
    <cfRule type="expression" dxfId="4" priority="1633">
      <formula>$D$228&lt;&gt;"Y"</formula>
    </cfRule>
  </conditionalFormatting>
  <conditionalFormatting sqref="D325:BG325">
    <cfRule type="expression" dxfId="4" priority="1636">
      <formula>$E$228&lt;&gt;"Y"</formula>
    </cfRule>
  </conditionalFormatting>
  <conditionalFormatting sqref="D326:BG326">
    <cfRule type="expression" dxfId="4" priority="1639">
      <formula>$F$228&lt;&gt;"Y"</formula>
    </cfRule>
  </conditionalFormatting>
  <conditionalFormatting sqref="D327:BG327">
    <cfRule type="expression" dxfId="4" priority="1642">
      <formula>$G$228&lt;&gt;"Y"</formula>
    </cfRule>
  </conditionalFormatting>
  <conditionalFormatting sqref="D328:BG328">
    <cfRule type="expression" dxfId="4" priority="1645">
      <formula>$H$228&lt;&gt;"Y"</formula>
    </cfRule>
  </conditionalFormatting>
  <conditionalFormatting sqref="D329:BG329">
    <cfRule type="expression" dxfId="4" priority="1648">
      <formula>$I$228&lt;&gt;"Y"</formula>
    </cfRule>
  </conditionalFormatting>
  <conditionalFormatting sqref="D32:BG32">
    <cfRule type="expression" dxfId="4" priority="428">
      <formula>$M$5&lt;&gt;"Y"</formula>
    </cfRule>
  </conditionalFormatting>
  <conditionalFormatting sqref="D330:BG330">
    <cfRule type="expression" dxfId="4" priority="1651">
      <formula>$J$228&lt;&gt;"Y"</formula>
    </cfRule>
  </conditionalFormatting>
  <conditionalFormatting sqref="D331:BG331">
    <cfRule type="expression" dxfId="4" priority="1654">
      <formula>$K$228&lt;&gt;"Y"</formula>
    </cfRule>
  </conditionalFormatting>
  <conditionalFormatting sqref="D332:BG332">
    <cfRule type="expression" dxfId="4" priority="1657">
      <formula>$L$228&lt;&gt;"Y"</formula>
    </cfRule>
  </conditionalFormatting>
  <conditionalFormatting sqref="D333:BG333">
    <cfRule type="expression" dxfId="4" priority="1660">
      <formula>$M$228&lt;&gt;"Y"</formula>
    </cfRule>
  </conditionalFormatting>
  <conditionalFormatting sqref="D334:BG334">
    <cfRule type="expression" dxfId="4" priority="1663">
      <formula>$N$228&lt;&gt;"Y"</formula>
    </cfRule>
  </conditionalFormatting>
  <conditionalFormatting sqref="D335:BG335">
    <cfRule type="expression" dxfId="4" priority="1666">
      <formula>$O$228&lt;&gt;"Y"</formula>
    </cfRule>
  </conditionalFormatting>
  <conditionalFormatting sqref="D336:BG336">
    <cfRule type="expression" dxfId="4" priority="1669">
      <formula>$B$229&lt;&gt;"Y"</formula>
    </cfRule>
  </conditionalFormatting>
  <conditionalFormatting sqref="D337:BG337">
    <cfRule type="expression" dxfId="4" priority="1672">
      <formula>$C$229&lt;&gt;"Y"</formula>
    </cfRule>
  </conditionalFormatting>
  <conditionalFormatting sqref="D338:BG338">
    <cfRule type="expression" dxfId="4" priority="1675">
      <formula>$D$229&lt;&gt;"Y"</formula>
    </cfRule>
  </conditionalFormatting>
  <conditionalFormatting sqref="D339:BG339">
    <cfRule type="expression" dxfId="4" priority="1678">
      <formula>$E$229&lt;&gt;"Y"</formula>
    </cfRule>
  </conditionalFormatting>
  <conditionalFormatting sqref="D33:BG33">
    <cfRule type="expression" dxfId="4" priority="431">
      <formula>$N$5&lt;&gt;"Y"</formula>
    </cfRule>
  </conditionalFormatting>
  <conditionalFormatting sqref="D340:BG340">
    <cfRule type="expression" dxfId="4" priority="1681">
      <formula>$F$229&lt;&gt;"Y"</formula>
    </cfRule>
  </conditionalFormatting>
  <conditionalFormatting sqref="D341:BG341">
    <cfRule type="expression" dxfId="4" priority="1684">
      <formula>$G$229&lt;&gt;"Y"</formula>
    </cfRule>
  </conditionalFormatting>
  <conditionalFormatting sqref="D342:BG342">
    <cfRule type="expression" dxfId="4" priority="1687">
      <formula>$H$229&lt;&gt;"Y"</formula>
    </cfRule>
  </conditionalFormatting>
  <conditionalFormatting sqref="D343:BG343">
    <cfRule type="expression" dxfId="4" priority="1690">
      <formula>$I$229&lt;&gt;"Y"</formula>
    </cfRule>
  </conditionalFormatting>
  <conditionalFormatting sqref="D344:BG344">
    <cfRule type="expression" dxfId="4" priority="1693">
      <formula>$J$229&lt;&gt;"Y"</formula>
    </cfRule>
  </conditionalFormatting>
  <conditionalFormatting sqref="D345:BG345">
    <cfRule type="expression" dxfId="4" priority="1696">
      <formula>$K$229&lt;&gt;"Y"</formula>
    </cfRule>
  </conditionalFormatting>
  <conditionalFormatting sqref="D346:BG346">
    <cfRule type="expression" dxfId="4" priority="1699">
      <formula>$L$229&lt;&gt;"Y"</formula>
    </cfRule>
  </conditionalFormatting>
  <conditionalFormatting sqref="D347:BG347">
    <cfRule type="expression" dxfId="4" priority="1702">
      <formula>$M$229&lt;&gt;"Y"</formula>
    </cfRule>
  </conditionalFormatting>
  <conditionalFormatting sqref="D348:BG348">
    <cfRule type="expression" dxfId="4" priority="1705">
      <formula>$N$229&lt;&gt;"Y"</formula>
    </cfRule>
  </conditionalFormatting>
  <conditionalFormatting sqref="D349:BG349">
    <cfRule type="expression" dxfId="4" priority="1708">
      <formula>$O$229&lt;&gt;"Y"</formula>
    </cfRule>
  </conditionalFormatting>
  <conditionalFormatting sqref="D34:BG34">
    <cfRule type="expression" dxfId="4" priority="434">
      <formula>$O$5&lt;&gt;"Y"</formula>
    </cfRule>
  </conditionalFormatting>
  <conditionalFormatting sqref="D350:BG350">
    <cfRule type="expression" dxfId="4" priority="1711">
      <formula>$B$230&lt;&gt;"Y"</formula>
    </cfRule>
  </conditionalFormatting>
  <conditionalFormatting sqref="D351:BG351">
    <cfRule type="expression" dxfId="4" priority="1714">
      <formula>$C$230&lt;&gt;"Y"</formula>
    </cfRule>
  </conditionalFormatting>
  <conditionalFormatting sqref="D352:BG352">
    <cfRule type="expression" dxfId="4" priority="1717">
      <formula>$D$230&lt;&gt;"Y"</formula>
    </cfRule>
  </conditionalFormatting>
  <conditionalFormatting sqref="D353:BG353">
    <cfRule type="expression" dxfId="4" priority="1720">
      <formula>$E$230&lt;&gt;"Y"</formula>
    </cfRule>
  </conditionalFormatting>
  <conditionalFormatting sqref="D354:BG354">
    <cfRule type="expression" dxfId="4" priority="1723">
      <formula>$F$230&lt;&gt;"Y"</formula>
    </cfRule>
  </conditionalFormatting>
  <conditionalFormatting sqref="D355:BG355">
    <cfRule type="expression" dxfId="4" priority="1726">
      <formula>$G$230&lt;&gt;"Y"</formula>
    </cfRule>
  </conditionalFormatting>
  <conditionalFormatting sqref="D356:BG356">
    <cfRule type="expression" dxfId="4" priority="1729">
      <formula>$H$230&lt;&gt;"Y"</formula>
    </cfRule>
  </conditionalFormatting>
  <conditionalFormatting sqref="D357:BG357">
    <cfRule type="expression" dxfId="4" priority="1732">
      <formula>$I$230&lt;&gt;"Y"</formula>
    </cfRule>
  </conditionalFormatting>
  <conditionalFormatting sqref="D358:BG358">
    <cfRule type="expression" dxfId="4" priority="1735">
      <formula>$J$230&lt;&gt;"Y"</formula>
    </cfRule>
  </conditionalFormatting>
  <conditionalFormatting sqref="D359:BG359">
    <cfRule type="expression" dxfId="4" priority="1738">
      <formula>$K$230&lt;&gt;"Y"</formula>
    </cfRule>
  </conditionalFormatting>
  <conditionalFormatting sqref="D35:BG35">
    <cfRule type="expression" dxfId="4" priority="437">
      <formula>$B$6&lt;&gt;"Y"</formula>
    </cfRule>
  </conditionalFormatting>
  <conditionalFormatting sqref="D360:BG360">
    <cfRule type="expression" dxfId="4" priority="1741">
      <formula>$L$230&lt;&gt;"Y"</formula>
    </cfRule>
  </conditionalFormatting>
  <conditionalFormatting sqref="D361:BG361">
    <cfRule type="expression" dxfId="4" priority="1744">
      <formula>$M$230&lt;&gt;"Y"</formula>
    </cfRule>
  </conditionalFormatting>
  <conditionalFormatting sqref="D362:BG362">
    <cfRule type="expression" dxfId="4" priority="1747">
      <formula>$N$230&lt;&gt;"Y"</formula>
    </cfRule>
  </conditionalFormatting>
  <conditionalFormatting sqref="D363:BG363">
    <cfRule type="expression" dxfId="4" priority="1750">
      <formula>$O$230&lt;&gt;"Y"</formula>
    </cfRule>
  </conditionalFormatting>
  <conditionalFormatting sqref="D364:BG364">
    <cfRule type="expression" dxfId="4" priority="1753">
      <formula>$B$231&lt;&gt;"Y"</formula>
    </cfRule>
  </conditionalFormatting>
  <conditionalFormatting sqref="D365:BG365">
    <cfRule type="expression" dxfId="4" priority="1756">
      <formula>$C$231&lt;&gt;"Y"</formula>
    </cfRule>
  </conditionalFormatting>
  <conditionalFormatting sqref="D366:BG366">
    <cfRule type="expression" dxfId="4" priority="1759">
      <formula>$D$231&lt;&gt;"Y"</formula>
    </cfRule>
  </conditionalFormatting>
  <conditionalFormatting sqref="D367:BG367">
    <cfRule type="expression" dxfId="4" priority="1762">
      <formula>$E$231&lt;&gt;"Y"</formula>
    </cfRule>
  </conditionalFormatting>
  <conditionalFormatting sqref="D368:BG368">
    <cfRule type="expression" dxfId="4" priority="1765">
      <formula>$F$231&lt;&gt;"Y"</formula>
    </cfRule>
  </conditionalFormatting>
  <conditionalFormatting sqref="D369:BG369">
    <cfRule type="expression" dxfId="4" priority="1768">
      <formula>$G$231&lt;&gt;"Y"</formula>
    </cfRule>
  </conditionalFormatting>
  <conditionalFormatting sqref="D36:BG36">
    <cfRule type="expression" dxfId="4" priority="440">
      <formula>$C$6&lt;&gt;"Y"</formula>
    </cfRule>
  </conditionalFormatting>
  <conditionalFormatting sqref="D370:BG370">
    <cfRule type="expression" dxfId="4" priority="1771">
      <formula>$H$231&lt;&gt;"Y"</formula>
    </cfRule>
  </conditionalFormatting>
  <conditionalFormatting sqref="D371:BG371">
    <cfRule type="expression" dxfId="4" priority="1774">
      <formula>$I$231&lt;&gt;"Y"</formula>
    </cfRule>
  </conditionalFormatting>
  <conditionalFormatting sqref="D372:BG372">
    <cfRule type="expression" dxfId="4" priority="1777">
      <formula>$J$231&lt;&gt;"Y"</formula>
    </cfRule>
  </conditionalFormatting>
  <conditionalFormatting sqref="D373:BG373">
    <cfRule type="expression" dxfId="4" priority="1780">
      <formula>$K$231&lt;&gt;"Y"</formula>
    </cfRule>
  </conditionalFormatting>
  <conditionalFormatting sqref="D374:BG374">
    <cfRule type="expression" dxfId="4" priority="1783">
      <formula>$L$231&lt;&gt;"Y"</formula>
    </cfRule>
  </conditionalFormatting>
  <conditionalFormatting sqref="D375:BG375">
    <cfRule type="expression" dxfId="4" priority="1786">
      <formula>$M$231&lt;&gt;"Y"</formula>
    </cfRule>
  </conditionalFormatting>
  <conditionalFormatting sqref="D376:BG376">
    <cfRule type="expression" dxfId="4" priority="1789">
      <formula>$N$231&lt;&gt;"Y"</formula>
    </cfRule>
  </conditionalFormatting>
  <conditionalFormatting sqref="D377:BG377">
    <cfRule type="expression" dxfId="4" priority="1792">
      <formula>$O$231&lt;&gt;"Y"</formula>
    </cfRule>
  </conditionalFormatting>
  <conditionalFormatting sqref="D378:BG378">
    <cfRule type="expression" dxfId="4" priority="1795">
      <formula>$B$232&lt;&gt;"Y"</formula>
    </cfRule>
  </conditionalFormatting>
  <conditionalFormatting sqref="D379:BG379">
    <cfRule type="expression" dxfId="4" priority="1798">
      <formula>$C$232&lt;&gt;"Y"</formula>
    </cfRule>
  </conditionalFormatting>
  <conditionalFormatting sqref="D37:BG37">
    <cfRule type="expression" dxfId="4" priority="443">
      <formula>$D$6&lt;&gt;"Y"</formula>
    </cfRule>
  </conditionalFormatting>
  <conditionalFormatting sqref="D380:BG380">
    <cfRule type="expression" dxfId="4" priority="1801">
      <formula>$D$232&lt;&gt;"Y"</formula>
    </cfRule>
  </conditionalFormatting>
  <conditionalFormatting sqref="D381:BG381">
    <cfRule type="expression" dxfId="4" priority="1804">
      <formula>$E$232&lt;&gt;"Y"</formula>
    </cfRule>
  </conditionalFormatting>
  <conditionalFormatting sqref="D382:BG382">
    <cfRule type="expression" dxfId="4" priority="1807">
      <formula>$F$232&lt;&gt;"Y"</formula>
    </cfRule>
  </conditionalFormatting>
  <conditionalFormatting sqref="D383:BG383">
    <cfRule type="expression" dxfId="4" priority="1810">
      <formula>$G$232&lt;&gt;"Y"</formula>
    </cfRule>
  </conditionalFormatting>
  <conditionalFormatting sqref="D384:BG384">
    <cfRule type="expression" dxfId="4" priority="1813">
      <formula>$H$232&lt;&gt;"Y"</formula>
    </cfRule>
  </conditionalFormatting>
  <conditionalFormatting sqref="D385:BG385">
    <cfRule type="expression" dxfId="4" priority="1816">
      <formula>$I$232&lt;&gt;"Y"</formula>
    </cfRule>
  </conditionalFormatting>
  <conditionalFormatting sqref="D386:BG386">
    <cfRule type="expression" dxfId="4" priority="1819">
      <formula>$J$232&lt;&gt;"Y"</formula>
    </cfRule>
  </conditionalFormatting>
  <conditionalFormatting sqref="D387:BG387">
    <cfRule type="expression" dxfId="4" priority="1822">
      <formula>$K$232&lt;&gt;"Y"</formula>
    </cfRule>
  </conditionalFormatting>
  <conditionalFormatting sqref="D388:BG388">
    <cfRule type="expression" dxfId="4" priority="1825">
      <formula>$L$232&lt;&gt;"Y"</formula>
    </cfRule>
  </conditionalFormatting>
  <conditionalFormatting sqref="D389:BG389">
    <cfRule type="expression" dxfId="4" priority="1828">
      <formula>$M$232&lt;&gt;"Y"</formula>
    </cfRule>
  </conditionalFormatting>
  <conditionalFormatting sqref="D38:BG38">
    <cfRule type="expression" dxfId="4" priority="446">
      <formula>$E$6&lt;&gt;"Y"</formula>
    </cfRule>
  </conditionalFormatting>
  <conditionalFormatting sqref="D390:BG390">
    <cfRule type="expression" dxfId="4" priority="1831">
      <formula>$N$232&lt;&gt;"Y"</formula>
    </cfRule>
  </conditionalFormatting>
  <conditionalFormatting sqref="D391:BG391">
    <cfRule type="expression" dxfId="4" priority="1834">
      <formula>$O$232&lt;&gt;"Y"</formula>
    </cfRule>
  </conditionalFormatting>
  <conditionalFormatting sqref="D392:BG392">
    <cfRule type="expression" dxfId="4" priority="1837">
      <formula>$B$233&lt;&gt;"Y"</formula>
    </cfRule>
  </conditionalFormatting>
  <conditionalFormatting sqref="D393:BG393">
    <cfRule type="expression" dxfId="4" priority="1840">
      <formula>$C$233&lt;&gt;"Y"</formula>
    </cfRule>
  </conditionalFormatting>
  <conditionalFormatting sqref="D394:BG394">
    <cfRule type="expression" dxfId="4" priority="1843">
      <formula>$D$233&lt;&gt;"Y"</formula>
    </cfRule>
  </conditionalFormatting>
  <conditionalFormatting sqref="D395:BG395">
    <cfRule type="expression" dxfId="4" priority="1846">
      <formula>$E$233&lt;&gt;"Y"</formula>
    </cfRule>
  </conditionalFormatting>
  <conditionalFormatting sqref="D396:BG396">
    <cfRule type="expression" dxfId="4" priority="1849">
      <formula>$F$233&lt;&gt;"Y"</formula>
    </cfRule>
  </conditionalFormatting>
  <conditionalFormatting sqref="D397:BG397">
    <cfRule type="expression" dxfId="4" priority="1852">
      <formula>$G$233&lt;&gt;"Y"</formula>
    </cfRule>
  </conditionalFormatting>
  <conditionalFormatting sqref="D398:BG398">
    <cfRule type="expression" dxfId="4" priority="1855">
      <formula>$H$233&lt;&gt;"Y"</formula>
    </cfRule>
  </conditionalFormatting>
  <conditionalFormatting sqref="D399:BG399">
    <cfRule type="expression" dxfId="4" priority="1858">
      <formula>$I$233&lt;&gt;"Y"</formula>
    </cfRule>
  </conditionalFormatting>
  <conditionalFormatting sqref="D39:BG39">
    <cfRule type="expression" dxfId="4" priority="449">
      <formula>$F$6&lt;&gt;"Y"</formula>
    </cfRule>
  </conditionalFormatting>
  <conditionalFormatting sqref="D400:BG400">
    <cfRule type="expression" dxfId="4" priority="1861">
      <formula>$J$233&lt;&gt;"Y"</formula>
    </cfRule>
  </conditionalFormatting>
  <conditionalFormatting sqref="D401:BG401">
    <cfRule type="expression" dxfId="4" priority="1864">
      <formula>$K$233&lt;&gt;"Y"</formula>
    </cfRule>
  </conditionalFormatting>
  <conditionalFormatting sqref="D402:BG402">
    <cfRule type="expression" dxfId="4" priority="1867">
      <formula>$L$233&lt;&gt;"Y"</formula>
    </cfRule>
  </conditionalFormatting>
  <conditionalFormatting sqref="D403:BG403">
    <cfRule type="expression" dxfId="4" priority="1870">
      <formula>$M$233&lt;&gt;"Y"</formula>
    </cfRule>
  </conditionalFormatting>
  <conditionalFormatting sqref="D404:BG404">
    <cfRule type="expression" dxfId="4" priority="1873">
      <formula>$N$233&lt;&gt;"Y"</formula>
    </cfRule>
  </conditionalFormatting>
  <conditionalFormatting sqref="D405:BG405">
    <cfRule type="expression" dxfId="4" priority="1876">
      <formula>$O$233&lt;&gt;"Y"</formula>
    </cfRule>
  </conditionalFormatting>
  <conditionalFormatting sqref="D406:BG406">
    <cfRule type="expression" dxfId="4" priority="1879">
      <formula>$B$234&lt;&gt;"Y"</formula>
    </cfRule>
  </conditionalFormatting>
  <conditionalFormatting sqref="D407:BG407">
    <cfRule type="expression" dxfId="4" priority="1882">
      <formula>$C$234&lt;&gt;"Y"</formula>
    </cfRule>
  </conditionalFormatting>
  <conditionalFormatting sqref="D408:BG408">
    <cfRule type="expression" dxfId="4" priority="1885">
      <formula>$D$234&lt;&gt;"Y"</formula>
    </cfRule>
  </conditionalFormatting>
  <conditionalFormatting sqref="D409:BG409">
    <cfRule type="expression" dxfId="4" priority="1888">
      <formula>$E$234&lt;&gt;"Y"</formula>
    </cfRule>
  </conditionalFormatting>
  <conditionalFormatting sqref="D40:BG40">
    <cfRule type="expression" dxfId="4" priority="452">
      <formula>$G$6&lt;&gt;"Y"</formula>
    </cfRule>
  </conditionalFormatting>
  <conditionalFormatting sqref="D410:BG410">
    <cfRule type="expression" dxfId="4" priority="1891">
      <formula>$F$234&lt;&gt;"Y"</formula>
    </cfRule>
  </conditionalFormatting>
  <conditionalFormatting sqref="D411:BG411">
    <cfRule type="expression" dxfId="4" priority="1894">
      <formula>$G$234&lt;&gt;"Y"</formula>
    </cfRule>
  </conditionalFormatting>
  <conditionalFormatting sqref="D412:BG412">
    <cfRule type="expression" dxfId="4" priority="1897">
      <formula>$H$234&lt;&gt;"Y"</formula>
    </cfRule>
  </conditionalFormatting>
  <conditionalFormatting sqref="D413:BG413">
    <cfRule type="expression" dxfId="4" priority="1900">
      <formula>$I$234&lt;&gt;"Y"</formula>
    </cfRule>
  </conditionalFormatting>
  <conditionalFormatting sqref="D414:BG414">
    <cfRule type="expression" dxfId="4" priority="1903">
      <formula>$J$234&lt;&gt;"Y"</formula>
    </cfRule>
  </conditionalFormatting>
  <conditionalFormatting sqref="D415:BG415">
    <cfRule type="expression" dxfId="4" priority="1906">
      <formula>$K$234&lt;&gt;"Y"</formula>
    </cfRule>
  </conditionalFormatting>
  <conditionalFormatting sqref="D416:BG416">
    <cfRule type="expression" dxfId="4" priority="1909">
      <formula>$L$234&lt;&gt;"Y"</formula>
    </cfRule>
  </conditionalFormatting>
  <conditionalFormatting sqref="D417:BG417">
    <cfRule type="expression" dxfId="4" priority="1912">
      <formula>$M$234&lt;&gt;"Y"</formula>
    </cfRule>
  </conditionalFormatting>
  <conditionalFormatting sqref="D418:BG418">
    <cfRule type="expression" dxfId="4" priority="1915">
      <formula>$N$234&lt;&gt;"Y"</formula>
    </cfRule>
  </conditionalFormatting>
  <conditionalFormatting sqref="D419:BG419">
    <cfRule type="expression" dxfId="4" priority="1918">
      <formula>$O$234&lt;&gt;"Y"</formula>
    </cfRule>
  </conditionalFormatting>
  <conditionalFormatting sqref="D41:BG41">
    <cfRule type="expression" dxfId="4" priority="455">
      <formula>$H$6&lt;&gt;"Y"</formula>
    </cfRule>
  </conditionalFormatting>
  <conditionalFormatting sqref="D420:BG420">
    <cfRule type="expression" dxfId="4" priority="1921">
      <formula>$B$235&lt;&gt;"Y"</formula>
    </cfRule>
  </conditionalFormatting>
  <conditionalFormatting sqref="D421:BG421">
    <cfRule type="expression" dxfId="4" priority="1924">
      <formula>$C$235&lt;&gt;"Y"</formula>
    </cfRule>
  </conditionalFormatting>
  <conditionalFormatting sqref="D422:BG422">
    <cfRule type="expression" dxfId="4" priority="1927">
      <formula>$D$235&lt;&gt;"Y"</formula>
    </cfRule>
  </conditionalFormatting>
  <conditionalFormatting sqref="D423:BG423">
    <cfRule type="expression" dxfId="4" priority="1930">
      <formula>$E$235&lt;&gt;"Y"</formula>
    </cfRule>
  </conditionalFormatting>
  <conditionalFormatting sqref="D424:BG424">
    <cfRule type="expression" dxfId="4" priority="1933">
      <formula>$F$235&lt;&gt;"Y"</formula>
    </cfRule>
  </conditionalFormatting>
  <conditionalFormatting sqref="D425:BG425">
    <cfRule type="expression" dxfId="4" priority="1936">
      <formula>$G$235&lt;&gt;"Y"</formula>
    </cfRule>
  </conditionalFormatting>
  <conditionalFormatting sqref="D426:BG426">
    <cfRule type="expression" dxfId="4" priority="1939">
      <formula>$H$235&lt;&gt;"Y"</formula>
    </cfRule>
  </conditionalFormatting>
  <conditionalFormatting sqref="D427:BG427">
    <cfRule type="expression" dxfId="4" priority="1942">
      <formula>$I$235&lt;&gt;"Y"</formula>
    </cfRule>
  </conditionalFormatting>
  <conditionalFormatting sqref="D428:BG428">
    <cfRule type="expression" dxfId="4" priority="1945">
      <formula>$J$235&lt;&gt;"Y"</formula>
    </cfRule>
  </conditionalFormatting>
  <conditionalFormatting sqref="D429:BG429">
    <cfRule type="expression" dxfId="4" priority="1948">
      <formula>$K$235&lt;&gt;"Y"</formula>
    </cfRule>
  </conditionalFormatting>
  <conditionalFormatting sqref="D42:BG42">
    <cfRule type="expression" dxfId="4" priority="458">
      <formula>$I$6&lt;&gt;"Y"</formula>
    </cfRule>
  </conditionalFormatting>
  <conditionalFormatting sqref="D430:BG430">
    <cfRule type="expression" dxfId="4" priority="1951">
      <formula>$L$235&lt;&gt;"Y"</formula>
    </cfRule>
  </conditionalFormatting>
  <conditionalFormatting sqref="D431:BG431">
    <cfRule type="expression" dxfId="4" priority="1954">
      <formula>$M$235&lt;&gt;"Y"</formula>
    </cfRule>
  </conditionalFormatting>
  <conditionalFormatting sqref="D432:BG432">
    <cfRule type="expression" dxfId="4" priority="1957">
      <formula>$N$235&lt;&gt;"Y"</formula>
    </cfRule>
  </conditionalFormatting>
  <conditionalFormatting sqref="D433:BG433">
    <cfRule type="expression" dxfId="4" priority="1960">
      <formula>$O$235&lt;&gt;"Y"</formula>
    </cfRule>
  </conditionalFormatting>
  <conditionalFormatting sqref="D43:BG43">
    <cfRule type="expression" dxfId="4" priority="461">
      <formula>$J$6&lt;&gt;"Y"</formula>
    </cfRule>
  </conditionalFormatting>
  <conditionalFormatting sqref="D44:BG44">
    <cfRule type="expression" dxfId="4" priority="464">
      <formula>$K$6&lt;&gt;"Y"</formula>
    </cfRule>
  </conditionalFormatting>
  <conditionalFormatting sqref="D45:BG45">
    <cfRule type="expression" dxfId="4" priority="467">
      <formula>$L$6&lt;&gt;"Y"</formula>
    </cfRule>
  </conditionalFormatting>
  <conditionalFormatting sqref="D46:BG46">
    <cfRule type="expression" dxfId="4" priority="470">
      <formula>$M$6&lt;&gt;"Y"</formula>
    </cfRule>
  </conditionalFormatting>
  <conditionalFormatting sqref="D47:BG47">
    <cfRule type="expression" dxfId="4" priority="473">
      <formula>$N$6&lt;&gt;"Y"</formula>
    </cfRule>
  </conditionalFormatting>
  <conditionalFormatting sqref="D48:BG48">
    <cfRule type="expression" dxfId="4" priority="476">
      <formula>$O$6&lt;&gt;"Y"</formula>
    </cfRule>
  </conditionalFormatting>
  <conditionalFormatting sqref="D49:BG49">
    <cfRule type="expression" dxfId="4" priority="479">
      <formula>$B$7&lt;&gt;"Y"</formula>
    </cfRule>
  </conditionalFormatting>
  <conditionalFormatting sqref="D5">
    <cfRule type="cellIs" dxfId="2" priority="5" operator="equal">
      <formula>"Y"</formula>
    </cfRule>
    <cfRule type="cellIs" dxfId="3" priority="6" operator="equal">
      <formula>"N"</formula>
    </cfRule>
  </conditionalFormatting>
  <conditionalFormatting sqref="D50:BG50">
    <cfRule type="expression" dxfId="4" priority="482">
      <formula>$C$7&lt;&gt;"Y"</formula>
    </cfRule>
  </conditionalFormatting>
  <conditionalFormatting sqref="D51:BG51">
    <cfRule type="expression" dxfId="4" priority="485">
      <formula>$D$7&lt;&gt;"Y"</formula>
    </cfRule>
  </conditionalFormatting>
  <conditionalFormatting sqref="D52:BG52">
    <cfRule type="expression" dxfId="4" priority="488">
      <formula>$E$7&lt;&gt;"Y"</formula>
    </cfRule>
  </conditionalFormatting>
  <conditionalFormatting sqref="D53:BG53">
    <cfRule type="expression" dxfId="4" priority="491">
      <formula>$F$7&lt;&gt;"Y"</formula>
    </cfRule>
  </conditionalFormatting>
  <conditionalFormatting sqref="D54:BG54">
    <cfRule type="expression" dxfId="4" priority="494">
      <formula>$G$7&lt;&gt;"Y"</formula>
    </cfRule>
  </conditionalFormatting>
  <conditionalFormatting sqref="D55:BG55">
    <cfRule type="expression" dxfId="4" priority="497">
      <formula>$H$7&lt;&gt;"Y"</formula>
    </cfRule>
  </conditionalFormatting>
  <conditionalFormatting sqref="D56:BG56">
    <cfRule type="expression" dxfId="4" priority="500">
      <formula>$I$7&lt;&gt;"Y"</formula>
    </cfRule>
  </conditionalFormatting>
  <conditionalFormatting sqref="D57:BG57">
    <cfRule type="expression" dxfId="4" priority="503">
      <formula>$J$7&lt;&gt;"Y"</formula>
    </cfRule>
  </conditionalFormatting>
  <conditionalFormatting sqref="D58:BG58">
    <cfRule type="expression" dxfId="4" priority="506">
      <formula>$K$7&lt;&gt;"Y"</formula>
    </cfRule>
  </conditionalFormatting>
  <conditionalFormatting sqref="D59:BG59">
    <cfRule type="expression" dxfId="4" priority="509">
      <formula>$L$7&lt;&gt;"Y"</formula>
    </cfRule>
  </conditionalFormatting>
  <conditionalFormatting sqref="D6">
    <cfRule type="cellIs" dxfId="2" priority="33" operator="equal">
      <formula>"Y"</formula>
    </cfRule>
    <cfRule type="cellIs" dxfId="3" priority="34" operator="equal">
      <formula>"N"</formula>
    </cfRule>
  </conditionalFormatting>
  <conditionalFormatting sqref="D60:BG60">
    <cfRule type="expression" dxfId="4" priority="512">
      <formula>$M$7&lt;&gt;"Y"</formula>
    </cfRule>
  </conditionalFormatting>
  <conditionalFormatting sqref="D61:BG61">
    <cfRule type="expression" dxfId="4" priority="515">
      <formula>$N$7&lt;&gt;"Y"</formula>
    </cfRule>
  </conditionalFormatting>
  <conditionalFormatting sqref="D62:BG62">
    <cfRule type="expression" dxfId="4" priority="518">
      <formula>$O$7&lt;&gt;"Y"</formula>
    </cfRule>
  </conditionalFormatting>
  <conditionalFormatting sqref="D63:BG63">
    <cfRule type="expression" dxfId="4" priority="521">
      <formula>$B$8&lt;&gt;"Y"</formula>
    </cfRule>
  </conditionalFormatting>
  <conditionalFormatting sqref="D64:BG64">
    <cfRule type="expression" dxfId="4" priority="524">
      <formula>$C$8&lt;&gt;"Y"</formula>
    </cfRule>
  </conditionalFormatting>
  <conditionalFormatting sqref="D65:BG65">
    <cfRule type="expression" dxfId="4" priority="527">
      <formula>$D$8&lt;&gt;"Y"</formula>
    </cfRule>
  </conditionalFormatting>
  <conditionalFormatting sqref="D66:BG66">
    <cfRule type="expression" dxfId="4" priority="530">
      <formula>$E$8&lt;&gt;"Y"</formula>
    </cfRule>
  </conditionalFormatting>
  <conditionalFormatting sqref="D67:BG67">
    <cfRule type="expression" dxfId="4" priority="533">
      <formula>$F$8&lt;&gt;"Y"</formula>
    </cfRule>
  </conditionalFormatting>
  <conditionalFormatting sqref="D68:BG68">
    <cfRule type="expression" dxfId="4" priority="536">
      <formula>$G$8&lt;&gt;"Y"</formula>
    </cfRule>
  </conditionalFormatting>
  <conditionalFormatting sqref="D69:BG69">
    <cfRule type="expression" dxfId="4" priority="539">
      <formula>$H$8&lt;&gt;"Y"</formula>
    </cfRule>
  </conditionalFormatting>
  <conditionalFormatting sqref="D7">
    <cfRule type="cellIs" dxfId="2" priority="61" operator="equal">
      <formula>"Y"</formula>
    </cfRule>
    <cfRule type="cellIs" dxfId="3" priority="62" operator="equal">
      <formula>"N"</formula>
    </cfRule>
  </conditionalFormatting>
  <conditionalFormatting sqref="D70:BG70">
    <cfRule type="expression" dxfId="4" priority="542">
      <formula>$I$8&lt;&gt;"Y"</formula>
    </cfRule>
  </conditionalFormatting>
  <conditionalFormatting sqref="D71:BG71">
    <cfRule type="expression" dxfId="4" priority="545">
      <formula>$J$8&lt;&gt;"Y"</formula>
    </cfRule>
  </conditionalFormatting>
  <conditionalFormatting sqref="D72:BG72">
    <cfRule type="expression" dxfId="4" priority="548">
      <formula>$K$8&lt;&gt;"Y"</formula>
    </cfRule>
  </conditionalFormatting>
  <conditionalFormatting sqref="D73:BG73">
    <cfRule type="expression" dxfId="4" priority="551">
      <formula>$L$8&lt;&gt;"Y"</formula>
    </cfRule>
  </conditionalFormatting>
  <conditionalFormatting sqref="D74:BG74">
    <cfRule type="expression" dxfId="4" priority="554">
      <formula>$M$8&lt;&gt;"Y"</formula>
    </cfRule>
  </conditionalFormatting>
  <conditionalFormatting sqref="D75:BG75">
    <cfRule type="expression" dxfId="4" priority="557">
      <formula>$N$8&lt;&gt;"Y"</formula>
    </cfRule>
  </conditionalFormatting>
  <conditionalFormatting sqref="D76:BG76">
    <cfRule type="expression" dxfId="4" priority="560">
      <formula>$O$8&lt;&gt;"Y"</formula>
    </cfRule>
  </conditionalFormatting>
  <conditionalFormatting sqref="D77:BG77">
    <cfRule type="expression" dxfId="4" priority="563">
      <formula>$B$9&lt;&gt;"Y"</formula>
    </cfRule>
  </conditionalFormatting>
  <conditionalFormatting sqref="D78:BG78">
    <cfRule type="expression" dxfId="4" priority="566">
      <formula>$C$9&lt;&gt;"Y"</formula>
    </cfRule>
  </conditionalFormatting>
  <conditionalFormatting sqref="D79:BG79">
    <cfRule type="expression" dxfId="4" priority="569">
      <formula>$D$9&lt;&gt;"Y"</formula>
    </cfRule>
  </conditionalFormatting>
  <conditionalFormatting sqref="D8">
    <cfRule type="cellIs" dxfId="2" priority="89" operator="equal">
      <formula>"Y"</formula>
    </cfRule>
    <cfRule type="cellIs" dxfId="3" priority="90" operator="equal">
      <formula>"N"</formula>
    </cfRule>
  </conditionalFormatting>
  <conditionalFormatting sqref="D80:BG80">
    <cfRule type="expression" dxfId="4" priority="572">
      <formula>$E$9&lt;&gt;"Y"</formula>
    </cfRule>
  </conditionalFormatting>
  <conditionalFormatting sqref="D81:BG81">
    <cfRule type="expression" dxfId="4" priority="575">
      <formula>$F$9&lt;&gt;"Y"</formula>
    </cfRule>
  </conditionalFormatting>
  <conditionalFormatting sqref="D82:BG82">
    <cfRule type="expression" dxfId="4" priority="578">
      <formula>$G$9&lt;&gt;"Y"</formula>
    </cfRule>
  </conditionalFormatting>
  <conditionalFormatting sqref="D83:BG83">
    <cfRule type="expression" dxfId="4" priority="581">
      <formula>$H$9&lt;&gt;"Y"</formula>
    </cfRule>
  </conditionalFormatting>
  <conditionalFormatting sqref="D84:BG84">
    <cfRule type="expression" dxfId="4" priority="584">
      <formula>$I$9&lt;&gt;"Y"</formula>
    </cfRule>
  </conditionalFormatting>
  <conditionalFormatting sqref="D85:BG85">
    <cfRule type="expression" dxfId="4" priority="587">
      <formula>$J$9&lt;&gt;"Y"</formula>
    </cfRule>
  </conditionalFormatting>
  <conditionalFormatting sqref="D86:BG86">
    <cfRule type="expression" dxfId="4" priority="590">
      <formula>$K$9&lt;&gt;"Y"</formula>
    </cfRule>
  </conditionalFormatting>
  <conditionalFormatting sqref="D87:BG87">
    <cfRule type="expression" dxfId="4" priority="593">
      <formula>$L$9&lt;&gt;"Y"</formula>
    </cfRule>
  </conditionalFormatting>
  <conditionalFormatting sqref="D88:BG88">
    <cfRule type="expression" dxfId="4" priority="596">
      <formula>$M$9&lt;&gt;"Y"</formula>
    </cfRule>
  </conditionalFormatting>
  <conditionalFormatting sqref="D89:BG89">
    <cfRule type="expression" dxfId="4" priority="599">
      <formula>$N$9&lt;&gt;"Y"</formula>
    </cfRule>
  </conditionalFormatting>
  <conditionalFormatting sqref="D9">
    <cfRule type="cellIs" dxfId="2" priority="117" operator="equal">
      <formula>"Y"</formula>
    </cfRule>
    <cfRule type="cellIs" dxfId="3" priority="118" operator="equal">
      <formula>"N"</formula>
    </cfRule>
  </conditionalFormatting>
  <conditionalFormatting sqref="D90:BG90">
    <cfRule type="expression" dxfId="4" priority="602">
      <formula>$O$9&lt;&gt;"Y"</formula>
    </cfRule>
  </conditionalFormatting>
  <conditionalFormatting sqref="D91:BG91">
    <cfRule type="expression" dxfId="4" priority="605">
      <formula>$B$10&lt;&gt;"Y"</formula>
    </cfRule>
  </conditionalFormatting>
  <conditionalFormatting sqref="D92:BG92">
    <cfRule type="expression" dxfId="4" priority="608">
      <formula>$C$10&lt;&gt;"Y"</formula>
    </cfRule>
  </conditionalFormatting>
  <conditionalFormatting sqref="D93:BG93">
    <cfRule type="expression" dxfId="4" priority="611">
      <formula>$D$10&lt;&gt;"Y"</formula>
    </cfRule>
  </conditionalFormatting>
  <conditionalFormatting sqref="D94:BG94">
    <cfRule type="expression" dxfId="4" priority="614">
      <formula>$E$10&lt;&gt;"Y"</formula>
    </cfRule>
  </conditionalFormatting>
  <conditionalFormatting sqref="D95:BG95">
    <cfRule type="expression" dxfId="4" priority="617">
      <formula>$F$10&lt;&gt;"Y"</formula>
    </cfRule>
  </conditionalFormatting>
  <conditionalFormatting sqref="D96:BG96">
    <cfRule type="expression" dxfId="4" priority="620">
      <formula>$G$10&lt;&gt;"Y"</formula>
    </cfRule>
  </conditionalFormatting>
  <conditionalFormatting sqref="D97:BG97">
    <cfRule type="expression" dxfId="4" priority="623">
      <formula>$H$10&lt;&gt;"Y"</formula>
    </cfRule>
  </conditionalFormatting>
  <conditionalFormatting sqref="D98:BG98">
    <cfRule type="expression" dxfId="4" priority="626">
      <formula>$I$10&lt;&gt;"Y"</formula>
    </cfRule>
  </conditionalFormatting>
  <conditionalFormatting sqref="D99:BG99">
    <cfRule type="expression" dxfId="4" priority="629">
      <formula>$J$10&lt;&gt;"Y"</formula>
    </cfRule>
  </conditionalFormatting>
  <conditionalFormatting sqref="E10">
    <cfRule type="cellIs" dxfId="2" priority="147" operator="equal">
      <formula>"Y"</formula>
    </cfRule>
    <cfRule type="cellIs" dxfId="3" priority="148" operator="equal">
      <formula>"N"</formula>
    </cfRule>
  </conditionalFormatting>
  <conditionalFormatting sqref="E11">
    <cfRule type="cellIs" dxfId="2" priority="175" operator="equal">
      <formula>"Y"</formula>
    </cfRule>
    <cfRule type="cellIs" dxfId="3" priority="176" operator="equal">
      <formula>"N"</formula>
    </cfRule>
  </conditionalFormatting>
  <conditionalFormatting sqref="E12">
    <cfRule type="cellIs" dxfId="2" priority="203" operator="equal">
      <formula>"Y"</formula>
    </cfRule>
    <cfRule type="cellIs" dxfId="3" priority="204" operator="equal">
      <formula>"N"</formula>
    </cfRule>
  </conditionalFormatting>
  <conditionalFormatting sqref="E13">
    <cfRule type="cellIs" dxfId="2" priority="231" operator="equal">
      <formula>"Y"</formula>
    </cfRule>
    <cfRule type="cellIs" dxfId="3" priority="232" operator="equal">
      <formula>"N"</formula>
    </cfRule>
  </conditionalFormatting>
  <conditionalFormatting sqref="E14">
    <cfRule type="cellIs" dxfId="2" priority="259" operator="equal">
      <formula>"Y"</formula>
    </cfRule>
    <cfRule type="cellIs" dxfId="3" priority="260" operator="equal">
      <formula>"N"</formula>
    </cfRule>
  </conditionalFormatting>
  <conditionalFormatting sqref="E15">
    <cfRule type="cellIs" dxfId="2" priority="287" operator="equal">
      <formula>"Y"</formula>
    </cfRule>
    <cfRule type="cellIs" dxfId="3" priority="288" operator="equal">
      <formula>"N"</formula>
    </cfRule>
  </conditionalFormatting>
  <conditionalFormatting sqref="E16">
    <cfRule type="cellIs" dxfId="2" priority="315" operator="equal">
      <formula>"Y"</formula>
    </cfRule>
    <cfRule type="cellIs" dxfId="3" priority="316" operator="equal">
      <formula>"N"</formula>
    </cfRule>
  </conditionalFormatting>
  <conditionalFormatting sqref="E17">
    <cfRule type="cellIs" dxfId="2" priority="343" operator="equal">
      <formula>"Y"</formula>
    </cfRule>
    <cfRule type="cellIs" dxfId="3" priority="344" operator="equal">
      <formula>"N"</formula>
    </cfRule>
  </conditionalFormatting>
  <conditionalFormatting sqref="E18">
    <cfRule type="cellIs" dxfId="2" priority="371" operator="equal">
      <formula>"Y"</formula>
    </cfRule>
    <cfRule type="cellIs" dxfId="3" priority="372" operator="equal">
      <formula>"N"</formula>
    </cfRule>
  </conditionalFormatting>
  <conditionalFormatting sqref="E222">
    <cfRule type="cellIs" dxfId="2" priority="987" operator="equal">
      <formula>"Y"</formula>
    </cfRule>
    <cfRule type="cellIs" dxfId="3" priority="988" operator="equal">
      <formula>"N"</formula>
    </cfRule>
  </conditionalFormatting>
  <conditionalFormatting sqref="E223">
    <cfRule type="cellIs" dxfId="2" priority="1015" operator="equal">
      <formula>"Y"</formula>
    </cfRule>
    <cfRule type="cellIs" dxfId="3" priority="1016" operator="equal">
      <formula>"N"</formula>
    </cfRule>
  </conditionalFormatting>
  <conditionalFormatting sqref="E224">
    <cfRule type="cellIs" dxfId="2" priority="1043" operator="equal">
      <formula>"Y"</formula>
    </cfRule>
    <cfRule type="cellIs" dxfId="3" priority="1044" operator="equal">
      <formula>"N"</formula>
    </cfRule>
  </conditionalFormatting>
  <conditionalFormatting sqref="E225">
    <cfRule type="cellIs" dxfId="2" priority="1071" operator="equal">
      <formula>"Y"</formula>
    </cfRule>
    <cfRule type="cellIs" dxfId="3" priority="1072" operator="equal">
      <formula>"N"</formula>
    </cfRule>
  </conditionalFormatting>
  <conditionalFormatting sqref="E226">
    <cfRule type="cellIs" dxfId="2" priority="1099" operator="equal">
      <formula>"Y"</formula>
    </cfRule>
    <cfRule type="cellIs" dxfId="3" priority="1100" operator="equal">
      <formula>"N"</formula>
    </cfRule>
  </conditionalFormatting>
  <conditionalFormatting sqref="E227">
    <cfRule type="cellIs" dxfId="2" priority="1127" operator="equal">
      <formula>"Y"</formula>
    </cfRule>
    <cfRule type="cellIs" dxfId="3" priority="1128" operator="equal">
      <formula>"N"</formula>
    </cfRule>
  </conditionalFormatting>
  <conditionalFormatting sqref="E228">
    <cfRule type="cellIs" dxfId="2" priority="1155" operator="equal">
      <formula>"Y"</formula>
    </cfRule>
    <cfRule type="cellIs" dxfId="3" priority="1156" operator="equal">
      <formula>"N"</formula>
    </cfRule>
  </conditionalFormatting>
  <conditionalFormatting sqref="E229">
    <cfRule type="cellIs" dxfId="2" priority="1183" operator="equal">
      <formula>"Y"</formula>
    </cfRule>
    <cfRule type="cellIs" dxfId="3" priority="1184" operator="equal">
      <formula>"N"</formula>
    </cfRule>
  </conditionalFormatting>
  <conditionalFormatting sqref="E230">
    <cfRule type="cellIs" dxfId="2" priority="1211" operator="equal">
      <formula>"Y"</formula>
    </cfRule>
    <cfRule type="cellIs" dxfId="3" priority="1212" operator="equal">
      <formula>"N"</formula>
    </cfRule>
  </conditionalFormatting>
  <conditionalFormatting sqref="E231">
    <cfRule type="cellIs" dxfId="2" priority="1239" operator="equal">
      <formula>"Y"</formula>
    </cfRule>
    <cfRule type="cellIs" dxfId="3" priority="1240" operator="equal">
      <formula>"N"</formula>
    </cfRule>
  </conditionalFormatting>
  <conditionalFormatting sqref="E232">
    <cfRule type="cellIs" dxfId="2" priority="1267" operator="equal">
      <formula>"Y"</formula>
    </cfRule>
    <cfRule type="cellIs" dxfId="3" priority="1268" operator="equal">
      <formula>"N"</formula>
    </cfRule>
  </conditionalFormatting>
  <conditionalFormatting sqref="E233">
    <cfRule type="cellIs" dxfId="2" priority="1295" operator="equal">
      <formula>"Y"</formula>
    </cfRule>
    <cfRule type="cellIs" dxfId="3" priority="1296" operator="equal">
      <formula>"N"</formula>
    </cfRule>
  </conditionalFormatting>
  <conditionalFormatting sqref="E234">
    <cfRule type="cellIs" dxfId="2" priority="1323" operator="equal">
      <formula>"Y"</formula>
    </cfRule>
    <cfRule type="cellIs" dxfId="3" priority="1324" operator="equal">
      <formula>"N"</formula>
    </cfRule>
  </conditionalFormatting>
  <conditionalFormatting sqref="E235">
    <cfRule type="cellIs" dxfId="2" priority="1351" operator="equal">
      <formula>"Y"</formula>
    </cfRule>
    <cfRule type="cellIs" dxfId="3" priority="1352" operator="equal">
      <formula>"N"</formula>
    </cfRule>
  </conditionalFormatting>
  <conditionalFormatting sqref="E5">
    <cfRule type="cellIs" dxfId="2" priority="7" operator="equal">
      <formula>"Y"</formula>
    </cfRule>
    <cfRule type="cellIs" dxfId="3" priority="8" operator="equal">
      <formula>"N"</formula>
    </cfRule>
  </conditionalFormatting>
  <conditionalFormatting sqref="E6">
    <cfRule type="cellIs" dxfId="2" priority="35" operator="equal">
      <formula>"Y"</formula>
    </cfRule>
    <cfRule type="cellIs" dxfId="3" priority="36" operator="equal">
      <formula>"N"</formula>
    </cfRule>
  </conditionalFormatting>
  <conditionalFormatting sqref="E7">
    <cfRule type="cellIs" dxfId="2" priority="63" operator="equal">
      <formula>"Y"</formula>
    </cfRule>
    <cfRule type="cellIs" dxfId="3" priority="64" operator="equal">
      <formula>"N"</formula>
    </cfRule>
  </conditionalFormatting>
  <conditionalFormatting sqref="E8">
    <cfRule type="cellIs" dxfId="2" priority="91" operator="equal">
      <formula>"Y"</formula>
    </cfRule>
    <cfRule type="cellIs" dxfId="3" priority="92" operator="equal">
      <formula>"N"</formula>
    </cfRule>
  </conditionalFormatting>
  <conditionalFormatting sqref="E9">
    <cfRule type="cellIs" dxfId="2" priority="119" operator="equal">
      <formula>"Y"</formula>
    </cfRule>
    <cfRule type="cellIs" dxfId="3" priority="120" operator="equal">
      <formula>"N"</formula>
    </cfRule>
  </conditionalFormatting>
  <conditionalFormatting sqref="F10">
    <cfRule type="cellIs" dxfId="2" priority="149" operator="equal">
      <formula>"Y"</formula>
    </cfRule>
    <cfRule type="cellIs" dxfId="3" priority="150" operator="equal">
      <formula>"N"</formula>
    </cfRule>
  </conditionalFormatting>
  <conditionalFormatting sqref="F11">
    <cfRule type="cellIs" dxfId="2" priority="177" operator="equal">
      <formula>"Y"</formula>
    </cfRule>
    <cfRule type="cellIs" dxfId="3" priority="178" operator="equal">
      <formula>"N"</formula>
    </cfRule>
  </conditionalFormatting>
  <conditionalFormatting sqref="F12">
    <cfRule type="cellIs" dxfId="2" priority="205" operator="equal">
      <formula>"Y"</formula>
    </cfRule>
    <cfRule type="cellIs" dxfId="3" priority="206" operator="equal">
      <formula>"N"</formula>
    </cfRule>
  </conditionalFormatting>
  <conditionalFormatting sqref="F13">
    <cfRule type="cellIs" dxfId="2" priority="233" operator="equal">
      <formula>"Y"</formula>
    </cfRule>
    <cfRule type="cellIs" dxfId="3" priority="234" operator="equal">
      <formula>"N"</formula>
    </cfRule>
  </conditionalFormatting>
  <conditionalFormatting sqref="F14">
    <cfRule type="cellIs" dxfId="2" priority="261" operator="equal">
      <formula>"Y"</formula>
    </cfRule>
    <cfRule type="cellIs" dxfId="3" priority="262" operator="equal">
      <formula>"N"</formula>
    </cfRule>
  </conditionalFormatting>
  <conditionalFormatting sqref="F15">
    <cfRule type="cellIs" dxfId="2" priority="289" operator="equal">
      <formula>"Y"</formula>
    </cfRule>
    <cfRule type="cellIs" dxfId="3" priority="290" operator="equal">
      <formula>"N"</formula>
    </cfRule>
  </conditionalFormatting>
  <conditionalFormatting sqref="F16">
    <cfRule type="cellIs" dxfId="2" priority="317" operator="equal">
      <formula>"Y"</formula>
    </cfRule>
    <cfRule type="cellIs" dxfId="3" priority="318" operator="equal">
      <formula>"N"</formula>
    </cfRule>
  </conditionalFormatting>
  <conditionalFormatting sqref="F17">
    <cfRule type="cellIs" dxfId="2" priority="345" operator="equal">
      <formula>"Y"</formula>
    </cfRule>
    <cfRule type="cellIs" dxfId="3" priority="346" operator="equal">
      <formula>"N"</formula>
    </cfRule>
  </conditionalFormatting>
  <conditionalFormatting sqref="F18">
    <cfRule type="cellIs" dxfId="2" priority="373" operator="equal">
      <formula>"Y"</formula>
    </cfRule>
    <cfRule type="cellIs" dxfId="3" priority="374" operator="equal">
      <formula>"N"</formula>
    </cfRule>
  </conditionalFormatting>
  <conditionalFormatting sqref="F222">
    <cfRule type="cellIs" dxfId="2" priority="989" operator="equal">
      <formula>"Y"</formula>
    </cfRule>
    <cfRule type="cellIs" dxfId="3" priority="990" operator="equal">
      <formula>"N"</formula>
    </cfRule>
  </conditionalFormatting>
  <conditionalFormatting sqref="F223">
    <cfRule type="cellIs" dxfId="2" priority="1017" operator="equal">
      <formula>"Y"</formula>
    </cfRule>
    <cfRule type="cellIs" dxfId="3" priority="1018" operator="equal">
      <formula>"N"</formula>
    </cfRule>
  </conditionalFormatting>
  <conditionalFormatting sqref="F224">
    <cfRule type="cellIs" dxfId="2" priority="1045" operator="equal">
      <formula>"Y"</formula>
    </cfRule>
    <cfRule type="cellIs" dxfId="3" priority="1046" operator="equal">
      <formula>"N"</formula>
    </cfRule>
  </conditionalFormatting>
  <conditionalFormatting sqref="F225">
    <cfRule type="cellIs" dxfId="2" priority="1073" operator="equal">
      <formula>"Y"</formula>
    </cfRule>
    <cfRule type="cellIs" dxfId="3" priority="1074" operator="equal">
      <formula>"N"</formula>
    </cfRule>
  </conditionalFormatting>
  <conditionalFormatting sqref="F226">
    <cfRule type="cellIs" dxfId="2" priority="1101" operator="equal">
      <formula>"Y"</formula>
    </cfRule>
    <cfRule type="cellIs" dxfId="3" priority="1102" operator="equal">
      <formula>"N"</formula>
    </cfRule>
  </conditionalFormatting>
  <conditionalFormatting sqref="F227">
    <cfRule type="cellIs" dxfId="2" priority="1129" operator="equal">
      <formula>"Y"</formula>
    </cfRule>
    <cfRule type="cellIs" dxfId="3" priority="1130" operator="equal">
      <formula>"N"</formula>
    </cfRule>
  </conditionalFormatting>
  <conditionalFormatting sqref="F228">
    <cfRule type="cellIs" dxfId="2" priority="1157" operator="equal">
      <formula>"Y"</formula>
    </cfRule>
    <cfRule type="cellIs" dxfId="3" priority="1158" operator="equal">
      <formula>"N"</formula>
    </cfRule>
  </conditionalFormatting>
  <conditionalFormatting sqref="F229">
    <cfRule type="cellIs" dxfId="2" priority="1185" operator="equal">
      <formula>"Y"</formula>
    </cfRule>
    <cfRule type="cellIs" dxfId="3" priority="1186" operator="equal">
      <formula>"N"</formula>
    </cfRule>
  </conditionalFormatting>
  <conditionalFormatting sqref="F230">
    <cfRule type="cellIs" dxfId="2" priority="1213" operator="equal">
      <formula>"Y"</formula>
    </cfRule>
    <cfRule type="cellIs" dxfId="3" priority="1214" operator="equal">
      <formula>"N"</formula>
    </cfRule>
  </conditionalFormatting>
  <conditionalFormatting sqref="F231">
    <cfRule type="cellIs" dxfId="2" priority="1241" operator="equal">
      <formula>"Y"</formula>
    </cfRule>
    <cfRule type="cellIs" dxfId="3" priority="1242" operator="equal">
      <formula>"N"</formula>
    </cfRule>
  </conditionalFormatting>
  <conditionalFormatting sqref="F232">
    <cfRule type="cellIs" dxfId="2" priority="1269" operator="equal">
      <formula>"Y"</formula>
    </cfRule>
    <cfRule type="cellIs" dxfId="3" priority="1270" operator="equal">
      <formula>"N"</formula>
    </cfRule>
  </conditionalFormatting>
  <conditionalFormatting sqref="F233">
    <cfRule type="cellIs" dxfId="2" priority="1297" operator="equal">
      <formula>"Y"</formula>
    </cfRule>
    <cfRule type="cellIs" dxfId="3" priority="1298" operator="equal">
      <formula>"N"</formula>
    </cfRule>
  </conditionalFormatting>
  <conditionalFormatting sqref="F234">
    <cfRule type="cellIs" dxfId="2" priority="1325" operator="equal">
      <formula>"Y"</formula>
    </cfRule>
    <cfRule type="cellIs" dxfId="3" priority="1326" operator="equal">
      <formula>"N"</formula>
    </cfRule>
  </conditionalFormatting>
  <conditionalFormatting sqref="F235">
    <cfRule type="cellIs" dxfId="2" priority="1353" operator="equal">
      <formula>"Y"</formula>
    </cfRule>
    <cfRule type="cellIs" dxfId="3" priority="1354" operator="equal">
      <formula>"N"</formula>
    </cfRule>
  </conditionalFormatting>
  <conditionalFormatting sqref="F5">
    <cfRule type="cellIs" dxfId="2" priority="9" operator="equal">
      <formula>"Y"</formula>
    </cfRule>
    <cfRule type="cellIs" dxfId="3" priority="10" operator="equal">
      <formula>"N"</formula>
    </cfRule>
  </conditionalFormatting>
  <conditionalFormatting sqref="F6">
    <cfRule type="cellIs" dxfId="2" priority="37" operator="equal">
      <formula>"Y"</formula>
    </cfRule>
    <cfRule type="cellIs" dxfId="3" priority="38" operator="equal">
      <formula>"N"</formula>
    </cfRule>
  </conditionalFormatting>
  <conditionalFormatting sqref="F7">
    <cfRule type="cellIs" dxfId="2" priority="65" operator="equal">
      <formula>"Y"</formula>
    </cfRule>
    <cfRule type="cellIs" dxfId="3" priority="66" operator="equal">
      <formula>"N"</formula>
    </cfRule>
  </conditionalFormatting>
  <conditionalFormatting sqref="F8">
    <cfRule type="cellIs" dxfId="2" priority="93" operator="equal">
      <formula>"Y"</formula>
    </cfRule>
    <cfRule type="cellIs" dxfId="3" priority="94" operator="equal">
      <formula>"N"</formula>
    </cfRule>
  </conditionalFormatting>
  <conditionalFormatting sqref="F9">
    <cfRule type="cellIs" dxfId="2" priority="121" operator="equal">
      <formula>"Y"</formula>
    </cfRule>
    <cfRule type="cellIs" dxfId="3" priority="122" operator="equal">
      <formula>"N"</formula>
    </cfRule>
  </conditionalFormatting>
  <conditionalFormatting sqref="G10">
    <cfRule type="cellIs" dxfId="2" priority="151" operator="equal">
      <formula>"Y"</formula>
    </cfRule>
    <cfRule type="cellIs" dxfId="3" priority="152" operator="equal">
      <formula>"N"</formula>
    </cfRule>
  </conditionalFormatting>
  <conditionalFormatting sqref="G100">
    <cfRule type="expression" dxfId="0" priority="630">
      <formula>COUNTIF(I100:BG100,"&lt;&gt;" &amp; "")&gt;0</formula>
    </cfRule>
    <cfRule type="expression" dxfId="1" priority="631">
      <formula>AND(COUNTIF(I100:BG100,"&lt;&gt;" &amp; "")&gt;0,NOT(ISBLANK(G100)))</formula>
    </cfRule>
  </conditionalFormatting>
  <conditionalFormatting sqref="G101">
    <cfRule type="expression" dxfId="0" priority="633">
      <formula>COUNTIF(I101:BG101,"&lt;&gt;" &amp; "")&gt;0</formula>
    </cfRule>
    <cfRule type="expression" dxfId="1" priority="634">
      <formula>AND(COUNTIF(I101:BG101,"&lt;&gt;" &amp; "")&gt;0,NOT(ISBLANK(G101)))</formula>
    </cfRule>
  </conditionalFormatting>
  <conditionalFormatting sqref="G102">
    <cfRule type="expression" dxfId="0" priority="636">
      <formula>COUNTIF(I102:BG102,"&lt;&gt;" &amp; "")&gt;0</formula>
    </cfRule>
    <cfRule type="expression" dxfId="1" priority="637">
      <formula>AND(COUNTIF(I102:BG102,"&lt;&gt;" &amp; "")&gt;0,NOT(ISBLANK(G102)))</formula>
    </cfRule>
  </conditionalFormatting>
  <conditionalFormatting sqref="G103">
    <cfRule type="expression" dxfId="0" priority="639">
      <formula>COUNTIF(I103:BG103,"&lt;&gt;" &amp; "")&gt;0</formula>
    </cfRule>
    <cfRule type="expression" dxfId="1" priority="640">
      <formula>AND(COUNTIF(I103:BG103,"&lt;&gt;" &amp; "")&gt;0,NOT(ISBLANK(G103)))</formula>
    </cfRule>
  </conditionalFormatting>
  <conditionalFormatting sqref="G104">
    <cfRule type="expression" dxfId="0" priority="642">
      <formula>COUNTIF(I104:BG104,"&lt;&gt;" &amp; "")&gt;0</formula>
    </cfRule>
    <cfRule type="expression" dxfId="1" priority="643">
      <formula>AND(COUNTIF(I104:BG104,"&lt;&gt;" &amp; "")&gt;0,NOT(ISBLANK(G104)))</formula>
    </cfRule>
  </conditionalFormatting>
  <conditionalFormatting sqref="G105">
    <cfRule type="expression" dxfId="0" priority="645">
      <formula>COUNTIF(I105:BG105,"&lt;&gt;" &amp; "")&gt;0</formula>
    </cfRule>
    <cfRule type="expression" dxfId="1" priority="646">
      <formula>AND(COUNTIF(I105:BG105,"&lt;&gt;" &amp; "")&gt;0,NOT(ISBLANK(G105)))</formula>
    </cfRule>
  </conditionalFormatting>
  <conditionalFormatting sqref="G106">
    <cfRule type="expression" dxfId="0" priority="648">
      <formula>COUNTIF(I106:BG106,"&lt;&gt;" &amp; "")&gt;0</formula>
    </cfRule>
    <cfRule type="expression" dxfId="1" priority="649">
      <formula>AND(COUNTIF(I106:BG106,"&lt;&gt;" &amp; "")&gt;0,NOT(ISBLANK(G106)))</formula>
    </cfRule>
  </conditionalFormatting>
  <conditionalFormatting sqref="G107">
    <cfRule type="expression" dxfId="0" priority="651">
      <formula>COUNTIF(I107:BG107,"&lt;&gt;" &amp; "")&gt;0</formula>
    </cfRule>
    <cfRule type="expression" dxfId="1" priority="652">
      <formula>AND(COUNTIF(I107:BG107,"&lt;&gt;" &amp; "")&gt;0,NOT(ISBLANK(G107)))</formula>
    </cfRule>
  </conditionalFormatting>
  <conditionalFormatting sqref="G108">
    <cfRule type="expression" dxfId="0" priority="654">
      <formula>COUNTIF(I108:BG108,"&lt;&gt;" &amp; "")&gt;0</formula>
    </cfRule>
    <cfRule type="expression" dxfId="1" priority="655">
      <formula>AND(COUNTIF(I108:BG108,"&lt;&gt;" &amp; "")&gt;0,NOT(ISBLANK(G108)))</formula>
    </cfRule>
  </conditionalFormatting>
  <conditionalFormatting sqref="G109">
    <cfRule type="expression" dxfId="0" priority="657">
      <formula>COUNTIF(I109:BG109,"&lt;&gt;" &amp; "")&gt;0</formula>
    </cfRule>
    <cfRule type="expression" dxfId="1" priority="658">
      <formula>AND(COUNTIF(I109:BG109,"&lt;&gt;" &amp; "")&gt;0,NOT(ISBLANK(G109)))</formula>
    </cfRule>
  </conditionalFormatting>
  <conditionalFormatting sqref="G11">
    <cfRule type="cellIs" dxfId="2" priority="179" operator="equal">
      <formula>"Y"</formula>
    </cfRule>
    <cfRule type="cellIs" dxfId="3" priority="180" operator="equal">
      <formula>"N"</formula>
    </cfRule>
  </conditionalFormatting>
  <conditionalFormatting sqref="G110">
    <cfRule type="expression" dxfId="0" priority="660">
      <formula>COUNTIF(I110:BG110,"&lt;&gt;" &amp; "")&gt;0</formula>
    </cfRule>
    <cfRule type="expression" dxfId="1" priority="661">
      <formula>AND(COUNTIF(I110:BG110,"&lt;&gt;" &amp; "")&gt;0,NOT(ISBLANK(G110)))</formula>
    </cfRule>
  </conditionalFormatting>
  <conditionalFormatting sqref="G111">
    <cfRule type="expression" dxfId="0" priority="663">
      <formula>COUNTIF(I111:BG111,"&lt;&gt;" &amp; "")&gt;0</formula>
    </cfRule>
    <cfRule type="expression" dxfId="1" priority="664">
      <formula>AND(COUNTIF(I111:BG111,"&lt;&gt;" &amp; "")&gt;0,NOT(ISBLANK(G111)))</formula>
    </cfRule>
  </conditionalFormatting>
  <conditionalFormatting sqref="G112">
    <cfRule type="expression" dxfId="0" priority="666">
      <formula>COUNTIF(I112:BG112,"&lt;&gt;" &amp; "")&gt;0</formula>
    </cfRule>
    <cfRule type="expression" dxfId="1" priority="667">
      <formula>AND(COUNTIF(I112:BG112,"&lt;&gt;" &amp; "")&gt;0,NOT(ISBLANK(G112)))</formula>
    </cfRule>
  </conditionalFormatting>
  <conditionalFormatting sqref="G113">
    <cfRule type="expression" dxfId="0" priority="669">
      <formula>COUNTIF(I113:BG113,"&lt;&gt;" &amp; "")&gt;0</formula>
    </cfRule>
    <cfRule type="expression" dxfId="1" priority="670">
      <formula>AND(COUNTIF(I113:BG113,"&lt;&gt;" &amp; "")&gt;0,NOT(ISBLANK(G113)))</formula>
    </cfRule>
  </conditionalFormatting>
  <conditionalFormatting sqref="G114">
    <cfRule type="expression" dxfId="0" priority="672">
      <formula>COUNTIF(I114:BG114,"&lt;&gt;" &amp; "")&gt;0</formula>
    </cfRule>
    <cfRule type="expression" dxfId="1" priority="673">
      <formula>AND(COUNTIF(I114:BG114,"&lt;&gt;" &amp; "")&gt;0,NOT(ISBLANK(G114)))</formula>
    </cfRule>
  </conditionalFormatting>
  <conditionalFormatting sqref="G115">
    <cfRule type="expression" dxfId="0" priority="675">
      <formula>COUNTIF(I115:BG115,"&lt;&gt;" &amp; "")&gt;0</formula>
    </cfRule>
    <cfRule type="expression" dxfId="1" priority="676">
      <formula>AND(COUNTIF(I115:BG115,"&lt;&gt;" &amp; "")&gt;0,NOT(ISBLANK(G115)))</formula>
    </cfRule>
  </conditionalFormatting>
  <conditionalFormatting sqref="G116">
    <cfRule type="expression" dxfId="0" priority="678">
      <formula>COUNTIF(I116:BG116,"&lt;&gt;" &amp; "")&gt;0</formula>
    </cfRule>
    <cfRule type="expression" dxfId="1" priority="679">
      <formula>AND(COUNTIF(I116:BG116,"&lt;&gt;" &amp; "")&gt;0,NOT(ISBLANK(G116)))</formula>
    </cfRule>
  </conditionalFormatting>
  <conditionalFormatting sqref="G117">
    <cfRule type="expression" dxfId="0" priority="681">
      <formula>COUNTIF(I117:BG117,"&lt;&gt;" &amp; "")&gt;0</formula>
    </cfRule>
    <cfRule type="expression" dxfId="1" priority="682">
      <formula>AND(COUNTIF(I117:BG117,"&lt;&gt;" &amp; "")&gt;0,NOT(ISBLANK(G117)))</formula>
    </cfRule>
  </conditionalFormatting>
  <conditionalFormatting sqref="G118">
    <cfRule type="expression" dxfId="0" priority="684">
      <formula>COUNTIF(I118:BG118,"&lt;&gt;" &amp; "")&gt;0</formula>
    </cfRule>
    <cfRule type="expression" dxfId="1" priority="685">
      <formula>AND(COUNTIF(I118:BG118,"&lt;&gt;" &amp; "")&gt;0,NOT(ISBLANK(G118)))</formula>
    </cfRule>
  </conditionalFormatting>
  <conditionalFormatting sqref="G119">
    <cfRule type="expression" dxfId="0" priority="687">
      <formula>COUNTIF(I119:BG119,"&lt;&gt;" &amp; "")&gt;0</formula>
    </cfRule>
    <cfRule type="expression" dxfId="1" priority="688">
      <formula>AND(COUNTIF(I119:BG119,"&lt;&gt;" &amp; "")&gt;0,NOT(ISBLANK(G119)))</formula>
    </cfRule>
  </conditionalFormatting>
  <conditionalFormatting sqref="G12">
    <cfRule type="cellIs" dxfId="2" priority="207" operator="equal">
      <formula>"Y"</formula>
    </cfRule>
    <cfRule type="cellIs" dxfId="3" priority="208" operator="equal">
      <formula>"N"</formula>
    </cfRule>
  </conditionalFormatting>
  <conditionalFormatting sqref="G120">
    <cfRule type="expression" dxfId="0" priority="690">
      <formula>COUNTIF(I120:BG120,"&lt;&gt;" &amp; "")&gt;0</formula>
    </cfRule>
    <cfRule type="expression" dxfId="1" priority="691">
      <formula>AND(COUNTIF(I120:BG120,"&lt;&gt;" &amp; "")&gt;0,NOT(ISBLANK(G120)))</formula>
    </cfRule>
  </conditionalFormatting>
  <conditionalFormatting sqref="G121">
    <cfRule type="expression" dxfId="0" priority="693">
      <formula>COUNTIF(I121:BG121,"&lt;&gt;" &amp; "")&gt;0</formula>
    </cfRule>
    <cfRule type="expression" dxfId="1" priority="694">
      <formula>AND(COUNTIF(I121:BG121,"&lt;&gt;" &amp; "")&gt;0,NOT(ISBLANK(G121)))</formula>
    </cfRule>
  </conditionalFormatting>
  <conditionalFormatting sqref="G122">
    <cfRule type="expression" dxfId="0" priority="696">
      <formula>COUNTIF(I122:BG122,"&lt;&gt;" &amp; "")&gt;0</formula>
    </cfRule>
    <cfRule type="expression" dxfId="1" priority="697">
      <formula>AND(COUNTIF(I122:BG122,"&lt;&gt;" &amp; "")&gt;0,NOT(ISBLANK(G122)))</formula>
    </cfRule>
  </conditionalFormatting>
  <conditionalFormatting sqref="G123">
    <cfRule type="expression" dxfId="0" priority="699">
      <formula>COUNTIF(I123:BG123,"&lt;&gt;" &amp; "")&gt;0</formula>
    </cfRule>
    <cfRule type="expression" dxfId="1" priority="700">
      <formula>AND(COUNTIF(I123:BG123,"&lt;&gt;" &amp; "")&gt;0,NOT(ISBLANK(G123)))</formula>
    </cfRule>
  </conditionalFormatting>
  <conditionalFormatting sqref="G124">
    <cfRule type="expression" dxfId="0" priority="702">
      <formula>COUNTIF(I124:BG124,"&lt;&gt;" &amp; "")&gt;0</formula>
    </cfRule>
    <cfRule type="expression" dxfId="1" priority="703">
      <formula>AND(COUNTIF(I124:BG124,"&lt;&gt;" &amp; "")&gt;0,NOT(ISBLANK(G124)))</formula>
    </cfRule>
  </conditionalFormatting>
  <conditionalFormatting sqref="G125">
    <cfRule type="expression" dxfId="0" priority="705">
      <formula>COUNTIF(I125:BG125,"&lt;&gt;" &amp; "")&gt;0</formula>
    </cfRule>
    <cfRule type="expression" dxfId="1" priority="706">
      <formula>AND(COUNTIF(I125:BG125,"&lt;&gt;" &amp; "")&gt;0,NOT(ISBLANK(G125)))</formula>
    </cfRule>
  </conditionalFormatting>
  <conditionalFormatting sqref="G126">
    <cfRule type="expression" dxfId="0" priority="708">
      <formula>COUNTIF(I126:BG126,"&lt;&gt;" &amp; "")&gt;0</formula>
    </cfRule>
    <cfRule type="expression" dxfId="1" priority="709">
      <formula>AND(COUNTIF(I126:BG126,"&lt;&gt;" &amp; "")&gt;0,NOT(ISBLANK(G126)))</formula>
    </cfRule>
  </conditionalFormatting>
  <conditionalFormatting sqref="G127">
    <cfRule type="expression" dxfId="0" priority="711">
      <formula>COUNTIF(I127:BG127,"&lt;&gt;" &amp; "")&gt;0</formula>
    </cfRule>
    <cfRule type="expression" dxfId="1" priority="712">
      <formula>AND(COUNTIF(I127:BG127,"&lt;&gt;" &amp; "")&gt;0,NOT(ISBLANK(G127)))</formula>
    </cfRule>
  </conditionalFormatting>
  <conditionalFormatting sqref="G128">
    <cfRule type="expression" dxfId="0" priority="714">
      <formula>COUNTIF(I128:BG128,"&lt;&gt;" &amp; "")&gt;0</formula>
    </cfRule>
    <cfRule type="expression" dxfId="1" priority="715">
      <formula>AND(COUNTIF(I128:BG128,"&lt;&gt;" &amp; "")&gt;0,NOT(ISBLANK(G128)))</formula>
    </cfRule>
  </conditionalFormatting>
  <conditionalFormatting sqref="G129">
    <cfRule type="expression" dxfId="0" priority="717">
      <formula>COUNTIF(I129:BG129,"&lt;&gt;" &amp; "")&gt;0</formula>
    </cfRule>
    <cfRule type="expression" dxfId="1" priority="718">
      <formula>AND(COUNTIF(I129:BG129,"&lt;&gt;" &amp; "")&gt;0,NOT(ISBLANK(G129)))</formula>
    </cfRule>
  </conditionalFormatting>
  <conditionalFormatting sqref="G13">
    <cfRule type="cellIs" dxfId="2" priority="235" operator="equal">
      <formula>"Y"</formula>
    </cfRule>
    <cfRule type="cellIs" dxfId="3" priority="236" operator="equal">
      <formula>"N"</formula>
    </cfRule>
  </conditionalFormatting>
  <conditionalFormatting sqref="G130">
    <cfRule type="expression" dxfId="0" priority="720">
      <formula>COUNTIF(I130:BG130,"&lt;&gt;" &amp; "")&gt;0</formula>
    </cfRule>
    <cfRule type="expression" dxfId="1" priority="721">
      <formula>AND(COUNTIF(I130:BG130,"&lt;&gt;" &amp; "")&gt;0,NOT(ISBLANK(G130)))</formula>
    </cfRule>
  </conditionalFormatting>
  <conditionalFormatting sqref="G131">
    <cfRule type="expression" dxfId="0" priority="723">
      <formula>COUNTIF(I131:BG131,"&lt;&gt;" &amp; "")&gt;0</formula>
    </cfRule>
    <cfRule type="expression" dxfId="1" priority="724">
      <formula>AND(COUNTIF(I131:BG131,"&lt;&gt;" &amp; "")&gt;0,NOT(ISBLANK(G131)))</formula>
    </cfRule>
  </conditionalFormatting>
  <conditionalFormatting sqref="G132">
    <cfRule type="expression" dxfId="0" priority="726">
      <formula>COUNTIF(I132:BG132,"&lt;&gt;" &amp; "")&gt;0</formula>
    </cfRule>
    <cfRule type="expression" dxfId="1" priority="727">
      <formula>AND(COUNTIF(I132:BG132,"&lt;&gt;" &amp; "")&gt;0,NOT(ISBLANK(G132)))</formula>
    </cfRule>
  </conditionalFormatting>
  <conditionalFormatting sqref="G133">
    <cfRule type="expression" dxfId="0" priority="729">
      <formula>COUNTIF(I133:BG133,"&lt;&gt;" &amp; "")&gt;0</formula>
    </cfRule>
    <cfRule type="expression" dxfId="1" priority="730">
      <formula>AND(COUNTIF(I133:BG133,"&lt;&gt;" &amp; "")&gt;0,NOT(ISBLANK(G133)))</formula>
    </cfRule>
  </conditionalFormatting>
  <conditionalFormatting sqref="G134">
    <cfRule type="expression" dxfId="0" priority="732">
      <formula>COUNTIF(I134:BG134,"&lt;&gt;" &amp; "")&gt;0</formula>
    </cfRule>
    <cfRule type="expression" dxfId="1" priority="733">
      <formula>AND(COUNTIF(I134:BG134,"&lt;&gt;" &amp; "")&gt;0,NOT(ISBLANK(G134)))</formula>
    </cfRule>
  </conditionalFormatting>
  <conditionalFormatting sqref="G135">
    <cfRule type="expression" dxfId="0" priority="735">
      <formula>COUNTIF(I135:BG135,"&lt;&gt;" &amp; "")&gt;0</formula>
    </cfRule>
    <cfRule type="expression" dxfId="1" priority="736">
      <formula>AND(COUNTIF(I135:BG135,"&lt;&gt;" &amp; "")&gt;0,NOT(ISBLANK(G135)))</formula>
    </cfRule>
  </conditionalFormatting>
  <conditionalFormatting sqref="G136">
    <cfRule type="expression" dxfId="0" priority="738">
      <formula>COUNTIF(I136:BG136,"&lt;&gt;" &amp; "")&gt;0</formula>
    </cfRule>
    <cfRule type="expression" dxfId="1" priority="739">
      <formula>AND(COUNTIF(I136:BG136,"&lt;&gt;" &amp; "")&gt;0,NOT(ISBLANK(G136)))</formula>
    </cfRule>
  </conditionalFormatting>
  <conditionalFormatting sqref="G137">
    <cfRule type="expression" dxfId="0" priority="741">
      <formula>COUNTIF(I137:BG137,"&lt;&gt;" &amp; "")&gt;0</formula>
    </cfRule>
    <cfRule type="expression" dxfId="1" priority="742">
      <formula>AND(COUNTIF(I137:BG137,"&lt;&gt;" &amp; "")&gt;0,NOT(ISBLANK(G137)))</formula>
    </cfRule>
  </conditionalFormatting>
  <conditionalFormatting sqref="G138">
    <cfRule type="expression" dxfId="0" priority="744">
      <formula>COUNTIF(I138:BG138,"&lt;&gt;" &amp; "")&gt;0</formula>
    </cfRule>
    <cfRule type="expression" dxfId="1" priority="745">
      <formula>AND(COUNTIF(I138:BG138,"&lt;&gt;" &amp; "")&gt;0,NOT(ISBLANK(G138)))</formula>
    </cfRule>
  </conditionalFormatting>
  <conditionalFormatting sqref="G139">
    <cfRule type="expression" dxfId="0" priority="747">
      <formula>COUNTIF(I139:BG139,"&lt;&gt;" &amp; "")&gt;0</formula>
    </cfRule>
    <cfRule type="expression" dxfId="1" priority="748">
      <formula>AND(COUNTIF(I139:BG139,"&lt;&gt;" &amp; "")&gt;0,NOT(ISBLANK(G139)))</formula>
    </cfRule>
  </conditionalFormatting>
  <conditionalFormatting sqref="G14">
    <cfRule type="cellIs" dxfId="2" priority="263" operator="equal">
      <formula>"Y"</formula>
    </cfRule>
    <cfRule type="cellIs" dxfId="3" priority="264" operator="equal">
      <formula>"N"</formula>
    </cfRule>
  </conditionalFormatting>
  <conditionalFormatting sqref="G140">
    <cfRule type="expression" dxfId="0" priority="750">
      <formula>COUNTIF(I140:BG140,"&lt;&gt;" &amp; "")&gt;0</formula>
    </cfRule>
    <cfRule type="expression" dxfId="1" priority="751">
      <formula>AND(COUNTIF(I140:BG140,"&lt;&gt;" &amp; "")&gt;0,NOT(ISBLANK(G140)))</formula>
    </cfRule>
  </conditionalFormatting>
  <conditionalFormatting sqref="G141">
    <cfRule type="expression" dxfId="0" priority="753">
      <formula>COUNTIF(I141:BG141,"&lt;&gt;" &amp; "")&gt;0</formula>
    </cfRule>
    <cfRule type="expression" dxfId="1" priority="754">
      <formula>AND(COUNTIF(I141:BG141,"&lt;&gt;" &amp; "")&gt;0,NOT(ISBLANK(G141)))</formula>
    </cfRule>
  </conditionalFormatting>
  <conditionalFormatting sqref="G142">
    <cfRule type="expression" dxfId="0" priority="756">
      <formula>COUNTIF(I142:BG142,"&lt;&gt;" &amp; "")&gt;0</formula>
    </cfRule>
    <cfRule type="expression" dxfId="1" priority="757">
      <formula>AND(COUNTIF(I142:BG142,"&lt;&gt;" &amp; "")&gt;0,NOT(ISBLANK(G142)))</formula>
    </cfRule>
  </conditionalFormatting>
  <conditionalFormatting sqref="G143">
    <cfRule type="expression" dxfId="0" priority="759">
      <formula>COUNTIF(I143:BG143,"&lt;&gt;" &amp; "")&gt;0</formula>
    </cfRule>
    <cfRule type="expression" dxfId="1" priority="760">
      <formula>AND(COUNTIF(I143:BG143,"&lt;&gt;" &amp; "")&gt;0,NOT(ISBLANK(G143)))</formula>
    </cfRule>
  </conditionalFormatting>
  <conditionalFormatting sqref="G144">
    <cfRule type="expression" dxfId="0" priority="762">
      <formula>COUNTIF(I144:BG144,"&lt;&gt;" &amp; "")&gt;0</formula>
    </cfRule>
    <cfRule type="expression" dxfId="1" priority="763">
      <formula>AND(COUNTIF(I144:BG144,"&lt;&gt;" &amp; "")&gt;0,NOT(ISBLANK(G144)))</formula>
    </cfRule>
  </conditionalFormatting>
  <conditionalFormatting sqref="G145">
    <cfRule type="expression" dxfId="0" priority="765">
      <formula>COUNTIF(I145:BG145,"&lt;&gt;" &amp; "")&gt;0</formula>
    </cfRule>
    <cfRule type="expression" dxfId="1" priority="766">
      <formula>AND(COUNTIF(I145:BG145,"&lt;&gt;" &amp; "")&gt;0,NOT(ISBLANK(G145)))</formula>
    </cfRule>
  </conditionalFormatting>
  <conditionalFormatting sqref="G146">
    <cfRule type="expression" dxfId="0" priority="768">
      <formula>COUNTIF(I146:BG146,"&lt;&gt;" &amp; "")&gt;0</formula>
    </cfRule>
    <cfRule type="expression" dxfId="1" priority="769">
      <formula>AND(COUNTIF(I146:BG146,"&lt;&gt;" &amp; "")&gt;0,NOT(ISBLANK(G146)))</formula>
    </cfRule>
  </conditionalFormatting>
  <conditionalFormatting sqref="G147">
    <cfRule type="expression" dxfId="0" priority="771">
      <formula>COUNTIF(I147:BG147,"&lt;&gt;" &amp; "")&gt;0</formula>
    </cfRule>
    <cfRule type="expression" dxfId="1" priority="772">
      <formula>AND(COUNTIF(I147:BG147,"&lt;&gt;" &amp; "")&gt;0,NOT(ISBLANK(G147)))</formula>
    </cfRule>
  </conditionalFormatting>
  <conditionalFormatting sqref="G148">
    <cfRule type="expression" dxfId="0" priority="774">
      <formula>COUNTIF(I148:BG148,"&lt;&gt;" &amp; "")&gt;0</formula>
    </cfRule>
    <cfRule type="expression" dxfId="1" priority="775">
      <formula>AND(COUNTIF(I148:BG148,"&lt;&gt;" &amp; "")&gt;0,NOT(ISBLANK(G148)))</formula>
    </cfRule>
  </conditionalFormatting>
  <conditionalFormatting sqref="G149">
    <cfRule type="expression" dxfId="0" priority="777">
      <formula>COUNTIF(I149:BG149,"&lt;&gt;" &amp; "")&gt;0</formula>
    </cfRule>
    <cfRule type="expression" dxfId="1" priority="778">
      <formula>AND(COUNTIF(I149:BG149,"&lt;&gt;" &amp; "")&gt;0,NOT(ISBLANK(G149)))</formula>
    </cfRule>
  </conditionalFormatting>
  <conditionalFormatting sqref="G15">
    <cfRule type="cellIs" dxfId="2" priority="291" operator="equal">
      <formula>"Y"</formula>
    </cfRule>
    <cfRule type="cellIs" dxfId="3" priority="292" operator="equal">
      <formula>"N"</formula>
    </cfRule>
  </conditionalFormatting>
  <conditionalFormatting sqref="G150">
    <cfRule type="expression" dxfId="0" priority="780">
      <formula>COUNTIF(I150:BG150,"&lt;&gt;" &amp; "")&gt;0</formula>
    </cfRule>
    <cfRule type="expression" dxfId="1" priority="781">
      <formula>AND(COUNTIF(I150:BG150,"&lt;&gt;" &amp; "")&gt;0,NOT(ISBLANK(G150)))</formula>
    </cfRule>
  </conditionalFormatting>
  <conditionalFormatting sqref="G151">
    <cfRule type="expression" dxfId="0" priority="783">
      <formula>COUNTIF(I151:BG151,"&lt;&gt;" &amp; "")&gt;0</formula>
    </cfRule>
    <cfRule type="expression" dxfId="1" priority="784">
      <formula>AND(COUNTIF(I151:BG151,"&lt;&gt;" &amp; "")&gt;0,NOT(ISBLANK(G151)))</formula>
    </cfRule>
  </conditionalFormatting>
  <conditionalFormatting sqref="G152">
    <cfRule type="expression" dxfId="0" priority="786">
      <formula>COUNTIF(I152:BG152,"&lt;&gt;" &amp; "")&gt;0</formula>
    </cfRule>
    <cfRule type="expression" dxfId="1" priority="787">
      <formula>AND(COUNTIF(I152:BG152,"&lt;&gt;" &amp; "")&gt;0,NOT(ISBLANK(G152)))</formula>
    </cfRule>
  </conditionalFormatting>
  <conditionalFormatting sqref="G153">
    <cfRule type="expression" dxfId="0" priority="789">
      <formula>COUNTIF(I153:BG153,"&lt;&gt;" &amp; "")&gt;0</formula>
    </cfRule>
    <cfRule type="expression" dxfId="1" priority="790">
      <formula>AND(COUNTIF(I153:BG153,"&lt;&gt;" &amp; "")&gt;0,NOT(ISBLANK(G153)))</formula>
    </cfRule>
  </conditionalFormatting>
  <conditionalFormatting sqref="G154">
    <cfRule type="expression" dxfId="0" priority="792">
      <formula>COUNTIF(I154:BG154,"&lt;&gt;" &amp; "")&gt;0</formula>
    </cfRule>
    <cfRule type="expression" dxfId="1" priority="793">
      <formula>AND(COUNTIF(I154:BG154,"&lt;&gt;" &amp; "")&gt;0,NOT(ISBLANK(G154)))</formula>
    </cfRule>
  </conditionalFormatting>
  <conditionalFormatting sqref="G155">
    <cfRule type="expression" dxfId="0" priority="795">
      <formula>COUNTIF(I155:BG155,"&lt;&gt;" &amp; "")&gt;0</formula>
    </cfRule>
    <cfRule type="expression" dxfId="1" priority="796">
      <formula>AND(COUNTIF(I155:BG155,"&lt;&gt;" &amp; "")&gt;0,NOT(ISBLANK(G155)))</formula>
    </cfRule>
  </conditionalFormatting>
  <conditionalFormatting sqref="G156">
    <cfRule type="expression" dxfId="0" priority="798">
      <formula>COUNTIF(I156:BG156,"&lt;&gt;" &amp; "")&gt;0</formula>
    </cfRule>
    <cfRule type="expression" dxfId="1" priority="799">
      <formula>AND(COUNTIF(I156:BG156,"&lt;&gt;" &amp; "")&gt;0,NOT(ISBLANK(G156)))</formula>
    </cfRule>
  </conditionalFormatting>
  <conditionalFormatting sqref="G157">
    <cfRule type="expression" dxfId="0" priority="801">
      <formula>COUNTIF(I157:BG157,"&lt;&gt;" &amp; "")&gt;0</formula>
    </cfRule>
    <cfRule type="expression" dxfId="1" priority="802">
      <formula>AND(COUNTIF(I157:BG157,"&lt;&gt;" &amp; "")&gt;0,NOT(ISBLANK(G157)))</formula>
    </cfRule>
  </conditionalFormatting>
  <conditionalFormatting sqref="G158">
    <cfRule type="expression" dxfId="0" priority="804">
      <formula>COUNTIF(I158:BG158,"&lt;&gt;" &amp; "")&gt;0</formula>
    </cfRule>
    <cfRule type="expression" dxfId="1" priority="805">
      <formula>AND(COUNTIF(I158:BG158,"&lt;&gt;" &amp; "")&gt;0,NOT(ISBLANK(G158)))</formula>
    </cfRule>
  </conditionalFormatting>
  <conditionalFormatting sqref="G159">
    <cfRule type="expression" dxfId="0" priority="807">
      <formula>COUNTIF(I159:BG159,"&lt;&gt;" &amp; "")&gt;0</formula>
    </cfRule>
    <cfRule type="expression" dxfId="1" priority="808">
      <formula>AND(COUNTIF(I159:BG159,"&lt;&gt;" &amp; "")&gt;0,NOT(ISBLANK(G159)))</formula>
    </cfRule>
  </conditionalFormatting>
  <conditionalFormatting sqref="G16">
    <cfRule type="cellIs" dxfId="2" priority="319" operator="equal">
      <formula>"Y"</formula>
    </cfRule>
    <cfRule type="cellIs" dxfId="3" priority="320" operator="equal">
      <formula>"N"</formula>
    </cfRule>
  </conditionalFormatting>
  <conditionalFormatting sqref="G160">
    <cfRule type="expression" dxfId="0" priority="810">
      <formula>COUNTIF(I160:BG160,"&lt;&gt;" &amp; "")&gt;0</formula>
    </cfRule>
    <cfRule type="expression" dxfId="1" priority="811">
      <formula>AND(COUNTIF(I160:BG160,"&lt;&gt;" &amp; "")&gt;0,NOT(ISBLANK(G160)))</formula>
    </cfRule>
  </conditionalFormatting>
  <conditionalFormatting sqref="G161">
    <cfRule type="expression" dxfId="0" priority="813">
      <formula>COUNTIF(I161:BG161,"&lt;&gt;" &amp; "")&gt;0</formula>
    </cfRule>
    <cfRule type="expression" dxfId="1" priority="814">
      <formula>AND(COUNTIF(I161:BG161,"&lt;&gt;" &amp; "")&gt;0,NOT(ISBLANK(G161)))</formula>
    </cfRule>
  </conditionalFormatting>
  <conditionalFormatting sqref="G162">
    <cfRule type="expression" dxfId="0" priority="816">
      <formula>COUNTIF(I162:BG162,"&lt;&gt;" &amp; "")&gt;0</formula>
    </cfRule>
    <cfRule type="expression" dxfId="1" priority="817">
      <formula>AND(COUNTIF(I162:BG162,"&lt;&gt;" &amp; "")&gt;0,NOT(ISBLANK(G162)))</formula>
    </cfRule>
  </conditionalFormatting>
  <conditionalFormatting sqref="G163">
    <cfRule type="expression" dxfId="0" priority="819">
      <formula>COUNTIF(I163:BG163,"&lt;&gt;" &amp; "")&gt;0</formula>
    </cfRule>
    <cfRule type="expression" dxfId="1" priority="820">
      <formula>AND(COUNTIF(I163:BG163,"&lt;&gt;" &amp; "")&gt;0,NOT(ISBLANK(G163)))</formula>
    </cfRule>
  </conditionalFormatting>
  <conditionalFormatting sqref="G164">
    <cfRule type="expression" dxfId="0" priority="822">
      <formula>COUNTIF(I164:BG164,"&lt;&gt;" &amp; "")&gt;0</formula>
    </cfRule>
    <cfRule type="expression" dxfId="1" priority="823">
      <formula>AND(COUNTIF(I164:BG164,"&lt;&gt;" &amp; "")&gt;0,NOT(ISBLANK(G164)))</formula>
    </cfRule>
  </conditionalFormatting>
  <conditionalFormatting sqref="G165">
    <cfRule type="expression" dxfId="0" priority="825">
      <formula>COUNTIF(I165:BG165,"&lt;&gt;" &amp; "")&gt;0</formula>
    </cfRule>
    <cfRule type="expression" dxfId="1" priority="826">
      <formula>AND(COUNTIF(I165:BG165,"&lt;&gt;" &amp; "")&gt;0,NOT(ISBLANK(G165)))</formula>
    </cfRule>
  </conditionalFormatting>
  <conditionalFormatting sqref="G166">
    <cfRule type="expression" dxfId="0" priority="828">
      <formula>COUNTIF(I166:BG166,"&lt;&gt;" &amp; "")&gt;0</formula>
    </cfRule>
    <cfRule type="expression" dxfId="1" priority="829">
      <formula>AND(COUNTIF(I166:BG166,"&lt;&gt;" &amp; "")&gt;0,NOT(ISBLANK(G166)))</formula>
    </cfRule>
  </conditionalFormatting>
  <conditionalFormatting sqref="G167">
    <cfRule type="expression" dxfId="0" priority="831">
      <formula>COUNTIF(I167:BG167,"&lt;&gt;" &amp; "")&gt;0</formula>
    </cfRule>
    <cfRule type="expression" dxfId="1" priority="832">
      <formula>AND(COUNTIF(I167:BG167,"&lt;&gt;" &amp; "")&gt;0,NOT(ISBLANK(G167)))</formula>
    </cfRule>
  </conditionalFormatting>
  <conditionalFormatting sqref="G168">
    <cfRule type="expression" dxfId="0" priority="834">
      <formula>COUNTIF(I168:BG168,"&lt;&gt;" &amp; "")&gt;0</formula>
    </cfRule>
    <cfRule type="expression" dxfId="1" priority="835">
      <formula>AND(COUNTIF(I168:BG168,"&lt;&gt;" &amp; "")&gt;0,NOT(ISBLANK(G168)))</formula>
    </cfRule>
  </conditionalFormatting>
  <conditionalFormatting sqref="G169">
    <cfRule type="expression" dxfId="0" priority="837">
      <formula>COUNTIF(I169:BG169,"&lt;&gt;" &amp; "")&gt;0</formula>
    </cfRule>
    <cfRule type="expression" dxfId="1" priority="838">
      <formula>AND(COUNTIF(I169:BG169,"&lt;&gt;" &amp; "")&gt;0,NOT(ISBLANK(G169)))</formula>
    </cfRule>
  </conditionalFormatting>
  <conditionalFormatting sqref="G17">
    <cfRule type="cellIs" dxfId="2" priority="347" operator="equal">
      <formula>"Y"</formula>
    </cfRule>
    <cfRule type="cellIs" dxfId="3" priority="348" operator="equal">
      <formula>"N"</formula>
    </cfRule>
  </conditionalFormatting>
  <conditionalFormatting sqref="G170">
    <cfRule type="expression" dxfId="0" priority="840">
      <formula>COUNTIF(I170:BG170,"&lt;&gt;" &amp; "")&gt;0</formula>
    </cfRule>
    <cfRule type="expression" dxfId="1" priority="841">
      <formula>AND(COUNTIF(I170:BG170,"&lt;&gt;" &amp; "")&gt;0,NOT(ISBLANK(G170)))</formula>
    </cfRule>
  </conditionalFormatting>
  <conditionalFormatting sqref="G171">
    <cfRule type="expression" dxfId="0" priority="843">
      <formula>COUNTIF(I171:BG171,"&lt;&gt;" &amp; "")&gt;0</formula>
    </cfRule>
    <cfRule type="expression" dxfId="1" priority="844">
      <formula>AND(COUNTIF(I171:BG171,"&lt;&gt;" &amp; "")&gt;0,NOT(ISBLANK(G171)))</formula>
    </cfRule>
  </conditionalFormatting>
  <conditionalFormatting sqref="G172">
    <cfRule type="expression" dxfId="0" priority="846">
      <formula>COUNTIF(I172:BG172,"&lt;&gt;" &amp; "")&gt;0</formula>
    </cfRule>
    <cfRule type="expression" dxfId="1" priority="847">
      <formula>AND(COUNTIF(I172:BG172,"&lt;&gt;" &amp; "")&gt;0,NOT(ISBLANK(G172)))</formula>
    </cfRule>
  </conditionalFormatting>
  <conditionalFormatting sqref="G173">
    <cfRule type="expression" dxfId="0" priority="849">
      <formula>COUNTIF(I173:BG173,"&lt;&gt;" &amp; "")&gt;0</formula>
    </cfRule>
    <cfRule type="expression" dxfId="1" priority="850">
      <formula>AND(COUNTIF(I173:BG173,"&lt;&gt;" &amp; "")&gt;0,NOT(ISBLANK(G173)))</formula>
    </cfRule>
  </conditionalFormatting>
  <conditionalFormatting sqref="G174">
    <cfRule type="expression" dxfId="0" priority="852">
      <formula>COUNTIF(I174:BG174,"&lt;&gt;" &amp; "")&gt;0</formula>
    </cfRule>
    <cfRule type="expression" dxfId="1" priority="853">
      <formula>AND(COUNTIF(I174:BG174,"&lt;&gt;" &amp; "")&gt;0,NOT(ISBLANK(G174)))</formula>
    </cfRule>
  </conditionalFormatting>
  <conditionalFormatting sqref="G175">
    <cfRule type="expression" dxfId="0" priority="855">
      <formula>COUNTIF(I175:BG175,"&lt;&gt;" &amp; "")&gt;0</formula>
    </cfRule>
    <cfRule type="expression" dxfId="1" priority="856">
      <formula>AND(COUNTIF(I175:BG175,"&lt;&gt;" &amp; "")&gt;0,NOT(ISBLANK(G175)))</formula>
    </cfRule>
  </conditionalFormatting>
  <conditionalFormatting sqref="G176">
    <cfRule type="expression" dxfId="0" priority="858">
      <formula>COUNTIF(I176:BG176,"&lt;&gt;" &amp; "")&gt;0</formula>
    </cfRule>
    <cfRule type="expression" dxfId="1" priority="859">
      <formula>AND(COUNTIF(I176:BG176,"&lt;&gt;" &amp; "")&gt;0,NOT(ISBLANK(G176)))</formula>
    </cfRule>
  </conditionalFormatting>
  <conditionalFormatting sqref="G177">
    <cfRule type="expression" dxfId="0" priority="861">
      <formula>COUNTIF(I177:BG177,"&lt;&gt;" &amp; "")&gt;0</formula>
    </cfRule>
    <cfRule type="expression" dxfId="1" priority="862">
      <formula>AND(COUNTIF(I177:BG177,"&lt;&gt;" &amp; "")&gt;0,NOT(ISBLANK(G177)))</formula>
    </cfRule>
  </conditionalFormatting>
  <conditionalFormatting sqref="G178">
    <cfRule type="expression" dxfId="0" priority="864">
      <formula>COUNTIF(I178:BG178,"&lt;&gt;" &amp; "")&gt;0</formula>
    </cfRule>
    <cfRule type="expression" dxfId="1" priority="865">
      <formula>AND(COUNTIF(I178:BG178,"&lt;&gt;" &amp; "")&gt;0,NOT(ISBLANK(G178)))</formula>
    </cfRule>
  </conditionalFormatting>
  <conditionalFormatting sqref="G179">
    <cfRule type="expression" dxfId="0" priority="867">
      <formula>COUNTIF(I179:BG179,"&lt;&gt;" &amp; "")&gt;0</formula>
    </cfRule>
    <cfRule type="expression" dxfId="1" priority="868">
      <formula>AND(COUNTIF(I179:BG179,"&lt;&gt;" &amp; "")&gt;0,NOT(ISBLANK(G179)))</formula>
    </cfRule>
  </conditionalFormatting>
  <conditionalFormatting sqref="G18">
    <cfRule type="cellIs" dxfId="2" priority="375" operator="equal">
      <formula>"Y"</formula>
    </cfRule>
    <cfRule type="cellIs" dxfId="3" priority="376" operator="equal">
      <formula>"N"</formula>
    </cfRule>
  </conditionalFormatting>
  <conditionalFormatting sqref="G180">
    <cfRule type="expression" dxfId="0" priority="870">
      <formula>COUNTIF(I180:BG180,"&lt;&gt;" &amp; "")&gt;0</formula>
    </cfRule>
    <cfRule type="expression" dxfId="1" priority="871">
      <formula>AND(COUNTIF(I180:BG180,"&lt;&gt;" &amp; "")&gt;0,NOT(ISBLANK(G180)))</formula>
    </cfRule>
  </conditionalFormatting>
  <conditionalFormatting sqref="G181">
    <cfRule type="expression" dxfId="0" priority="873">
      <formula>COUNTIF(I181:BG181,"&lt;&gt;" &amp; "")&gt;0</formula>
    </cfRule>
    <cfRule type="expression" dxfId="1" priority="874">
      <formula>AND(COUNTIF(I181:BG181,"&lt;&gt;" &amp; "")&gt;0,NOT(ISBLANK(G181)))</formula>
    </cfRule>
  </conditionalFormatting>
  <conditionalFormatting sqref="G182">
    <cfRule type="expression" dxfId="0" priority="876">
      <formula>COUNTIF(I182:BG182,"&lt;&gt;" &amp; "")&gt;0</formula>
    </cfRule>
    <cfRule type="expression" dxfId="1" priority="877">
      <formula>AND(COUNTIF(I182:BG182,"&lt;&gt;" &amp; "")&gt;0,NOT(ISBLANK(G182)))</formula>
    </cfRule>
  </conditionalFormatting>
  <conditionalFormatting sqref="G183">
    <cfRule type="expression" dxfId="0" priority="879">
      <formula>COUNTIF(I183:BG183,"&lt;&gt;" &amp; "")&gt;0</formula>
    </cfRule>
    <cfRule type="expression" dxfId="1" priority="880">
      <formula>AND(COUNTIF(I183:BG183,"&lt;&gt;" &amp; "")&gt;0,NOT(ISBLANK(G183)))</formula>
    </cfRule>
  </conditionalFormatting>
  <conditionalFormatting sqref="G184">
    <cfRule type="expression" dxfId="0" priority="882">
      <formula>COUNTIF(I184:BG184,"&lt;&gt;" &amp; "")&gt;0</formula>
    </cfRule>
    <cfRule type="expression" dxfId="1" priority="883">
      <formula>AND(COUNTIF(I184:BG184,"&lt;&gt;" &amp; "")&gt;0,NOT(ISBLANK(G184)))</formula>
    </cfRule>
  </conditionalFormatting>
  <conditionalFormatting sqref="G185">
    <cfRule type="expression" dxfId="0" priority="885">
      <formula>COUNTIF(I185:BG185,"&lt;&gt;" &amp; "")&gt;0</formula>
    </cfRule>
    <cfRule type="expression" dxfId="1" priority="886">
      <formula>AND(COUNTIF(I185:BG185,"&lt;&gt;" &amp; "")&gt;0,NOT(ISBLANK(G185)))</formula>
    </cfRule>
  </conditionalFormatting>
  <conditionalFormatting sqref="G186">
    <cfRule type="expression" dxfId="0" priority="888">
      <formula>COUNTIF(I186:BG186,"&lt;&gt;" &amp; "")&gt;0</formula>
    </cfRule>
    <cfRule type="expression" dxfId="1" priority="889">
      <formula>AND(COUNTIF(I186:BG186,"&lt;&gt;" &amp; "")&gt;0,NOT(ISBLANK(G186)))</formula>
    </cfRule>
  </conditionalFormatting>
  <conditionalFormatting sqref="G187">
    <cfRule type="expression" dxfId="0" priority="891">
      <formula>COUNTIF(I187:BG187,"&lt;&gt;" &amp; "")&gt;0</formula>
    </cfRule>
    <cfRule type="expression" dxfId="1" priority="892">
      <formula>AND(COUNTIF(I187:BG187,"&lt;&gt;" &amp; "")&gt;0,NOT(ISBLANK(G187)))</formula>
    </cfRule>
  </conditionalFormatting>
  <conditionalFormatting sqref="G188">
    <cfRule type="expression" dxfId="0" priority="894">
      <formula>COUNTIF(I188:BG188,"&lt;&gt;" &amp; "")&gt;0</formula>
    </cfRule>
    <cfRule type="expression" dxfId="1" priority="895">
      <formula>AND(COUNTIF(I188:BG188,"&lt;&gt;" &amp; "")&gt;0,NOT(ISBLANK(G188)))</formula>
    </cfRule>
  </conditionalFormatting>
  <conditionalFormatting sqref="G189">
    <cfRule type="expression" dxfId="0" priority="897">
      <formula>COUNTIF(I189:BG189,"&lt;&gt;" &amp; "")&gt;0</formula>
    </cfRule>
    <cfRule type="expression" dxfId="1" priority="898">
      <formula>AND(COUNTIF(I189:BG189,"&lt;&gt;" &amp; "")&gt;0,NOT(ISBLANK(G189)))</formula>
    </cfRule>
  </conditionalFormatting>
  <conditionalFormatting sqref="G190">
    <cfRule type="expression" dxfId="0" priority="900">
      <formula>COUNTIF(I190:BG190,"&lt;&gt;" &amp; "")&gt;0</formula>
    </cfRule>
    <cfRule type="expression" dxfId="1" priority="901">
      <formula>AND(COUNTIF(I190:BG190,"&lt;&gt;" &amp; "")&gt;0,NOT(ISBLANK(G190)))</formula>
    </cfRule>
  </conditionalFormatting>
  <conditionalFormatting sqref="G191">
    <cfRule type="expression" dxfId="0" priority="903">
      <formula>COUNTIF(I191:BG191,"&lt;&gt;" &amp; "")&gt;0</formula>
    </cfRule>
    <cfRule type="expression" dxfId="1" priority="904">
      <formula>AND(COUNTIF(I191:BG191,"&lt;&gt;" &amp; "")&gt;0,NOT(ISBLANK(G191)))</formula>
    </cfRule>
  </conditionalFormatting>
  <conditionalFormatting sqref="G192">
    <cfRule type="expression" dxfId="0" priority="906">
      <formula>COUNTIF(I192:BG192,"&lt;&gt;" &amp; "")&gt;0</formula>
    </cfRule>
    <cfRule type="expression" dxfId="1" priority="907">
      <formula>AND(COUNTIF(I192:BG192,"&lt;&gt;" &amp; "")&gt;0,NOT(ISBLANK(G192)))</formula>
    </cfRule>
  </conditionalFormatting>
  <conditionalFormatting sqref="G193">
    <cfRule type="expression" dxfId="0" priority="909">
      <formula>COUNTIF(I193:BG193,"&lt;&gt;" &amp; "")&gt;0</formula>
    </cfRule>
    <cfRule type="expression" dxfId="1" priority="910">
      <formula>AND(COUNTIF(I193:BG193,"&lt;&gt;" &amp; "")&gt;0,NOT(ISBLANK(G193)))</formula>
    </cfRule>
  </conditionalFormatting>
  <conditionalFormatting sqref="G194">
    <cfRule type="expression" dxfId="0" priority="912">
      <formula>COUNTIF(I194:BG194,"&lt;&gt;" &amp; "")&gt;0</formula>
    </cfRule>
    <cfRule type="expression" dxfId="1" priority="913">
      <formula>AND(COUNTIF(I194:BG194,"&lt;&gt;" &amp; "")&gt;0,NOT(ISBLANK(G194)))</formula>
    </cfRule>
  </conditionalFormatting>
  <conditionalFormatting sqref="G195">
    <cfRule type="expression" dxfId="0" priority="915">
      <formula>COUNTIF(I195:BG195,"&lt;&gt;" &amp; "")&gt;0</formula>
    </cfRule>
    <cfRule type="expression" dxfId="1" priority="916">
      <formula>AND(COUNTIF(I195:BG195,"&lt;&gt;" &amp; "")&gt;0,NOT(ISBLANK(G195)))</formula>
    </cfRule>
  </conditionalFormatting>
  <conditionalFormatting sqref="G196">
    <cfRule type="expression" dxfId="0" priority="918">
      <formula>COUNTIF(I196:BG196,"&lt;&gt;" &amp; "")&gt;0</formula>
    </cfRule>
    <cfRule type="expression" dxfId="1" priority="919">
      <formula>AND(COUNTIF(I196:BG196,"&lt;&gt;" &amp; "")&gt;0,NOT(ISBLANK(G196)))</formula>
    </cfRule>
  </conditionalFormatting>
  <conditionalFormatting sqref="G197">
    <cfRule type="expression" dxfId="0" priority="921">
      <formula>COUNTIF(I197:BG197,"&lt;&gt;" &amp; "")&gt;0</formula>
    </cfRule>
    <cfRule type="expression" dxfId="1" priority="922">
      <formula>AND(COUNTIF(I197:BG197,"&lt;&gt;" &amp; "")&gt;0,NOT(ISBLANK(G197)))</formula>
    </cfRule>
  </conditionalFormatting>
  <conditionalFormatting sqref="G198">
    <cfRule type="expression" dxfId="0" priority="924">
      <formula>COUNTIF(I198:BG198,"&lt;&gt;" &amp; "")&gt;0</formula>
    </cfRule>
    <cfRule type="expression" dxfId="1" priority="925">
      <formula>AND(COUNTIF(I198:BG198,"&lt;&gt;" &amp; "")&gt;0,NOT(ISBLANK(G198)))</formula>
    </cfRule>
  </conditionalFormatting>
  <conditionalFormatting sqref="G199">
    <cfRule type="expression" dxfId="0" priority="927">
      <formula>COUNTIF(I199:BG199,"&lt;&gt;" &amp; "")&gt;0</formula>
    </cfRule>
    <cfRule type="expression" dxfId="1" priority="928">
      <formula>AND(COUNTIF(I199:BG199,"&lt;&gt;" &amp; "")&gt;0,NOT(ISBLANK(G199)))</formula>
    </cfRule>
  </conditionalFormatting>
  <conditionalFormatting sqref="G200">
    <cfRule type="expression" dxfId="0" priority="930">
      <formula>COUNTIF(I200:BG200,"&lt;&gt;" &amp; "")&gt;0</formula>
    </cfRule>
    <cfRule type="expression" dxfId="1" priority="931">
      <formula>AND(COUNTIF(I200:BG200,"&lt;&gt;" &amp; "")&gt;0,NOT(ISBLANK(G200)))</formula>
    </cfRule>
  </conditionalFormatting>
  <conditionalFormatting sqref="G201">
    <cfRule type="expression" dxfId="0" priority="933">
      <formula>COUNTIF(I201:BG201,"&lt;&gt;" &amp; "")&gt;0</formula>
    </cfRule>
    <cfRule type="expression" dxfId="1" priority="934">
      <formula>AND(COUNTIF(I201:BG201,"&lt;&gt;" &amp; "")&gt;0,NOT(ISBLANK(G201)))</formula>
    </cfRule>
  </conditionalFormatting>
  <conditionalFormatting sqref="G202">
    <cfRule type="expression" dxfId="0" priority="936">
      <formula>COUNTIF(I202:BG202,"&lt;&gt;" &amp; "")&gt;0</formula>
    </cfRule>
    <cfRule type="expression" dxfId="1" priority="937">
      <formula>AND(COUNTIF(I202:BG202,"&lt;&gt;" &amp; "")&gt;0,NOT(ISBLANK(G202)))</formula>
    </cfRule>
  </conditionalFormatting>
  <conditionalFormatting sqref="G203">
    <cfRule type="expression" dxfId="0" priority="939">
      <formula>COUNTIF(I203:BG203,"&lt;&gt;" &amp; "")&gt;0</formula>
    </cfRule>
    <cfRule type="expression" dxfId="1" priority="940">
      <formula>AND(COUNTIF(I203:BG203,"&lt;&gt;" &amp; "")&gt;0,NOT(ISBLANK(G203)))</formula>
    </cfRule>
  </conditionalFormatting>
  <conditionalFormatting sqref="G204">
    <cfRule type="expression" dxfId="0" priority="942">
      <formula>COUNTIF(I204:BG204,"&lt;&gt;" &amp; "")&gt;0</formula>
    </cfRule>
    <cfRule type="expression" dxfId="1" priority="943">
      <formula>AND(COUNTIF(I204:BG204,"&lt;&gt;" &amp; "")&gt;0,NOT(ISBLANK(G204)))</formula>
    </cfRule>
  </conditionalFormatting>
  <conditionalFormatting sqref="G205">
    <cfRule type="expression" dxfId="0" priority="945">
      <formula>COUNTIF(I205:BG205,"&lt;&gt;" &amp; "")&gt;0</formula>
    </cfRule>
    <cfRule type="expression" dxfId="1" priority="946">
      <formula>AND(COUNTIF(I205:BG205,"&lt;&gt;" &amp; "")&gt;0,NOT(ISBLANK(G205)))</formula>
    </cfRule>
  </conditionalFormatting>
  <conditionalFormatting sqref="G206">
    <cfRule type="expression" dxfId="0" priority="948">
      <formula>COUNTIF(I206:BG206,"&lt;&gt;" &amp; "")&gt;0</formula>
    </cfRule>
    <cfRule type="expression" dxfId="1" priority="949">
      <formula>AND(COUNTIF(I206:BG206,"&lt;&gt;" &amp; "")&gt;0,NOT(ISBLANK(G206)))</formula>
    </cfRule>
  </conditionalFormatting>
  <conditionalFormatting sqref="G207">
    <cfRule type="expression" dxfId="0" priority="951">
      <formula>COUNTIF(I207:BG207,"&lt;&gt;" &amp; "")&gt;0</formula>
    </cfRule>
    <cfRule type="expression" dxfId="1" priority="952">
      <formula>AND(COUNTIF(I207:BG207,"&lt;&gt;" &amp; "")&gt;0,NOT(ISBLANK(G207)))</formula>
    </cfRule>
  </conditionalFormatting>
  <conditionalFormatting sqref="G208">
    <cfRule type="expression" dxfId="0" priority="954">
      <formula>COUNTIF(I208:BG208,"&lt;&gt;" &amp; "")&gt;0</formula>
    </cfRule>
    <cfRule type="expression" dxfId="1" priority="955">
      <formula>AND(COUNTIF(I208:BG208,"&lt;&gt;" &amp; "")&gt;0,NOT(ISBLANK(G208)))</formula>
    </cfRule>
  </conditionalFormatting>
  <conditionalFormatting sqref="G209">
    <cfRule type="expression" dxfId="0" priority="957">
      <formula>COUNTIF(I209:BG209,"&lt;&gt;" &amp; "")&gt;0</formula>
    </cfRule>
    <cfRule type="expression" dxfId="1" priority="958">
      <formula>AND(COUNTIF(I209:BG209,"&lt;&gt;" &amp; "")&gt;0,NOT(ISBLANK(G209)))</formula>
    </cfRule>
  </conditionalFormatting>
  <conditionalFormatting sqref="G21">
    <cfRule type="expression" dxfId="0" priority="393">
      <formula>COUNTIF(I21:BG21,"&lt;&gt;" &amp; "")&gt;0</formula>
    </cfRule>
    <cfRule type="expression" dxfId="1" priority="394">
      <formula>AND(COUNTIF(I21:BG21,"&lt;&gt;" &amp; "")&gt;0,NOT(ISBLANK(G21)))</formula>
    </cfRule>
  </conditionalFormatting>
  <conditionalFormatting sqref="G210">
    <cfRule type="expression" dxfId="0" priority="960">
      <formula>COUNTIF(I210:BG210,"&lt;&gt;" &amp; "")&gt;0</formula>
    </cfRule>
    <cfRule type="expression" dxfId="1" priority="961">
      <formula>AND(COUNTIF(I210:BG210,"&lt;&gt;" &amp; "")&gt;0,NOT(ISBLANK(G210)))</formula>
    </cfRule>
  </conditionalFormatting>
  <conditionalFormatting sqref="G211">
    <cfRule type="expression" dxfId="0" priority="963">
      <formula>COUNTIF(I211:BG211,"&lt;&gt;" &amp; "")&gt;0</formula>
    </cfRule>
    <cfRule type="expression" dxfId="1" priority="964">
      <formula>AND(COUNTIF(I211:BG211,"&lt;&gt;" &amp; "")&gt;0,NOT(ISBLANK(G211)))</formula>
    </cfRule>
  </conditionalFormatting>
  <conditionalFormatting sqref="G212">
    <cfRule type="expression" dxfId="0" priority="966">
      <formula>COUNTIF(I212:BG212,"&lt;&gt;" &amp; "")&gt;0</formula>
    </cfRule>
    <cfRule type="expression" dxfId="1" priority="967">
      <formula>AND(COUNTIF(I212:BG212,"&lt;&gt;" &amp; "")&gt;0,NOT(ISBLANK(G212)))</formula>
    </cfRule>
  </conditionalFormatting>
  <conditionalFormatting sqref="G213">
    <cfRule type="expression" dxfId="0" priority="969">
      <formula>COUNTIF(I213:BG213,"&lt;&gt;" &amp; "")&gt;0</formula>
    </cfRule>
    <cfRule type="expression" dxfId="1" priority="970">
      <formula>AND(COUNTIF(I213:BG213,"&lt;&gt;" &amp; "")&gt;0,NOT(ISBLANK(G213)))</formula>
    </cfRule>
  </conditionalFormatting>
  <conditionalFormatting sqref="G214">
    <cfRule type="expression" dxfId="0" priority="972">
      <formula>COUNTIF(I214:BG214,"&lt;&gt;" &amp; "")&gt;0</formula>
    </cfRule>
    <cfRule type="expression" dxfId="1" priority="973">
      <formula>AND(COUNTIF(I214:BG214,"&lt;&gt;" &amp; "")&gt;0,NOT(ISBLANK(G214)))</formula>
    </cfRule>
  </conditionalFormatting>
  <conditionalFormatting sqref="G215">
    <cfRule type="expression" dxfId="0" priority="975">
      <formula>COUNTIF(I215:BG215,"&lt;&gt;" &amp; "")&gt;0</formula>
    </cfRule>
    <cfRule type="expression" dxfId="1" priority="976">
      <formula>AND(COUNTIF(I215:BG215,"&lt;&gt;" &amp; "")&gt;0,NOT(ISBLANK(G215)))</formula>
    </cfRule>
  </conditionalFormatting>
  <conditionalFormatting sqref="G216">
    <cfRule type="expression" dxfId="0" priority="978">
      <formula>COUNTIF(I216:BG216,"&lt;&gt;" &amp; "")&gt;0</formula>
    </cfRule>
    <cfRule type="expression" dxfId="1" priority="979">
      <formula>AND(COUNTIF(I216:BG216,"&lt;&gt;" &amp; "")&gt;0,NOT(ISBLANK(G216)))</formula>
    </cfRule>
  </conditionalFormatting>
  <conditionalFormatting sqref="G22">
    <cfRule type="expression" dxfId="0" priority="396">
      <formula>COUNTIF(I22:BG22,"&lt;&gt;" &amp; "")&gt;0</formula>
    </cfRule>
    <cfRule type="expression" dxfId="1" priority="397">
      <formula>AND(COUNTIF(I22:BG22,"&lt;&gt;" &amp; "")&gt;0,NOT(ISBLANK(G22)))</formula>
    </cfRule>
  </conditionalFormatting>
  <conditionalFormatting sqref="G222">
    <cfRule type="cellIs" dxfId="2" priority="991" operator="equal">
      <formula>"Y"</formula>
    </cfRule>
    <cfRule type="cellIs" dxfId="3" priority="992" operator="equal">
      <formula>"N"</formula>
    </cfRule>
  </conditionalFormatting>
  <conditionalFormatting sqref="G223">
    <cfRule type="cellIs" dxfId="2" priority="1019" operator="equal">
      <formula>"Y"</formula>
    </cfRule>
    <cfRule type="cellIs" dxfId="3" priority="1020" operator="equal">
      <formula>"N"</formula>
    </cfRule>
  </conditionalFormatting>
  <conditionalFormatting sqref="G224">
    <cfRule type="cellIs" dxfId="2" priority="1047" operator="equal">
      <formula>"Y"</formula>
    </cfRule>
    <cfRule type="cellIs" dxfId="3" priority="1048" operator="equal">
      <formula>"N"</formula>
    </cfRule>
  </conditionalFormatting>
  <conditionalFormatting sqref="G225">
    <cfRule type="cellIs" dxfId="2" priority="1075" operator="equal">
      <formula>"Y"</formula>
    </cfRule>
    <cfRule type="cellIs" dxfId="3" priority="1076" operator="equal">
      <formula>"N"</formula>
    </cfRule>
  </conditionalFormatting>
  <conditionalFormatting sqref="G226">
    <cfRule type="cellIs" dxfId="2" priority="1103" operator="equal">
      <formula>"Y"</formula>
    </cfRule>
    <cfRule type="cellIs" dxfId="3" priority="1104" operator="equal">
      <formula>"N"</formula>
    </cfRule>
  </conditionalFormatting>
  <conditionalFormatting sqref="G227">
    <cfRule type="cellIs" dxfId="2" priority="1131" operator="equal">
      <formula>"Y"</formula>
    </cfRule>
    <cfRule type="cellIs" dxfId="3" priority="1132" operator="equal">
      <formula>"N"</formula>
    </cfRule>
  </conditionalFormatting>
  <conditionalFormatting sqref="G228">
    <cfRule type="cellIs" dxfId="2" priority="1159" operator="equal">
      <formula>"Y"</formula>
    </cfRule>
    <cfRule type="cellIs" dxfId="3" priority="1160" operator="equal">
      <formula>"N"</formula>
    </cfRule>
  </conditionalFormatting>
  <conditionalFormatting sqref="G229">
    <cfRule type="cellIs" dxfId="2" priority="1187" operator="equal">
      <formula>"Y"</formula>
    </cfRule>
    <cfRule type="cellIs" dxfId="3" priority="1188" operator="equal">
      <formula>"N"</formula>
    </cfRule>
  </conditionalFormatting>
  <conditionalFormatting sqref="G23">
    <cfRule type="expression" dxfId="0" priority="399">
      <formula>COUNTIF(I23:BG23,"&lt;&gt;" &amp; "")&gt;0</formula>
    </cfRule>
    <cfRule type="expression" dxfId="1" priority="400">
      <formula>AND(COUNTIF(I23:BG23,"&lt;&gt;" &amp; "")&gt;0,NOT(ISBLANK(G23)))</formula>
    </cfRule>
  </conditionalFormatting>
  <conditionalFormatting sqref="G230">
    <cfRule type="cellIs" dxfId="2" priority="1215" operator="equal">
      <formula>"Y"</formula>
    </cfRule>
    <cfRule type="cellIs" dxfId="3" priority="1216" operator="equal">
      <formula>"N"</formula>
    </cfRule>
  </conditionalFormatting>
  <conditionalFormatting sqref="G231">
    <cfRule type="cellIs" dxfId="2" priority="1243" operator="equal">
      <formula>"Y"</formula>
    </cfRule>
    <cfRule type="cellIs" dxfId="3" priority="1244" operator="equal">
      <formula>"N"</formula>
    </cfRule>
  </conditionalFormatting>
  <conditionalFormatting sqref="G232">
    <cfRule type="cellIs" dxfId="2" priority="1271" operator="equal">
      <formula>"Y"</formula>
    </cfRule>
    <cfRule type="cellIs" dxfId="3" priority="1272" operator="equal">
      <formula>"N"</formula>
    </cfRule>
  </conditionalFormatting>
  <conditionalFormatting sqref="G233">
    <cfRule type="cellIs" dxfId="2" priority="1299" operator="equal">
      <formula>"Y"</formula>
    </cfRule>
    <cfRule type="cellIs" dxfId="3" priority="1300" operator="equal">
      <formula>"N"</formula>
    </cfRule>
  </conditionalFormatting>
  <conditionalFormatting sqref="G234">
    <cfRule type="cellIs" dxfId="2" priority="1327" operator="equal">
      <formula>"Y"</formula>
    </cfRule>
    <cfRule type="cellIs" dxfId="3" priority="1328" operator="equal">
      <formula>"N"</formula>
    </cfRule>
  </conditionalFormatting>
  <conditionalFormatting sqref="G235">
    <cfRule type="cellIs" dxfId="2" priority="1355" operator="equal">
      <formula>"Y"</formula>
    </cfRule>
    <cfRule type="cellIs" dxfId="3" priority="1356" operator="equal">
      <formula>"N"</formula>
    </cfRule>
  </conditionalFormatting>
  <conditionalFormatting sqref="G238">
    <cfRule type="expression" dxfId="0" priority="1373">
      <formula>COUNTIF(I238:BG238,"&lt;&gt;" &amp; "")&gt;0</formula>
    </cfRule>
    <cfRule type="expression" dxfId="1" priority="1374">
      <formula>AND(COUNTIF(I238:BG238,"&lt;&gt;" &amp; "")&gt;0,NOT(ISBLANK(G238)))</formula>
    </cfRule>
  </conditionalFormatting>
  <conditionalFormatting sqref="G239">
    <cfRule type="expression" dxfId="0" priority="1376">
      <formula>COUNTIF(I239:BG239,"&lt;&gt;" &amp; "")&gt;0</formula>
    </cfRule>
    <cfRule type="expression" dxfId="1" priority="1377">
      <formula>AND(COUNTIF(I239:BG239,"&lt;&gt;" &amp; "")&gt;0,NOT(ISBLANK(G239)))</formula>
    </cfRule>
  </conditionalFormatting>
  <conditionalFormatting sqref="G24">
    <cfRule type="expression" dxfId="0" priority="402">
      <formula>COUNTIF(I24:BG24,"&lt;&gt;" &amp; "")&gt;0</formula>
    </cfRule>
    <cfRule type="expression" dxfId="1" priority="403">
      <formula>AND(COUNTIF(I24:BG24,"&lt;&gt;" &amp; "")&gt;0,NOT(ISBLANK(G24)))</formula>
    </cfRule>
  </conditionalFormatting>
  <conditionalFormatting sqref="G240">
    <cfRule type="expression" dxfId="0" priority="1379">
      <formula>COUNTIF(I240:BG240,"&lt;&gt;" &amp; "")&gt;0</formula>
    </cfRule>
    <cfRule type="expression" dxfId="1" priority="1380">
      <formula>AND(COUNTIF(I240:BG240,"&lt;&gt;" &amp; "")&gt;0,NOT(ISBLANK(G240)))</formula>
    </cfRule>
  </conditionalFormatting>
  <conditionalFormatting sqref="G241">
    <cfRule type="expression" dxfId="0" priority="1382">
      <formula>COUNTIF(I241:BG241,"&lt;&gt;" &amp; "")&gt;0</formula>
    </cfRule>
    <cfRule type="expression" dxfId="1" priority="1383">
      <formula>AND(COUNTIF(I241:BG241,"&lt;&gt;" &amp; "")&gt;0,NOT(ISBLANK(G241)))</formula>
    </cfRule>
  </conditionalFormatting>
  <conditionalFormatting sqref="G242">
    <cfRule type="expression" dxfId="0" priority="1385">
      <formula>COUNTIF(I242:BG242,"&lt;&gt;" &amp; "")&gt;0</formula>
    </cfRule>
    <cfRule type="expression" dxfId="1" priority="1386">
      <formula>AND(COUNTIF(I242:BG242,"&lt;&gt;" &amp; "")&gt;0,NOT(ISBLANK(G242)))</formula>
    </cfRule>
  </conditionalFormatting>
  <conditionalFormatting sqref="G243">
    <cfRule type="expression" dxfId="0" priority="1388">
      <formula>COUNTIF(I243:BG243,"&lt;&gt;" &amp; "")&gt;0</formula>
    </cfRule>
    <cfRule type="expression" dxfId="1" priority="1389">
      <formula>AND(COUNTIF(I243:BG243,"&lt;&gt;" &amp; "")&gt;0,NOT(ISBLANK(G243)))</formula>
    </cfRule>
  </conditionalFormatting>
  <conditionalFormatting sqref="G244">
    <cfRule type="expression" dxfId="0" priority="1391">
      <formula>COUNTIF(I244:BG244,"&lt;&gt;" &amp; "")&gt;0</formula>
    </cfRule>
    <cfRule type="expression" dxfId="1" priority="1392">
      <formula>AND(COUNTIF(I244:BG244,"&lt;&gt;" &amp; "")&gt;0,NOT(ISBLANK(G244)))</formula>
    </cfRule>
  </conditionalFormatting>
  <conditionalFormatting sqref="G245">
    <cfRule type="expression" dxfId="0" priority="1394">
      <formula>COUNTIF(I245:BG245,"&lt;&gt;" &amp; "")&gt;0</formula>
    </cfRule>
    <cfRule type="expression" dxfId="1" priority="1395">
      <formula>AND(COUNTIF(I245:BG245,"&lt;&gt;" &amp; "")&gt;0,NOT(ISBLANK(G245)))</formula>
    </cfRule>
  </conditionalFormatting>
  <conditionalFormatting sqref="G246">
    <cfRule type="expression" dxfId="0" priority="1397">
      <formula>COUNTIF(I246:BG246,"&lt;&gt;" &amp; "")&gt;0</formula>
    </cfRule>
    <cfRule type="expression" dxfId="1" priority="1398">
      <formula>AND(COUNTIF(I246:BG246,"&lt;&gt;" &amp; "")&gt;0,NOT(ISBLANK(G246)))</formula>
    </cfRule>
  </conditionalFormatting>
  <conditionalFormatting sqref="G247">
    <cfRule type="expression" dxfId="0" priority="1400">
      <formula>COUNTIF(I247:BG247,"&lt;&gt;" &amp; "")&gt;0</formula>
    </cfRule>
    <cfRule type="expression" dxfId="1" priority="1401">
      <formula>AND(COUNTIF(I247:BG247,"&lt;&gt;" &amp; "")&gt;0,NOT(ISBLANK(G247)))</formula>
    </cfRule>
  </conditionalFormatting>
  <conditionalFormatting sqref="G248">
    <cfRule type="expression" dxfId="0" priority="1403">
      <formula>COUNTIF(I248:BG248,"&lt;&gt;" &amp; "")&gt;0</formula>
    </cfRule>
    <cfRule type="expression" dxfId="1" priority="1404">
      <formula>AND(COUNTIF(I248:BG248,"&lt;&gt;" &amp; "")&gt;0,NOT(ISBLANK(G248)))</formula>
    </cfRule>
  </conditionalFormatting>
  <conditionalFormatting sqref="G249">
    <cfRule type="expression" dxfId="0" priority="1406">
      <formula>COUNTIF(I249:BG249,"&lt;&gt;" &amp; "")&gt;0</formula>
    </cfRule>
    <cfRule type="expression" dxfId="1" priority="1407">
      <formula>AND(COUNTIF(I249:BG249,"&lt;&gt;" &amp; "")&gt;0,NOT(ISBLANK(G249)))</formula>
    </cfRule>
  </conditionalFormatting>
  <conditionalFormatting sqref="G25">
    <cfRule type="expression" dxfId="0" priority="405">
      <formula>COUNTIF(I25:BG25,"&lt;&gt;" &amp; "")&gt;0</formula>
    </cfRule>
    <cfRule type="expression" dxfId="1" priority="406">
      <formula>AND(COUNTIF(I25:BG25,"&lt;&gt;" &amp; "")&gt;0,NOT(ISBLANK(G25)))</formula>
    </cfRule>
  </conditionalFormatting>
  <conditionalFormatting sqref="G250">
    <cfRule type="expression" dxfId="0" priority="1409">
      <formula>COUNTIF(I250:BG250,"&lt;&gt;" &amp; "")&gt;0</formula>
    </cfRule>
    <cfRule type="expression" dxfId="1" priority="1410">
      <formula>AND(COUNTIF(I250:BG250,"&lt;&gt;" &amp; "")&gt;0,NOT(ISBLANK(G250)))</formula>
    </cfRule>
  </conditionalFormatting>
  <conditionalFormatting sqref="G251">
    <cfRule type="expression" dxfId="0" priority="1412">
      <formula>COUNTIF(I251:BG251,"&lt;&gt;" &amp; "")&gt;0</formula>
    </cfRule>
    <cfRule type="expression" dxfId="1" priority="1413">
      <formula>AND(COUNTIF(I251:BG251,"&lt;&gt;" &amp; "")&gt;0,NOT(ISBLANK(G251)))</formula>
    </cfRule>
  </conditionalFormatting>
  <conditionalFormatting sqref="G252">
    <cfRule type="expression" dxfId="0" priority="1415">
      <formula>COUNTIF(I252:BG252,"&lt;&gt;" &amp; "")&gt;0</formula>
    </cfRule>
    <cfRule type="expression" dxfId="1" priority="1416">
      <formula>AND(COUNTIF(I252:BG252,"&lt;&gt;" &amp; "")&gt;0,NOT(ISBLANK(G252)))</formula>
    </cfRule>
  </conditionalFormatting>
  <conditionalFormatting sqref="G253">
    <cfRule type="expression" dxfId="0" priority="1418">
      <formula>COUNTIF(I253:BG253,"&lt;&gt;" &amp; "")&gt;0</formula>
    </cfRule>
    <cfRule type="expression" dxfId="1" priority="1419">
      <formula>AND(COUNTIF(I253:BG253,"&lt;&gt;" &amp; "")&gt;0,NOT(ISBLANK(G253)))</formula>
    </cfRule>
  </conditionalFormatting>
  <conditionalFormatting sqref="G254">
    <cfRule type="expression" dxfId="0" priority="1421">
      <formula>COUNTIF(I254:BG254,"&lt;&gt;" &amp; "")&gt;0</formula>
    </cfRule>
    <cfRule type="expression" dxfId="1" priority="1422">
      <formula>AND(COUNTIF(I254:BG254,"&lt;&gt;" &amp; "")&gt;0,NOT(ISBLANK(G254)))</formula>
    </cfRule>
  </conditionalFormatting>
  <conditionalFormatting sqref="G255">
    <cfRule type="expression" dxfId="0" priority="1424">
      <formula>COUNTIF(I255:BG255,"&lt;&gt;" &amp; "")&gt;0</formula>
    </cfRule>
    <cfRule type="expression" dxfId="1" priority="1425">
      <formula>AND(COUNTIF(I255:BG255,"&lt;&gt;" &amp; "")&gt;0,NOT(ISBLANK(G255)))</formula>
    </cfRule>
  </conditionalFormatting>
  <conditionalFormatting sqref="G256">
    <cfRule type="expression" dxfId="0" priority="1427">
      <formula>COUNTIF(I256:BG256,"&lt;&gt;" &amp; "")&gt;0</formula>
    </cfRule>
    <cfRule type="expression" dxfId="1" priority="1428">
      <formula>AND(COUNTIF(I256:BG256,"&lt;&gt;" &amp; "")&gt;0,NOT(ISBLANK(G256)))</formula>
    </cfRule>
  </conditionalFormatting>
  <conditionalFormatting sqref="G257">
    <cfRule type="expression" dxfId="0" priority="1430">
      <formula>COUNTIF(I257:BG257,"&lt;&gt;" &amp; "")&gt;0</formula>
    </cfRule>
    <cfRule type="expression" dxfId="1" priority="1431">
      <formula>AND(COUNTIF(I257:BG257,"&lt;&gt;" &amp; "")&gt;0,NOT(ISBLANK(G257)))</formula>
    </cfRule>
  </conditionalFormatting>
  <conditionalFormatting sqref="G258">
    <cfRule type="expression" dxfId="0" priority="1433">
      <formula>COUNTIF(I258:BG258,"&lt;&gt;" &amp; "")&gt;0</formula>
    </cfRule>
    <cfRule type="expression" dxfId="1" priority="1434">
      <formula>AND(COUNTIF(I258:BG258,"&lt;&gt;" &amp; "")&gt;0,NOT(ISBLANK(G258)))</formula>
    </cfRule>
  </conditionalFormatting>
  <conditionalFormatting sqref="G259">
    <cfRule type="expression" dxfId="0" priority="1436">
      <formula>COUNTIF(I259:BG259,"&lt;&gt;" &amp; "")&gt;0</formula>
    </cfRule>
    <cfRule type="expression" dxfId="1" priority="1437">
      <formula>AND(COUNTIF(I259:BG259,"&lt;&gt;" &amp; "")&gt;0,NOT(ISBLANK(G259)))</formula>
    </cfRule>
  </conditionalFormatting>
  <conditionalFormatting sqref="G26">
    <cfRule type="expression" dxfId="0" priority="408">
      <formula>COUNTIF(I26:BG26,"&lt;&gt;" &amp; "")&gt;0</formula>
    </cfRule>
    <cfRule type="expression" dxfId="1" priority="409">
      <formula>AND(COUNTIF(I26:BG26,"&lt;&gt;" &amp; "")&gt;0,NOT(ISBLANK(G26)))</formula>
    </cfRule>
  </conditionalFormatting>
  <conditionalFormatting sqref="G260">
    <cfRule type="expression" dxfId="0" priority="1439">
      <formula>COUNTIF(I260:BG260,"&lt;&gt;" &amp; "")&gt;0</formula>
    </cfRule>
    <cfRule type="expression" dxfId="1" priority="1440">
      <formula>AND(COUNTIF(I260:BG260,"&lt;&gt;" &amp; "")&gt;0,NOT(ISBLANK(G260)))</formula>
    </cfRule>
  </conditionalFormatting>
  <conditionalFormatting sqref="G261">
    <cfRule type="expression" dxfId="0" priority="1442">
      <formula>COUNTIF(I261:BG261,"&lt;&gt;" &amp; "")&gt;0</formula>
    </cfRule>
    <cfRule type="expression" dxfId="1" priority="1443">
      <formula>AND(COUNTIF(I261:BG261,"&lt;&gt;" &amp; "")&gt;0,NOT(ISBLANK(G261)))</formula>
    </cfRule>
  </conditionalFormatting>
  <conditionalFormatting sqref="G262">
    <cfRule type="expression" dxfId="0" priority="1445">
      <formula>COUNTIF(I262:BG262,"&lt;&gt;" &amp; "")&gt;0</formula>
    </cfRule>
    <cfRule type="expression" dxfId="1" priority="1446">
      <formula>AND(COUNTIF(I262:BG262,"&lt;&gt;" &amp; "")&gt;0,NOT(ISBLANK(G262)))</formula>
    </cfRule>
  </conditionalFormatting>
  <conditionalFormatting sqref="G263">
    <cfRule type="expression" dxfId="0" priority="1448">
      <formula>COUNTIF(I263:BG263,"&lt;&gt;" &amp; "")&gt;0</formula>
    </cfRule>
    <cfRule type="expression" dxfId="1" priority="1449">
      <formula>AND(COUNTIF(I263:BG263,"&lt;&gt;" &amp; "")&gt;0,NOT(ISBLANK(G263)))</formula>
    </cfRule>
  </conditionalFormatting>
  <conditionalFormatting sqref="G264">
    <cfRule type="expression" dxfId="0" priority="1451">
      <formula>COUNTIF(I264:BG264,"&lt;&gt;" &amp; "")&gt;0</formula>
    </cfRule>
    <cfRule type="expression" dxfId="1" priority="1452">
      <formula>AND(COUNTIF(I264:BG264,"&lt;&gt;" &amp; "")&gt;0,NOT(ISBLANK(G264)))</formula>
    </cfRule>
  </conditionalFormatting>
  <conditionalFormatting sqref="G265">
    <cfRule type="expression" dxfId="0" priority="1454">
      <formula>COUNTIF(I265:BG265,"&lt;&gt;" &amp; "")&gt;0</formula>
    </cfRule>
    <cfRule type="expression" dxfId="1" priority="1455">
      <formula>AND(COUNTIF(I265:BG265,"&lt;&gt;" &amp; "")&gt;0,NOT(ISBLANK(G265)))</formula>
    </cfRule>
  </conditionalFormatting>
  <conditionalFormatting sqref="G266">
    <cfRule type="expression" dxfId="0" priority="1457">
      <formula>COUNTIF(I266:BG266,"&lt;&gt;" &amp; "")&gt;0</formula>
    </cfRule>
    <cfRule type="expression" dxfId="1" priority="1458">
      <formula>AND(COUNTIF(I266:BG266,"&lt;&gt;" &amp; "")&gt;0,NOT(ISBLANK(G266)))</formula>
    </cfRule>
  </conditionalFormatting>
  <conditionalFormatting sqref="G267">
    <cfRule type="expression" dxfId="0" priority="1460">
      <formula>COUNTIF(I267:BG267,"&lt;&gt;" &amp; "")&gt;0</formula>
    </cfRule>
    <cfRule type="expression" dxfId="1" priority="1461">
      <formula>AND(COUNTIF(I267:BG267,"&lt;&gt;" &amp; "")&gt;0,NOT(ISBLANK(G267)))</formula>
    </cfRule>
  </conditionalFormatting>
  <conditionalFormatting sqref="G268">
    <cfRule type="expression" dxfId="0" priority="1463">
      <formula>COUNTIF(I268:BG268,"&lt;&gt;" &amp; "")&gt;0</formula>
    </cfRule>
    <cfRule type="expression" dxfId="1" priority="1464">
      <formula>AND(COUNTIF(I268:BG268,"&lt;&gt;" &amp; "")&gt;0,NOT(ISBLANK(G268)))</formula>
    </cfRule>
  </conditionalFormatting>
  <conditionalFormatting sqref="G269">
    <cfRule type="expression" dxfId="0" priority="1466">
      <formula>COUNTIF(I269:BG269,"&lt;&gt;" &amp; "")&gt;0</formula>
    </cfRule>
    <cfRule type="expression" dxfId="1" priority="1467">
      <formula>AND(COUNTIF(I269:BG269,"&lt;&gt;" &amp; "")&gt;0,NOT(ISBLANK(G269)))</formula>
    </cfRule>
  </conditionalFormatting>
  <conditionalFormatting sqref="G27">
    <cfRule type="expression" dxfId="0" priority="411">
      <formula>COUNTIF(I27:BG27,"&lt;&gt;" &amp; "")&gt;0</formula>
    </cfRule>
    <cfRule type="expression" dxfId="1" priority="412">
      <formula>AND(COUNTIF(I27:BG27,"&lt;&gt;" &amp; "")&gt;0,NOT(ISBLANK(G27)))</formula>
    </cfRule>
  </conditionalFormatting>
  <conditionalFormatting sqref="G270">
    <cfRule type="expression" dxfId="0" priority="1469">
      <formula>COUNTIF(I270:BG270,"&lt;&gt;" &amp; "")&gt;0</formula>
    </cfRule>
    <cfRule type="expression" dxfId="1" priority="1470">
      <formula>AND(COUNTIF(I270:BG270,"&lt;&gt;" &amp; "")&gt;0,NOT(ISBLANK(G270)))</formula>
    </cfRule>
  </conditionalFormatting>
  <conditionalFormatting sqref="G271">
    <cfRule type="expression" dxfId="0" priority="1472">
      <formula>COUNTIF(I271:BG271,"&lt;&gt;" &amp; "")&gt;0</formula>
    </cfRule>
    <cfRule type="expression" dxfId="1" priority="1473">
      <formula>AND(COUNTIF(I271:BG271,"&lt;&gt;" &amp; "")&gt;0,NOT(ISBLANK(G271)))</formula>
    </cfRule>
  </conditionalFormatting>
  <conditionalFormatting sqref="G272">
    <cfRule type="expression" dxfId="0" priority="1475">
      <formula>COUNTIF(I272:BG272,"&lt;&gt;" &amp; "")&gt;0</formula>
    </cfRule>
    <cfRule type="expression" dxfId="1" priority="1476">
      <formula>AND(COUNTIF(I272:BG272,"&lt;&gt;" &amp; "")&gt;0,NOT(ISBLANK(G272)))</formula>
    </cfRule>
  </conditionalFormatting>
  <conditionalFormatting sqref="G273">
    <cfRule type="expression" dxfId="0" priority="1478">
      <formula>COUNTIF(I273:BG273,"&lt;&gt;" &amp; "")&gt;0</formula>
    </cfRule>
    <cfRule type="expression" dxfId="1" priority="1479">
      <formula>AND(COUNTIF(I273:BG273,"&lt;&gt;" &amp; "")&gt;0,NOT(ISBLANK(G273)))</formula>
    </cfRule>
  </conditionalFormatting>
  <conditionalFormatting sqref="G274">
    <cfRule type="expression" dxfId="0" priority="1481">
      <formula>COUNTIF(I274:BG274,"&lt;&gt;" &amp; "")&gt;0</formula>
    </cfRule>
    <cfRule type="expression" dxfId="1" priority="1482">
      <formula>AND(COUNTIF(I274:BG274,"&lt;&gt;" &amp; "")&gt;0,NOT(ISBLANK(G274)))</formula>
    </cfRule>
  </conditionalFormatting>
  <conditionalFormatting sqref="G275">
    <cfRule type="expression" dxfId="0" priority="1484">
      <formula>COUNTIF(I275:BG275,"&lt;&gt;" &amp; "")&gt;0</formula>
    </cfRule>
    <cfRule type="expression" dxfId="1" priority="1485">
      <formula>AND(COUNTIF(I275:BG275,"&lt;&gt;" &amp; "")&gt;0,NOT(ISBLANK(G275)))</formula>
    </cfRule>
  </conditionalFormatting>
  <conditionalFormatting sqref="G276">
    <cfRule type="expression" dxfId="0" priority="1487">
      <formula>COUNTIF(I276:BG276,"&lt;&gt;" &amp; "")&gt;0</formula>
    </cfRule>
    <cfRule type="expression" dxfId="1" priority="1488">
      <formula>AND(COUNTIF(I276:BG276,"&lt;&gt;" &amp; "")&gt;0,NOT(ISBLANK(G276)))</formula>
    </cfRule>
  </conditionalFormatting>
  <conditionalFormatting sqref="G277">
    <cfRule type="expression" dxfId="0" priority="1490">
      <formula>COUNTIF(I277:BG277,"&lt;&gt;" &amp; "")&gt;0</formula>
    </cfRule>
    <cfRule type="expression" dxfId="1" priority="1491">
      <formula>AND(COUNTIF(I277:BG277,"&lt;&gt;" &amp; "")&gt;0,NOT(ISBLANK(G277)))</formula>
    </cfRule>
  </conditionalFormatting>
  <conditionalFormatting sqref="G278">
    <cfRule type="expression" dxfId="0" priority="1493">
      <formula>COUNTIF(I278:BG278,"&lt;&gt;" &amp; "")&gt;0</formula>
    </cfRule>
    <cfRule type="expression" dxfId="1" priority="1494">
      <formula>AND(COUNTIF(I278:BG278,"&lt;&gt;" &amp; "")&gt;0,NOT(ISBLANK(G278)))</formula>
    </cfRule>
  </conditionalFormatting>
  <conditionalFormatting sqref="G279">
    <cfRule type="expression" dxfId="0" priority="1496">
      <formula>COUNTIF(I279:BG279,"&lt;&gt;" &amp; "")&gt;0</formula>
    </cfRule>
    <cfRule type="expression" dxfId="1" priority="1497">
      <formula>AND(COUNTIF(I279:BG279,"&lt;&gt;" &amp; "")&gt;0,NOT(ISBLANK(G279)))</formula>
    </cfRule>
  </conditionalFormatting>
  <conditionalFormatting sqref="G28">
    <cfRule type="expression" dxfId="0" priority="414">
      <formula>COUNTIF(I28:BG28,"&lt;&gt;" &amp; "")&gt;0</formula>
    </cfRule>
    <cfRule type="expression" dxfId="1" priority="415">
      <formula>AND(COUNTIF(I28:BG28,"&lt;&gt;" &amp; "")&gt;0,NOT(ISBLANK(G28)))</formula>
    </cfRule>
  </conditionalFormatting>
  <conditionalFormatting sqref="G280">
    <cfRule type="expression" dxfId="0" priority="1499">
      <formula>COUNTIF(I280:BG280,"&lt;&gt;" &amp; "")&gt;0</formula>
    </cfRule>
    <cfRule type="expression" dxfId="1" priority="1500">
      <formula>AND(COUNTIF(I280:BG280,"&lt;&gt;" &amp; "")&gt;0,NOT(ISBLANK(G280)))</formula>
    </cfRule>
  </conditionalFormatting>
  <conditionalFormatting sqref="G281">
    <cfRule type="expression" dxfId="0" priority="1502">
      <formula>COUNTIF(I281:BG281,"&lt;&gt;" &amp; "")&gt;0</formula>
    </cfRule>
    <cfRule type="expression" dxfId="1" priority="1503">
      <formula>AND(COUNTIF(I281:BG281,"&lt;&gt;" &amp; "")&gt;0,NOT(ISBLANK(G281)))</formula>
    </cfRule>
  </conditionalFormatting>
  <conditionalFormatting sqref="G282">
    <cfRule type="expression" dxfId="0" priority="1505">
      <formula>COUNTIF(I282:BG282,"&lt;&gt;" &amp; "")&gt;0</formula>
    </cfRule>
    <cfRule type="expression" dxfId="1" priority="1506">
      <formula>AND(COUNTIF(I282:BG282,"&lt;&gt;" &amp; "")&gt;0,NOT(ISBLANK(G282)))</formula>
    </cfRule>
  </conditionalFormatting>
  <conditionalFormatting sqref="G283">
    <cfRule type="expression" dxfId="0" priority="1508">
      <formula>COUNTIF(I283:BG283,"&lt;&gt;" &amp; "")&gt;0</formula>
    </cfRule>
    <cfRule type="expression" dxfId="1" priority="1509">
      <formula>AND(COUNTIF(I283:BG283,"&lt;&gt;" &amp; "")&gt;0,NOT(ISBLANK(G283)))</formula>
    </cfRule>
  </conditionalFormatting>
  <conditionalFormatting sqref="G284">
    <cfRule type="expression" dxfId="0" priority="1511">
      <formula>COUNTIF(I284:BG284,"&lt;&gt;" &amp; "")&gt;0</formula>
    </cfRule>
    <cfRule type="expression" dxfId="1" priority="1512">
      <formula>AND(COUNTIF(I284:BG284,"&lt;&gt;" &amp; "")&gt;0,NOT(ISBLANK(G284)))</formula>
    </cfRule>
  </conditionalFormatting>
  <conditionalFormatting sqref="G285">
    <cfRule type="expression" dxfId="0" priority="1514">
      <formula>COUNTIF(I285:BG285,"&lt;&gt;" &amp; "")&gt;0</formula>
    </cfRule>
    <cfRule type="expression" dxfId="1" priority="1515">
      <formula>AND(COUNTIF(I285:BG285,"&lt;&gt;" &amp; "")&gt;0,NOT(ISBLANK(G285)))</formula>
    </cfRule>
  </conditionalFormatting>
  <conditionalFormatting sqref="G286">
    <cfRule type="expression" dxfId="0" priority="1517">
      <formula>COUNTIF(I286:BG286,"&lt;&gt;" &amp; "")&gt;0</formula>
    </cfRule>
    <cfRule type="expression" dxfId="1" priority="1518">
      <formula>AND(COUNTIF(I286:BG286,"&lt;&gt;" &amp; "")&gt;0,NOT(ISBLANK(G286)))</formula>
    </cfRule>
  </conditionalFormatting>
  <conditionalFormatting sqref="G287">
    <cfRule type="expression" dxfId="0" priority="1520">
      <formula>COUNTIF(I287:BG287,"&lt;&gt;" &amp; "")&gt;0</formula>
    </cfRule>
    <cfRule type="expression" dxfId="1" priority="1521">
      <formula>AND(COUNTIF(I287:BG287,"&lt;&gt;" &amp; "")&gt;0,NOT(ISBLANK(G287)))</formula>
    </cfRule>
  </conditionalFormatting>
  <conditionalFormatting sqref="G288">
    <cfRule type="expression" dxfId="0" priority="1523">
      <formula>COUNTIF(I288:BG288,"&lt;&gt;" &amp; "")&gt;0</formula>
    </cfRule>
    <cfRule type="expression" dxfId="1" priority="1524">
      <formula>AND(COUNTIF(I288:BG288,"&lt;&gt;" &amp; "")&gt;0,NOT(ISBLANK(G288)))</formula>
    </cfRule>
  </conditionalFormatting>
  <conditionalFormatting sqref="G289">
    <cfRule type="expression" dxfId="0" priority="1526">
      <formula>COUNTIF(I289:BG289,"&lt;&gt;" &amp; "")&gt;0</formula>
    </cfRule>
    <cfRule type="expression" dxfId="1" priority="1527">
      <formula>AND(COUNTIF(I289:BG289,"&lt;&gt;" &amp; "")&gt;0,NOT(ISBLANK(G289)))</formula>
    </cfRule>
  </conditionalFormatting>
  <conditionalFormatting sqref="G29">
    <cfRule type="expression" dxfId="0" priority="417">
      <formula>COUNTIF(I29:BG29,"&lt;&gt;" &amp; "")&gt;0</formula>
    </cfRule>
    <cfRule type="expression" dxfId="1" priority="418">
      <formula>AND(COUNTIF(I29:BG29,"&lt;&gt;" &amp; "")&gt;0,NOT(ISBLANK(G29)))</formula>
    </cfRule>
  </conditionalFormatting>
  <conditionalFormatting sqref="G290">
    <cfRule type="expression" dxfId="0" priority="1529">
      <formula>COUNTIF(I290:BG290,"&lt;&gt;" &amp; "")&gt;0</formula>
    </cfRule>
    <cfRule type="expression" dxfId="1" priority="1530">
      <formula>AND(COUNTIF(I290:BG290,"&lt;&gt;" &amp; "")&gt;0,NOT(ISBLANK(G290)))</formula>
    </cfRule>
  </conditionalFormatting>
  <conditionalFormatting sqref="G291">
    <cfRule type="expression" dxfId="0" priority="1532">
      <formula>COUNTIF(I291:BG291,"&lt;&gt;" &amp; "")&gt;0</formula>
    </cfRule>
    <cfRule type="expression" dxfId="1" priority="1533">
      <formula>AND(COUNTIF(I291:BG291,"&lt;&gt;" &amp; "")&gt;0,NOT(ISBLANK(G291)))</formula>
    </cfRule>
  </conditionalFormatting>
  <conditionalFormatting sqref="G292">
    <cfRule type="expression" dxfId="0" priority="1535">
      <formula>COUNTIF(I292:BG292,"&lt;&gt;" &amp; "")&gt;0</formula>
    </cfRule>
    <cfRule type="expression" dxfId="1" priority="1536">
      <formula>AND(COUNTIF(I292:BG292,"&lt;&gt;" &amp; "")&gt;0,NOT(ISBLANK(G292)))</formula>
    </cfRule>
  </conditionalFormatting>
  <conditionalFormatting sqref="G293">
    <cfRule type="expression" dxfId="0" priority="1538">
      <formula>COUNTIF(I293:BG293,"&lt;&gt;" &amp; "")&gt;0</formula>
    </cfRule>
    <cfRule type="expression" dxfId="1" priority="1539">
      <formula>AND(COUNTIF(I293:BG293,"&lt;&gt;" &amp; "")&gt;0,NOT(ISBLANK(G293)))</formula>
    </cfRule>
  </conditionalFormatting>
  <conditionalFormatting sqref="G294">
    <cfRule type="expression" dxfId="0" priority="1541">
      <formula>COUNTIF(I294:BG294,"&lt;&gt;" &amp; "")&gt;0</formula>
    </cfRule>
    <cfRule type="expression" dxfId="1" priority="1542">
      <formula>AND(COUNTIF(I294:BG294,"&lt;&gt;" &amp; "")&gt;0,NOT(ISBLANK(G294)))</formula>
    </cfRule>
  </conditionalFormatting>
  <conditionalFormatting sqref="G295">
    <cfRule type="expression" dxfId="0" priority="1544">
      <formula>COUNTIF(I295:BG295,"&lt;&gt;" &amp; "")&gt;0</formula>
    </cfRule>
    <cfRule type="expression" dxfId="1" priority="1545">
      <formula>AND(COUNTIF(I295:BG295,"&lt;&gt;" &amp; "")&gt;0,NOT(ISBLANK(G295)))</formula>
    </cfRule>
  </conditionalFormatting>
  <conditionalFormatting sqref="G296">
    <cfRule type="expression" dxfId="0" priority="1547">
      <formula>COUNTIF(I296:BG296,"&lt;&gt;" &amp; "")&gt;0</formula>
    </cfRule>
    <cfRule type="expression" dxfId="1" priority="1548">
      <formula>AND(COUNTIF(I296:BG296,"&lt;&gt;" &amp; "")&gt;0,NOT(ISBLANK(G296)))</formula>
    </cfRule>
  </conditionalFormatting>
  <conditionalFormatting sqref="G297">
    <cfRule type="expression" dxfId="0" priority="1550">
      <formula>COUNTIF(I297:BG297,"&lt;&gt;" &amp; "")&gt;0</formula>
    </cfRule>
    <cfRule type="expression" dxfId="1" priority="1551">
      <formula>AND(COUNTIF(I297:BG297,"&lt;&gt;" &amp; "")&gt;0,NOT(ISBLANK(G297)))</formula>
    </cfRule>
  </conditionalFormatting>
  <conditionalFormatting sqref="G298">
    <cfRule type="expression" dxfId="0" priority="1553">
      <formula>COUNTIF(I298:BG298,"&lt;&gt;" &amp; "")&gt;0</formula>
    </cfRule>
    <cfRule type="expression" dxfId="1" priority="1554">
      <formula>AND(COUNTIF(I298:BG298,"&lt;&gt;" &amp; "")&gt;0,NOT(ISBLANK(G298)))</formula>
    </cfRule>
  </conditionalFormatting>
  <conditionalFormatting sqref="G299">
    <cfRule type="expression" dxfId="0" priority="1556">
      <formula>COUNTIF(I299:BG299,"&lt;&gt;" &amp; "")&gt;0</formula>
    </cfRule>
    <cfRule type="expression" dxfId="1" priority="1557">
      <formula>AND(COUNTIF(I299:BG299,"&lt;&gt;" &amp; "")&gt;0,NOT(ISBLANK(G299)))</formula>
    </cfRule>
  </conditionalFormatting>
  <conditionalFormatting sqref="G30">
    <cfRule type="expression" dxfId="0" priority="420">
      <formula>COUNTIF(I30:BG30,"&lt;&gt;" &amp; "")&gt;0</formula>
    </cfRule>
    <cfRule type="expression" dxfId="1" priority="421">
      <formula>AND(COUNTIF(I30:BG30,"&lt;&gt;" &amp; "")&gt;0,NOT(ISBLANK(G30)))</formula>
    </cfRule>
  </conditionalFormatting>
  <conditionalFormatting sqref="G300">
    <cfRule type="expression" dxfId="0" priority="1559">
      <formula>COUNTIF(I300:BG300,"&lt;&gt;" &amp; "")&gt;0</formula>
    </cfRule>
    <cfRule type="expression" dxfId="1" priority="1560">
      <formula>AND(COUNTIF(I300:BG300,"&lt;&gt;" &amp; "")&gt;0,NOT(ISBLANK(G300)))</formula>
    </cfRule>
  </conditionalFormatting>
  <conditionalFormatting sqref="G301">
    <cfRule type="expression" dxfId="0" priority="1562">
      <formula>COUNTIF(I301:BG301,"&lt;&gt;" &amp; "")&gt;0</formula>
    </cfRule>
    <cfRule type="expression" dxfId="1" priority="1563">
      <formula>AND(COUNTIF(I301:BG301,"&lt;&gt;" &amp; "")&gt;0,NOT(ISBLANK(G301)))</formula>
    </cfRule>
  </conditionalFormatting>
  <conditionalFormatting sqref="G302">
    <cfRule type="expression" dxfId="0" priority="1565">
      <formula>COUNTIF(I302:BG302,"&lt;&gt;" &amp; "")&gt;0</formula>
    </cfRule>
    <cfRule type="expression" dxfId="1" priority="1566">
      <formula>AND(COUNTIF(I302:BG302,"&lt;&gt;" &amp; "")&gt;0,NOT(ISBLANK(G302)))</formula>
    </cfRule>
  </conditionalFormatting>
  <conditionalFormatting sqref="G303">
    <cfRule type="expression" dxfId="0" priority="1568">
      <formula>COUNTIF(I303:BG303,"&lt;&gt;" &amp; "")&gt;0</formula>
    </cfRule>
    <cfRule type="expression" dxfId="1" priority="1569">
      <formula>AND(COUNTIF(I303:BG303,"&lt;&gt;" &amp; "")&gt;0,NOT(ISBLANK(G303)))</formula>
    </cfRule>
  </conditionalFormatting>
  <conditionalFormatting sqref="G304">
    <cfRule type="expression" dxfId="0" priority="1571">
      <formula>COUNTIF(I304:BG304,"&lt;&gt;" &amp; "")&gt;0</formula>
    </cfRule>
    <cfRule type="expression" dxfId="1" priority="1572">
      <formula>AND(COUNTIF(I304:BG304,"&lt;&gt;" &amp; "")&gt;0,NOT(ISBLANK(G304)))</formula>
    </cfRule>
  </conditionalFormatting>
  <conditionalFormatting sqref="G305">
    <cfRule type="expression" dxfId="0" priority="1574">
      <formula>COUNTIF(I305:BG305,"&lt;&gt;" &amp; "")&gt;0</formula>
    </cfRule>
    <cfRule type="expression" dxfId="1" priority="1575">
      <formula>AND(COUNTIF(I305:BG305,"&lt;&gt;" &amp; "")&gt;0,NOT(ISBLANK(G305)))</formula>
    </cfRule>
  </conditionalFormatting>
  <conditionalFormatting sqref="G306">
    <cfRule type="expression" dxfId="0" priority="1577">
      <formula>COUNTIF(I306:BG306,"&lt;&gt;" &amp; "")&gt;0</formula>
    </cfRule>
    <cfRule type="expression" dxfId="1" priority="1578">
      <formula>AND(COUNTIF(I306:BG306,"&lt;&gt;" &amp; "")&gt;0,NOT(ISBLANK(G306)))</formula>
    </cfRule>
  </conditionalFormatting>
  <conditionalFormatting sqref="G307">
    <cfRule type="expression" dxfId="0" priority="1580">
      <formula>COUNTIF(I307:BG307,"&lt;&gt;" &amp; "")&gt;0</formula>
    </cfRule>
    <cfRule type="expression" dxfId="1" priority="1581">
      <formula>AND(COUNTIF(I307:BG307,"&lt;&gt;" &amp; "")&gt;0,NOT(ISBLANK(G307)))</formula>
    </cfRule>
  </conditionalFormatting>
  <conditionalFormatting sqref="G308">
    <cfRule type="expression" dxfId="0" priority="1583">
      <formula>COUNTIF(I308:BG308,"&lt;&gt;" &amp; "")&gt;0</formula>
    </cfRule>
    <cfRule type="expression" dxfId="1" priority="1584">
      <formula>AND(COUNTIF(I308:BG308,"&lt;&gt;" &amp; "")&gt;0,NOT(ISBLANK(G308)))</formula>
    </cfRule>
  </conditionalFormatting>
  <conditionalFormatting sqref="G309">
    <cfRule type="expression" dxfId="0" priority="1586">
      <formula>COUNTIF(I309:BG309,"&lt;&gt;" &amp; "")&gt;0</formula>
    </cfRule>
    <cfRule type="expression" dxfId="1" priority="1587">
      <formula>AND(COUNTIF(I309:BG309,"&lt;&gt;" &amp; "")&gt;0,NOT(ISBLANK(G309)))</formula>
    </cfRule>
  </conditionalFormatting>
  <conditionalFormatting sqref="G31">
    <cfRule type="expression" dxfId="0" priority="423">
      <formula>COUNTIF(I31:BG31,"&lt;&gt;" &amp; "")&gt;0</formula>
    </cfRule>
    <cfRule type="expression" dxfId="1" priority="424">
      <formula>AND(COUNTIF(I31:BG31,"&lt;&gt;" &amp; "")&gt;0,NOT(ISBLANK(G31)))</formula>
    </cfRule>
  </conditionalFormatting>
  <conditionalFormatting sqref="G310">
    <cfRule type="expression" dxfId="0" priority="1589">
      <formula>COUNTIF(I310:BG310,"&lt;&gt;" &amp; "")&gt;0</formula>
    </cfRule>
    <cfRule type="expression" dxfId="1" priority="1590">
      <formula>AND(COUNTIF(I310:BG310,"&lt;&gt;" &amp; "")&gt;0,NOT(ISBLANK(G310)))</formula>
    </cfRule>
  </conditionalFormatting>
  <conditionalFormatting sqref="G311">
    <cfRule type="expression" dxfId="0" priority="1592">
      <formula>COUNTIF(I311:BG311,"&lt;&gt;" &amp; "")&gt;0</formula>
    </cfRule>
    <cfRule type="expression" dxfId="1" priority="1593">
      <formula>AND(COUNTIF(I311:BG311,"&lt;&gt;" &amp; "")&gt;0,NOT(ISBLANK(G311)))</formula>
    </cfRule>
  </conditionalFormatting>
  <conditionalFormatting sqref="G312">
    <cfRule type="expression" dxfId="0" priority="1595">
      <formula>COUNTIF(I312:BG312,"&lt;&gt;" &amp; "")&gt;0</formula>
    </cfRule>
    <cfRule type="expression" dxfId="1" priority="1596">
      <formula>AND(COUNTIF(I312:BG312,"&lt;&gt;" &amp; "")&gt;0,NOT(ISBLANK(G312)))</formula>
    </cfRule>
  </conditionalFormatting>
  <conditionalFormatting sqref="G313">
    <cfRule type="expression" dxfId="0" priority="1598">
      <formula>COUNTIF(I313:BG313,"&lt;&gt;" &amp; "")&gt;0</formula>
    </cfRule>
    <cfRule type="expression" dxfId="1" priority="1599">
      <formula>AND(COUNTIF(I313:BG313,"&lt;&gt;" &amp; "")&gt;0,NOT(ISBLANK(G313)))</formula>
    </cfRule>
  </conditionalFormatting>
  <conditionalFormatting sqref="G314">
    <cfRule type="expression" dxfId="0" priority="1601">
      <formula>COUNTIF(I314:BG314,"&lt;&gt;" &amp; "")&gt;0</formula>
    </cfRule>
    <cfRule type="expression" dxfId="1" priority="1602">
      <formula>AND(COUNTIF(I314:BG314,"&lt;&gt;" &amp; "")&gt;0,NOT(ISBLANK(G314)))</formula>
    </cfRule>
  </conditionalFormatting>
  <conditionalFormatting sqref="G315">
    <cfRule type="expression" dxfId="0" priority="1604">
      <formula>COUNTIF(I315:BG315,"&lt;&gt;" &amp; "")&gt;0</formula>
    </cfRule>
    <cfRule type="expression" dxfId="1" priority="1605">
      <formula>AND(COUNTIF(I315:BG315,"&lt;&gt;" &amp; "")&gt;0,NOT(ISBLANK(G315)))</formula>
    </cfRule>
  </conditionalFormatting>
  <conditionalFormatting sqref="G316">
    <cfRule type="expression" dxfId="0" priority="1607">
      <formula>COUNTIF(I316:BG316,"&lt;&gt;" &amp; "")&gt;0</formula>
    </cfRule>
    <cfRule type="expression" dxfId="1" priority="1608">
      <formula>AND(COUNTIF(I316:BG316,"&lt;&gt;" &amp; "")&gt;0,NOT(ISBLANK(G316)))</formula>
    </cfRule>
  </conditionalFormatting>
  <conditionalFormatting sqref="G317">
    <cfRule type="expression" dxfId="0" priority="1610">
      <formula>COUNTIF(I317:BG317,"&lt;&gt;" &amp; "")&gt;0</formula>
    </cfRule>
    <cfRule type="expression" dxfId="1" priority="1611">
      <formula>AND(COUNTIF(I317:BG317,"&lt;&gt;" &amp; "")&gt;0,NOT(ISBLANK(G317)))</formula>
    </cfRule>
  </conditionalFormatting>
  <conditionalFormatting sqref="G318">
    <cfRule type="expression" dxfId="0" priority="1613">
      <formula>COUNTIF(I318:BG318,"&lt;&gt;" &amp; "")&gt;0</formula>
    </cfRule>
    <cfRule type="expression" dxfId="1" priority="1614">
      <formula>AND(COUNTIF(I318:BG318,"&lt;&gt;" &amp; "")&gt;0,NOT(ISBLANK(G318)))</formula>
    </cfRule>
  </conditionalFormatting>
  <conditionalFormatting sqref="G319">
    <cfRule type="expression" dxfId="0" priority="1616">
      <formula>COUNTIF(I319:BG319,"&lt;&gt;" &amp; "")&gt;0</formula>
    </cfRule>
    <cfRule type="expression" dxfId="1" priority="1617">
      <formula>AND(COUNTIF(I319:BG319,"&lt;&gt;" &amp; "")&gt;0,NOT(ISBLANK(G319)))</formula>
    </cfRule>
  </conditionalFormatting>
  <conditionalFormatting sqref="G32">
    <cfRule type="expression" dxfId="0" priority="426">
      <formula>COUNTIF(I32:BG32,"&lt;&gt;" &amp; "")&gt;0</formula>
    </cfRule>
    <cfRule type="expression" dxfId="1" priority="427">
      <formula>AND(COUNTIF(I32:BG32,"&lt;&gt;" &amp; "")&gt;0,NOT(ISBLANK(G32)))</formula>
    </cfRule>
  </conditionalFormatting>
  <conditionalFormatting sqref="G320">
    <cfRule type="expression" dxfId="0" priority="1619">
      <formula>COUNTIF(I320:BG320,"&lt;&gt;" &amp; "")&gt;0</formula>
    </cfRule>
    <cfRule type="expression" dxfId="1" priority="1620">
      <formula>AND(COUNTIF(I320:BG320,"&lt;&gt;" &amp; "")&gt;0,NOT(ISBLANK(G320)))</formula>
    </cfRule>
  </conditionalFormatting>
  <conditionalFormatting sqref="G321">
    <cfRule type="expression" dxfId="0" priority="1622">
      <formula>COUNTIF(I321:BG321,"&lt;&gt;" &amp; "")&gt;0</formula>
    </cfRule>
    <cfRule type="expression" dxfId="1" priority="1623">
      <formula>AND(COUNTIF(I321:BG321,"&lt;&gt;" &amp; "")&gt;0,NOT(ISBLANK(G321)))</formula>
    </cfRule>
  </conditionalFormatting>
  <conditionalFormatting sqref="G322">
    <cfRule type="expression" dxfId="0" priority="1625">
      <formula>COUNTIF(I322:BG322,"&lt;&gt;" &amp; "")&gt;0</formula>
    </cfRule>
    <cfRule type="expression" dxfId="1" priority="1626">
      <formula>AND(COUNTIF(I322:BG322,"&lt;&gt;" &amp; "")&gt;0,NOT(ISBLANK(G322)))</formula>
    </cfRule>
  </conditionalFormatting>
  <conditionalFormatting sqref="G323">
    <cfRule type="expression" dxfId="0" priority="1628">
      <formula>COUNTIF(I323:BG323,"&lt;&gt;" &amp; "")&gt;0</formula>
    </cfRule>
    <cfRule type="expression" dxfId="1" priority="1629">
      <formula>AND(COUNTIF(I323:BG323,"&lt;&gt;" &amp; "")&gt;0,NOT(ISBLANK(G323)))</formula>
    </cfRule>
  </conditionalFormatting>
  <conditionalFormatting sqref="G324">
    <cfRule type="expression" dxfId="0" priority="1631">
      <formula>COUNTIF(I324:BG324,"&lt;&gt;" &amp; "")&gt;0</formula>
    </cfRule>
    <cfRule type="expression" dxfId="1" priority="1632">
      <formula>AND(COUNTIF(I324:BG324,"&lt;&gt;" &amp; "")&gt;0,NOT(ISBLANK(G324)))</formula>
    </cfRule>
  </conditionalFormatting>
  <conditionalFormatting sqref="G325">
    <cfRule type="expression" dxfId="0" priority="1634">
      <formula>COUNTIF(I325:BG325,"&lt;&gt;" &amp; "")&gt;0</formula>
    </cfRule>
    <cfRule type="expression" dxfId="1" priority="1635">
      <formula>AND(COUNTIF(I325:BG325,"&lt;&gt;" &amp; "")&gt;0,NOT(ISBLANK(G325)))</formula>
    </cfRule>
  </conditionalFormatting>
  <conditionalFormatting sqref="G326">
    <cfRule type="expression" dxfId="0" priority="1637">
      <formula>COUNTIF(I326:BG326,"&lt;&gt;" &amp; "")&gt;0</formula>
    </cfRule>
    <cfRule type="expression" dxfId="1" priority="1638">
      <formula>AND(COUNTIF(I326:BG326,"&lt;&gt;" &amp; "")&gt;0,NOT(ISBLANK(G326)))</formula>
    </cfRule>
  </conditionalFormatting>
  <conditionalFormatting sqref="G327">
    <cfRule type="expression" dxfId="0" priority="1640">
      <formula>COUNTIF(I327:BG327,"&lt;&gt;" &amp; "")&gt;0</formula>
    </cfRule>
    <cfRule type="expression" dxfId="1" priority="1641">
      <formula>AND(COUNTIF(I327:BG327,"&lt;&gt;" &amp; "")&gt;0,NOT(ISBLANK(G327)))</formula>
    </cfRule>
  </conditionalFormatting>
  <conditionalFormatting sqref="G328">
    <cfRule type="expression" dxfId="0" priority="1643">
      <formula>COUNTIF(I328:BG328,"&lt;&gt;" &amp; "")&gt;0</formula>
    </cfRule>
    <cfRule type="expression" dxfId="1" priority="1644">
      <formula>AND(COUNTIF(I328:BG328,"&lt;&gt;" &amp; "")&gt;0,NOT(ISBLANK(G328)))</formula>
    </cfRule>
  </conditionalFormatting>
  <conditionalFormatting sqref="G329">
    <cfRule type="expression" dxfId="0" priority="1646">
      <formula>COUNTIF(I329:BG329,"&lt;&gt;" &amp; "")&gt;0</formula>
    </cfRule>
    <cfRule type="expression" dxfId="1" priority="1647">
      <formula>AND(COUNTIF(I329:BG329,"&lt;&gt;" &amp; "")&gt;0,NOT(ISBLANK(G329)))</formula>
    </cfRule>
  </conditionalFormatting>
  <conditionalFormatting sqref="G33">
    <cfRule type="expression" dxfId="0" priority="429">
      <formula>COUNTIF(I33:BG33,"&lt;&gt;" &amp; "")&gt;0</formula>
    </cfRule>
    <cfRule type="expression" dxfId="1" priority="430">
      <formula>AND(COUNTIF(I33:BG33,"&lt;&gt;" &amp; "")&gt;0,NOT(ISBLANK(G33)))</formula>
    </cfRule>
  </conditionalFormatting>
  <conditionalFormatting sqref="G330">
    <cfRule type="expression" dxfId="0" priority="1649">
      <formula>COUNTIF(I330:BG330,"&lt;&gt;" &amp; "")&gt;0</formula>
    </cfRule>
    <cfRule type="expression" dxfId="1" priority="1650">
      <formula>AND(COUNTIF(I330:BG330,"&lt;&gt;" &amp; "")&gt;0,NOT(ISBLANK(G330)))</formula>
    </cfRule>
  </conditionalFormatting>
  <conditionalFormatting sqref="G331">
    <cfRule type="expression" dxfId="0" priority="1652">
      <formula>COUNTIF(I331:BG331,"&lt;&gt;" &amp; "")&gt;0</formula>
    </cfRule>
    <cfRule type="expression" dxfId="1" priority="1653">
      <formula>AND(COUNTIF(I331:BG331,"&lt;&gt;" &amp; "")&gt;0,NOT(ISBLANK(G331)))</formula>
    </cfRule>
  </conditionalFormatting>
  <conditionalFormatting sqref="G332">
    <cfRule type="expression" dxfId="0" priority="1655">
      <formula>COUNTIF(I332:BG332,"&lt;&gt;" &amp; "")&gt;0</formula>
    </cfRule>
    <cfRule type="expression" dxfId="1" priority="1656">
      <formula>AND(COUNTIF(I332:BG332,"&lt;&gt;" &amp; "")&gt;0,NOT(ISBLANK(G332)))</formula>
    </cfRule>
  </conditionalFormatting>
  <conditionalFormatting sqref="G333">
    <cfRule type="expression" dxfId="0" priority="1658">
      <formula>COUNTIF(I333:BG333,"&lt;&gt;" &amp; "")&gt;0</formula>
    </cfRule>
    <cfRule type="expression" dxfId="1" priority="1659">
      <formula>AND(COUNTIF(I333:BG333,"&lt;&gt;" &amp; "")&gt;0,NOT(ISBLANK(G333)))</formula>
    </cfRule>
  </conditionalFormatting>
  <conditionalFormatting sqref="G334">
    <cfRule type="expression" dxfId="0" priority="1661">
      <formula>COUNTIF(I334:BG334,"&lt;&gt;" &amp; "")&gt;0</formula>
    </cfRule>
    <cfRule type="expression" dxfId="1" priority="1662">
      <formula>AND(COUNTIF(I334:BG334,"&lt;&gt;" &amp; "")&gt;0,NOT(ISBLANK(G334)))</formula>
    </cfRule>
  </conditionalFormatting>
  <conditionalFormatting sqref="G335">
    <cfRule type="expression" dxfId="0" priority="1664">
      <formula>COUNTIF(I335:BG335,"&lt;&gt;" &amp; "")&gt;0</formula>
    </cfRule>
    <cfRule type="expression" dxfId="1" priority="1665">
      <formula>AND(COUNTIF(I335:BG335,"&lt;&gt;" &amp; "")&gt;0,NOT(ISBLANK(G335)))</formula>
    </cfRule>
  </conditionalFormatting>
  <conditionalFormatting sqref="G336">
    <cfRule type="expression" dxfId="0" priority="1667">
      <formula>COUNTIF(I336:BG336,"&lt;&gt;" &amp; "")&gt;0</formula>
    </cfRule>
    <cfRule type="expression" dxfId="1" priority="1668">
      <formula>AND(COUNTIF(I336:BG336,"&lt;&gt;" &amp; "")&gt;0,NOT(ISBLANK(G336)))</formula>
    </cfRule>
  </conditionalFormatting>
  <conditionalFormatting sqref="G337">
    <cfRule type="expression" dxfId="0" priority="1670">
      <formula>COUNTIF(I337:BG337,"&lt;&gt;" &amp; "")&gt;0</formula>
    </cfRule>
    <cfRule type="expression" dxfId="1" priority="1671">
      <formula>AND(COUNTIF(I337:BG337,"&lt;&gt;" &amp; "")&gt;0,NOT(ISBLANK(G337)))</formula>
    </cfRule>
  </conditionalFormatting>
  <conditionalFormatting sqref="G338">
    <cfRule type="expression" dxfId="0" priority="1673">
      <formula>COUNTIF(I338:BG338,"&lt;&gt;" &amp; "")&gt;0</formula>
    </cfRule>
    <cfRule type="expression" dxfId="1" priority="1674">
      <formula>AND(COUNTIF(I338:BG338,"&lt;&gt;" &amp; "")&gt;0,NOT(ISBLANK(G338)))</formula>
    </cfRule>
  </conditionalFormatting>
  <conditionalFormatting sqref="G339">
    <cfRule type="expression" dxfId="0" priority="1676">
      <formula>COUNTIF(I339:BG339,"&lt;&gt;" &amp; "")&gt;0</formula>
    </cfRule>
    <cfRule type="expression" dxfId="1" priority="1677">
      <formula>AND(COUNTIF(I339:BG339,"&lt;&gt;" &amp; "")&gt;0,NOT(ISBLANK(G339)))</formula>
    </cfRule>
  </conditionalFormatting>
  <conditionalFormatting sqref="G34">
    <cfRule type="expression" dxfId="0" priority="432">
      <formula>COUNTIF(I34:BG34,"&lt;&gt;" &amp; "")&gt;0</formula>
    </cfRule>
    <cfRule type="expression" dxfId="1" priority="433">
      <formula>AND(COUNTIF(I34:BG34,"&lt;&gt;" &amp; "")&gt;0,NOT(ISBLANK(G34)))</formula>
    </cfRule>
  </conditionalFormatting>
  <conditionalFormatting sqref="G340">
    <cfRule type="expression" dxfId="0" priority="1679">
      <formula>COUNTIF(I340:BG340,"&lt;&gt;" &amp; "")&gt;0</formula>
    </cfRule>
    <cfRule type="expression" dxfId="1" priority="1680">
      <formula>AND(COUNTIF(I340:BG340,"&lt;&gt;" &amp; "")&gt;0,NOT(ISBLANK(G340)))</formula>
    </cfRule>
  </conditionalFormatting>
  <conditionalFormatting sqref="G341">
    <cfRule type="expression" dxfId="0" priority="1682">
      <formula>COUNTIF(I341:BG341,"&lt;&gt;" &amp; "")&gt;0</formula>
    </cfRule>
    <cfRule type="expression" dxfId="1" priority="1683">
      <formula>AND(COUNTIF(I341:BG341,"&lt;&gt;" &amp; "")&gt;0,NOT(ISBLANK(G341)))</formula>
    </cfRule>
  </conditionalFormatting>
  <conditionalFormatting sqref="G342">
    <cfRule type="expression" dxfId="0" priority="1685">
      <formula>COUNTIF(I342:BG342,"&lt;&gt;" &amp; "")&gt;0</formula>
    </cfRule>
    <cfRule type="expression" dxfId="1" priority="1686">
      <formula>AND(COUNTIF(I342:BG342,"&lt;&gt;" &amp; "")&gt;0,NOT(ISBLANK(G342)))</formula>
    </cfRule>
  </conditionalFormatting>
  <conditionalFormatting sqref="G343">
    <cfRule type="expression" dxfId="0" priority="1688">
      <formula>COUNTIF(I343:BG343,"&lt;&gt;" &amp; "")&gt;0</formula>
    </cfRule>
    <cfRule type="expression" dxfId="1" priority="1689">
      <formula>AND(COUNTIF(I343:BG343,"&lt;&gt;" &amp; "")&gt;0,NOT(ISBLANK(G343)))</formula>
    </cfRule>
  </conditionalFormatting>
  <conditionalFormatting sqref="G344">
    <cfRule type="expression" dxfId="0" priority="1691">
      <formula>COUNTIF(I344:BG344,"&lt;&gt;" &amp; "")&gt;0</formula>
    </cfRule>
    <cfRule type="expression" dxfId="1" priority="1692">
      <formula>AND(COUNTIF(I344:BG344,"&lt;&gt;" &amp; "")&gt;0,NOT(ISBLANK(G344)))</formula>
    </cfRule>
  </conditionalFormatting>
  <conditionalFormatting sqref="G345">
    <cfRule type="expression" dxfId="0" priority="1694">
      <formula>COUNTIF(I345:BG345,"&lt;&gt;" &amp; "")&gt;0</formula>
    </cfRule>
    <cfRule type="expression" dxfId="1" priority="1695">
      <formula>AND(COUNTIF(I345:BG345,"&lt;&gt;" &amp; "")&gt;0,NOT(ISBLANK(G345)))</formula>
    </cfRule>
  </conditionalFormatting>
  <conditionalFormatting sqref="G346">
    <cfRule type="expression" dxfId="0" priority="1697">
      <formula>COUNTIF(I346:BG346,"&lt;&gt;" &amp; "")&gt;0</formula>
    </cfRule>
    <cfRule type="expression" dxfId="1" priority="1698">
      <formula>AND(COUNTIF(I346:BG346,"&lt;&gt;" &amp; "")&gt;0,NOT(ISBLANK(G346)))</formula>
    </cfRule>
  </conditionalFormatting>
  <conditionalFormatting sqref="G347">
    <cfRule type="expression" dxfId="0" priority="1700">
      <formula>COUNTIF(I347:BG347,"&lt;&gt;" &amp; "")&gt;0</formula>
    </cfRule>
    <cfRule type="expression" dxfId="1" priority="1701">
      <formula>AND(COUNTIF(I347:BG347,"&lt;&gt;" &amp; "")&gt;0,NOT(ISBLANK(G347)))</formula>
    </cfRule>
  </conditionalFormatting>
  <conditionalFormatting sqref="G348">
    <cfRule type="expression" dxfId="0" priority="1703">
      <formula>COUNTIF(I348:BG348,"&lt;&gt;" &amp; "")&gt;0</formula>
    </cfRule>
    <cfRule type="expression" dxfId="1" priority="1704">
      <formula>AND(COUNTIF(I348:BG348,"&lt;&gt;" &amp; "")&gt;0,NOT(ISBLANK(G348)))</formula>
    </cfRule>
  </conditionalFormatting>
  <conditionalFormatting sqref="G349">
    <cfRule type="expression" dxfId="0" priority="1706">
      <formula>COUNTIF(I349:BG349,"&lt;&gt;" &amp; "")&gt;0</formula>
    </cfRule>
    <cfRule type="expression" dxfId="1" priority="1707">
      <formula>AND(COUNTIF(I349:BG349,"&lt;&gt;" &amp; "")&gt;0,NOT(ISBLANK(G349)))</formula>
    </cfRule>
  </conditionalFormatting>
  <conditionalFormatting sqref="G35">
    <cfRule type="expression" dxfId="0" priority="435">
      <formula>COUNTIF(I35:BG35,"&lt;&gt;" &amp; "")&gt;0</formula>
    </cfRule>
    <cfRule type="expression" dxfId="1" priority="436">
      <formula>AND(COUNTIF(I35:BG35,"&lt;&gt;" &amp; "")&gt;0,NOT(ISBLANK(G35)))</formula>
    </cfRule>
  </conditionalFormatting>
  <conditionalFormatting sqref="G350">
    <cfRule type="expression" dxfId="0" priority="1709">
      <formula>COUNTIF(I350:BG350,"&lt;&gt;" &amp; "")&gt;0</formula>
    </cfRule>
    <cfRule type="expression" dxfId="1" priority="1710">
      <formula>AND(COUNTIF(I350:BG350,"&lt;&gt;" &amp; "")&gt;0,NOT(ISBLANK(G350)))</formula>
    </cfRule>
  </conditionalFormatting>
  <conditionalFormatting sqref="G351">
    <cfRule type="expression" dxfId="0" priority="1712">
      <formula>COUNTIF(I351:BG351,"&lt;&gt;" &amp; "")&gt;0</formula>
    </cfRule>
    <cfRule type="expression" dxfId="1" priority="1713">
      <formula>AND(COUNTIF(I351:BG351,"&lt;&gt;" &amp; "")&gt;0,NOT(ISBLANK(G351)))</formula>
    </cfRule>
  </conditionalFormatting>
  <conditionalFormatting sqref="G352">
    <cfRule type="expression" dxfId="0" priority="1715">
      <formula>COUNTIF(I352:BG352,"&lt;&gt;" &amp; "")&gt;0</formula>
    </cfRule>
    <cfRule type="expression" dxfId="1" priority="1716">
      <formula>AND(COUNTIF(I352:BG352,"&lt;&gt;" &amp; "")&gt;0,NOT(ISBLANK(G352)))</formula>
    </cfRule>
  </conditionalFormatting>
  <conditionalFormatting sqref="G353">
    <cfRule type="expression" dxfId="0" priority="1718">
      <formula>COUNTIF(I353:BG353,"&lt;&gt;" &amp; "")&gt;0</formula>
    </cfRule>
    <cfRule type="expression" dxfId="1" priority="1719">
      <formula>AND(COUNTIF(I353:BG353,"&lt;&gt;" &amp; "")&gt;0,NOT(ISBLANK(G353)))</formula>
    </cfRule>
  </conditionalFormatting>
  <conditionalFormatting sqref="G354">
    <cfRule type="expression" dxfId="0" priority="1721">
      <formula>COUNTIF(I354:BG354,"&lt;&gt;" &amp; "")&gt;0</formula>
    </cfRule>
    <cfRule type="expression" dxfId="1" priority="1722">
      <formula>AND(COUNTIF(I354:BG354,"&lt;&gt;" &amp; "")&gt;0,NOT(ISBLANK(G354)))</formula>
    </cfRule>
  </conditionalFormatting>
  <conditionalFormatting sqref="G355">
    <cfRule type="expression" dxfId="0" priority="1724">
      <formula>COUNTIF(I355:BG355,"&lt;&gt;" &amp; "")&gt;0</formula>
    </cfRule>
    <cfRule type="expression" dxfId="1" priority="1725">
      <formula>AND(COUNTIF(I355:BG355,"&lt;&gt;" &amp; "")&gt;0,NOT(ISBLANK(G355)))</formula>
    </cfRule>
  </conditionalFormatting>
  <conditionalFormatting sqref="G356">
    <cfRule type="expression" dxfId="0" priority="1727">
      <formula>COUNTIF(I356:BG356,"&lt;&gt;" &amp; "")&gt;0</formula>
    </cfRule>
    <cfRule type="expression" dxfId="1" priority="1728">
      <formula>AND(COUNTIF(I356:BG356,"&lt;&gt;" &amp; "")&gt;0,NOT(ISBLANK(G356)))</formula>
    </cfRule>
  </conditionalFormatting>
  <conditionalFormatting sqref="G357">
    <cfRule type="expression" dxfId="0" priority="1730">
      <formula>COUNTIF(I357:BG357,"&lt;&gt;" &amp; "")&gt;0</formula>
    </cfRule>
    <cfRule type="expression" dxfId="1" priority="1731">
      <formula>AND(COUNTIF(I357:BG357,"&lt;&gt;" &amp; "")&gt;0,NOT(ISBLANK(G357)))</formula>
    </cfRule>
  </conditionalFormatting>
  <conditionalFormatting sqref="G358">
    <cfRule type="expression" dxfId="0" priority="1733">
      <formula>COUNTIF(I358:BG358,"&lt;&gt;" &amp; "")&gt;0</formula>
    </cfRule>
    <cfRule type="expression" dxfId="1" priority="1734">
      <formula>AND(COUNTIF(I358:BG358,"&lt;&gt;" &amp; "")&gt;0,NOT(ISBLANK(G358)))</formula>
    </cfRule>
  </conditionalFormatting>
  <conditionalFormatting sqref="G359">
    <cfRule type="expression" dxfId="0" priority="1736">
      <formula>COUNTIF(I359:BG359,"&lt;&gt;" &amp; "")&gt;0</formula>
    </cfRule>
    <cfRule type="expression" dxfId="1" priority="1737">
      <formula>AND(COUNTIF(I359:BG359,"&lt;&gt;" &amp; "")&gt;0,NOT(ISBLANK(G359)))</formula>
    </cfRule>
  </conditionalFormatting>
  <conditionalFormatting sqref="G36">
    <cfRule type="expression" dxfId="0" priority="438">
      <formula>COUNTIF(I36:BG36,"&lt;&gt;" &amp; "")&gt;0</formula>
    </cfRule>
    <cfRule type="expression" dxfId="1" priority="439">
      <formula>AND(COUNTIF(I36:BG36,"&lt;&gt;" &amp; "")&gt;0,NOT(ISBLANK(G36)))</formula>
    </cfRule>
  </conditionalFormatting>
  <conditionalFormatting sqref="G360">
    <cfRule type="expression" dxfId="0" priority="1739">
      <formula>COUNTIF(I360:BG360,"&lt;&gt;" &amp; "")&gt;0</formula>
    </cfRule>
    <cfRule type="expression" dxfId="1" priority="1740">
      <formula>AND(COUNTIF(I360:BG360,"&lt;&gt;" &amp; "")&gt;0,NOT(ISBLANK(G360)))</formula>
    </cfRule>
  </conditionalFormatting>
  <conditionalFormatting sqref="G361">
    <cfRule type="expression" dxfId="0" priority="1742">
      <formula>COUNTIF(I361:BG361,"&lt;&gt;" &amp; "")&gt;0</formula>
    </cfRule>
    <cfRule type="expression" dxfId="1" priority="1743">
      <formula>AND(COUNTIF(I361:BG361,"&lt;&gt;" &amp; "")&gt;0,NOT(ISBLANK(G361)))</formula>
    </cfRule>
  </conditionalFormatting>
  <conditionalFormatting sqref="G362">
    <cfRule type="expression" dxfId="0" priority="1745">
      <formula>COUNTIF(I362:BG362,"&lt;&gt;" &amp; "")&gt;0</formula>
    </cfRule>
    <cfRule type="expression" dxfId="1" priority="1746">
      <formula>AND(COUNTIF(I362:BG362,"&lt;&gt;" &amp; "")&gt;0,NOT(ISBLANK(G362)))</formula>
    </cfRule>
  </conditionalFormatting>
  <conditionalFormatting sqref="G363">
    <cfRule type="expression" dxfId="0" priority="1748">
      <formula>COUNTIF(I363:BG363,"&lt;&gt;" &amp; "")&gt;0</formula>
    </cfRule>
    <cfRule type="expression" dxfId="1" priority="1749">
      <formula>AND(COUNTIF(I363:BG363,"&lt;&gt;" &amp; "")&gt;0,NOT(ISBLANK(G363)))</formula>
    </cfRule>
  </conditionalFormatting>
  <conditionalFormatting sqref="G364">
    <cfRule type="expression" dxfId="0" priority="1751">
      <formula>COUNTIF(I364:BG364,"&lt;&gt;" &amp; "")&gt;0</formula>
    </cfRule>
    <cfRule type="expression" dxfId="1" priority="1752">
      <formula>AND(COUNTIF(I364:BG364,"&lt;&gt;" &amp; "")&gt;0,NOT(ISBLANK(G364)))</formula>
    </cfRule>
  </conditionalFormatting>
  <conditionalFormatting sqref="G365">
    <cfRule type="expression" dxfId="0" priority="1754">
      <formula>COUNTIF(I365:BG365,"&lt;&gt;" &amp; "")&gt;0</formula>
    </cfRule>
    <cfRule type="expression" dxfId="1" priority="1755">
      <formula>AND(COUNTIF(I365:BG365,"&lt;&gt;" &amp; "")&gt;0,NOT(ISBLANK(G365)))</formula>
    </cfRule>
  </conditionalFormatting>
  <conditionalFormatting sqref="G366">
    <cfRule type="expression" dxfId="0" priority="1757">
      <formula>COUNTIF(I366:BG366,"&lt;&gt;" &amp; "")&gt;0</formula>
    </cfRule>
    <cfRule type="expression" dxfId="1" priority="1758">
      <formula>AND(COUNTIF(I366:BG366,"&lt;&gt;" &amp; "")&gt;0,NOT(ISBLANK(G366)))</formula>
    </cfRule>
  </conditionalFormatting>
  <conditionalFormatting sqref="G367">
    <cfRule type="expression" dxfId="0" priority="1760">
      <formula>COUNTIF(I367:BG367,"&lt;&gt;" &amp; "")&gt;0</formula>
    </cfRule>
    <cfRule type="expression" dxfId="1" priority="1761">
      <formula>AND(COUNTIF(I367:BG367,"&lt;&gt;" &amp; "")&gt;0,NOT(ISBLANK(G367)))</formula>
    </cfRule>
  </conditionalFormatting>
  <conditionalFormatting sqref="G368">
    <cfRule type="expression" dxfId="0" priority="1763">
      <formula>COUNTIF(I368:BG368,"&lt;&gt;" &amp; "")&gt;0</formula>
    </cfRule>
    <cfRule type="expression" dxfId="1" priority="1764">
      <formula>AND(COUNTIF(I368:BG368,"&lt;&gt;" &amp; "")&gt;0,NOT(ISBLANK(G368)))</formula>
    </cfRule>
  </conditionalFormatting>
  <conditionalFormatting sqref="G369">
    <cfRule type="expression" dxfId="0" priority="1766">
      <formula>COUNTIF(I369:BG369,"&lt;&gt;" &amp; "")&gt;0</formula>
    </cfRule>
    <cfRule type="expression" dxfId="1" priority="1767">
      <formula>AND(COUNTIF(I369:BG369,"&lt;&gt;" &amp; "")&gt;0,NOT(ISBLANK(G369)))</formula>
    </cfRule>
  </conditionalFormatting>
  <conditionalFormatting sqref="G37">
    <cfRule type="expression" dxfId="0" priority="441">
      <formula>COUNTIF(I37:BG37,"&lt;&gt;" &amp; "")&gt;0</formula>
    </cfRule>
    <cfRule type="expression" dxfId="1" priority="442">
      <formula>AND(COUNTIF(I37:BG37,"&lt;&gt;" &amp; "")&gt;0,NOT(ISBLANK(G37)))</formula>
    </cfRule>
  </conditionalFormatting>
  <conditionalFormatting sqref="G370">
    <cfRule type="expression" dxfId="0" priority="1769">
      <formula>COUNTIF(I370:BG370,"&lt;&gt;" &amp; "")&gt;0</formula>
    </cfRule>
    <cfRule type="expression" dxfId="1" priority="1770">
      <formula>AND(COUNTIF(I370:BG370,"&lt;&gt;" &amp; "")&gt;0,NOT(ISBLANK(G370)))</formula>
    </cfRule>
  </conditionalFormatting>
  <conditionalFormatting sqref="G371">
    <cfRule type="expression" dxfId="0" priority="1772">
      <formula>COUNTIF(I371:BG371,"&lt;&gt;" &amp; "")&gt;0</formula>
    </cfRule>
    <cfRule type="expression" dxfId="1" priority="1773">
      <formula>AND(COUNTIF(I371:BG371,"&lt;&gt;" &amp; "")&gt;0,NOT(ISBLANK(G371)))</formula>
    </cfRule>
  </conditionalFormatting>
  <conditionalFormatting sqref="G372">
    <cfRule type="expression" dxfId="0" priority="1775">
      <formula>COUNTIF(I372:BG372,"&lt;&gt;" &amp; "")&gt;0</formula>
    </cfRule>
    <cfRule type="expression" dxfId="1" priority="1776">
      <formula>AND(COUNTIF(I372:BG372,"&lt;&gt;" &amp; "")&gt;0,NOT(ISBLANK(G372)))</formula>
    </cfRule>
  </conditionalFormatting>
  <conditionalFormatting sqref="G373">
    <cfRule type="expression" dxfId="0" priority="1778">
      <formula>COUNTIF(I373:BG373,"&lt;&gt;" &amp; "")&gt;0</formula>
    </cfRule>
    <cfRule type="expression" dxfId="1" priority="1779">
      <formula>AND(COUNTIF(I373:BG373,"&lt;&gt;" &amp; "")&gt;0,NOT(ISBLANK(G373)))</formula>
    </cfRule>
  </conditionalFormatting>
  <conditionalFormatting sqref="G374">
    <cfRule type="expression" dxfId="0" priority="1781">
      <formula>COUNTIF(I374:BG374,"&lt;&gt;" &amp; "")&gt;0</formula>
    </cfRule>
    <cfRule type="expression" dxfId="1" priority="1782">
      <formula>AND(COUNTIF(I374:BG374,"&lt;&gt;" &amp; "")&gt;0,NOT(ISBLANK(G374)))</formula>
    </cfRule>
  </conditionalFormatting>
  <conditionalFormatting sqref="G375">
    <cfRule type="expression" dxfId="0" priority="1784">
      <formula>COUNTIF(I375:BG375,"&lt;&gt;" &amp; "")&gt;0</formula>
    </cfRule>
    <cfRule type="expression" dxfId="1" priority="1785">
      <formula>AND(COUNTIF(I375:BG375,"&lt;&gt;" &amp; "")&gt;0,NOT(ISBLANK(G375)))</formula>
    </cfRule>
  </conditionalFormatting>
  <conditionalFormatting sqref="G376">
    <cfRule type="expression" dxfId="0" priority="1787">
      <formula>COUNTIF(I376:BG376,"&lt;&gt;" &amp; "")&gt;0</formula>
    </cfRule>
    <cfRule type="expression" dxfId="1" priority="1788">
      <formula>AND(COUNTIF(I376:BG376,"&lt;&gt;" &amp; "")&gt;0,NOT(ISBLANK(G376)))</formula>
    </cfRule>
  </conditionalFormatting>
  <conditionalFormatting sqref="G377">
    <cfRule type="expression" dxfId="0" priority="1790">
      <formula>COUNTIF(I377:BG377,"&lt;&gt;" &amp; "")&gt;0</formula>
    </cfRule>
    <cfRule type="expression" dxfId="1" priority="1791">
      <formula>AND(COUNTIF(I377:BG377,"&lt;&gt;" &amp; "")&gt;0,NOT(ISBLANK(G377)))</formula>
    </cfRule>
  </conditionalFormatting>
  <conditionalFormatting sqref="G378">
    <cfRule type="expression" dxfId="0" priority="1793">
      <formula>COUNTIF(I378:BG378,"&lt;&gt;" &amp; "")&gt;0</formula>
    </cfRule>
    <cfRule type="expression" dxfId="1" priority="1794">
      <formula>AND(COUNTIF(I378:BG378,"&lt;&gt;" &amp; "")&gt;0,NOT(ISBLANK(G378)))</formula>
    </cfRule>
  </conditionalFormatting>
  <conditionalFormatting sqref="G379">
    <cfRule type="expression" dxfId="0" priority="1796">
      <formula>COUNTIF(I379:BG379,"&lt;&gt;" &amp; "")&gt;0</formula>
    </cfRule>
    <cfRule type="expression" dxfId="1" priority="1797">
      <formula>AND(COUNTIF(I379:BG379,"&lt;&gt;" &amp; "")&gt;0,NOT(ISBLANK(G379)))</formula>
    </cfRule>
  </conditionalFormatting>
  <conditionalFormatting sqref="G38">
    <cfRule type="expression" dxfId="0" priority="444">
      <formula>COUNTIF(I38:BG38,"&lt;&gt;" &amp; "")&gt;0</formula>
    </cfRule>
    <cfRule type="expression" dxfId="1" priority="445">
      <formula>AND(COUNTIF(I38:BG38,"&lt;&gt;" &amp; "")&gt;0,NOT(ISBLANK(G38)))</formula>
    </cfRule>
  </conditionalFormatting>
  <conditionalFormatting sqref="G380">
    <cfRule type="expression" dxfId="0" priority="1799">
      <formula>COUNTIF(I380:BG380,"&lt;&gt;" &amp; "")&gt;0</formula>
    </cfRule>
    <cfRule type="expression" dxfId="1" priority="1800">
      <formula>AND(COUNTIF(I380:BG380,"&lt;&gt;" &amp; "")&gt;0,NOT(ISBLANK(G380)))</formula>
    </cfRule>
  </conditionalFormatting>
  <conditionalFormatting sqref="G381">
    <cfRule type="expression" dxfId="0" priority="1802">
      <formula>COUNTIF(I381:BG381,"&lt;&gt;" &amp; "")&gt;0</formula>
    </cfRule>
    <cfRule type="expression" dxfId="1" priority="1803">
      <formula>AND(COUNTIF(I381:BG381,"&lt;&gt;" &amp; "")&gt;0,NOT(ISBLANK(G381)))</formula>
    </cfRule>
  </conditionalFormatting>
  <conditionalFormatting sqref="G382">
    <cfRule type="expression" dxfId="0" priority="1805">
      <formula>COUNTIF(I382:BG382,"&lt;&gt;" &amp; "")&gt;0</formula>
    </cfRule>
    <cfRule type="expression" dxfId="1" priority="1806">
      <formula>AND(COUNTIF(I382:BG382,"&lt;&gt;" &amp; "")&gt;0,NOT(ISBLANK(G382)))</formula>
    </cfRule>
  </conditionalFormatting>
  <conditionalFormatting sqref="G383">
    <cfRule type="expression" dxfId="0" priority="1808">
      <formula>COUNTIF(I383:BG383,"&lt;&gt;" &amp; "")&gt;0</formula>
    </cfRule>
    <cfRule type="expression" dxfId="1" priority="1809">
      <formula>AND(COUNTIF(I383:BG383,"&lt;&gt;" &amp; "")&gt;0,NOT(ISBLANK(G383)))</formula>
    </cfRule>
  </conditionalFormatting>
  <conditionalFormatting sqref="G384">
    <cfRule type="expression" dxfId="0" priority="1811">
      <formula>COUNTIF(I384:BG384,"&lt;&gt;" &amp; "")&gt;0</formula>
    </cfRule>
    <cfRule type="expression" dxfId="1" priority="1812">
      <formula>AND(COUNTIF(I384:BG384,"&lt;&gt;" &amp; "")&gt;0,NOT(ISBLANK(G384)))</formula>
    </cfRule>
  </conditionalFormatting>
  <conditionalFormatting sqref="G385">
    <cfRule type="expression" dxfId="0" priority="1814">
      <formula>COUNTIF(I385:BG385,"&lt;&gt;" &amp; "")&gt;0</formula>
    </cfRule>
    <cfRule type="expression" dxfId="1" priority="1815">
      <formula>AND(COUNTIF(I385:BG385,"&lt;&gt;" &amp; "")&gt;0,NOT(ISBLANK(G385)))</formula>
    </cfRule>
  </conditionalFormatting>
  <conditionalFormatting sqref="G386">
    <cfRule type="expression" dxfId="0" priority="1817">
      <formula>COUNTIF(I386:BG386,"&lt;&gt;" &amp; "")&gt;0</formula>
    </cfRule>
    <cfRule type="expression" dxfId="1" priority="1818">
      <formula>AND(COUNTIF(I386:BG386,"&lt;&gt;" &amp; "")&gt;0,NOT(ISBLANK(G386)))</formula>
    </cfRule>
  </conditionalFormatting>
  <conditionalFormatting sqref="G387">
    <cfRule type="expression" dxfId="0" priority="1820">
      <formula>COUNTIF(I387:BG387,"&lt;&gt;" &amp; "")&gt;0</formula>
    </cfRule>
    <cfRule type="expression" dxfId="1" priority="1821">
      <formula>AND(COUNTIF(I387:BG387,"&lt;&gt;" &amp; "")&gt;0,NOT(ISBLANK(G387)))</formula>
    </cfRule>
  </conditionalFormatting>
  <conditionalFormatting sqref="G388">
    <cfRule type="expression" dxfId="0" priority="1823">
      <formula>COUNTIF(I388:BG388,"&lt;&gt;" &amp; "")&gt;0</formula>
    </cfRule>
    <cfRule type="expression" dxfId="1" priority="1824">
      <formula>AND(COUNTIF(I388:BG388,"&lt;&gt;" &amp; "")&gt;0,NOT(ISBLANK(G388)))</formula>
    </cfRule>
  </conditionalFormatting>
  <conditionalFormatting sqref="G389">
    <cfRule type="expression" dxfId="0" priority="1826">
      <formula>COUNTIF(I389:BG389,"&lt;&gt;" &amp; "")&gt;0</formula>
    </cfRule>
    <cfRule type="expression" dxfId="1" priority="1827">
      <formula>AND(COUNTIF(I389:BG389,"&lt;&gt;" &amp; "")&gt;0,NOT(ISBLANK(G389)))</formula>
    </cfRule>
  </conditionalFormatting>
  <conditionalFormatting sqref="G39">
    <cfRule type="expression" dxfId="0" priority="447">
      <formula>COUNTIF(I39:BG39,"&lt;&gt;" &amp; "")&gt;0</formula>
    </cfRule>
    <cfRule type="expression" dxfId="1" priority="448">
      <formula>AND(COUNTIF(I39:BG39,"&lt;&gt;" &amp; "")&gt;0,NOT(ISBLANK(G39)))</formula>
    </cfRule>
  </conditionalFormatting>
  <conditionalFormatting sqref="G390">
    <cfRule type="expression" dxfId="0" priority="1829">
      <formula>COUNTIF(I390:BG390,"&lt;&gt;" &amp; "")&gt;0</formula>
    </cfRule>
    <cfRule type="expression" dxfId="1" priority="1830">
      <formula>AND(COUNTIF(I390:BG390,"&lt;&gt;" &amp; "")&gt;0,NOT(ISBLANK(G390)))</formula>
    </cfRule>
  </conditionalFormatting>
  <conditionalFormatting sqref="G391">
    <cfRule type="expression" dxfId="0" priority="1832">
      <formula>COUNTIF(I391:BG391,"&lt;&gt;" &amp; "")&gt;0</formula>
    </cfRule>
    <cfRule type="expression" dxfId="1" priority="1833">
      <formula>AND(COUNTIF(I391:BG391,"&lt;&gt;" &amp; "")&gt;0,NOT(ISBLANK(G391)))</formula>
    </cfRule>
  </conditionalFormatting>
  <conditionalFormatting sqref="G392">
    <cfRule type="expression" dxfId="0" priority="1835">
      <formula>COUNTIF(I392:BG392,"&lt;&gt;" &amp; "")&gt;0</formula>
    </cfRule>
    <cfRule type="expression" dxfId="1" priority="1836">
      <formula>AND(COUNTIF(I392:BG392,"&lt;&gt;" &amp; "")&gt;0,NOT(ISBLANK(G392)))</formula>
    </cfRule>
  </conditionalFormatting>
  <conditionalFormatting sqref="G393">
    <cfRule type="expression" dxfId="0" priority="1838">
      <formula>COUNTIF(I393:BG393,"&lt;&gt;" &amp; "")&gt;0</formula>
    </cfRule>
    <cfRule type="expression" dxfId="1" priority="1839">
      <formula>AND(COUNTIF(I393:BG393,"&lt;&gt;" &amp; "")&gt;0,NOT(ISBLANK(G393)))</formula>
    </cfRule>
  </conditionalFormatting>
  <conditionalFormatting sqref="G394">
    <cfRule type="expression" dxfId="0" priority="1841">
      <formula>COUNTIF(I394:BG394,"&lt;&gt;" &amp; "")&gt;0</formula>
    </cfRule>
    <cfRule type="expression" dxfId="1" priority="1842">
      <formula>AND(COUNTIF(I394:BG394,"&lt;&gt;" &amp; "")&gt;0,NOT(ISBLANK(G394)))</formula>
    </cfRule>
  </conditionalFormatting>
  <conditionalFormatting sqref="G395">
    <cfRule type="expression" dxfId="0" priority="1844">
      <formula>COUNTIF(I395:BG395,"&lt;&gt;" &amp; "")&gt;0</formula>
    </cfRule>
    <cfRule type="expression" dxfId="1" priority="1845">
      <formula>AND(COUNTIF(I395:BG395,"&lt;&gt;" &amp; "")&gt;0,NOT(ISBLANK(G395)))</formula>
    </cfRule>
  </conditionalFormatting>
  <conditionalFormatting sqref="G396">
    <cfRule type="expression" dxfId="0" priority="1847">
      <formula>COUNTIF(I396:BG396,"&lt;&gt;" &amp; "")&gt;0</formula>
    </cfRule>
    <cfRule type="expression" dxfId="1" priority="1848">
      <formula>AND(COUNTIF(I396:BG396,"&lt;&gt;" &amp; "")&gt;0,NOT(ISBLANK(G396)))</formula>
    </cfRule>
  </conditionalFormatting>
  <conditionalFormatting sqref="G397">
    <cfRule type="expression" dxfId="0" priority="1850">
      <formula>COUNTIF(I397:BG397,"&lt;&gt;" &amp; "")&gt;0</formula>
    </cfRule>
    <cfRule type="expression" dxfId="1" priority="1851">
      <formula>AND(COUNTIF(I397:BG397,"&lt;&gt;" &amp; "")&gt;0,NOT(ISBLANK(G397)))</formula>
    </cfRule>
  </conditionalFormatting>
  <conditionalFormatting sqref="G398">
    <cfRule type="expression" dxfId="0" priority="1853">
      <formula>COUNTIF(I398:BG398,"&lt;&gt;" &amp; "")&gt;0</formula>
    </cfRule>
    <cfRule type="expression" dxfId="1" priority="1854">
      <formula>AND(COUNTIF(I398:BG398,"&lt;&gt;" &amp; "")&gt;0,NOT(ISBLANK(G398)))</formula>
    </cfRule>
  </conditionalFormatting>
  <conditionalFormatting sqref="G399">
    <cfRule type="expression" dxfId="0" priority="1856">
      <formula>COUNTIF(I399:BG399,"&lt;&gt;" &amp; "")&gt;0</formula>
    </cfRule>
    <cfRule type="expression" dxfId="1" priority="1857">
      <formula>AND(COUNTIF(I399:BG399,"&lt;&gt;" &amp; "")&gt;0,NOT(ISBLANK(G399)))</formula>
    </cfRule>
  </conditionalFormatting>
  <conditionalFormatting sqref="G40">
    <cfRule type="expression" dxfId="0" priority="450">
      <formula>COUNTIF(I40:BG40,"&lt;&gt;" &amp; "")&gt;0</formula>
    </cfRule>
    <cfRule type="expression" dxfId="1" priority="451">
      <formula>AND(COUNTIF(I40:BG40,"&lt;&gt;" &amp; "")&gt;0,NOT(ISBLANK(G40)))</formula>
    </cfRule>
  </conditionalFormatting>
  <conditionalFormatting sqref="G400">
    <cfRule type="expression" dxfId="0" priority="1859">
      <formula>COUNTIF(I400:BG400,"&lt;&gt;" &amp; "")&gt;0</formula>
    </cfRule>
    <cfRule type="expression" dxfId="1" priority="1860">
      <formula>AND(COUNTIF(I400:BG400,"&lt;&gt;" &amp; "")&gt;0,NOT(ISBLANK(G400)))</formula>
    </cfRule>
  </conditionalFormatting>
  <conditionalFormatting sqref="G401">
    <cfRule type="expression" dxfId="0" priority="1862">
      <formula>COUNTIF(I401:BG401,"&lt;&gt;" &amp; "")&gt;0</formula>
    </cfRule>
    <cfRule type="expression" dxfId="1" priority="1863">
      <formula>AND(COUNTIF(I401:BG401,"&lt;&gt;" &amp; "")&gt;0,NOT(ISBLANK(G401)))</formula>
    </cfRule>
  </conditionalFormatting>
  <conditionalFormatting sqref="G402">
    <cfRule type="expression" dxfId="0" priority="1865">
      <formula>COUNTIF(I402:BG402,"&lt;&gt;" &amp; "")&gt;0</formula>
    </cfRule>
    <cfRule type="expression" dxfId="1" priority="1866">
      <formula>AND(COUNTIF(I402:BG402,"&lt;&gt;" &amp; "")&gt;0,NOT(ISBLANK(G402)))</formula>
    </cfRule>
  </conditionalFormatting>
  <conditionalFormatting sqref="G403">
    <cfRule type="expression" dxfId="0" priority="1868">
      <formula>COUNTIF(I403:BG403,"&lt;&gt;" &amp; "")&gt;0</formula>
    </cfRule>
    <cfRule type="expression" dxfId="1" priority="1869">
      <formula>AND(COUNTIF(I403:BG403,"&lt;&gt;" &amp; "")&gt;0,NOT(ISBLANK(G403)))</formula>
    </cfRule>
  </conditionalFormatting>
  <conditionalFormatting sqref="G404">
    <cfRule type="expression" dxfId="0" priority="1871">
      <formula>COUNTIF(I404:BG404,"&lt;&gt;" &amp; "")&gt;0</formula>
    </cfRule>
    <cfRule type="expression" dxfId="1" priority="1872">
      <formula>AND(COUNTIF(I404:BG404,"&lt;&gt;" &amp; "")&gt;0,NOT(ISBLANK(G404)))</formula>
    </cfRule>
  </conditionalFormatting>
  <conditionalFormatting sqref="G405">
    <cfRule type="expression" dxfId="0" priority="1874">
      <formula>COUNTIF(I405:BG405,"&lt;&gt;" &amp; "")&gt;0</formula>
    </cfRule>
    <cfRule type="expression" dxfId="1" priority="1875">
      <formula>AND(COUNTIF(I405:BG405,"&lt;&gt;" &amp; "")&gt;0,NOT(ISBLANK(G405)))</formula>
    </cfRule>
  </conditionalFormatting>
  <conditionalFormatting sqref="G406">
    <cfRule type="expression" dxfId="0" priority="1877">
      <formula>COUNTIF(I406:BG406,"&lt;&gt;" &amp; "")&gt;0</formula>
    </cfRule>
    <cfRule type="expression" dxfId="1" priority="1878">
      <formula>AND(COUNTIF(I406:BG406,"&lt;&gt;" &amp; "")&gt;0,NOT(ISBLANK(G406)))</formula>
    </cfRule>
  </conditionalFormatting>
  <conditionalFormatting sqref="G407">
    <cfRule type="expression" dxfId="0" priority="1880">
      <formula>COUNTIF(I407:BG407,"&lt;&gt;" &amp; "")&gt;0</formula>
    </cfRule>
    <cfRule type="expression" dxfId="1" priority="1881">
      <formula>AND(COUNTIF(I407:BG407,"&lt;&gt;" &amp; "")&gt;0,NOT(ISBLANK(G407)))</formula>
    </cfRule>
  </conditionalFormatting>
  <conditionalFormatting sqref="G408">
    <cfRule type="expression" dxfId="0" priority="1883">
      <formula>COUNTIF(I408:BG408,"&lt;&gt;" &amp; "")&gt;0</formula>
    </cfRule>
    <cfRule type="expression" dxfId="1" priority="1884">
      <formula>AND(COUNTIF(I408:BG408,"&lt;&gt;" &amp; "")&gt;0,NOT(ISBLANK(G408)))</formula>
    </cfRule>
  </conditionalFormatting>
  <conditionalFormatting sqref="G409">
    <cfRule type="expression" dxfId="0" priority="1886">
      <formula>COUNTIF(I409:BG409,"&lt;&gt;" &amp; "")&gt;0</formula>
    </cfRule>
    <cfRule type="expression" dxfId="1" priority="1887">
      <formula>AND(COUNTIF(I409:BG409,"&lt;&gt;" &amp; "")&gt;0,NOT(ISBLANK(G409)))</formula>
    </cfRule>
  </conditionalFormatting>
  <conditionalFormatting sqref="G41">
    <cfRule type="expression" dxfId="0" priority="453">
      <formula>COUNTIF(I41:BG41,"&lt;&gt;" &amp; "")&gt;0</formula>
    </cfRule>
    <cfRule type="expression" dxfId="1" priority="454">
      <formula>AND(COUNTIF(I41:BG41,"&lt;&gt;" &amp; "")&gt;0,NOT(ISBLANK(G41)))</formula>
    </cfRule>
  </conditionalFormatting>
  <conditionalFormatting sqref="G410">
    <cfRule type="expression" dxfId="0" priority="1889">
      <formula>COUNTIF(I410:BG410,"&lt;&gt;" &amp; "")&gt;0</formula>
    </cfRule>
    <cfRule type="expression" dxfId="1" priority="1890">
      <formula>AND(COUNTIF(I410:BG410,"&lt;&gt;" &amp; "")&gt;0,NOT(ISBLANK(G410)))</formula>
    </cfRule>
  </conditionalFormatting>
  <conditionalFormatting sqref="G411">
    <cfRule type="expression" dxfId="0" priority="1892">
      <formula>COUNTIF(I411:BG411,"&lt;&gt;" &amp; "")&gt;0</formula>
    </cfRule>
    <cfRule type="expression" dxfId="1" priority="1893">
      <formula>AND(COUNTIF(I411:BG411,"&lt;&gt;" &amp; "")&gt;0,NOT(ISBLANK(G411)))</formula>
    </cfRule>
  </conditionalFormatting>
  <conditionalFormatting sqref="G412">
    <cfRule type="expression" dxfId="0" priority="1895">
      <formula>COUNTIF(I412:BG412,"&lt;&gt;" &amp; "")&gt;0</formula>
    </cfRule>
    <cfRule type="expression" dxfId="1" priority="1896">
      <formula>AND(COUNTIF(I412:BG412,"&lt;&gt;" &amp; "")&gt;0,NOT(ISBLANK(G412)))</formula>
    </cfRule>
  </conditionalFormatting>
  <conditionalFormatting sqref="G413">
    <cfRule type="expression" dxfId="0" priority="1898">
      <formula>COUNTIF(I413:BG413,"&lt;&gt;" &amp; "")&gt;0</formula>
    </cfRule>
    <cfRule type="expression" dxfId="1" priority="1899">
      <formula>AND(COUNTIF(I413:BG413,"&lt;&gt;" &amp; "")&gt;0,NOT(ISBLANK(G413)))</formula>
    </cfRule>
  </conditionalFormatting>
  <conditionalFormatting sqref="G414">
    <cfRule type="expression" dxfId="0" priority="1901">
      <formula>COUNTIF(I414:BG414,"&lt;&gt;" &amp; "")&gt;0</formula>
    </cfRule>
    <cfRule type="expression" dxfId="1" priority="1902">
      <formula>AND(COUNTIF(I414:BG414,"&lt;&gt;" &amp; "")&gt;0,NOT(ISBLANK(G414)))</formula>
    </cfRule>
  </conditionalFormatting>
  <conditionalFormatting sqref="G415">
    <cfRule type="expression" dxfId="0" priority="1904">
      <formula>COUNTIF(I415:BG415,"&lt;&gt;" &amp; "")&gt;0</formula>
    </cfRule>
    <cfRule type="expression" dxfId="1" priority="1905">
      <formula>AND(COUNTIF(I415:BG415,"&lt;&gt;" &amp; "")&gt;0,NOT(ISBLANK(G415)))</formula>
    </cfRule>
  </conditionalFormatting>
  <conditionalFormatting sqref="G416">
    <cfRule type="expression" dxfId="0" priority="1907">
      <formula>COUNTIF(I416:BG416,"&lt;&gt;" &amp; "")&gt;0</formula>
    </cfRule>
    <cfRule type="expression" dxfId="1" priority="1908">
      <formula>AND(COUNTIF(I416:BG416,"&lt;&gt;" &amp; "")&gt;0,NOT(ISBLANK(G416)))</formula>
    </cfRule>
  </conditionalFormatting>
  <conditionalFormatting sqref="G417">
    <cfRule type="expression" dxfId="0" priority="1910">
      <formula>COUNTIF(I417:BG417,"&lt;&gt;" &amp; "")&gt;0</formula>
    </cfRule>
    <cfRule type="expression" dxfId="1" priority="1911">
      <formula>AND(COUNTIF(I417:BG417,"&lt;&gt;" &amp; "")&gt;0,NOT(ISBLANK(G417)))</formula>
    </cfRule>
  </conditionalFormatting>
  <conditionalFormatting sqref="G418">
    <cfRule type="expression" dxfId="0" priority="1913">
      <formula>COUNTIF(I418:BG418,"&lt;&gt;" &amp; "")&gt;0</formula>
    </cfRule>
    <cfRule type="expression" dxfId="1" priority="1914">
      <formula>AND(COUNTIF(I418:BG418,"&lt;&gt;" &amp; "")&gt;0,NOT(ISBLANK(G418)))</formula>
    </cfRule>
  </conditionalFormatting>
  <conditionalFormatting sqref="G419">
    <cfRule type="expression" dxfId="0" priority="1916">
      <formula>COUNTIF(I419:BG419,"&lt;&gt;" &amp; "")&gt;0</formula>
    </cfRule>
    <cfRule type="expression" dxfId="1" priority="1917">
      <formula>AND(COUNTIF(I419:BG419,"&lt;&gt;" &amp; "")&gt;0,NOT(ISBLANK(G419)))</formula>
    </cfRule>
  </conditionalFormatting>
  <conditionalFormatting sqref="G42">
    <cfRule type="expression" dxfId="0" priority="456">
      <formula>COUNTIF(I42:BG42,"&lt;&gt;" &amp; "")&gt;0</formula>
    </cfRule>
    <cfRule type="expression" dxfId="1" priority="457">
      <formula>AND(COUNTIF(I42:BG42,"&lt;&gt;" &amp; "")&gt;0,NOT(ISBLANK(G42)))</formula>
    </cfRule>
  </conditionalFormatting>
  <conditionalFormatting sqref="G420">
    <cfRule type="expression" dxfId="0" priority="1919">
      <formula>COUNTIF(I420:BG420,"&lt;&gt;" &amp; "")&gt;0</formula>
    </cfRule>
    <cfRule type="expression" dxfId="1" priority="1920">
      <formula>AND(COUNTIF(I420:BG420,"&lt;&gt;" &amp; "")&gt;0,NOT(ISBLANK(G420)))</formula>
    </cfRule>
  </conditionalFormatting>
  <conditionalFormatting sqref="G421">
    <cfRule type="expression" dxfId="0" priority="1922">
      <formula>COUNTIF(I421:BG421,"&lt;&gt;" &amp; "")&gt;0</formula>
    </cfRule>
    <cfRule type="expression" dxfId="1" priority="1923">
      <formula>AND(COUNTIF(I421:BG421,"&lt;&gt;" &amp; "")&gt;0,NOT(ISBLANK(G421)))</formula>
    </cfRule>
  </conditionalFormatting>
  <conditionalFormatting sqref="G422">
    <cfRule type="expression" dxfId="0" priority="1925">
      <formula>COUNTIF(I422:BG422,"&lt;&gt;" &amp; "")&gt;0</formula>
    </cfRule>
    <cfRule type="expression" dxfId="1" priority="1926">
      <formula>AND(COUNTIF(I422:BG422,"&lt;&gt;" &amp; "")&gt;0,NOT(ISBLANK(G422)))</formula>
    </cfRule>
  </conditionalFormatting>
  <conditionalFormatting sqref="G423">
    <cfRule type="expression" dxfId="0" priority="1928">
      <formula>COUNTIF(I423:BG423,"&lt;&gt;" &amp; "")&gt;0</formula>
    </cfRule>
    <cfRule type="expression" dxfId="1" priority="1929">
      <formula>AND(COUNTIF(I423:BG423,"&lt;&gt;" &amp; "")&gt;0,NOT(ISBLANK(G423)))</formula>
    </cfRule>
  </conditionalFormatting>
  <conditionalFormatting sqref="G424">
    <cfRule type="expression" dxfId="0" priority="1931">
      <formula>COUNTIF(I424:BG424,"&lt;&gt;" &amp; "")&gt;0</formula>
    </cfRule>
    <cfRule type="expression" dxfId="1" priority="1932">
      <formula>AND(COUNTIF(I424:BG424,"&lt;&gt;" &amp; "")&gt;0,NOT(ISBLANK(G424)))</formula>
    </cfRule>
  </conditionalFormatting>
  <conditionalFormatting sqref="G425">
    <cfRule type="expression" dxfId="0" priority="1934">
      <formula>COUNTIF(I425:BG425,"&lt;&gt;" &amp; "")&gt;0</formula>
    </cfRule>
    <cfRule type="expression" dxfId="1" priority="1935">
      <formula>AND(COUNTIF(I425:BG425,"&lt;&gt;" &amp; "")&gt;0,NOT(ISBLANK(G425)))</formula>
    </cfRule>
  </conditionalFormatting>
  <conditionalFormatting sqref="G426">
    <cfRule type="expression" dxfId="0" priority="1937">
      <formula>COUNTIF(I426:BG426,"&lt;&gt;" &amp; "")&gt;0</formula>
    </cfRule>
    <cfRule type="expression" dxfId="1" priority="1938">
      <formula>AND(COUNTIF(I426:BG426,"&lt;&gt;" &amp; "")&gt;0,NOT(ISBLANK(G426)))</formula>
    </cfRule>
  </conditionalFormatting>
  <conditionalFormatting sqref="G427">
    <cfRule type="expression" dxfId="0" priority="1940">
      <formula>COUNTIF(I427:BG427,"&lt;&gt;" &amp; "")&gt;0</formula>
    </cfRule>
    <cfRule type="expression" dxfId="1" priority="1941">
      <formula>AND(COUNTIF(I427:BG427,"&lt;&gt;" &amp; "")&gt;0,NOT(ISBLANK(G427)))</formula>
    </cfRule>
  </conditionalFormatting>
  <conditionalFormatting sqref="G428">
    <cfRule type="expression" dxfId="0" priority="1943">
      <formula>COUNTIF(I428:BG428,"&lt;&gt;" &amp; "")&gt;0</formula>
    </cfRule>
    <cfRule type="expression" dxfId="1" priority="1944">
      <formula>AND(COUNTIF(I428:BG428,"&lt;&gt;" &amp; "")&gt;0,NOT(ISBLANK(G428)))</formula>
    </cfRule>
  </conditionalFormatting>
  <conditionalFormatting sqref="G429">
    <cfRule type="expression" dxfId="0" priority="1946">
      <formula>COUNTIF(I429:BG429,"&lt;&gt;" &amp; "")&gt;0</formula>
    </cfRule>
    <cfRule type="expression" dxfId="1" priority="1947">
      <formula>AND(COUNTIF(I429:BG429,"&lt;&gt;" &amp; "")&gt;0,NOT(ISBLANK(G429)))</formula>
    </cfRule>
  </conditionalFormatting>
  <conditionalFormatting sqref="G43">
    <cfRule type="expression" dxfId="0" priority="459">
      <formula>COUNTIF(I43:BG43,"&lt;&gt;" &amp; "")&gt;0</formula>
    </cfRule>
    <cfRule type="expression" dxfId="1" priority="460">
      <formula>AND(COUNTIF(I43:BG43,"&lt;&gt;" &amp; "")&gt;0,NOT(ISBLANK(G43)))</formula>
    </cfRule>
  </conditionalFormatting>
  <conditionalFormatting sqref="G430">
    <cfRule type="expression" dxfId="0" priority="1949">
      <formula>COUNTIF(I430:BG430,"&lt;&gt;" &amp; "")&gt;0</formula>
    </cfRule>
    <cfRule type="expression" dxfId="1" priority="1950">
      <formula>AND(COUNTIF(I430:BG430,"&lt;&gt;" &amp; "")&gt;0,NOT(ISBLANK(G430)))</formula>
    </cfRule>
  </conditionalFormatting>
  <conditionalFormatting sqref="G431">
    <cfRule type="expression" dxfId="0" priority="1952">
      <formula>COUNTIF(I431:BG431,"&lt;&gt;" &amp; "")&gt;0</formula>
    </cfRule>
    <cfRule type="expression" dxfId="1" priority="1953">
      <formula>AND(COUNTIF(I431:BG431,"&lt;&gt;" &amp; "")&gt;0,NOT(ISBLANK(G431)))</formula>
    </cfRule>
  </conditionalFormatting>
  <conditionalFormatting sqref="G432">
    <cfRule type="expression" dxfId="0" priority="1955">
      <formula>COUNTIF(I432:BG432,"&lt;&gt;" &amp; "")&gt;0</formula>
    </cfRule>
    <cfRule type="expression" dxfId="1" priority="1956">
      <formula>AND(COUNTIF(I432:BG432,"&lt;&gt;" &amp; "")&gt;0,NOT(ISBLANK(G432)))</formula>
    </cfRule>
  </conditionalFormatting>
  <conditionalFormatting sqref="G433">
    <cfRule type="expression" dxfId="0" priority="1958">
      <formula>COUNTIF(I433:BG433,"&lt;&gt;" &amp; "")&gt;0</formula>
    </cfRule>
    <cfRule type="expression" dxfId="1" priority="1959">
      <formula>AND(COUNTIF(I433:BG433,"&lt;&gt;" &amp; "")&gt;0,NOT(ISBLANK(G433)))</formula>
    </cfRule>
  </conditionalFormatting>
  <conditionalFormatting sqref="G44">
    <cfRule type="expression" dxfId="0" priority="462">
      <formula>COUNTIF(I44:BG44,"&lt;&gt;" &amp; "")&gt;0</formula>
    </cfRule>
    <cfRule type="expression" dxfId="1" priority="463">
      <formula>AND(COUNTIF(I44:BG44,"&lt;&gt;" &amp; "")&gt;0,NOT(ISBLANK(G44)))</formula>
    </cfRule>
  </conditionalFormatting>
  <conditionalFormatting sqref="G45">
    <cfRule type="expression" dxfId="0" priority="465">
      <formula>COUNTIF(I45:BG45,"&lt;&gt;" &amp; "")&gt;0</formula>
    </cfRule>
    <cfRule type="expression" dxfId="1" priority="466">
      <formula>AND(COUNTIF(I45:BG45,"&lt;&gt;" &amp; "")&gt;0,NOT(ISBLANK(G45)))</formula>
    </cfRule>
  </conditionalFormatting>
  <conditionalFormatting sqref="G46">
    <cfRule type="expression" dxfId="0" priority="468">
      <formula>COUNTIF(I46:BG46,"&lt;&gt;" &amp; "")&gt;0</formula>
    </cfRule>
    <cfRule type="expression" dxfId="1" priority="469">
      <formula>AND(COUNTIF(I46:BG46,"&lt;&gt;" &amp; "")&gt;0,NOT(ISBLANK(G46)))</formula>
    </cfRule>
  </conditionalFormatting>
  <conditionalFormatting sqref="G47">
    <cfRule type="expression" dxfId="0" priority="471">
      <formula>COUNTIF(I47:BG47,"&lt;&gt;" &amp; "")&gt;0</formula>
    </cfRule>
    <cfRule type="expression" dxfId="1" priority="472">
      <formula>AND(COUNTIF(I47:BG47,"&lt;&gt;" &amp; "")&gt;0,NOT(ISBLANK(G47)))</formula>
    </cfRule>
  </conditionalFormatting>
  <conditionalFormatting sqref="G48">
    <cfRule type="expression" dxfId="0" priority="474">
      <formula>COUNTIF(I48:BG48,"&lt;&gt;" &amp; "")&gt;0</formula>
    </cfRule>
    <cfRule type="expression" dxfId="1" priority="475">
      <formula>AND(COUNTIF(I48:BG48,"&lt;&gt;" &amp; "")&gt;0,NOT(ISBLANK(G48)))</formula>
    </cfRule>
  </conditionalFormatting>
  <conditionalFormatting sqref="G49">
    <cfRule type="expression" dxfId="0" priority="477">
      <formula>COUNTIF(I49:BG49,"&lt;&gt;" &amp; "")&gt;0</formula>
    </cfRule>
    <cfRule type="expression" dxfId="1" priority="478">
      <formula>AND(COUNTIF(I49:BG49,"&lt;&gt;" &amp; "")&gt;0,NOT(ISBLANK(G49)))</formula>
    </cfRule>
  </conditionalFormatting>
  <conditionalFormatting sqref="G5">
    <cfRule type="cellIs" dxfId="2" priority="11" operator="equal">
      <formula>"Y"</formula>
    </cfRule>
    <cfRule type="cellIs" dxfId="3" priority="12" operator="equal">
      <formula>"N"</formula>
    </cfRule>
  </conditionalFormatting>
  <conditionalFormatting sqref="G50">
    <cfRule type="expression" dxfId="0" priority="480">
      <formula>COUNTIF(I50:BG50,"&lt;&gt;" &amp; "")&gt;0</formula>
    </cfRule>
    <cfRule type="expression" dxfId="1" priority="481">
      <formula>AND(COUNTIF(I50:BG50,"&lt;&gt;" &amp; "")&gt;0,NOT(ISBLANK(G50)))</formula>
    </cfRule>
  </conditionalFormatting>
  <conditionalFormatting sqref="G51">
    <cfRule type="expression" dxfId="0" priority="483">
      <formula>COUNTIF(I51:BG51,"&lt;&gt;" &amp; "")&gt;0</formula>
    </cfRule>
    <cfRule type="expression" dxfId="1" priority="484">
      <formula>AND(COUNTIF(I51:BG51,"&lt;&gt;" &amp; "")&gt;0,NOT(ISBLANK(G51)))</formula>
    </cfRule>
  </conditionalFormatting>
  <conditionalFormatting sqref="G52">
    <cfRule type="expression" dxfId="0" priority="486">
      <formula>COUNTIF(I52:BG52,"&lt;&gt;" &amp; "")&gt;0</formula>
    </cfRule>
    <cfRule type="expression" dxfId="1" priority="487">
      <formula>AND(COUNTIF(I52:BG52,"&lt;&gt;" &amp; "")&gt;0,NOT(ISBLANK(G52)))</formula>
    </cfRule>
  </conditionalFormatting>
  <conditionalFormatting sqref="G53">
    <cfRule type="expression" dxfId="0" priority="489">
      <formula>COUNTIF(I53:BG53,"&lt;&gt;" &amp; "")&gt;0</formula>
    </cfRule>
    <cfRule type="expression" dxfId="1" priority="490">
      <formula>AND(COUNTIF(I53:BG53,"&lt;&gt;" &amp; "")&gt;0,NOT(ISBLANK(G53)))</formula>
    </cfRule>
  </conditionalFormatting>
  <conditionalFormatting sqref="G54">
    <cfRule type="expression" dxfId="0" priority="492">
      <formula>COUNTIF(I54:BG54,"&lt;&gt;" &amp; "")&gt;0</formula>
    </cfRule>
    <cfRule type="expression" dxfId="1" priority="493">
      <formula>AND(COUNTIF(I54:BG54,"&lt;&gt;" &amp; "")&gt;0,NOT(ISBLANK(G54)))</formula>
    </cfRule>
  </conditionalFormatting>
  <conditionalFormatting sqref="G55">
    <cfRule type="expression" dxfId="0" priority="495">
      <formula>COUNTIF(I55:BG55,"&lt;&gt;" &amp; "")&gt;0</formula>
    </cfRule>
    <cfRule type="expression" dxfId="1" priority="496">
      <formula>AND(COUNTIF(I55:BG55,"&lt;&gt;" &amp; "")&gt;0,NOT(ISBLANK(G55)))</formula>
    </cfRule>
  </conditionalFormatting>
  <conditionalFormatting sqref="G56">
    <cfRule type="expression" dxfId="0" priority="498">
      <formula>COUNTIF(I56:BG56,"&lt;&gt;" &amp; "")&gt;0</formula>
    </cfRule>
    <cfRule type="expression" dxfId="1" priority="499">
      <formula>AND(COUNTIF(I56:BG56,"&lt;&gt;" &amp; "")&gt;0,NOT(ISBLANK(G56)))</formula>
    </cfRule>
  </conditionalFormatting>
  <conditionalFormatting sqref="G57">
    <cfRule type="expression" dxfId="0" priority="501">
      <formula>COUNTIF(I57:BG57,"&lt;&gt;" &amp; "")&gt;0</formula>
    </cfRule>
    <cfRule type="expression" dxfId="1" priority="502">
      <formula>AND(COUNTIF(I57:BG57,"&lt;&gt;" &amp; "")&gt;0,NOT(ISBLANK(G57)))</formula>
    </cfRule>
  </conditionalFormatting>
  <conditionalFormatting sqref="G58">
    <cfRule type="expression" dxfId="0" priority="504">
      <formula>COUNTIF(I58:BG58,"&lt;&gt;" &amp; "")&gt;0</formula>
    </cfRule>
    <cfRule type="expression" dxfId="1" priority="505">
      <formula>AND(COUNTIF(I58:BG58,"&lt;&gt;" &amp; "")&gt;0,NOT(ISBLANK(G58)))</formula>
    </cfRule>
  </conditionalFormatting>
  <conditionalFormatting sqref="G59">
    <cfRule type="expression" dxfId="0" priority="507">
      <formula>COUNTIF(I59:BG59,"&lt;&gt;" &amp; "")&gt;0</formula>
    </cfRule>
    <cfRule type="expression" dxfId="1" priority="508">
      <formula>AND(COUNTIF(I59:BG59,"&lt;&gt;" &amp; "")&gt;0,NOT(ISBLANK(G59)))</formula>
    </cfRule>
  </conditionalFormatting>
  <conditionalFormatting sqref="G6">
    <cfRule type="cellIs" dxfId="2" priority="39" operator="equal">
      <formula>"Y"</formula>
    </cfRule>
    <cfRule type="cellIs" dxfId="3" priority="40" operator="equal">
      <formula>"N"</formula>
    </cfRule>
  </conditionalFormatting>
  <conditionalFormatting sqref="G60">
    <cfRule type="expression" dxfId="0" priority="510">
      <formula>COUNTIF(I60:BG60,"&lt;&gt;" &amp; "")&gt;0</formula>
    </cfRule>
    <cfRule type="expression" dxfId="1" priority="511">
      <formula>AND(COUNTIF(I60:BG60,"&lt;&gt;" &amp; "")&gt;0,NOT(ISBLANK(G60)))</formula>
    </cfRule>
  </conditionalFormatting>
  <conditionalFormatting sqref="G61">
    <cfRule type="expression" dxfId="0" priority="513">
      <formula>COUNTIF(I61:BG61,"&lt;&gt;" &amp; "")&gt;0</formula>
    </cfRule>
    <cfRule type="expression" dxfId="1" priority="514">
      <formula>AND(COUNTIF(I61:BG61,"&lt;&gt;" &amp; "")&gt;0,NOT(ISBLANK(G61)))</formula>
    </cfRule>
  </conditionalFormatting>
  <conditionalFormatting sqref="G62">
    <cfRule type="expression" dxfId="0" priority="516">
      <formula>COUNTIF(I62:BG62,"&lt;&gt;" &amp; "")&gt;0</formula>
    </cfRule>
    <cfRule type="expression" dxfId="1" priority="517">
      <formula>AND(COUNTIF(I62:BG62,"&lt;&gt;" &amp; "")&gt;0,NOT(ISBLANK(G62)))</formula>
    </cfRule>
  </conditionalFormatting>
  <conditionalFormatting sqref="G63">
    <cfRule type="expression" dxfId="0" priority="519">
      <formula>COUNTIF(I63:BG63,"&lt;&gt;" &amp; "")&gt;0</formula>
    </cfRule>
    <cfRule type="expression" dxfId="1" priority="520">
      <formula>AND(COUNTIF(I63:BG63,"&lt;&gt;" &amp; "")&gt;0,NOT(ISBLANK(G63)))</formula>
    </cfRule>
  </conditionalFormatting>
  <conditionalFormatting sqref="G64">
    <cfRule type="expression" dxfId="0" priority="522">
      <formula>COUNTIF(I64:BG64,"&lt;&gt;" &amp; "")&gt;0</formula>
    </cfRule>
    <cfRule type="expression" dxfId="1" priority="523">
      <formula>AND(COUNTIF(I64:BG64,"&lt;&gt;" &amp; "")&gt;0,NOT(ISBLANK(G64)))</formula>
    </cfRule>
  </conditionalFormatting>
  <conditionalFormatting sqref="G65">
    <cfRule type="expression" dxfId="0" priority="525">
      <formula>COUNTIF(I65:BG65,"&lt;&gt;" &amp; "")&gt;0</formula>
    </cfRule>
    <cfRule type="expression" dxfId="1" priority="526">
      <formula>AND(COUNTIF(I65:BG65,"&lt;&gt;" &amp; "")&gt;0,NOT(ISBLANK(G65)))</formula>
    </cfRule>
  </conditionalFormatting>
  <conditionalFormatting sqref="G66">
    <cfRule type="expression" dxfId="0" priority="528">
      <formula>COUNTIF(I66:BG66,"&lt;&gt;" &amp; "")&gt;0</formula>
    </cfRule>
    <cfRule type="expression" dxfId="1" priority="529">
      <formula>AND(COUNTIF(I66:BG66,"&lt;&gt;" &amp; "")&gt;0,NOT(ISBLANK(G66)))</formula>
    </cfRule>
  </conditionalFormatting>
  <conditionalFormatting sqref="G67">
    <cfRule type="expression" dxfId="0" priority="531">
      <formula>COUNTIF(I67:BG67,"&lt;&gt;" &amp; "")&gt;0</formula>
    </cfRule>
    <cfRule type="expression" dxfId="1" priority="532">
      <formula>AND(COUNTIF(I67:BG67,"&lt;&gt;" &amp; "")&gt;0,NOT(ISBLANK(G67)))</formula>
    </cfRule>
  </conditionalFormatting>
  <conditionalFormatting sqref="G68">
    <cfRule type="expression" dxfId="0" priority="534">
      <formula>COUNTIF(I68:BG68,"&lt;&gt;" &amp; "")&gt;0</formula>
    </cfRule>
    <cfRule type="expression" dxfId="1" priority="535">
      <formula>AND(COUNTIF(I68:BG68,"&lt;&gt;" &amp; "")&gt;0,NOT(ISBLANK(G68)))</formula>
    </cfRule>
  </conditionalFormatting>
  <conditionalFormatting sqref="G69">
    <cfRule type="expression" dxfId="0" priority="537">
      <formula>COUNTIF(I69:BG69,"&lt;&gt;" &amp; "")&gt;0</formula>
    </cfRule>
    <cfRule type="expression" dxfId="1" priority="538">
      <formula>AND(COUNTIF(I69:BG69,"&lt;&gt;" &amp; "")&gt;0,NOT(ISBLANK(G69)))</formula>
    </cfRule>
  </conditionalFormatting>
  <conditionalFormatting sqref="G7">
    <cfRule type="cellIs" dxfId="2" priority="67" operator="equal">
      <formula>"Y"</formula>
    </cfRule>
    <cfRule type="cellIs" dxfId="3" priority="68" operator="equal">
      <formula>"N"</formula>
    </cfRule>
  </conditionalFormatting>
  <conditionalFormatting sqref="G70">
    <cfRule type="expression" dxfId="0" priority="540">
      <formula>COUNTIF(I70:BG70,"&lt;&gt;" &amp; "")&gt;0</formula>
    </cfRule>
    <cfRule type="expression" dxfId="1" priority="541">
      <formula>AND(COUNTIF(I70:BG70,"&lt;&gt;" &amp; "")&gt;0,NOT(ISBLANK(G70)))</formula>
    </cfRule>
  </conditionalFormatting>
  <conditionalFormatting sqref="G71">
    <cfRule type="expression" dxfId="0" priority="543">
      <formula>COUNTIF(I71:BG71,"&lt;&gt;" &amp; "")&gt;0</formula>
    </cfRule>
    <cfRule type="expression" dxfId="1" priority="544">
      <formula>AND(COUNTIF(I71:BG71,"&lt;&gt;" &amp; "")&gt;0,NOT(ISBLANK(G71)))</formula>
    </cfRule>
  </conditionalFormatting>
  <conditionalFormatting sqref="G72">
    <cfRule type="expression" dxfId="0" priority="546">
      <formula>COUNTIF(I72:BG72,"&lt;&gt;" &amp; "")&gt;0</formula>
    </cfRule>
    <cfRule type="expression" dxfId="1" priority="547">
      <formula>AND(COUNTIF(I72:BG72,"&lt;&gt;" &amp; "")&gt;0,NOT(ISBLANK(G72)))</formula>
    </cfRule>
  </conditionalFormatting>
  <conditionalFormatting sqref="G73">
    <cfRule type="expression" dxfId="0" priority="549">
      <formula>COUNTIF(I73:BG73,"&lt;&gt;" &amp; "")&gt;0</formula>
    </cfRule>
    <cfRule type="expression" dxfId="1" priority="550">
      <formula>AND(COUNTIF(I73:BG73,"&lt;&gt;" &amp; "")&gt;0,NOT(ISBLANK(G73)))</formula>
    </cfRule>
  </conditionalFormatting>
  <conditionalFormatting sqref="G74">
    <cfRule type="expression" dxfId="0" priority="552">
      <formula>COUNTIF(I74:BG74,"&lt;&gt;" &amp; "")&gt;0</formula>
    </cfRule>
    <cfRule type="expression" dxfId="1" priority="553">
      <formula>AND(COUNTIF(I74:BG74,"&lt;&gt;" &amp; "")&gt;0,NOT(ISBLANK(G74)))</formula>
    </cfRule>
  </conditionalFormatting>
  <conditionalFormatting sqref="G75">
    <cfRule type="expression" dxfId="0" priority="555">
      <formula>COUNTIF(I75:BG75,"&lt;&gt;" &amp; "")&gt;0</formula>
    </cfRule>
    <cfRule type="expression" dxfId="1" priority="556">
      <formula>AND(COUNTIF(I75:BG75,"&lt;&gt;" &amp; "")&gt;0,NOT(ISBLANK(G75)))</formula>
    </cfRule>
  </conditionalFormatting>
  <conditionalFormatting sqref="G76">
    <cfRule type="expression" dxfId="0" priority="558">
      <formula>COUNTIF(I76:BG76,"&lt;&gt;" &amp; "")&gt;0</formula>
    </cfRule>
    <cfRule type="expression" dxfId="1" priority="559">
      <formula>AND(COUNTIF(I76:BG76,"&lt;&gt;" &amp; "")&gt;0,NOT(ISBLANK(G76)))</formula>
    </cfRule>
  </conditionalFormatting>
  <conditionalFormatting sqref="G77">
    <cfRule type="expression" dxfId="0" priority="561">
      <formula>COUNTIF(I77:BG77,"&lt;&gt;" &amp; "")&gt;0</formula>
    </cfRule>
    <cfRule type="expression" dxfId="1" priority="562">
      <formula>AND(COUNTIF(I77:BG77,"&lt;&gt;" &amp; "")&gt;0,NOT(ISBLANK(G77)))</formula>
    </cfRule>
  </conditionalFormatting>
  <conditionalFormatting sqref="G78">
    <cfRule type="expression" dxfId="0" priority="564">
      <formula>COUNTIF(I78:BG78,"&lt;&gt;" &amp; "")&gt;0</formula>
    </cfRule>
    <cfRule type="expression" dxfId="1" priority="565">
      <formula>AND(COUNTIF(I78:BG78,"&lt;&gt;" &amp; "")&gt;0,NOT(ISBLANK(G78)))</formula>
    </cfRule>
  </conditionalFormatting>
  <conditionalFormatting sqref="G79">
    <cfRule type="expression" dxfId="0" priority="567">
      <formula>COUNTIF(I79:BG79,"&lt;&gt;" &amp; "")&gt;0</formula>
    </cfRule>
    <cfRule type="expression" dxfId="1" priority="568">
      <formula>AND(COUNTIF(I79:BG79,"&lt;&gt;" &amp; "")&gt;0,NOT(ISBLANK(G79)))</formula>
    </cfRule>
  </conditionalFormatting>
  <conditionalFormatting sqref="G8">
    <cfRule type="cellIs" dxfId="2" priority="95" operator="equal">
      <formula>"Y"</formula>
    </cfRule>
    <cfRule type="cellIs" dxfId="3" priority="96" operator="equal">
      <formula>"N"</formula>
    </cfRule>
  </conditionalFormatting>
  <conditionalFormatting sqref="G80">
    <cfRule type="expression" dxfId="0" priority="570">
      <formula>COUNTIF(I80:BG80,"&lt;&gt;" &amp; "")&gt;0</formula>
    </cfRule>
    <cfRule type="expression" dxfId="1" priority="571">
      <formula>AND(COUNTIF(I80:BG80,"&lt;&gt;" &amp; "")&gt;0,NOT(ISBLANK(G80)))</formula>
    </cfRule>
  </conditionalFormatting>
  <conditionalFormatting sqref="G81">
    <cfRule type="expression" dxfId="0" priority="573">
      <formula>COUNTIF(I81:BG81,"&lt;&gt;" &amp; "")&gt;0</formula>
    </cfRule>
    <cfRule type="expression" dxfId="1" priority="574">
      <formula>AND(COUNTIF(I81:BG81,"&lt;&gt;" &amp; "")&gt;0,NOT(ISBLANK(G81)))</formula>
    </cfRule>
  </conditionalFormatting>
  <conditionalFormatting sqref="G82">
    <cfRule type="expression" dxfId="0" priority="576">
      <formula>COUNTIF(I82:BG82,"&lt;&gt;" &amp; "")&gt;0</formula>
    </cfRule>
    <cfRule type="expression" dxfId="1" priority="577">
      <formula>AND(COUNTIF(I82:BG82,"&lt;&gt;" &amp; "")&gt;0,NOT(ISBLANK(G82)))</formula>
    </cfRule>
  </conditionalFormatting>
  <conditionalFormatting sqref="G83">
    <cfRule type="expression" dxfId="0" priority="579">
      <formula>COUNTIF(I83:BG83,"&lt;&gt;" &amp; "")&gt;0</formula>
    </cfRule>
    <cfRule type="expression" dxfId="1" priority="580">
      <formula>AND(COUNTIF(I83:BG83,"&lt;&gt;" &amp; "")&gt;0,NOT(ISBLANK(G83)))</formula>
    </cfRule>
  </conditionalFormatting>
  <conditionalFormatting sqref="G84">
    <cfRule type="expression" dxfId="0" priority="582">
      <formula>COUNTIF(I84:BG84,"&lt;&gt;" &amp; "")&gt;0</formula>
    </cfRule>
    <cfRule type="expression" dxfId="1" priority="583">
      <formula>AND(COUNTIF(I84:BG84,"&lt;&gt;" &amp; "")&gt;0,NOT(ISBLANK(G84)))</formula>
    </cfRule>
  </conditionalFormatting>
  <conditionalFormatting sqref="G85">
    <cfRule type="expression" dxfId="0" priority="585">
      <formula>COUNTIF(I85:BG85,"&lt;&gt;" &amp; "")&gt;0</formula>
    </cfRule>
    <cfRule type="expression" dxfId="1" priority="586">
      <formula>AND(COUNTIF(I85:BG85,"&lt;&gt;" &amp; "")&gt;0,NOT(ISBLANK(G85)))</formula>
    </cfRule>
  </conditionalFormatting>
  <conditionalFormatting sqref="G86">
    <cfRule type="expression" dxfId="0" priority="588">
      <formula>COUNTIF(I86:BG86,"&lt;&gt;" &amp; "")&gt;0</formula>
    </cfRule>
    <cfRule type="expression" dxfId="1" priority="589">
      <formula>AND(COUNTIF(I86:BG86,"&lt;&gt;" &amp; "")&gt;0,NOT(ISBLANK(G86)))</formula>
    </cfRule>
  </conditionalFormatting>
  <conditionalFormatting sqref="G87">
    <cfRule type="expression" dxfId="0" priority="591">
      <formula>COUNTIF(I87:BG87,"&lt;&gt;" &amp; "")&gt;0</formula>
    </cfRule>
    <cfRule type="expression" dxfId="1" priority="592">
      <formula>AND(COUNTIF(I87:BG87,"&lt;&gt;" &amp; "")&gt;0,NOT(ISBLANK(G87)))</formula>
    </cfRule>
  </conditionalFormatting>
  <conditionalFormatting sqref="G88">
    <cfRule type="expression" dxfId="0" priority="594">
      <formula>COUNTIF(I88:BG88,"&lt;&gt;" &amp; "")&gt;0</formula>
    </cfRule>
    <cfRule type="expression" dxfId="1" priority="595">
      <formula>AND(COUNTIF(I88:BG88,"&lt;&gt;" &amp; "")&gt;0,NOT(ISBLANK(G88)))</formula>
    </cfRule>
  </conditionalFormatting>
  <conditionalFormatting sqref="G89">
    <cfRule type="expression" dxfId="0" priority="597">
      <formula>COUNTIF(I89:BG89,"&lt;&gt;" &amp; "")&gt;0</formula>
    </cfRule>
    <cfRule type="expression" dxfId="1" priority="598">
      <formula>AND(COUNTIF(I89:BG89,"&lt;&gt;" &amp; "")&gt;0,NOT(ISBLANK(G89)))</formula>
    </cfRule>
  </conditionalFormatting>
  <conditionalFormatting sqref="G9">
    <cfRule type="cellIs" dxfId="2" priority="123" operator="equal">
      <formula>"Y"</formula>
    </cfRule>
    <cfRule type="cellIs" dxfId="3" priority="124" operator="equal">
      <formula>"N"</formula>
    </cfRule>
  </conditionalFormatting>
  <conditionalFormatting sqref="G90">
    <cfRule type="expression" dxfId="0" priority="600">
      <formula>COUNTIF(I90:BG90,"&lt;&gt;" &amp; "")&gt;0</formula>
    </cfRule>
    <cfRule type="expression" dxfId="1" priority="601">
      <formula>AND(COUNTIF(I90:BG90,"&lt;&gt;" &amp; "")&gt;0,NOT(ISBLANK(G90)))</formula>
    </cfRule>
  </conditionalFormatting>
  <conditionalFormatting sqref="G91">
    <cfRule type="expression" dxfId="0" priority="603">
      <formula>COUNTIF(I91:BG91,"&lt;&gt;" &amp; "")&gt;0</formula>
    </cfRule>
    <cfRule type="expression" dxfId="1" priority="604">
      <formula>AND(COUNTIF(I91:BG91,"&lt;&gt;" &amp; "")&gt;0,NOT(ISBLANK(G91)))</formula>
    </cfRule>
  </conditionalFormatting>
  <conditionalFormatting sqref="G92">
    <cfRule type="expression" dxfId="0" priority="606">
      <formula>COUNTIF(I92:BG92,"&lt;&gt;" &amp; "")&gt;0</formula>
    </cfRule>
    <cfRule type="expression" dxfId="1" priority="607">
      <formula>AND(COUNTIF(I92:BG92,"&lt;&gt;" &amp; "")&gt;0,NOT(ISBLANK(G92)))</formula>
    </cfRule>
  </conditionalFormatting>
  <conditionalFormatting sqref="G93">
    <cfRule type="expression" dxfId="0" priority="609">
      <formula>COUNTIF(I93:BG93,"&lt;&gt;" &amp; "")&gt;0</formula>
    </cfRule>
    <cfRule type="expression" dxfId="1" priority="610">
      <formula>AND(COUNTIF(I93:BG93,"&lt;&gt;" &amp; "")&gt;0,NOT(ISBLANK(G93)))</formula>
    </cfRule>
  </conditionalFormatting>
  <conditionalFormatting sqref="G94">
    <cfRule type="expression" dxfId="0" priority="612">
      <formula>COUNTIF(I94:BG94,"&lt;&gt;" &amp; "")&gt;0</formula>
    </cfRule>
    <cfRule type="expression" dxfId="1" priority="613">
      <formula>AND(COUNTIF(I94:BG94,"&lt;&gt;" &amp; "")&gt;0,NOT(ISBLANK(G94)))</formula>
    </cfRule>
  </conditionalFormatting>
  <conditionalFormatting sqref="G95">
    <cfRule type="expression" dxfId="0" priority="615">
      <formula>COUNTIF(I95:BG95,"&lt;&gt;" &amp; "")&gt;0</formula>
    </cfRule>
    <cfRule type="expression" dxfId="1" priority="616">
      <formula>AND(COUNTIF(I95:BG95,"&lt;&gt;" &amp; "")&gt;0,NOT(ISBLANK(G95)))</formula>
    </cfRule>
  </conditionalFormatting>
  <conditionalFormatting sqref="G96">
    <cfRule type="expression" dxfId="0" priority="618">
      <formula>COUNTIF(I96:BG96,"&lt;&gt;" &amp; "")&gt;0</formula>
    </cfRule>
    <cfRule type="expression" dxfId="1" priority="619">
      <formula>AND(COUNTIF(I96:BG96,"&lt;&gt;" &amp; "")&gt;0,NOT(ISBLANK(G96)))</formula>
    </cfRule>
  </conditionalFormatting>
  <conditionalFormatting sqref="G97">
    <cfRule type="expression" dxfId="0" priority="621">
      <formula>COUNTIF(I97:BG97,"&lt;&gt;" &amp; "")&gt;0</formula>
    </cfRule>
    <cfRule type="expression" dxfId="1" priority="622">
      <formula>AND(COUNTIF(I97:BG97,"&lt;&gt;" &amp; "")&gt;0,NOT(ISBLANK(G97)))</formula>
    </cfRule>
  </conditionalFormatting>
  <conditionalFormatting sqref="G98">
    <cfRule type="expression" dxfId="0" priority="624">
      <formula>COUNTIF(I98:BG98,"&lt;&gt;" &amp; "")&gt;0</formula>
    </cfRule>
    <cfRule type="expression" dxfId="1" priority="625">
      <formula>AND(COUNTIF(I98:BG98,"&lt;&gt;" &amp; "")&gt;0,NOT(ISBLANK(G98)))</formula>
    </cfRule>
  </conditionalFormatting>
  <conditionalFormatting sqref="G99">
    <cfRule type="expression" dxfId="0" priority="627">
      <formula>COUNTIF(I99:BG99,"&lt;&gt;" &amp; "")&gt;0</formula>
    </cfRule>
    <cfRule type="expression" dxfId="1" priority="628">
      <formula>AND(COUNTIF(I99:BG99,"&lt;&gt;" &amp; "")&gt;0,NOT(ISBLANK(G99)))</formula>
    </cfRule>
  </conditionalFormatting>
  <conditionalFormatting sqref="H10">
    <cfRule type="cellIs" dxfId="2" priority="153" operator="equal">
      <formula>"Y"</formula>
    </cfRule>
    <cfRule type="cellIs" dxfId="3" priority="154" operator="equal">
      <formula>"N"</formula>
    </cfRule>
  </conditionalFormatting>
  <conditionalFormatting sqref="H11">
    <cfRule type="cellIs" dxfId="2" priority="181" operator="equal">
      <formula>"Y"</formula>
    </cfRule>
    <cfRule type="cellIs" dxfId="3" priority="182" operator="equal">
      <formula>"N"</formula>
    </cfRule>
  </conditionalFormatting>
  <conditionalFormatting sqref="H12">
    <cfRule type="cellIs" dxfId="2" priority="209" operator="equal">
      <formula>"Y"</formula>
    </cfRule>
    <cfRule type="cellIs" dxfId="3" priority="210" operator="equal">
      <formula>"N"</formula>
    </cfRule>
  </conditionalFormatting>
  <conditionalFormatting sqref="H13">
    <cfRule type="cellIs" dxfId="2" priority="237" operator="equal">
      <formula>"Y"</formula>
    </cfRule>
    <cfRule type="cellIs" dxfId="3" priority="238" operator="equal">
      <formula>"N"</formula>
    </cfRule>
  </conditionalFormatting>
  <conditionalFormatting sqref="H14">
    <cfRule type="cellIs" dxfId="2" priority="265" operator="equal">
      <formula>"Y"</formula>
    </cfRule>
    <cfRule type="cellIs" dxfId="3" priority="266" operator="equal">
      <formula>"N"</formula>
    </cfRule>
  </conditionalFormatting>
  <conditionalFormatting sqref="H15">
    <cfRule type="cellIs" dxfId="2" priority="293" operator="equal">
      <formula>"Y"</formula>
    </cfRule>
    <cfRule type="cellIs" dxfId="3" priority="294" operator="equal">
      <formula>"N"</formula>
    </cfRule>
  </conditionalFormatting>
  <conditionalFormatting sqref="H16">
    <cfRule type="cellIs" dxfId="2" priority="321" operator="equal">
      <formula>"Y"</formula>
    </cfRule>
    <cfRule type="cellIs" dxfId="3" priority="322" operator="equal">
      <formula>"N"</formula>
    </cfRule>
  </conditionalFormatting>
  <conditionalFormatting sqref="H17">
    <cfRule type="cellIs" dxfId="2" priority="349" operator="equal">
      <formula>"Y"</formula>
    </cfRule>
    <cfRule type="cellIs" dxfId="3" priority="350" operator="equal">
      <formula>"N"</formula>
    </cfRule>
  </conditionalFormatting>
  <conditionalFormatting sqref="H18">
    <cfRule type="cellIs" dxfId="2" priority="377" operator="equal">
      <formula>"Y"</formula>
    </cfRule>
    <cfRule type="cellIs" dxfId="3" priority="378" operator="equal">
      <formula>"N"</formula>
    </cfRule>
  </conditionalFormatting>
  <conditionalFormatting sqref="H222">
    <cfRule type="cellIs" dxfId="2" priority="993" operator="equal">
      <formula>"Y"</formula>
    </cfRule>
    <cfRule type="cellIs" dxfId="3" priority="994" operator="equal">
      <formula>"N"</formula>
    </cfRule>
  </conditionalFormatting>
  <conditionalFormatting sqref="H223">
    <cfRule type="cellIs" dxfId="2" priority="1021" operator="equal">
      <formula>"Y"</formula>
    </cfRule>
    <cfRule type="cellIs" dxfId="3" priority="1022" operator="equal">
      <formula>"N"</formula>
    </cfRule>
  </conditionalFormatting>
  <conditionalFormatting sqref="H224">
    <cfRule type="cellIs" dxfId="2" priority="1049" operator="equal">
      <formula>"Y"</formula>
    </cfRule>
    <cfRule type="cellIs" dxfId="3" priority="1050" operator="equal">
      <formula>"N"</formula>
    </cfRule>
  </conditionalFormatting>
  <conditionalFormatting sqref="H225">
    <cfRule type="cellIs" dxfId="2" priority="1077" operator="equal">
      <formula>"Y"</formula>
    </cfRule>
    <cfRule type="cellIs" dxfId="3" priority="1078" operator="equal">
      <formula>"N"</formula>
    </cfRule>
  </conditionalFormatting>
  <conditionalFormatting sqref="H226">
    <cfRule type="cellIs" dxfId="2" priority="1105" operator="equal">
      <formula>"Y"</formula>
    </cfRule>
    <cfRule type="cellIs" dxfId="3" priority="1106" operator="equal">
      <formula>"N"</formula>
    </cfRule>
  </conditionalFormatting>
  <conditionalFormatting sqref="H227">
    <cfRule type="cellIs" dxfId="2" priority="1133" operator="equal">
      <formula>"Y"</formula>
    </cfRule>
    <cfRule type="cellIs" dxfId="3" priority="1134" operator="equal">
      <formula>"N"</formula>
    </cfRule>
  </conditionalFormatting>
  <conditionalFormatting sqref="H228">
    <cfRule type="cellIs" dxfId="2" priority="1161" operator="equal">
      <formula>"Y"</formula>
    </cfRule>
    <cfRule type="cellIs" dxfId="3" priority="1162" operator="equal">
      <formula>"N"</formula>
    </cfRule>
  </conditionalFormatting>
  <conditionalFormatting sqref="H229">
    <cfRule type="cellIs" dxfId="2" priority="1189" operator="equal">
      <formula>"Y"</formula>
    </cfRule>
    <cfRule type="cellIs" dxfId="3" priority="1190" operator="equal">
      <formula>"N"</formula>
    </cfRule>
  </conditionalFormatting>
  <conditionalFormatting sqref="H230">
    <cfRule type="cellIs" dxfId="2" priority="1217" operator="equal">
      <formula>"Y"</formula>
    </cfRule>
    <cfRule type="cellIs" dxfId="3" priority="1218" operator="equal">
      <formula>"N"</formula>
    </cfRule>
  </conditionalFormatting>
  <conditionalFormatting sqref="H231">
    <cfRule type="cellIs" dxfId="2" priority="1245" operator="equal">
      <formula>"Y"</formula>
    </cfRule>
    <cfRule type="cellIs" dxfId="3" priority="1246" operator="equal">
      <formula>"N"</formula>
    </cfRule>
  </conditionalFormatting>
  <conditionalFormatting sqref="H232">
    <cfRule type="cellIs" dxfId="2" priority="1273" operator="equal">
      <formula>"Y"</formula>
    </cfRule>
    <cfRule type="cellIs" dxfId="3" priority="1274" operator="equal">
      <formula>"N"</formula>
    </cfRule>
  </conditionalFormatting>
  <conditionalFormatting sqref="H233">
    <cfRule type="cellIs" dxfId="2" priority="1301" operator="equal">
      <formula>"Y"</formula>
    </cfRule>
    <cfRule type="cellIs" dxfId="3" priority="1302" operator="equal">
      <formula>"N"</formula>
    </cfRule>
  </conditionalFormatting>
  <conditionalFormatting sqref="H234">
    <cfRule type="cellIs" dxfId="2" priority="1329" operator="equal">
      <formula>"Y"</formula>
    </cfRule>
    <cfRule type="cellIs" dxfId="3" priority="1330" operator="equal">
      <formula>"N"</formula>
    </cfRule>
  </conditionalFormatting>
  <conditionalFormatting sqref="H235">
    <cfRule type="cellIs" dxfId="2" priority="1357" operator="equal">
      <formula>"Y"</formula>
    </cfRule>
    <cfRule type="cellIs" dxfId="3" priority="1358" operator="equal">
      <formula>"N"</formula>
    </cfRule>
  </conditionalFormatting>
  <conditionalFormatting sqref="H5">
    <cfRule type="cellIs" dxfId="2" priority="13" operator="equal">
      <formula>"Y"</formula>
    </cfRule>
    <cfRule type="cellIs" dxfId="3" priority="14" operator="equal">
      <formula>"N"</formula>
    </cfRule>
  </conditionalFormatting>
  <conditionalFormatting sqref="H6">
    <cfRule type="cellIs" dxfId="2" priority="41" operator="equal">
      <formula>"Y"</formula>
    </cfRule>
    <cfRule type="cellIs" dxfId="3" priority="42" operator="equal">
      <formula>"N"</formula>
    </cfRule>
  </conditionalFormatting>
  <conditionalFormatting sqref="H7">
    <cfRule type="cellIs" dxfId="2" priority="69" operator="equal">
      <formula>"Y"</formula>
    </cfRule>
    <cfRule type="cellIs" dxfId="3" priority="70" operator="equal">
      <formula>"N"</formula>
    </cfRule>
  </conditionalFormatting>
  <conditionalFormatting sqref="H8">
    <cfRule type="cellIs" dxfId="2" priority="97" operator="equal">
      <formula>"Y"</formula>
    </cfRule>
    <cfRule type="cellIs" dxfId="3" priority="98" operator="equal">
      <formula>"N"</formula>
    </cfRule>
  </conditionalFormatting>
  <conditionalFormatting sqref="H9">
    <cfRule type="cellIs" dxfId="2" priority="125" operator="equal">
      <formula>"Y"</formula>
    </cfRule>
    <cfRule type="cellIs" dxfId="3" priority="126" operator="equal">
      <formula>"N"</formula>
    </cfRule>
  </conditionalFormatting>
  <conditionalFormatting sqref="I10">
    <cfRule type="cellIs" dxfId="2" priority="155" operator="equal">
      <formula>"Y"</formula>
    </cfRule>
    <cfRule type="cellIs" dxfId="3" priority="156" operator="equal">
      <formula>"N"</formula>
    </cfRule>
  </conditionalFormatting>
  <conditionalFormatting sqref="I11">
    <cfRule type="cellIs" dxfId="2" priority="183" operator="equal">
      <formula>"Y"</formula>
    </cfRule>
    <cfRule type="cellIs" dxfId="3" priority="184" operator="equal">
      <formula>"N"</formula>
    </cfRule>
  </conditionalFormatting>
  <conditionalFormatting sqref="I12">
    <cfRule type="cellIs" dxfId="2" priority="211" operator="equal">
      <formula>"Y"</formula>
    </cfRule>
    <cfRule type="cellIs" dxfId="3" priority="212" operator="equal">
      <formula>"N"</formula>
    </cfRule>
  </conditionalFormatting>
  <conditionalFormatting sqref="I13">
    <cfRule type="cellIs" dxfId="2" priority="239" operator="equal">
      <formula>"Y"</formula>
    </cfRule>
    <cfRule type="cellIs" dxfId="3" priority="240" operator="equal">
      <formula>"N"</formula>
    </cfRule>
  </conditionalFormatting>
  <conditionalFormatting sqref="I14">
    <cfRule type="cellIs" dxfId="2" priority="267" operator="equal">
      <formula>"Y"</formula>
    </cfRule>
    <cfRule type="cellIs" dxfId="3" priority="268" operator="equal">
      <formula>"N"</formula>
    </cfRule>
  </conditionalFormatting>
  <conditionalFormatting sqref="I15">
    <cfRule type="cellIs" dxfId="2" priority="295" operator="equal">
      <formula>"Y"</formula>
    </cfRule>
    <cfRule type="cellIs" dxfId="3" priority="296" operator="equal">
      <formula>"N"</formula>
    </cfRule>
  </conditionalFormatting>
  <conditionalFormatting sqref="I16">
    <cfRule type="cellIs" dxfId="2" priority="323" operator="equal">
      <formula>"Y"</formula>
    </cfRule>
    <cfRule type="cellIs" dxfId="3" priority="324" operator="equal">
      <formula>"N"</formula>
    </cfRule>
  </conditionalFormatting>
  <conditionalFormatting sqref="I17">
    <cfRule type="cellIs" dxfId="2" priority="351" operator="equal">
      <formula>"Y"</formula>
    </cfRule>
    <cfRule type="cellIs" dxfId="3" priority="352" operator="equal">
      <formula>"N"</formula>
    </cfRule>
  </conditionalFormatting>
  <conditionalFormatting sqref="I18">
    <cfRule type="cellIs" dxfId="2" priority="379" operator="equal">
      <formula>"Y"</formula>
    </cfRule>
    <cfRule type="cellIs" dxfId="3" priority="380" operator="equal">
      <formula>"N"</formula>
    </cfRule>
  </conditionalFormatting>
  <conditionalFormatting sqref="I222">
    <cfRule type="cellIs" dxfId="2" priority="995" operator="equal">
      <formula>"Y"</formula>
    </cfRule>
    <cfRule type="cellIs" dxfId="3" priority="996" operator="equal">
      <formula>"N"</formula>
    </cfRule>
  </conditionalFormatting>
  <conditionalFormatting sqref="I223">
    <cfRule type="cellIs" dxfId="2" priority="1023" operator="equal">
      <formula>"Y"</formula>
    </cfRule>
    <cfRule type="cellIs" dxfId="3" priority="1024" operator="equal">
      <formula>"N"</formula>
    </cfRule>
  </conditionalFormatting>
  <conditionalFormatting sqref="I224">
    <cfRule type="cellIs" dxfId="2" priority="1051" operator="equal">
      <formula>"Y"</formula>
    </cfRule>
    <cfRule type="cellIs" dxfId="3" priority="1052" operator="equal">
      <formula>"N"</formula>
    </cfRule>
  </conditionalFormatting>
  <conditionalFormatting sqref="I225">
    <cfRule type="cellIs" dxfId="2" priority="1079" operator="equal">
      <formula>"Y"</formula>
    </cfRule>
    <cfRule type="cellIs" dxfId="3" priority="1080" operator="equal">
      <formula>"N"</formula>
    </cfRule>
  </conditionalFormatting>
  <conditionalFormatting sqref="I226">
    <cfRule type="cellIs" dxfId="2" priority="1107" operator="equal">
      <formula>"Y"</formula>
    </cfRule>
    <cfRule type="cellIs" dxfId="3" priority="1108" operator="equal">
      <formula>"N"</formula>
    </cfRule>
  </conditionalFormatting>
  <conditionalFormatting sqref="I227">
    <cfRule type="cellIs" dxfId="2" priority="1135" operator="equal">
      <formula>"Y"</formula>
    </cfRule>
    <cfRule type="cellIs" dxfId="3" priority="1136" operator="equal">
      <formula>"N"</formula>
    </cfRule>
  </conditionalFormatting>
  <conditionalFormatting sqref="I228">
    <cfRule type="cellIs" dxfId="2" priority="1163" operator="equal">
      <formula>"Y"</formula>
    </cfRule>
    <cfRule type="cellIs" dxfId="3" priority="1164" operator="equal">
      <formula>"N"</formula>
    </cfRule>
  </conditionalFormatting>
  <conditionalFormatting sqref="I229">
    <cfRule type="cellIs" dxfId="2" priority="1191" operator="equal">
      <formula>"Y"</formula>
    </cfRule>
    <cfRule type="cellIs" dxfId="3" priority="1192" operator="equal">
      <formula>"N"</formula>
    </cfRule>
  </conditionalFormatting>
  <conditionalFormatting sqref="I230">
    <cfRule type="cellIs" dxfId="2" priority="1219" operator="equal">
      <formula>"Y"</formula>
    </cfRule>
    <cfRule type="cellIs" dxfId="3" priority="1220" operator="equal">
      <formula>"N"</formula>
    </cfRule>
  </conditionalFormatting>
  <conditionalFormatting sqref="I231">
    <cfRule type="cellIs" dxfId="2" priority="1247" operator="equal">
      <formula>"Y"</formula>
    </cfRule>
    <cfRule type="cellIs" dxfId="3" priority="1248" operator="equal">
      <formula>"N"</formula>
    </cfRule>
  </conditionalFormatting>
  <conditionalFormatting sqref="I232">
    <cfRule type="cellIs" dxfId="2" priority="1275" operator="equal">
      <formula>"Y"</formula>
    </cfRule>
    <cfRule type="cellIs" dxfId="3" priority="1276" operator="equal">
      <formula>"N"</formula>
    </cfRule>
  </conditionalFormatting>
  <conditionalFormatting sqref="I233">
    <cfRule type="cellIs" dxfId="2" priority="1303" operator="equal">
      <formula>"Y"</formula>
    </cfRule>
    <cfRule type="cellIs" dxfId="3" priority="1304" operator="equal">
      <formula>"N"</formula>
    </cfRule>
  </conditionalFormatting>
  <conditionalFormatting sqref="I234">
    <cfRule type="cellIs" dxfId="2" priority="1331" operator="equal">
      <formula>"Y"</formula>
    </cfRule>
    <cfRule type="cellIs" dxfId="3" priority="1332" operator="equal">
      <formula>"N"</formula>
    </cfRule>
  </conditionalFormatting>
  <conditionalFormatting sqref="I235">
    <cfRule type="cellIs" dxfId="2" priority="1359" operator="equal">
      <formula>"Y"</formula>
    </cfRule>
    <cfRule type="cellIs" dxfId="3" priority="1360" operator="equal">
      <formula>"N"</formula>
    </cfRule>
  </conditionalFormatting>
  <conditionalFormatting sqref="I5">
    <cfRule type="cellIs" dxfId="2" priority="15" operator="equal">
      <formula>"Y"</formula>
    </cfRule>
    <cfRule type="cellIs" dxfId="3" priority="16" operator="equal">
      <formula>"N"</formula>
    </cfRule>
  </conditionalFormatting>
  <conditionalFormatting sqref="I6">
    <cfRule type="cellIs" dxfId="2" priority="43" operator="equal">
      <formula>"Y"</formula>
    </cfRule>
    <cfRule type="cellIs" dxfId="3" priority="44" operator="equal">
      <formula>"N"</formula>
    </cfRule>
  </conditionalFormatting>
  <conditionalFormatting sqref="I7">
    <cfRule type="cellIs" dxfId="2" priority="71" operator="equal">
      <formula>"Y"</formula>
    </cfRule>
    <cfRule type="cellIs" dxfId="3" priority="72" operator="equal">
      <formula>"N"</formula>
    </cfRule>
  </conditionalFormatting>
  <conditionalFormatting sqref="I8">
    <cfRule type="cellIs" dxfId="2" priority="99" operator="equal">
      <formula>"Y"</formula>
    </cfRule>
    <cfRule type="cellIs" dxfId="3" priority="100" operator="equal">
      <formula>"N"</formula>
    </cfRule>
  </conditionalFormatting>
  <conditionalFormatting sqref="I9">
    <cfRule type="cellIs" dxfId="2" priority="127" operator="equal">
      <formula>"Y"</formula>
    </cfRule>
    <cfRule type="cellIs" dxfId="3" priority="128" operator="equal">
      <formula>"N"</formula>
    </cfRule>
  </conditionalFormatting>
  <conditionalFormatting sqref="J10">
    <cfRule type="cellIs" dxfId="2" priority="157" operator="equal">
      <formula>"Y"</formula>
    </cfRule>
    <cfRule type="cellIs" dxfId="3" priority="158" operator="equal">
      <formula>"N"</formula>
    </cfRule>
  </conditionalFormatting>
  <conditionalFormatting sqref="J11">
    <cfRule type="cellIs" dxfId="2" priority="185" operator="equal">
      <formula>"Y"</formula>
    </cfRule>
    <cfRule type="cellIs" dxfId="3" priority="186" operator="equal">
      <formula>"N"</formula>
    </cfRule>
  </conditionalFormatting>
  <conditionalFormatting sqref="J12">
    <cfRule type="cellIs" dxfId="2" priority="213" operator="equal">
      <formula>"Y"</formula>
    </cfRule>
    <cfRule type="cellIs" dxfId="3" priority="214" operator="equal">
      <formula>"N"</formula>
    </cfRule>
  </conditionalFormatting>
  <conditionalFormatting sqref="J13">
    <cfRule type="cellIs" dxfId="2" priority="241" operator="equal">
      <formula>"Y"</formula>
    </cfRule>
    <cfRule type="cellIs" dxfId="3" priority="242" operator="equal">
      <formula>"N"</formula>
    </cfRule>
  </conditionalFormatting>
  <conditionalFormatting sqref="J14">
    <cfRule type="cellIs" dxfId="2" priority="269" operator="equal">
      <formula>"Y"</formula>
    </cfRule>
    <cfRule type="cellIs" dxfId="3" priority="270" operator="equal">
      <formula>"N"</formula>
    </cfRule>
  </conditionalFormatting>
  <conditionalFormatting sqref="J15">
    <cfRule type="cellIs" dxfId="2" priority="297" operator="equal">
      <formula>"Y"</formula>
    </cfRule>
    <cfRule type="cellIs" dxfId="3" priority="298" operator="equal">
      <formula>"N"</formula>
    </cfRule>
  </conditionalFormatting>
  <conditionalFormatting sqref="J16">
    <cfRule type="cellIs" dxfId="2" priority="325" operator="equal">
      <formula>"Y"</formula>
    </cfRule>
    <cfRule type="cellIs" dxfId="3" priority="326" operator="equal">
      <formula>"N"</formula>
    </cfRule>
  </conditionalFormatting>
  <conditionalFormatting sqref="J17">
    <cfRule type="cellIs" dxfId="2" priority="353" operator="equal">
      <formula>"Y"</formula>
    </cfRule>
    <cfRule type="cellIs" dxfId="3" priority="354" operator="equal">
      <formula>"N"</formula>
    </cfRule>
  </conditionalFormatting>
  <conditionalFormatting sqref="J18">
    <cfRule type="cellIs" dxfId="2" priority="381" operator="equal">
      <formula>"Y"</formula>
    </cfRule>
    <cfRule type="cellIs" dxfId="3" priority="382" operator="equal">
      <formula>"N"</formula>
    </cfRule>
  </conditionalFormatting>
  <conditionalFormatting sqref="J222">
    <cfRule type="cellIs" dxfId="2" priority="997" operator="equal">
      <formula>"Y"</formula>
    </cfRule>
    <cfRule type="cellIs" dxfId="3" priority="998" operator="equal">
      <formula>"N"</formula>
    </cfRule>
  </conditionalFormatting>
  <conditionalFormatting sqref="J223">
    <cfRule type="cellIs" dxfId="2" priority="1025" operator="equal">
      <formula>"Y"</formula>
    </cfRule>
    <cfRule type="cellIs" dxfId="3" priority="1026" operator="equal">
      <formula>"N"</formula>
    </cfRule>
  </conditionalFormatting>
  <conditionalFormatting sqref="J224">
    <cfRule type="cellIs" dxfId="2" priority="1053" operator="equal">
      <formula>"Y"</formula>
    </cfRule>
    <cfRule type="cellIs" dxfId="3" priority="1054" operator="equal">
      <formula>"N"</formula>
    </cfRule>
  </conditionalFormatting>
  <conditionalFormatting sqref="J225">
    <cfRule type="cellIs" dxfId="2" priority="1081" operator="equal">
      <formula>"Y"</formula>
    </cfRule>
    <cfRule type="cellIs" dxfId="3" priority="1082" operator="equal">
      <formula>"N"</formula>
    </cfRule>
  </conditionalFormatting>
  <conditionalFormatting sqref="J226">
    <cfRule type="cellIs" dxfId="2" priority="1109" operator="equal">
      <formula>"Y"</formula>
    </cfRule>
    <cfRule type="cellIs" dxfId="3" priority="1110" operator="equal">
      <formula>"N"</formula>
    </cfRule>
  </conditionalFormatting>
  <conditionalFormatting sqref="J227">
    <cfRule type="cellIs" dxfId="2" priority="1137" operator="equal">
      <formula>"Y"</formula>
    </cfRule>
    <cfRule type="cellIs" dxfId="3" priority="1138" operator="equal">
      <formula>"N"</formula>
    </cfRule>
  </conditionalFormatting>
  <conditionalFormatting sqref="J228">
    <cfRule type="cellIs" dxfId="2" priority="1165" operator="equal">
      <formula>"Y"</formula>
    </cfRule>
    <cfRule type="cellIs" dxfId="3" priority="1166" operator="equal">
      <formula>"N"</formula>
    </cfRule>
  </conditionalFormatting>
  <conditionalFormatting sqref="J229">
    <cfRule type="cellIs" dxfId="2" priority="1193" operator="equal">
      <formula>"Y"</formula>
    </cfRule>
    <cfRule type="cellIs" dxfId="3" priority="1194" operator="equal">
      <formula>"N"</formula>
    </cfRule>
  </conditionalFormatting>
  <conditionalFormatting sqref="J230">
    <cfRule type="cellIs" dxfId="2" priority="1221" operator="equal">
      <formula>"Y"</formula>
    </cfRule>
    <cfRule type="cellIs" dxfId="3" priority="1222" operator="equal">
      <formula>"N"</formula>
    </cfRule>
  </conditionalFormatting>
  <conditionalFormatting sqref="J231">
    <cfRule type="cellIs" dxfId="2" priority="1249" operator="equal">
      <formula>"Y"</formula>
    </cfRule>
    <cfRule type="cellIs" dxfId="3" priority="1250" operator="equal">
      <formula>"N"</formula>
    </cfRule>
  </conditionalFormatting>
  <conditionalFormatting sqref="J232">
    <cfRule type="cellIs" dxfId="2" priority="1277" operator="equal">
      <formula>"Y"</formula>
    </cfRule>
    <cfRule type="cellIs" dxfId="3" priority="1278" operator="equal">
      <formula>"N"</formula>
    </cfRule>
  </conditionalFormatting>
  <conditionalFormatting sqref="J233">
    <cfRule type="cellIs" dxfId="2" priority="1305" operator="equal">
      <formula>"Y"</formula>
    </cfRule>
    <cfRule type="cellIs" dxfId="3" priority="1306" operator="equal">
      <formula>"N"</formula>
    </cfRule>
  </conditionalFormatting>
  <conditionalFormatting sqref="J234">
    <cfRule type="cellIs" dxfId="2" priority="1333" operator="equal">
      <formula>"Y"</formula>
    </cfRule>
    <cfRule type="cellIs" dxfId="3" priority="1334" operator="equal">
      <formula>"N"</formula>
    </cfRule>
  </conditionalFormatting>
  <conditionalFormatting sqref="J235">
    <cfRule type="cellIs" dxfId="2" priority="1361" operator="equal">
      <formula>"Y"</formula>
    </cfRule>
    <cfRule type="cellIs" dxfId="3" priority="1362" operator="equal">
      <formula>"N"</formula>
    </cfRule>
  </conditionalFormatting>
  <conditionalFormatting sqref="J5">
    <cfRule type="cellIs" dxfId="2" priority="17" operator="equal">
      <formula>"Y"</formula>
    </cfRule>
    <cfRule type="cellIs" dxfId="3" priority="18" operator="equal">
      <formula>"N"</formula>
    </cfRule>
  </conditionalFormatting>
  <conditionalFormatting sqref="J6">
    <cfRule type="cellIs" dxfId="2" priority="45" operator="equal">
      <formula>"Y"</formula>
    </cfRule>
    <cfRule type="cellIs" dxfId="3" priority="46" operator="equal">
      <formula>"N"</formula>
    </cfRule>
  </conditionalFormatting>
  <conditionalFormatting sqref="J7">
    <cfRule type="cellIs" dxfId="2" priority="73" operator="equal">
      <formula>"Y"</formula>
    </cfRule>
    <cfRule type="cellIs" dxfId="3" priority="74" operator="equal">
      <formula>"N"</formula>
    </cfRule>
  </conditionalFormatting>
  <conditionalFormatting sqref="J8">
    <cfRule type="cellIs" dxfId="2" priority="101" operator="equal">
      <formula>"Y"</formula>
    </cfRule>
    <cfRule type="cellIs" dxfId="3" priority="102" operator="equal">
      <formula>"N"</formula>
    </cfRule>
  </conditionalFormatting>
  <conditionalFormatting sqref="J9">
    <cfRule type="cellIs" dxfId="2" priority="129" operator="equal">
      <formula>"Y"</formula>
    </cfRule>
    <cfRule type="cellIs" dxfId="3" priority="130" operator="equal">
      <formula>"N"</formula>
    </cfRule>
  </conditionalFormatting>
  <conditionalFormatting sqref="K10">
    <cfRule type="cellIs" dxfId="2" priority="159" operator="equal">
      <formula>"Y"</formula>
    </cfRule>
    <cfRule type="cellIs" dxfId="3" priority="160" operator="equal">
      <formula>"N"</formula>
    </cfRule>
  </conditionalFormatting>
  <conditionalFormatting sqref="K11">
    <cfRule type="cellIs" dxfId="2" priority="187" operator="equal">
      <formula>"Y"</formula>
    </cfRule>
    <cfRule type="cellIs" dxfId="3" priority="188" operator="equal">
      <formula>"N"</formula>
    </cfRule>
  </conditionalFormatting>
  <conditionalFormatting sqref="K12">
    <cfRule type="cellIs" dxfId="2" priority="215" operator="equal">
      <formula>"Y"</formula>
    </cfRule>
    <cfRule type="cellIs" dxfId="3" priority="216" operator="equal">
      <formula>"N"</formula>
    </cfRule>
  </conditionalFormatting>
  <conditionalFormatting sqref="K13">
    <cfRule type="cellIs" dxfId="2" priority="243" operator="equal">
      <formula>"Y"</formula>
    </cfRule>
    <cfRule type="cellIs" dxfId="3" priority="244" operator="equal">
      <formula>"N"</formula>
    </cfRule>
  </conditionalFormatting>
  <conditionalFormatting sqref="K14">
    <cfRule type="cellIs" dxfId="2" priority="271" operator="equal">
      <formula>"Y"</formula>
    </cfRule>
    <cfRule type="cellIs" dxfId="3" priority="272" operator="equal">
      <formula>"N"</formula>
    </cfRule>
  </conditionalFormatting>
  <conditionalFormatting sqref="K15">
    <cfRule type="cellIs" dxfId="2" priority="299" operator="equal">
      <formula>"Y"</formula>
    </cfRule>
    <cfRule type="cellIs" dxfId="3" priority="300" operator="equal">
      <formula>"N"</formula>
    </cfRule>
  </conditionalFormatting>
  <conditionalFormatting sqref="K16">
    <cfRule type="cellIs" dxfId="2" priority="327" operator="equal">
      <formula>"Y"</formula>
    </cfRule>
    <cfRule type="cellIs" dxfId="3" priority="328" operator="equal">
      <formula>"N"</formula>
    </cfRule>
  </conditionalFormatting>
  <conditionalFormatting sqref="K17">
    <cfRule type="cellIs" dxfId="2" priority="355" operator="equal">
      <formula>"Y"</formula>
    </cfRule>
    <cfRule type="cellIs" dxfId="3" priority="356" operator="equal">
      <formula>"N"</formula>
    </cfRule>
  </conditionalFormatting>
  <conditionalFormatting sqref="K18">
    <cfRule type="cellIs" dxfId="2" priority="383" operator="equal">
      <formula>"Y"</formula>
    </cfRule>
    <cfRule type="cellIs" dxfId="3" priority="384" operator="equal">
      <formula>"N"</formula>
    </cfRule>
  </conditionalFormatting>
  <conditionalFormatting sqref="K222">
    <cfRule type="cellIs" dxfId="2" priority="999" operator="equal">
      <formula>"Y"</formula>
    </cfRule>
    <cfRule type="cellIs" dxfId="3" priority="1000" operator="equal">
      <formula>"N"</formula>
    </cfRule>
  </conditionalFormatting>
  <conditionalFormatting sqref="K223">
    <cfRule type="cellIs" dxfId="2" priority="1027" operator="equal">
      <formula>"Y"</formula>
    </cfRule>
    <cfRule type="cellIs" dxfId="3" priority="1028" operator="equal">
      <formula>"N"</formula>
    </cfRule>
  </conditionalFormatting>
  <conditionalFormatting sqref="K224">
    <cfRule type="cellIs" dxfId="2" priority="1055" operator="equal">
      <formula>"Y"</formula>
    </cfRule>
    <cfRule type="cellIs" dxfId="3" priority="1056" operator="equal">
      <formula>"N"</formula>
    </cfRule>
  </conditionalFormatting>
  <conditionalFormatting sqref="K225">
    <cfRule type="cellIs" dxfId="2" priority="1083" operator="equal">
      <formula>"Y"</formula>
    </cfRule>
    <cfRule type="cellIs" dxfId="3" priority="1084" operator="equal">
      <formula>"N"</formula>
    </cfRule>
  </conditionalFormatting>
  <conditionalFormatting sqref="K226">
    <cfRule type="cellIs" dxfId="2" priority="1111" operator="equal">
      <formula>"Y"</formula>
    </cfRule>
    <cfRule type="cellIs" dxfId="3" priority="1112" operator="equal">
      <formula>"N"</formula>
    </cfRule>
  </conditionalFormatting>
  <conditionalFormatting sqref="K227">
    <cfRule type="cellIs" dxfId="2" priority="1139" operator="equal">
      <formula>"Y"</formula>
    </cfRule>
    <cfRule type="cellIs" dxfId="3" priority="1140" operator="equal">
      <formula>"N"</formula>
    </cfRule>
  </conditionalFormatting>
  <conditionalFormatting sqref="K228">
    <cfRule type="cellIs" dxfId="2" priority="1167" operator="equal">
      <formula>"Y"</formula>
    </cfRule>
    <cfRule type="cellIs" dxfId="3" priority="1168" operator="equal">
      <formula>"N"</formula>
    </cfRule>
  </conditionalFormatting>
  <conditionalFormatting sqref="K229">
    <cfRule type="cellIs" dxfId="2" priority="1195" operator="equal">
      <formula>"Y"</formula>
    </cfRule>
    <cfRule type="cellIs" dxfId="3" priority="1196" operator="equal">
      <formula>"N"</formula>
    </cfRule>
  </conditionalFormatting>
  <conditionalFormatting sqref="K230">
    <cfRule type="cellIs" dxfId="2" priority="1223" operator="equal">
      <formula>"Y"</formula>
    </cfRule>
    <cfRule type="cellIs" dxfId="3" priority="1224" operator="equal">
      <formula>"N"</formula>
    </cfRule>
  </conditionalFormatting>
  <conditionalFormatting sqref="K231">
    <cfRule type="cellIs" dxfId="2" priority="1251" operator="equal">
      <formula>"Y"</formula>
    </cfRule>
    <cfRule type="cellIs" dxfId="3" priority="1252" operator="equal">
      <formula>"N"</formula>
    </cfRule>
  </conditionalFormatting>
  <conditionalFormatting sqref="K232">
    <cfRule type="cellIs" dxfId="2" priority="1279" operator="equal">
      <formula>"Y"</formula>
    </cfRule>
    <cfRule type="cellIs" dxfId="3" priority="1280" operator="equal">
      <formula>"N"</formula>
    </cfRule>
  </conditionalFormatting>
  <conditionalFormatting sqref="K233">
    <cfRule type="cellIs" dxfId="2" priority="1307" operator="equal">
      <formula>"Y"</formula>
    </cfRule>
    <cfRule type="cellIs" dxfId="3" priority="1308" operator="equal">
      <formula>"N"</formula>
    </cfRule>
  </conditionalFormatting>
  <conditionalFormatting sqref="K234">
    <cfRule type="cellIs" dxfId="2" priority="1335" operator="equal">
      <formula>"Y"</formula>
    </cfRule>
    <cfRule type="cellIs" dxfId="3" priority="1336" operator="equal">
      <formula>"N"</formula>
    </cfRule>
  </conditionalFormatting>
  <conditionalFormatting sqref="K235">
    <cfRule type="cellIs" dxfId="2" priority="1363" operator="equal">
      <formula>"Y"</formula>
    </cfRule>
    <cfRule type="cellIs" dxfId="3" priority="1364" operator="equal">
      <formula>"N"</formula>
    </cfRule>
  </conditionalFormatting>
  <conditionalFormatting sqref="K5">
    <cfRule type="cellIs" dxfId="2" priority="19" operator="equal">
      <formula>"Y"</formula>
    </cfRule>
    <cfRule type="cellIs" dxfId="3" priority="20" operator="equal">
      <formula>"N"</formula>
    </cfRule>
  </conditionalFormatting>
  <conditionalFormatting sqref="K6">
    <cfRule type="cellIs" dxfId="2" priority="47" operator="equal">
      <formula>"Y"</formula>
    </cfRule>
    <cfRule type="cellIs" dxfId="3" priority="48" operator="equal">
      <formula>"N"</formula>
    </cfRule>
  </conditionalFormatting>
  <conditionalFormatting sqref="K7">
    <cfRule type="cellIs" dxfId="2" priority="75" operator="equal">
      <formula>"Y"</formula>
    </cfRule>
    <cfRule type="cellIs" dxfId="3" priority="76" operator="equal">
      <formula>"N"</formula>
    </cfRule>
  </conditionalFormatting>
  <conditionalFormatting sqref="K8">
    <cfRule type="cellIs" dxfId="2" priority="103" operator="equal">
      <formula>"Y"</formula>
    </cfRule>
    <cfRule type="cellIs" dxfId="3" priority="104" operator="equal">
      <formula>"N"</formula>
    </cfRule>
  </conditionalFormatting>
  <conditionalFormatting sqref="K9">
    <cfRule type="cellIs" dxfId="2" priority="131" operator="equal">
      <formula>"Y"</formula>
    </cfRule>
    <cfRule type="cellIs" dxfId="3" priority="132" operator="equal">
      <formula>"N"</formula>
    </cfRule>
  </conditionalFormatting>
  <conditionalFormatting sqref="L10">
    <cfRule type="cellIs" dxfId="2" priority="161" operator="equal">
      <formula>"Y"</formula>
    </cfRule>
    <cfRule type="cellIs" dxfId="3" priority="162" operator="equal">
      <formula>"N"</formula>
    </cfRule>
  </conditionalFormatting>
  <conditionalFormatting sqref="L11">
    <cfRule type="cellIs" dxfId="2" priority="189" operator="equal">
      <formula>"Y"</formula>
    </cfRule>
    <cfRule type="cellIs" dxfId="3" priority="190" operator="equal">
      <formula>"N"</formula>
    </cfRule>
  </conditionalFormatting>
  <conditionalFormatting sqref="L12">
    <cfRule type="cellIs" dxfId="2" priority="217" operator="equal">
      <formula>"Y"</formula>
    </cfRule>
    <cfRule type="cellIs" dxfId="3" priority="218" operator="equal">
      <formula>"N"</formula>
    </cfRule>
  </conditionalFormatting>
  <conditionalFormatting sqref="L13">
    <cfRule type="cellIs" dxfId="2" priority="245" operator="equal">
      <formula>"Y"</formula>
    </cfRule>
    <cfRule type="cellIs" dxfId="3" priority="246" operator="equal">
      <formula>"N"</formula>
    </cfRule>
  </conditionalFormatting>
  <conditionalFormatting sqref="L14">
    <cfRule type="cellIs" dxfId="2" priority="273" operator="equal">
      <formula>"Y"</formula>
    </cfRule>
    <cfRule type="cellIs" dxfId="3" priority="274" operator="equal">
      <formula>"N"</formula>
    </cfRule>
  </conditionalFormatting>
  <conditionalFormatting sqref="L15">
    <cfRule type="cellIs" dxfId="2" priority="301" operator="equal">
      <formula>"Y"</formula>
    </cfRule>
    <cfRule type="cellIs" dxfId="3" priority="302" operator="equal">
      <formula>"N"</formula>
    </cfRule>
  </conditionalFormatting>
  <conditionalFormatting sqref="L16">
    <cfRule type="cellIs" dxfId="2" priority="329" operator="equal">
      <formula>"Y"</formula>
    </cfRule>
    <cfRule type="cellIs" dxfId="3" priority="330" operator="equal">
      <formula>"N"</formula>
    </cfRule>
  </conditionalFormatting>
  <conditionalFormatting sqref="L17">
    <cfRule type="cellIs" dxfId="2" priority="357" operator="equal">
      <formula>"Y"</formula>
    </cfRule>
    <cfRule type="cellIs" dxfId="3" priority="358" operator="equal">
      <formula>"N"</formula>
    </cfRule>
  </conditionalFormatting>
  <conditionalFormatting sqref="L18">
    <cfRule type="cellIs" dxfId="2" priority="385" operator="equal">
      <formula>"Y"</formula>
    </cfRule>
    <cfRule type="cellIs" dxfId="3" priority="386" operator="equal">
      <formula>"N"</formula>
    </cfRule>
  </conditionalFormatting>
  <conditionalFormatting sqref="L222">
    <cfRule type="cellIs" dxfId="2" priority="1001" operator="equal">
      <formula>"Y"</formula>
    </cfRule>
    <cfRule type="cellIs" dxfId="3" priority="1002" operator="equal">
      <formula>"N"</formula>
    </cfRule>
  </conditionalFormatting>
  <conditionalFormatting sqref="L223">
    <cfRule type="cellIs" dxfId="2" priority="1029" operator="equal">
      <formula>"Y"</formula>
    </cfRule>
    <cfRule type="cellIs" dxfId="3" priority="1030" operator="equal">
      <formula>"N"</formula>
    </cfRule>
  </conditionalFormatting>
  <conditionalFormatting sqref="L224">
    <cfRule type="cellIs" dxfId="2" priority="1057" operator="equal">
      <formula>"Y"</formula>
    </cfRule>
    <cfRule type="cellIs" dxfId="3" priority="1058" operator="equal">
      <formula>"N"</formula>
    </cfRule>
  </conditionalFormatting>
  <conditionalFormatting sqref="L225">
    <cfRule type="cellIs" dxfId="2" priority="1085" operator="equal">
      <formula>"Y"</formula>
    </cfRule>
    <cfRule type="cellIs" dxfId="3" priority="1086" operator="equal">
      <formula>"N"</formula>
    </cfRule>
  </conditionalFormatting>
  <conditionalFormatting sqref="L226">
    <cfRule type="cellIs" dxfId="2" priority="1113" operator="equal">
      <formula>"Y"</formula>
    </cfRule>
    <cfRule type="cellIs" dxfId="3" priority="1114" operator="equal">
      <formula>"N"</formula>
    </cfRule>
  </conditionalFormatting>
  <conditionalFormatting sqref="L227">
    <cfRule type="cellIs" dxfId="2" priority="1141" operator="equal">
      <formula>"Y"</formula>
    </cfRule>
    <cfRule type="cellIs" dxfId="3" priority="1142" operator="equal">
      <formula>"N"</formula>
    </cfRule>
  </conditionalFormatting>
  <conditionalFormatting sqref="L228">
    <cfRule type="cellIs" dxfId="2" priority="1169" operator="equal">
      <formula>"Y"</formula>
    </cfRule>
    <cfRule type="cellIs" dxfId="3" priority="1170" operator="equal">
      <formula>"N"</formula>
    </cfRule>
  </conditionalFormatting>
  <conditionalFormatting sqref="L229">
    <cfRule type="cellIs" dxfId="2" priority="1197" operator="equal">
      <formula>"Y"</formula>
    </cfRule>
    <cfRule type="cellIs" dxfId="3" priority="1198" operator="equal">
      <formula>"N"</formula>
    </cfRule>
  </conditionalFormatting>
  <conditionalFormatting sqref="L230">
    <cfRule type="cellIs" dxfId="2" priority="1225" operator="equal">
      <formula>"Y"</formula>
    </cfRule>
    <cfRule type="cellIs" dxfId="3" priority="1226" operator="equal">
      <formula>"N"</formula>
    </cfRule>
  </conditionalFormatting>
  <conditionalFormatting sqref="L231">
    <cfRule type="cellIs" dxfId="2" priority="1253" operator="equal">
      <formula>"Y"</formula>
    </cfRule>
    <cfRule type="cellIs" dxfId="3" priority="1254" operator="equal">
      <formula>"N"</formula>
    </cfRule>
  </conditionalFormatting>
  <conditionalFormatting sqref="L232">
    <cfRule type="cellIs" dxfId="2" priority="1281" operator="equal">
      <formula>"Y"</formula>
    </cfRule>
    <cfRule type="cellIs" dxfId="3" priority="1282" operator="equal">
      <formula>"N"</formula>
    </cfRule>
  </conditionalFormatting>
  <conditionalFormatting sqref="L233">
    <cfRule type="cellIs" dxfId="2" priority="1309" operator="equal">
      <formula>"Y"</formula>
    </cfRule>
    <cfRule type="cellIs" dxfId="3" priority="1310" operator="equal">
      <formula>"N"</formula>
    </cfRule>
  </conditionalFormatting>
  <conditionalFormatting sqref="L234">
    <cfRule type="cellIs" dxfId="2" priority="1337" operator="equal">
      <formula>"Y"</formula>
    </cfRule>
    <cfRule type="cellIs" dxfId="3" priority="1338" operator="equal">
      <formula>"N"</formula>
    </cfRule>
  </conditionalFormatting>
  <conditionalFormatting sqref="L235">
    <cfRule type="cellIs" dxfId="2" priority="1365" operator="equal">
      <formula>"Y"</formula>
    </cfRule>
    <cfRule type="cellIs" dxfId="3" priority="1366" operator="equal">
      <formula>"N"</formula>
    </cfRule>
  </conditionalFormatting>
  <conditionalFormatting sqref="L5">
    <cfRule type="cellIs" dxfId="2" priority="21" operator="equal">
      <formula>"Y"</formula>
    </cfRule>
    <cfRule type="cellIs" dxfId="3" priority="22" operator="equal">
      <formula>"N"</formula>
    </cfRule>
  </conditionalFormatting>
  <conditionalFormatting sqref="L6">
    <cfRule type="cellIs" dxfId="2" priority="49" operator="equal">
      <formula>"Y"</formula>
    </cfRule>
    <cfRule type="cellIs" dxfId="3" priority="50" operator="equal">
      <formula>"N"</formula>
    </cfRule>
  </conditionalFormatting>
  <conditionalFormatting sqref="L7">
    <cfRule type="cellIs" dxfId="2" priority="77" operator="equal">
      <formula>"Y"</formula>
    </cfRule>
    <cfRule type="cellIs" dxfId="3" priority="78" operator="equal">
      <formula>"N"</formula>
    </cfRule>
  </conditionalFormatting>
  <conditionalFormatting sqref="L8">
    <cfRule type="cellIs" dxfId="2" priority="105" operator="equal">
      <formula>"Y"</formula>
    </cfRule>
    <cfRule type="cellIs" dxfId="3" priority="106" operator="equal">
      <formula>"N"</formula>
    </cfRule>
  </conditionalFormatting>
  <conditionalFormatting sqref="L9">
    <cfRule type="cellIs" dxfId="2" priority="133" operator="equal">
      <formula>"Y"</formula>
    </cfRule>
    <cfRule type="cellIs" dxfId="3" priority="134" operator="equal">
      <formula>"N"</formula>
    </cfRule>
  </conditionalFormatting>
  <conditionalFormatting sqref="M10">
    <cfRule type="cellIs" dxfId="2" priority="163" operator="equal">
      <formula>"Y"</formula>
    </cfRule>
    <cfRule type="cellIs" dxfId="3" priority="164" operator="equal">
      <formula>"N"</formula>
    </cfRule>
  </conditionalFormatting>
  <conditionalFormatting sqref="M11">
    <cfRule type="cellIs" dxfId="2" priority="191" operator="equal">
      <formula>"Y"</formula>
    </cfRule>
    <cfRule type="cellIs" dxfId="3" priority="192" operator="equal">
      <formula>"N"</formula>
    </cfRule>
  </conditionalFormatting>
  <conditionalFormatting sqref="M12">
    <cfRule type="cellIs" dxfId="2" priority="219" operator="equal">
      <formula>"Y"</formula>
    </cfRule>
    <cfRule type="cellIs" dxfId="3" priority="220" operator="equal">
      <formula>"N"</formula>
    </cfRule>
  </conditionalFormatting>
  <conditionalFormatting sqref="M13">
    <cfRule type="cellIs" dxfId="2" priority="247" operator="equal">
      <formula>"Y"</formula>
    </cfRule>
    <cfRule type="cellIs" dxfId="3" priority="248" operator="equal">
      <formula>"N"</formula>
    </cfRule>
  </conditionalFormatting>
  <conditionalFormatting sqref="M14">
    <cfRule type="cellIs" dxfId="2" priority="275" operator="equal">
      <formula>"Y"</formula>
    </cfRule>
    <cfRule type="cellIs" dxfId="3" priority="276" operator="equal">
      <formula>"N"</formula>
    </cfRule>
  </conditionalFormatting>
  <conditionalFormatting sqref="M15">
    <cfRule type="cellIs" dxfId="2" priority="303" operator="equal">
      <formula>"Y"</formula>
    </cfRule>
    <cfRule type="cellIs" dxfId="3" priority="304" operator="equal">
      <formula>"N"</formula>
    </cfRule>
  </conditionalFormatting>
  <conditionalFormatting sqref="M16">
    <cfRule type="cellIs" dxfId="2" priority="331" operator="equal">
      <formula>"Y"</formula>
    </cfRule>
    <cfRule type="cellIs" dxfId="3" priority="332" operator="equal">
      <formula>"N"</formula>
    </cfRule>
  </conditionalFormatting>
  <conditionalFormatting sqref="M17">
    <cfRule type="cellIs" dxfId="2" priority="359" operator="equal">
      <formula>"Y"</formula>
    </cfRule>
    <cfRule type="cellIs" dxfId="3" priority="360" operator="equal">
      <formula>"N"</formula>
    </cfRule>
  </conditionalFormatting>
  <conditionalFormatting sqref="M18">
    <cfRule type="cellIs" dxfId="2" priority="387" operator="equal">
      <formula>"Y"</formula>
    </cfRule>
    <cfRule type="cellIs" dxfId="3" priority="388" operator="equal">
      <formula>"N"</formula>
    </cfRule>
  </conditionalFormatting>
  <conditionalFormatting sqref="M222">
    <cfRule type="cellIs" dxfId="2" priority="1003" operator="equal">
      <formula>"Y"</formula>
    </cfRule>
    <cfRule type="cellIs" dxfId="3" priority="1004" operator="equal">
      <formula>"N"</formula>
    </cfRule>
  </conditionalFormatting>
  <conditionalFormatting sqref="M223">
    <cfRule type="cellIs" dxfId="2" priority="1031" operator="equal">
      <formula>"Y"</formula>
    </cfRule>
    <cfRule type="cellIs" dxfId="3" priority="1032" operator="equal">
      <formula>"N"</formula>
    </cfRule>
  </conditionalFormatting>
  <conditionalFormatting sqref="M224">
    <cfRule type="cellIs" dxfId="2" priority="1059" operator="equal">
      <formula>"Y"</formula>
    </cfRule>
    <cfRule type="cellIs" dxfId="3" priority="1060" operator="equal">
      <formula>"N"</formula>
    </cfRule>
  </conditionalFormatting>
  <conditionalFormatting sqref="M225">
    <cfRule type="cellIs" dxfId="2" priority="1087" operator="equal">
      <formula>"Y"</formula>
    </cfRule>
    <cfRule type="cellIs" dxfId="3" priority="1088" operator="equal">
      <formula>"N"</formula>
    </cfRule>
  </conditionalFormatting>
  <conditionalFormatting sqref="M226">
    <cfRule type="cellIs" dxfId="2" priority="1115" operator="equal">
      <formula>"Y"</formula>
    </cfRule>
    <cfRule type="cellIs" dxfId="3" priority="1116" operator="equal">
      <formula>"N"</formula>
    </cfRule>
  </conditionalFormatting>
  <conditionalFormatting sqref="M227">
    <cfRule type="cellIs" dxfId="2" priority="1143" operator="equal">
      <formula>"Y"</formula>
    </cfRule>
    <cfRule type="cellIs" dxfId="3" priority="1144" operator="equal">
      <formula>"N"</formula>
    </cfRule>
  </conditionalFormatting>
  <conditionalFormatting sqref="M228">
    <cfRule type="cellIs" dxfId="2" priority="1171" operator="equal">
      <formula>"Y"</formula>
    </cfRule>
    <cfRule type="cellIs" dxfId="3" priority="1172" operator="equal">
      <formula>"N"</formula>
    </cfRule>
  </conditionalFormatting>
  <conditionalFormatting sqref="M229">
    <cfRule type="cellIs" dxfId="2" priority="1199" operator="equal">
      <formula>"Y"</formula>
    </cfRule>
    <cfRule type="cellIs" dxfId="3" priority="1200" operator="equal">
      <formula>"N"</formula>
    </cfRule>
  </conditionalFormatting>
  <conditionalFormatting sqref="M230">
    <cfRule type="cellIs" dxfId="2" priority="1227" operator="equal">
      <formula>"Y"</formula>
    </cfRule>
    <cfRule type="cellIs" dxfId="3" priority="1228" operator="equal">
      <formula>"N"</formula>
    </cfRule>
  </conditionalFormatting>
  <conditionalFormatting sqref="M231">
    <cfRule type="cellIs" dxfId="2" priority="1255" operator="equal">
      <formula>"Y"</formula>
    </cfRule>
    <cfRule type="cellIs" dxfId="3" priority="1256" operator="equal">
      <formula>"N"</formula>
    </cfRule>
  </conditionalFormatting>
  <conditionalFormatting sqref="M232">
    <cfRule type="cellIs" dxfId="2" priority="1283" operator="equal">
      <formula>"Y"</formula>
    </cfRule>
    <cfRule type="cellIs" dxfId="3" priority="1284" operator="equal">
      <formula>"N"</formula>
    </cfRule>
  </conditionalFormatting>
  <conditionalFormatting sqref="M233">
    <cfRule type="cellIs" dxfId="2" priority="1311" operator="equal">
      <formula>"Y"</formula>
    </cfRule>
    <cfRule type="cellIs" dxfId="3" priority="1312" operator="equal">
      <formula>"N"</formula>
    </cfRule>
  </conditionalFormatting>
  <conditionalFormatting sqref="M234">
    <cfRule type="cellIs" dxfId="2" priority="1339" operator="equal">
      <formula>"Y"</formula>
    </cfRule>
    <cfRule type="cellIs" dxfId="3" priority="1340" operator="equal">
      <formula>"N"</formula>
    </cfRule>
  </conditionalFormatting>
  <conditionalFormatting sqref="M235">
    <cfRule type="cellIs" dxfId="2" priority="1367" operator="equal">
      <formula>"Y"</formula>
    </cfRule>
    <cfRule type="cellIs" dxfId="3" priority="1368" operator="equal">
      <formula>"N"</formula>
    </cfRule>
  </conditionalFormatting>
  <conditionalFormatting sqref="M5">
    <cfRule type="cellIs" dxfId="2" priority="23" operator="equal">
      <formula>"Y"</formula>
    </cfRule>
    <cfRule type="cellIs" dxfId="3" priority="24" operator="equal">
      <formula>"N"</formula>
    </cfRule>
  </conditionalFormatting>
  <conditionalFormatting sqref="M6">
    <cfRule type="cellIs" dxfId="2" priority="51" operator="equal">
      <formula>"Y"</formula>
    </cfRule>
    <cfRule type="cellIs" dxfId="3" priority="52" operator="equal">
      <formula>"N"</formula>
    </cfRule>
  </conditionalFormatting>
  <conditionalFormatting sqref="M7">
    <cfRule type="cellIs" dxfId="2" priority="79" operator="equal">
      <formula>"Y"</formula>
    </cfRule>
    <cfRule type="cellIs" dxfId="3" priority="80" operator="equal">
      <formula>"N"</formula>
    </cfRule>
  </conditionalFormatting>
  <conditionalFormatting sqref="M8">
    <cfRule type="cellIs" dxfId="2" priority="107" operator="equal">
      <formula>"Y"</formula>
    </cfRule>
    <cfRule type="cellIs" dxfId="3" priority="108" operator="equal">
      <formula>"N"</formula>
    </cfRule>
  </conditionalFormatting>
  <conditionalFormatting sqref="M9">
    <cfRule type="cellIs" dxfId="2" priority="135" operator="equal">
      <formula>"Y"</formula>
    </cfRule>
    <cfRule type="cellIs" dxfId="3" priority="136" operator="equal">
      <formula>"N"</formula>
    </cfRule>
  </conditionalFormatting>
  <conditionalFormatting sqref="N10">
    <cfRule type="cellIs" dxfId="2" priority="165" operator="equal">
      <formula>"Y"</formula>
    </cfRule>
    <cfRule type="cellIs" dxfId="3" priority="166" operator="equal">
      <formula>"N"</formula>
    </cfRule>
  </conditionalFormatting>
  <conditionalFormatting sqref="N11">
    <cfRule type="cellIs" dxfId="2" priority="193" operator="equal">
      <formula>"Y"</formula>
    </cfRule>
    <cfRule type="cellIs" dxfId="3" priority="194" operator="equal">
      <formula>"N"</formula>
    </cfRule>
  </conditionalFormatting>
  <conditionalFormatting sqref="N12">
    <cfRule type="cellIs" dxfId="2" priority="221" operator="equal">
      <formula>"Y"</formula>
    </cfRule>
    <cfRule type="cellIs" dxfId="3" priority="222" operator="equal">
      <formula>"N"</formula>
    </cfRule>
  </conditionalFormatting>
  <conditionalFormatting sqref="N13">
    <cfRule type="cellIs" dxfId="2" priority="249" operator="equal">
      <formula>"Y"</formula>
    </cfRule>
    <cfRule type="cellIs" dxfId="3" priority="250" operator="equal">
      <formula>"N"</formula>
    </cfRule>
  </conditionalFormatting>
  <conditionalFormatting sqref="N14">
    <cfRule type="cellIs" dxfId="2" priority="277" operator="equal">
      <formula>"Y"</formula>
    </cfRule>
    <cfRule type="cellIs" dxfId="3" priority="278" operator="equal">
      <formula>"N"</formula>
    </cfRule>
  </conditionalFormatting>
  <conditionalFormatting sqref="N15">
    <cfRule type="cellIs" dxfId="2" priority="305" operator="equal">
      <formula>"Y"</formula>
    </cfRule>
    <cfRule type="cellIs" dxfId="3" priority="306" operator="equal">
      <formula>"N"</formula>
    </cfRule>
  </conditionalFormatting>
  <conditionalFormatting sqref="N16">
    <cfRule type="cellIs" dxfId="2" priority="333" operator="equal">
      <formula>"Y"</formula>
    </cfRule>
    <cfRule type="cellIs" dxfId="3" priority="334" operator="equal">
      <formula>"N"</formula>
    </cfRule>
  </conditionalFormatting>
  <conditionalFormatting sqref="N17">
    <cfRule type="cellIs" dxfId="2" priority="361" operator="equal">
      <formula>"Y"</formula>
    </cfRule>
    <cfRule type="cellIs" dxfId="3" priority="362" operator="equal">
      <formula>"N"</formula>
    </cfRule>
  </conditionalFormatting>
  <conditionalFormatting sqref="N18">
    <cfRule type="cellIs" dxfId="2" priority="389" operator="equal">
      <formula>"Y"</formula>
    </cfRule>
    <cfRule type="cellIs" dxfId="3" priority="390" operator="equal">
      <formula>"N"</formula>
    </cfRule>
  </conditionalFormatting>
  <conditionalFormatting sqref="N222">
    <cfRule type="cellIs" dxfId="2" priority="1005" operator="equal">
      <formula>"Y"</formula>
    </cfRule>
    <cfRule type="cellIs" dxfId="3" priority="1006" operator="equal">
      <formula>"N"</formula>
    </cfRule>
  </conditionalFormatting>
  <conditionalFormatting sqref="N223">
    <cfRule type="cellIs" dxfId="2" priority="1033" operator="equal">
      <formula>"Y"</formula>
    </cfRule>
    <cfRule type="cellIs" dxfId="3" priority="1034" operator="equal">
      <formula>"N"</formula>
    </cfRule>
  </conditionalFormatting>
  <conditionalFormatting sqref="N224">
    <cfRule type="cellIs" dxfId="2" priority="1061" operator="equal">
      <formula>"Y"</formula>
    </cfRule>
    <cfRule type="cellIs" dxfId="3" priority="1062" operator="equal">
      <formula>"N"</formula>
    </cfRule>
  </conditionalFormatting>
  <conditionalFormatting sqref="N225">
    <cfRule type="cellIs" dxfId="2" priority="1089" operator="equal">
      <formula>"Y"</formula>
    </cfRule>
    <cfRule type="cellIs" dxfId="3" priority="1090" operator="equal">
      <formula>"N"</formula>
    </cfRule>
  </conditionalFormatting>
  <conditionalFormatting sqref="N226">
    <cfRule type="cellIs" dxfId="2" priority="1117" operator="equal">
      <formula>"Y"</formula>
    </cfRule>
    <cfRule type="cellIs" dxfId="3" priority="1118" operator="equal">
      <formula>"N"</formula>
    </cfRule>
  </conditionalFormatting>
  <conditionalFormatting sqref="N227">
    <cfRule type="cellIs" dxfId="2" priority="1145" operator="equal">
      <formula>"Y"</formula>
    </cfRule>
    <cfRule type="cellIs" dxfId="3" priority="1146" operator="equal">
      <formula>"N"</formula>
    </cfRule>
  </conditionalFormatting>
  <conditionalFormatting sqref="N228">
    <cfRule type="cellIs" dxfId="2" priority="1173" operator="equal">
      <formula>"Y"</formula>
    </cfRule>
    <cfRule type="cellIs" dxfId="3" priority="1174" operator="equal">
      <formula>"N"</formula>
    </cfRule>
  </conditionalFormatting>
  <conditionalFormatting sqref="N229">
    <cfRule type="cellIs" dxfId="2" priority="1201" operator="equal">
      <formula>"Y"</formula>
    </cfRule>
    <cfRule type="cellIs" dxfId="3" priority="1202" operator="equal">
      <formula>"N"</formula>
    </cfRule>
  </conditionalFormatting>
  <conditionalFormatting sqref="N230">
    <cfRule type="cellIs" dxfId="2" priority="1229" operator="equal">
      <formula>"Y"</formula>
    </cfRule>
    <cfRule type="cellIs" dxfId="3" priority="1230" operator="equal">
      <formula>"N"</formula>
    </cfRule>
  </conditionalFormatting>
  <conditionalFormatting sqref="N231">
    <cfRule type="cellIs" dxfId="2" priority="1257" operator="equal">
      <formula>"Y"</formula>
    </cfRule>
    <cfRule type="cellIs" dxfId="3" priority="1258" operator="equal">
      <formula>"N"</formula>
    </cfRule>
  </conditionalFormatting>
  <conditionalFormatting sqref="N232">
    <cfRule type="cellIs" dxfId="2" priority="1285" operator="equal">
      <formula>"Y"</formula>
    </cfRule>
    <cfRule type="cellIs" dxfId="3" priority="1286" operator="equal">
      <formula>"N"</formula>
    </cfRule>
  </conditionalFormatting>
  <conditionalFormatting sqref="N233">
    <cfRule type="cellIs" dxfId="2" priority="1313" operator="equal">
      <formula>"Y"</formula>
    </cfRule>
    <cfRule type="cellIs" dxfId="3" priority="1314" operator="equal">
      <formula>"N"</formula>
    </cfRule>
  </conditionalFormatting>
  <conditionalFormatting sqref="N234">
    <cfRule type="cellIs" dxfId="2" priority="1341" operator="equal">
      <formula>"Y"</formula>
    </cfRule>
    <cfRule type="cellIs" dxfId="3" priority="1342" operator="equal">
      <formula>"N"</formula>
    </cfRule>
  </conditionalFormatting>
  <conditionalFormatting sqref="N235">
    <cfRule type="cellIs" dxfId="2" priority="1369" operator="equal">
      <formula>"Y"</formula>
    </cfRule>
    <cfRule type="cellIs" dxfId="3" priority="1370" operator="equal">
      <formula>"N"</formula>
    </cfRule>
  </conditionalFormatting>
  <conditionalFormatting sqref="N5">
    <cfRule type="cellIs" dxfId="2" priority="25" operator="equal">
      <formula>"Y"</formula>
    </cfRule>
    <cfRule type="cellIs" dxfId="3" priority="26" operator="equal">
      <formula>"N"</formula>
    </cfRule>
  </conditionalFormatting>
  <conditionalFormatting sqref="N6">
    <cfRule type="cellIs" dxfId="2" priority="53" operator="equal">
      <formula>"Y"</formula>
    </cfRule>
    <cfRule type="cellIs" dxfId="3" priority="54" operator="equal">
      <formula>"N"</formula>
    </cfRule>
  </conditionalFormatting>
  <conditionalFormatting sqref="N7">
    <cfRule type="cellIs" dxfId="2" priority="81" operator="equal">
      <formula>"Y"</formula>
    </cfRule>
    <cfRule type="cellIs" dxfId="3" priority="82" operator="equal">
      <formula>"N"</formula>
    </cfRule>
  </conditionalFormatting>
  <conditionalFormatting sqref="N8">
    <cfRule type="cellIs" dxfId="2" priority="109" operator="equal">
      <formula>"Y"</formula>
    </cfRule>
    <cfRule type="cellIs" dxfId="3" priority="110" operator="equal">
      <formula>"N"</formula>
    </cfRule>
  </conditionalFormatting>
  <conditionalFormatting sqref="N9">
    <cfRule type="cellIs" dxfId="2" priority="137" operator="equal">
      <formula>"Y"</formula>
    </cfRule>
    <cfRule type="cellIs" dxfId="3" priority="138" operator="equal">
      <formula>"N"</formula>
    </cfRule>
  </conditionalFormatting>
  <conditionalFormatting sqref="O10">
    <cfRule type="cellIs" dxfId="2" priority="167" operator="equal">
      <formula>"Y"</formula>
    </cfRule>
    <cfRule type="cellIs" dxfId="3" priority="168" operator="equal">
      <formula>"N"</formula>
    </cfRule>
  </conditionalFormatting>
  <conditionalFormatting sqref="O11">
    <cfRule type="cellIs" dxfId="2" priority="195" operator="equal">
      <formula>"Y"</formula>
    </cfRule>
    <cfRule type="cellIs" dxfId="3" priority="196" operator="equal">
      <formula>"N"</formula>
    </cfRule>
  </conditionalFormatting>
  <conditionalFormatting sqref="O12">
    <cfRule type="cellIs" dxfId="2" priority="223" operator="equal">
      <formula>"Y"</formula>
    </cfRule>
    <cfRule type="cellIs" dxfId="3" priority="224" operator="equal">
      <formula>"N"</formula>
    </cfRule>
  </conditionalFormatting>
  <conditionalFormatting sqref="O13">
    <cfRule type="cellIs" dxfId="2" priority="251" operator="equal">
      <formula>"Y"</formula>
    </cfRule>
    <cfRule type="cellIs" dxfId="3" priority="252" operator="equal">
      <formula>"N"</formula>
    </cfRule>
  </conditionalFormatting>
  <conditionalFormatting sqref="O14">
    <cfRule type="cellIs" dxfId="2" priority="279" operator="equal">
      <formula>"Y"</formula>
    </cfRule>
    <cfRule type="cellIs" dxfId="3" priority="280" operator="equal">
      <formula>"N"</formula>
    </cfRule>
  </conditionalFormatting>
  <conditionalFormatting sqref="O15">
    <cfRule type="cellIs" dxfId="2" priority="307" operator="equal">
      <formula>"Y"</formula>
    </cfRule>
    <cfRule type="cellIs" dxfId="3" priority="308" operator="equal">
      <formula>"N"</formula>
    </cfRule>
  </conditionalFormatting>
  <conditionalFormatting sqref="O16">
    <cfRule type="cellIs" dxfId="2" priority="335" operator="equal">
      <formula>"Y"</formula>
    </cfRule>
    <cfRule type="cellIs" dxfId="3" priority="336" operator="equal">
      <formula>"N"</formula>
    </cfRule>
  </conditionalFormatting>
  <conditionalFormatting sqref="O17">
    <cfRule type="cellIs" dxfId="2" priority="363" operator="equal">
      <formula>"Y"</formula>
    </cfRule>
    <cfRule type="cellIs" dxfId="3" priority="364" operator="equal">
      <formula>"N"</formula>
    </cfRule>
  </conditionalFormatting>
  <conditionalFormatting sqref="O18">
    <cfRule type="cellIs" dxfId="2" priority="391" operator="equal">
      <formula>"Y"</formula>
    </cfRule>
    <cfRule type="cellIs" dxfId="3" priority="392" operator="equal">
      <formula>"N"</formula>
    </cfRule>
  </conditionalFormatting>
  <conditionalFormatting sqref="O222">
    <cfRule type="cellIs" dxfId="2" priority="1007" operator="equal">
      <formula>"Y"</formula>
    </cfRule>
    <cfRule type="cellIs" dxfId="3" priority="1008" operator="equal">
      <formula>"N"</formula>
    </cfRule>
  </conditionalFormatting>
  <conditionalFormatting sqref="O223">
    <cfRule type="cellIs" dxfId="2" priority="1035" operator="equal">
      <formula>"Y"</formula>
    </cfRule>
    <cfRule type="cellIs" dxfId="3" priority="1036" operator="equal">
      <formula>"N"</formula>
    </cfRule>
  </conditionalFormatting>
  <conditionalFormatting sqref="O224">
    <cfRule type="cellIs" dxfId="2" priority="1063" operator="equal">
      <formula>"Y"</formula>
    </cfRule>
    <cfRule type="cellIs" dxfId="3" priority="1064" operator="equal">
      <formula>"N"</formula>
    </cfRule>
  </conditionalFormatting>
  <conditionalFormatting sqref="O225">
    <cfRule type="cellIs" dxfId="2" priority="1091" operator="equal">
      <formula>"Y"</formula>
    </cfRule>
    <cfRule type="cellIs" dxfId="3" priority="1092" operator="equal">
      <formula>"N"</formula>
    </cfRule>
  </conditionalFormatting>
  <conditionalFormatting sqref="O226">
    <cfRule type="cellIs" dxfId="2" priority="1119" operator="equal">
      <formula>"Y"</formula>
    </cfRule>
    <cfRule type="cellIs" dxfId="3" priority="1120" operator="equal">
      <formula>"N"</formula>
    </cfRule>
  </conditionalFormatting>
  <conditionalFormatting sqref="O227">
    <cfRule type="cellIs" dxfId="2" priority="1147" operator="equal">
      <formula>"Y"</formula>
    </cfRule>
    <cfRule type="cellIs" dxfId="3" priority="1148" operator="equal">
      <formula>"N"</formula>
    </cfRule>
  </conditionalFormatting>
  <conditionalFormatting sqref="O228">
    <cfRule type="cellIs" dxfId="2" priority="1175" operator="equal">
      <formula>"Y"</formula>
    </cfRule>
    <cfRule type="cellIs" dxfId="3" priority="1176" operator="equal">
      <formula>"N"</formula>
    </cfRule>
  </conditionalFormatting>
  <conditionalFormatting sqref="O229">
    <cfRule type="cellIs" dxfId="2" priority="1203" operator="equal">
      <formula>"Y"</formula>
    </cfRule>
    <cfRule type="cellIs" dxfId="3" priority="1204" operator="equal">
      <formula>"N"</formula>
    </cfRule>
  </conditionalFormatting>
  <conditionalFormatting sqref="O230">
    <cfRule type="cellIs" dxfId="2" priority="1231" operator="equal">
      <formula>"Y"</formula>
    </cfRule>
    <cfRule type="cellIs" dxfId="3" priority="1232" operator="equal">
      <formula>"N"</formula>
    </cfRule>
  </conditionalFormatting>
  <conditionalFormatting sqref="O231">
    <cfRule type="cellIs" dxfId="2" priority="1259" operator="equal">
      <formula>"Y"</formula>
    </cfRule>
    <cfRule type="cellIs" dxfId="3" priority="1260" operator="equal">
      <formula>"N"</formula>
    </cfRule>
  </conditionalFormatting>
  <conditionalFormatting sqref="O232">
    <cfRule type="cellIs" dxfId="2" priority="1287" operator="equal">
      <formula>"Y"</formula>
    </cfRule>
    <cfRule type="cellIs" dxfId="3" priority="1288" operator="equal">
      <formula>"N"</formula>
    </cfRule>
  </conditionalFormatting>
  <conditionalFormatting sqref="O233">
    <cfRule type="cellIs" dxfId="2" priority="1315" operator="equal">
      <formula>"Y"</formula>
    </cfRule>
    <cfRule type="cellIs" dxfId="3" priority="1316" operator="equal">
      <formula>"N"</formula>
    </cfRule>
  </conditionalFormatting>
  <conditionalFormatting sqref="O234">
    <cfRule type="cellIs" dxfId="2" priority="1343" operator="equal">
      <formula>"Y"</formula>
    </cfRule>
    <cfRule type="cellIs" dxfId="3" priority="1344" operator="equal">
      <formula>"N"</formula>
    </cfRule>
  </conditionalFormatting>
  <conditionalFormatting sqref="O235">
    <cfRule type="cellIs" dxfId="2" priority="1371" operator="equal">
      <formula>"Y"</formula>
    </cfRule>
    <cfRule type="cellIs" dxfId="3" priority="1372" operator="equal">
      <formula>"N"</formula>
    </cfRule>
  </conditionalFormatting>
  <conditionalFormatting sqref="O5">
    <cfRule type="cellIs" dxfId="2" priority="27" operator="equal">
      <formula>"Y"</formula>
    </cfRule>
    <cfRule type="cellIs" dxfId="3" priority="28" operator="equal">
      <formula>"N"</formula>
    </cfRule>
  </conditionalFormatting>
  <conditionalFormatting sqref="O6">
    <cfRule type="cellIs" dxfId="2" priority="55" operator="equal">
      <formula>"Y"</formula>
    </cfRule>
    <cfRule type="cellIs" dxfId="3" priority="56" operator="equal">
      <formula>"N"</formula>
    </cfRule>
  </conditionalFormatting>
  <conditionalFormatting sqref="O7">
    <cfRule type="cellIs" dxfId="2" priority="83" operator="equal">
      <formula>"Y"</formula>
    </cfRule>
    <cfRule type="cellIs" dxfId="3" priority="84" operator="equal">
      <formula>"N"</formula>
    </cfRule>
  </conditionalFormatting>
  <conditionalFormatting sqref="O8">
    <cfRule type="cellIs" dxfId="2" priority="111" operator="equal">
      <formula>"Y"</formula>
    </cfRule>
    <cfRule type="cellIs" dxfId="3" priority="112" operator="equal">
      <formula>"N"</formula>
    </cfRule>
  </conditionalFormatting>
  <conditionalFormatting sqref="O9">
    <cfRule type="cellIs" dxfId="2" priority="139" operator="equal">
      <formula>"Y"</formula>
    </cfRule>
    <cfRule type="cellIs" dxfId="3" priority="140" operator="equal">
      <formula>"N"</formula>
    </cfRule>
  </conditionalFormatting>
  <dataValidations count="784">
    <dataValidation type="list" allowBlank="1" showInputMessage="1" showErrorMessage="1" sqref="B5">
      <formula1>"Y,N"</formula1>
    </dataValidation>
    <dataValidation type="list" allowBlank="1" showInputMessage="1" showErrorMessage="1" sqref="C5">
      <formula1>"Y,N"</formula1>
    </dataValidation>
    <dataValidation type="list" allowBlank="1" showInputMessage="1" showErrorMessage="1" sqref="D5">
      <formula1>"Y,N"</formula1>
    </dataValidation>
    <dataValidation type="list" allowBlank="1" showInputMessage="1" showErrorMessage="1" sqref="E5">
      <formula1>"Y,N"</formula1>
    </dataValidation>
    <dataValidation type="list" allowBlank="1" showInputMessage="1" showErrorMessage="1" sqref="F5">
      <formula1>"Y,N"</formula1>
    </dataValidation>
    <dataValidation type="list" allowBlank="1" showInputMessage="1" showErrorMessage="1" sqref="G5">
      <formula1>"Y,N"</formula1>
    </dataValidation>
    <dataValidation type="list" allowBlank="1" showInputMessage="1" showErrorMessage="1" sqref="H5">
      <formula1>"Y,N"</formula1>
    </dataValidation>
    <dataValidation type="list" allowBlank="1" showInputMessage="1" showErrorMessage="1" sqref="I5">
      <formula1>"Y,N"</formula1>
    </dataValidation>
    <dataValidation type="list" allowBlank="1" showInputMessage="1" showErrorMessage="1" sqref="J5">
      <formula1>"Y,N"</formula1>
    </dataValidation>
    <dataValidation type="list" allowBlank="1" showInputMessage="1" showErrorMessage="1" sqref="K5">
      <formula1>"Y,N"</formula1>
    </dataValidation>
    <dataValidation type="list" allowBlank="1" showInputMessage="1" showErrorMessage="1" sqref="L5">
      <formula1>"Y,N"</formula1>
    </dataValidation>
    <dataValidation type="list" allowBlank="1" showInputMessage="1" showErrorMessage="1" sqref="M5">
      <formula1>"Y,N"</formula1>
    </dataValidation>
    <dataValidation type="list" allowBlank="1" showInputMessage="1" showErrorMessage="1" sqref="N5">
      <formula1>"Y,N"</formula1>
    </dataValidation>
    <dataValidation type="list" allowBlank="1" showInputMessage="1" showErrorMessage="1" sqref="O5">
      <formula1>"Y,N"</formula1>
    </dataValidation>
    <dataValidation type="list" allowBlank="1" showInputMessage="1" showErrorMessage="1" sqref="B6">
      <formula1>"Y,N"</formula1>
    </dataValidation>
    <dataValidation type="list" allowBlank="1" showInputMessage="1" showErrorMessage="1" sqref="C6">
      <formula1>"Y,N"</formula1>
    </dataValidation>
    <dataValidation type="list" allowBlank="1" showInputMessage="1" showErrorMessage="1" sqref="D6">
      <formula1>"Y,N"</formula1>
    </dataValidation>
    <dataValidation type="list" allowBlank="1" showInputMessage="1" showErrorMessage="1" sqref="E6">
      <formula1>"Y,N"</formula1>
    </dataValidation>
    <dataValidation type="list" allowBlank="1" showInputMessage="1" showErrorMessage="1" sqref="F6">
      <formula1>"Y,N"</formula1>
    </dataValidation>
    <dataValidation type="list" allowBlank="1" showInputMessage="1" showErrorMessage="1" sqref="G6">
      <formula1>"Y,N"</formula1>
    </dataValidation>
    <dataValidation type="list" allowBlank="1" showInputMessage="1" showErrorMessage="1" sqref="H6">
      <formula1>"Y,N"</formula1>
    </dataValidation>
    <dataValidation type="list" allowBlank="1" showInputMessage="1" showErrorMessage="1" sqref="I6">
      <formula1>"Y,N"</formula1>
    </dataValidation>
    <dataValidation type="list" allowBlank="1" showInputMessage="1" showErrorMessage="1" sqref="J6">
      <formula1>"Y,N"</formula1>
    </dataValidation>
    <dataValidation type="list" allowBlank="1" showInputMessage="1" showErrorMessage="1" sqref="K6">
      <formula1>"Y,N"</formula1>
    </dataValidation>
    <dataValidation type="list" allowBlank="1" showInputMessage="1" showErrorMessage="1" sqref="L6">
      <formula1>"Y,N"</formula1>
    </dataValidation>
    <dataValidation type="list" allowBlank="1" showInputMessage="1" showErrorMessage="1" sqref="M6">
      <formula1>"Y,N"</formula1>
    </dataValidation>
    <dataValidation type="list" allowBlank="1" showInputMessage="1" showErrorMessage="1" sqref="N6">
      <formula1>"Y,N"</formula1>
    </dataValidation>
    <dataValidation type="list" allowBlank="1" showInputMessage="1" showErrorMessage="1" sqref="O6">
      <formula1>"Y,N"</formula1>
    </dataValidation>
    <dataValidation type="list" allowBlank="1" showInputMessage="1" showErrorMessage="1" sqref="B7">
      <formula1>"Y,N"</formula1>
    </dataValidation>
    <dataValidation type="list" allowBlank="1" showInputMessage="1" showErrorMessage="1" sqref="C7">
      <formula1>"Y,N"</formula1>
    </dataValidation>
    <dataValidation type="list" allowBlank="1" showInputMessage="1" showErrorMessage="1" sqref="D7">
      <formula1>"Y,N"</formula1>
    </dataValidation>
    <dataValidation type="list" allowBlank="1" showInputMessage="1" showErrorMessage="1" sqref="E7">
      <formula1>"Y,N"</formula1>
    </dataValidation>
    <dataValidation type="list" allowBlank="1" showInputMessage="1" showErrorMessage="1" sqref="F7">
      <formula1>"Y,N"</formula1>
    </dataValidation>
    <dataValidation type="list" allowBlank="1" showInputMessage="1" showErrorMessage="1" sqref="G7">
      <formula1>"Y,N"</formula1>
    </dataValidation>
    <dataValidation type="list" allowBlank="1" showInputMessage="1" showErrorMessage="1" sqref="H7">
      <formula1>"Y,N"</formula1>
    </dataValidation>
    <dataValidation type="list" allowBlank="1" showInputMessage="1" showErrorMessage="1" sqref="I7">
      <formula1>"Y,N"</formula1>
    </dataValidation>
    <dataValidation type="list" allowBlank="1" showInputMessage="1" showErrorMessage="1" sqref="J7">
      <formula1>"Y,N"</formula1>
    </dataValidation>
    <dataValidation type="list" allowBlank="1" showInputMessage="1" showErrorMessage="1" sqref="K7">
      <formula1>"Y,N"</formula1>
    </dataValidation>
    <dataValidation type="list" allowBlank="1" showInputMessage="1" showErrorMessage="1" sqref="L7">
      <formula1>"Y,N"</formula1>
    </dataValidation>
    <dataValidation type="list" allowBlank="1" showInputMessage="1" showErrorMessage="1" sqref="M7">
      <formula1>"Y,N"</formula1>
    </dataValidation>
    <dataValidation type="list" allowBlank="1" showInputMessage="1" showErrorMessage="1" sqref="N7">
      <formula1>"Y,N"</formula1>
    </dataValidation>
    <dataValidation type="list" allowBlank="1" showInputMessage="1" showErrorMessage="1" sqref="O7">
      <formula1>"Y,N"</formula1>
    </dataValidation>
    <dataValidation type="list" allowBlank="1" showInputMessage="1" showErrorMessage="1" sqref="B8">
      <formula1>"Y,N"</formula1>
    </dataValidation>
    <dataValidation type="list" allowBlank="1" showInputMessage="1" showErrorMessage="1" sqref="C8">
      <formula1>"Y,N"</formula1>
    </dataValidation>
    <dataValidation type="list" allowBlank="1" showInputMessage="1" showErrorMessage="1" sqref="D8">
      <formula1>"Y,N"</formula1>
    </dataValidation>
    <dataValidation type="list" allowBlank="1" showInputMessage="1" showErrorMessage="1" sqref="E8">
      <formula1>"Y,N"</formula1>
    </dataValidation>
    <dataValidation type="list" allowBlank="1" showInputMessage="1" showErrorMessage="1" sqref="F8">
      <formula1>"Y,N"</formula1>
    </dataValidation>
    <dataValidation type="list" allowBlank="1" showInputMessage="1" showErrorMessage="1" sqref="G8">
      <formula1>"Y,N"</formula1>
    </dataValidation>
    <dataValidation type="list" allowBlank="1" showInputMessage="1" showErrorMessage="1" sqref="H8">
      <formula1>"Y,N"</formula1>
    </dataValidation>
    <dataValidation type="list" allowBlank="1" showInputMessage="1" showErrorMessage="1" sqref="I8">
      <formula1>"Y,N"</formula1>
    </dataValidation>
    <dataValidation type="list" allowBlank="1" showInputMessage="1" showErrorMessage="1" sqref="J8">
      <formula1>"Y,N"</formula1>
    </dataValidation>
    <dataValidation type="list" allowBlank="1" showInputMessage="1" showErrorMessage="1" sqref="K8">
      <formula1>"Y,N"</formula1>
    </dataValidation>
    <dataValidation type="list" allowBlank="1" showInputMessage="1" showErrorMessage="1" sqref="L8">
      <formula1>"Y,N"</formula1>
    </dataValidation>
    <dataValidation type="list" allowBlank="1" showInputMessage="1" showErrorMessage="1" sqref="M8">
      <formula1>"Y,N"</formula1>
    </dataValidation>
    <dataValidation type="list" allowBlank="1" showInputMessage="1" showErrorMessage="1" sqref="N8">
      <formula1>"Y,N"</formula1>
    </dataValidation>
    <dataValidation type="list" allowBlank="1" showInputMessage="1" showErrorMessage="1" sqref="O8">
      <formula1>"Y,N"</formula1>
    </dataValidation>
    <dataValidation type="list" allowBlank="1" showInputMessage="1" showErrorMessage="1" sqref="B9">
      <formula1>"Y,N"</formula1>
    </dataValidation>
    <dataValidation type="list" allowBlank="1" showInputMessage="1" showErrorMessage="1" sqref="C9">
      <formula1>"Y,N"</formula1>
    </dataValidation>
    <dataValidation type="list" allowBlank="1" showInputMessage="1" showErrorMessage="1" sqref="D9">
      <formula1>"Y,N"</formula1>
    </dataValidation>
    <dataValidation type="list" allowBlank="1" showInputMessage="1" showErrorMessage="1" sqref="E9">
      <formula1>"Y,N"</formula1>
    </dataValidation>
    <dataValidation type="list" allowBlank="1" showInputMessage="1" showErrorMessage="1" sqref="F9">
      <formula1>"Y,N"</formula1>
    </dataValidation>
    <dataValidation type="list" allowBlank="1" showInputMessage="1" showErrorMessage="1" sqref="G9">
      <formula1>"Y,N"</formula1>
    </dataValidation>
    <dataValidation type="list" allowBlank="1" showInputMessage="1" showErrorMessage="1" sqref="H9">
      <formula1>"Y,N"</formula1>
    </dataValidation>
    <dataValidation type="list" allowBlank="1" showInputMessage="1" showErrorMessage="1" sqref="I9">
      <formula1>"Y,N"</formula1>
    </dataValidation>
    <dataValidation type="list" allowBlank="1" showInputMessage="1" showErrorMessage="1" sqref="J9">
      <formula1>"Y,N"</formula1>
    </dataValidation>
    <dataValidation type="list" allowBlank="1" showInputMessage="1" showErrorMessage="1" sqref="K9">
      <formula1>"Y,N"</formula1>
    </dataValidation>
    <dataValidation type="list" allowBlank="1" showInputMessage="1" showErrorMessage="1" sqref="L9">
      <formula1>"Y,N"</formula1>
    </dataValidation>
    <dataValidation type="list" allowBlank="1" showInputMessage="1" showErrorMessage="1" sqref="M9">
      <formula1>"Y,N"</formula1>
    </dataValidation>
    <dataValidation type="list" allowBlank="1" showInputMessage="1" showErrorMessage="1" sqref="N9">
      <formula1>"Y,N"</formula1>
    </dataValidation>
    <dataValidation type="list" allowBlank="1" showInputMessage="1" showErrorMessage="1" sqref="O9">
      <formula1>"Y,N"</formula1>
    </dataValidation>
    <dataValidation type="list" allowBlank="1" showInputMessage="1" showErrorMessage="1" sqref="B10">
      <formula1>"Y,N"</formula1>
    </dataValidation>
    <dataValidation type="list" allowBlank="1" showInputMessage="1" showErrorMessage="1" sqref="C10">
      <formula1>"Y,N"</formula1>
    </dataValidation>
    <dataValidation type="list" allowBlank="1" showInputMessage="1" showErrorMessage="1" sqref="D10">
      <formula1>"Y,N"</formula1>
    </dataValidation>
    <dataValidation type="list" allowBlank="1" showInputMessage="1" showErrorMessage="1" sqref="E10">
      <formula1>"Y,N"</formula1>
    </dataValidation>
    <dataValidation type="list" allowBlank="1" showInputMessage="1" showErrorMessage="1" sqref="F10">
      <formula1>"Y,N"</formula1>
    </dataValidation>
    <dataValidation type="list" allowBlank="1" showInputMessage="1" showErrorMessage="1" sqref="G10">
      <formula1>"Y,N"</formula1>
    </dataValidation>
    <dataValidation type="list" allowBlank="1" showInputMessage="1" showErrorMessage="1" sqref="H10">
      <formula1>"Y,N"</formula1>
    </dataValidation>
    <dataValidation type="list" allowBlank="1" showInputMessage="1" showErrorMessage="1" sqref="I10">
      <formula1>"Y,N"</formula1>
    </dataValidation>
    <dataValidation type="list" allowBlank="1" showInputMessage="1" showErrorMessage="1" sqref="J10">
      <formula1>"Y,N"</formula1>
    </dataValidation>
    <dataValidation type="list" allowBlank="1" showInputMessage="1" showErrorMessage="1" sqref="K10">
      <formula1>"Y,N"</formula1>
    </dataValidation>
    <dataValidation type="list" allowBlank="1" showInputMessage="1" showErrorMessage="1" sqref="L10">
      <formula1>"Y,N"</formula1>
    </dataValidation>
    <dataValidation type="list" allowBlank="1" showInputMessage="1" showErrorMessage="1" sqref="M10">
      <formula1>"Y,N"</formula1>
    </dataValidation>
    <dataValidation type="list" allowBlank="1" showInputMessage="1" showErrorMessage="1" sqref="N10">
      <formula1>"Y,N"</formula1>
    </dataValidation>
    <dataValidation type="list" allowBlank="1" showInputMessage="1" showErrorMessage="1" sqref="O10">
      <formula1>"Y,N"</formula1>
    </dataValidation>
    <dataValidation type="list" allowBlank="1" showInputMessage="1" showErrorMessage="1" sqref="B11">
      <formula1>"Y,N"</formula1>
    </dataValidation>
    <dataValidation type="list" allowBlank="1" showInputMessage="1" showErrorMessage="1" sqref="C11">
      <formula1>"Y,N"</formula1>
    </dataValidation>
    <dataValidation type="list" allowBlank="1" showInputMessage="1" showErrorMessage="1" sqref="D11">
      <formula1>"Y,N"</formula1>
    </dataValidation>
    <dataValidation type="list" allowBlank="1" showInputMessage="1" showErrorMessage="1" sqref="E11">
      <formula1>"Y,N"</formula1>
    </dataValidation>
    <dataValidation type="list" allowBlank="1" showInputMessage="1" showErrorMessage="1" sqref="F11">
      <formula1>"Y,N"</formula1>
    </dataValidation>
    <dataValidation type="list" allowBlank="1" showInputMessage="1" showErrorMessage="1" sqref="G11">
      <formula1>"Y,N"</formula1>
    </dataValidation>
    <dataValidation type="list" allowBlank="1" showInputMessage="1" showErrorMessage="1" sqref="H11">
      <formula1>"Y,N"</formula1>
    </dataValidation>
    <dataValidation type="list" allowBlank="1" showInputMessage="1" showErrorMessage="1" sqref="I11">
      <formula1>"Y,N"</formula1>
    </dataValidation>
    <dataValidation type="list" allowBlank="1" showInputMessage="1" showErrorMessage="1" sqref="J11">
      <formula1>"Y,N"</formula1>
    </dataValidation>
    <dataValidation type="list" allowBlank="1" showInputMessage="1" showErrorMessage="1" sqref="K11">
      <formula1>"Y,N"</formula1>
    </dataValidation>
    <dataValidation type="list" allowBlank="1" showInputMessage="1" showErrorMessage="1" sqref="L11">
      <formula1>"Y,N"</formula1>
    </dataValidation>
    <dataValidation type="list" allowBlank="1" showInputMessage="1" showErrorMessage="1" sqref="M11">
      <formula1>"Y,N"</formula1>
    </dataValidation>
    <dataValidation type="list" allowBlank="1" showInputMessage="1" showErrorMessage="1" sqref="N11">
      <formula1>"Y,N"</formula1>
    </dataValidation>
    <dataValidation type="list" allowBlank="1" showInputMessage="1" showErrorMessage="1" sqref="O11">
      <formula1>"Y,N"</formula1>
    </dataValidation>
    <dataValidation type="list" allowBlank="1" showInputMessage="1" showErrorMessage="1" sqref="B12">
      <formula1>"Y,N"</formula1>
    </dataValidation>
    <dataValidation type="list" allowBlank="1" showInputMessage="1" showErrorMessage="1" sqref="C12">
      <formula1>"Y,N"</formula1>
    </dataValidation>
    <dataValidation type="list" allowBlank="1" showInputMessage="1" showErrorMessage="1" sqref="D12">
      <formula1>"Y,N"</formula1>
    </dataValidation>
    <dataValidation type="list" allowBlank="1" showInputMessage="1" showErrorMessage="1" sqref="E12">
      <formula1>"Y,N"</formula1>
    </dataValidation>
    <dataValidation type="list" allowBlank="1" showInputMessage="1" showErrorMessage="1" sqref="F12">
      <formula1>"Y,N"</formula1>
    </dataValidation>
    <dataValidation type="list" allowBlank="1" showInputMessage="1" showErrorMessage="1" sqref="G12">
      <formula1>"Y,N"</formula1>
    </dataValidation>
    <dataValidation type="list" allowBlank="1" showInputMessage="1" showErrorMessage="1" sqref="H12">
      <formula1>"Y,N"</formula1>
    </dataValidation>
    <dataValidation type="list" allowBlank="1" showInputMessage="1" showErrorMessage="1" sqref="I12">
      <formula1>"Y,N"</formula1>
    </dataValidation>
    <dataValidation type="list" allowBlank="1" showInputMessage="1" showErrorMessage="1" sqref="J12">
      <formula1>"Y,N"</formula1>
    </dataValidation>
    <dataValidation type="list" allowBlank="1" showInputMessage="1" showErrorMessage="1" sqref="K12">
      <formula1>"Y,N"</formula1>
    </dataValidation>
    <dataValidation type="list" allowBlank="1" showInputMessage="1" showErrorMessage="1" sqref="L12">
      <formula1>"Y,N"</formula1>
    </dataValidation>
    <dataValidation type="list" allowBlank="1" showInputMessage="1" showErrorMessage="1" sqref="M12">
      <formula1>"Y,N"</formula1>
    </dataValidation>
    <dataValidation type="list" allowBlank="1" showInputMessage="1" showErrorMessage="1" sqref="N12">
      <formula1>"Y,N"</formula1>
    </dataValidation>
    <dataValidation type="list" allowBlank="1" showInputMessage="1" showErrorMessage="1" sqref="O12">
      <formula1>"Y,N"</formula1>
    </dataValidation>
    <dataValidation type="list" allowBlank="1" showInputMessage="1" showErrorMessage="1" sqref="B13">
      <formula1>"Y,N"</formula1>
    </dataValidation>
    <dataValidation type="list" allowBlank="1" showInputMessage="1" showErrorMessage="1" sqref="C13">
      <formula1>"Y,N"</formula1>
    </dataValidation>
    <dataValidation type="list" allowBlank="1" showInputMessage="1" showErrorMessage="1" sqref="D13">
      <formula1>"Y,N"</formula1>
    </dataValidation>
    <dataValidation type="list" allowBlank="1" showInputMessage="1" showErrorMessage="1" sqref="E13">
      <formula1>"Y,N"</formula1>
    </dataValidation>
    <dataValidation type="list" allowBlank="1" showInputMessage="1" showErrorMessage="1" sqref="F13">
      <formula1>"Y,N"</formula1>
    </dataValidation>
    <dataValidation type="list" allowBlank="1" showInputMessage="1" showErrorMessage="1" sqref="G13">
      <formula1>"Y,N"</formula1>
    </dataValidation>
    <dataValidation type="list" allowBlank="1" showInputMessage="1" showErrorMessage="1" sqref="H13">
      <formula1>"Y,N"</formula1>
    </dataValidation>
    <dataValidation type="list" allowBlank="1" showInputMessage="1" showErrorMessage="1" sqref="I13">
      <formula1>"Y,N"</formula1>
    </dataValidation>
    <dataValidation type="list" allowBlank="1" showInputMessage="1" showErrorMessage="1" sqref="J13">
      <formula1>"Y,N"</formula1>
    </dataValidation>
    <dataValidation type="list" allowBlank="1" showInputMessage="1" showErrorMessage="1" sqref="K13">
      <formula1>"Y,N"</formula1>
    </dataValidation>
    <dataValidation type="list" allowBlank="1" showInputMessage="1" showErrorMessage="1" sqref="L13">
      <formula1>"Y,N"</formula1>
    </dataValidation>
    <dataValidation type="list" allowBlank="1" showInputMessage="1" showErrorMessage="1" sqref="M13">
      <formula1>"Y,N"</formula1>
    </dataValidation>
    <dataValidation type="list" allowBlank="1" showInputMessage="1" showErrorMessage="1" sqref="N13">
      <formula1>"Y,N"</formula1>
    </dataValidation>
    <dataValidation type="list" allowBlank="1" showInputMessage="1" showErrorMessage="1" sqref="O13">
      <formula1>"Y,N"</formula1>
    </dataValidation>
    <dataValidation type="list" allowBlank="1" showInputMessage="1" showErrorMessage="1" sqref="B14">
      <formula1>"Y,N"</formula1>
    </dataValidation>
    <dataValidation type="list" allowBlank="1" showInputMessage="1" showErrorMessage="1" sqref="C14">
      <formula1>"Y,N"</formula1>
    </dataValidation>
    <dataValidation type="list" allowBlank="1" showInputMessage="1" showErrorMessage="1" sqref="D14">
      <formula1>"Y,N"</formula1>
    </dataValidation>
    <dataValidation type="list" allowBlank="1" showInputMessage="1" showErrorMessage="1" sqref="E14">
      <formula1>"Y,N"</formula1>
    </dataValidation>
    <dataValidation type="list" allowBlank="1" showInputMessage="1" showErrorMessage="1" sqref="F14">
      <formula1>"Y,N"</formula1>
    </dataValidation>
    <dataValidation type="list" allowBlank="1" showInputMessage="1" showErrorMessage="1" sqref="G14">
      <formula1>"Y,N"</formula1>
    </dataValidation>
    <dataValidation type="list" allowBlank="1" showInputMessage="1" showErrorMessage="1" sqref="H14">
      <formula1>"Y,N"</formula1>
    </dataValidation>
    <dataValidation type="list" allowBlank="1" showInputMessage="1" showErrorMessage="1" sqref="I14">
      <formula1>"Y,N"</formula1>
    </dataValidation>
    <dataValidation type="list" allowBlank="1" showInputMessage="1" showErrorMessage="1" sqref="J14">
      <formula1>"Y,N"</formula1>
    </dataValidation>
    <dataValidation type="list" allowBlank="1" showInputMessage="1" showErrorMessage="1" sqref="K14">
      <formula1>"Y,N"</formula1>
    </dataValidation>
    <dataValidation type="list" allowBlank="1" showInputMessage="1" showErrorMessage="1" sqref="L14">
      <formula1>"Y,N"</formula1>
    </dataValidation>
    <dataValidation type="list" allowBlank="1" showInputMessage="1" showErrorMessage="1" sqref="M14">
      <formula1>"Y,N"</formula1>
    </dataValidation>
    <dataValidation type="list" allowBlank="1" showInputMessage="1" showErrorMessage="1" sqref="N14">
      <formula1>"Y,N"</formula1>
    </dataValidation>
    <dataValidation type="list" allowBlank="1" showInputMessage="1" showErrorMessage="1" sqref="O14">
      <formula1>"Y,N"</formula1>
    </dataValidation>
    <dataValidation type="list" allowBlank="1" showInputMessage="1" showErrorMessage="1" sqref="B15">
      <formula1>"Y,N"</formula1>
    </dataValidation>
    <dataValidation type="list" allowBlank="1" showInputMessage="1" showErrorMessage="1" sqref="C15">
      <formula1>"Y,N"</formula1>
    </dataValidation>
    <dataValidation type="list" allowBlank="1" showInputMessage="1" showErrorMessage="1" sqref="D15">
      <formula1>"Y,N"</formula1>
    </dataValidation>
    <dataValidation type="list" allowBlank="1" showInputMessage="1" showErrorMessage="1" sqref="E15">
      <formula1>"Y,N"</formula1>
    </dataValidation>
    <dataValidation type="list" allowBlank="1" showInputMessage="1" showErrorMessage="1" sqref="F15">
      <formula1>"Y,N"</formula1>
    </dataValidation>
    <dataValidation type="list" allowBlank="1" showInputMessage="1" showErrorMessage="1" sqref="G15">
      <formula1>"Y,N"</formula1>
    </dataValidation>
    <dataValidation type="list" allowBlank="1" showInputMessage="1" showErrorMessage="1" sqref="H15">
      <formula1>"Y,N"</formula1>
    </dataValidation>
    <dataValidation type="list" allowBlank="1" showInputMessage="1" showErrorMessage="1" sqref="I15">
      <formula1>"Y,N"</formula1>
    </dataValidation>
    <dataValidation type="list" allowBlank="1" showInputMessage="1" showErrorMessage="1" sqref="J15">
      <formula1>"Y,N"</formula1>
    </dataValidation>
    <dataValidation type="list" allowBlank="1" showInputMessage="1" showErrorMessage="1" sqref="K15">
      <formula1>"Y,N"</formula1>
    </dataValidation>
    <dataValidation type="list" allowBlank="1" showInputMessage="1" showErrorMessage="1" sqref="L15">
      <formula1>"Y,N"</formula1>
    </dataValidation>
    <dataValidation type="list" allowBlank="1" showInputMessage="1" showErrorMessage="1" sqref="M15">
      <formula1>"Y,N"</formula1>
    </dataValidation>
    <dataValidation type="list" allowBlank="1" showInputMessage="1" showErrorMessage="1" sqref="N15">
      <formula1>"Y,N"</formula1>
    </dataValidation>
    <dataValidation type="list" allowBlank="1" showInputMessage="1" showErrorMessage="1" sqref="O15">
      <formula1>"Y,N"</formula1>
    </dataValidation>
    <dataValidation type="list" allowBlank="1" showInputMessage="1" showErrorMessage="1" sqref="B16">
      <formula1>"Y,N"</formula1>
    </dataValidation>
    <dataValidation type="list" allowBlank="1" showInputMessage="1" showErrorMessage="1" sqref="C16">
      <formula1>"Y,N"</formula1>
    </dataValidation>
    <dataValidation type="list" allowBlank="1" showInputMessage="1" showErrorMessage="1" sqref="D16">
      <formula1>"Y,N"</formula1>
    </dataValidation>
    <dataValidation type="list" allowBlank="1" showInputMessage="1" showErrorMessage="1" sqref="E16">
      <formula1>"Y,N"</formula1>
    </dataValidation>
    <dataValidation type="list" allowBlank="1" showInputMessage="1" showErrorMessage="1" sqref="F16">
      <formula1>"Y,N"</formula1>
    </dataValidation>
    <dataValidation type="list" allowBlank="1" showInputMessage="1" showErrorMessage="1" sqref="G16">
      <formula1>"Y,N"</formula1>
    </dataValidation>
    <dataValidation type="list" allowBlank="1" showInputMessage="1" showErrorMessage="1" sqref="H16">
      <formula1>"Y,N"</formula1>
    </dataValidation>
    <dataValidation type="list" allowBlank="1" showInputMessage="1" showErrorMessage="1" sqref="I16">
      <formula1>"Y,N"</formula1>
    </dataValidation>
    <dataValidation type="list" allowBlank="1" showInputMessage="1" showErrorMessage="1" sqref="J16">
      <formula1>"Y,N"</formula1>
    </dataValidation>
    <dataValidation type="list" allowBlank="1" showInputMessage="1" showErrorMessage="1" sqref="K16">
      <formula1>"Y,N"</formula1>
    </dataValidation>
    <dataValidation type="list" allowBlank="1" showInputMessage="1" showErrorMessage="1" sqref="L16">
      <formula1>"Y,N"</formula1>
    </dataValidation>
    <dataValidation type="list" allowBlank="1" showInputMessage="1" showErrorMessage="1" sqref="M16">
      <formula1>"Y,N"</formula1>
    </dataValidation>
    <dataValidation type="list" allowBlank="1" showInputMessage="1" showErrorMessage="1" sqref="N16">
      <formula1>"Y,N"</formula1>
    </dataValidation>
    <dataValidation type="list" allowBlank="1" showInputMessage="1" showErrorMessage="1" sqref="O16">
      <formula1>"Y,N"</formula1>
    </dataValidation>
    <dataValidation type="list" allowBlank="1" showInputMessage="1" showErrorMessage="1" sqref="B17">
      <formula1>"Y,N"</formula1>
    </dataValidation>
    <dataValidation type="list" allowBlank="1" showInputMessage="1" showErrorMessage="1" sqref="C17">
      <formula1>"Y,N"</formula1>
    </dataValidation>
    <dataValidation type="list" allowBlank="1" showInputMessage="1" showErrorMessage="1" sqref="D17">
      <formula1>"Y,N"</formula1>
    </dataValidation>
    <dataValidation type="list" allowBlank="1" showInputMessage="1" showErrorMessage="1" sqref="E17">
      <formula1>"Y,N"</formula1>
    </dataValidation>
    <dataValidation type="list" allowBlank="1" showInputMessage="1" showErrorMessage="1" sqref="F17">
      <formula1>"Y,N"</formula1>
    </dataValidation>
    <dataValidation type="list" allowBlank="1" showInputMessage="1" showErrorMessage="1" sqref="G17">
      <formula1>"Y,N"</formula1>
    </dataValidation>
    <dataValidation type="list" allowBlank="1" showInputMessage="1" showErrorMessage="1" sqref="H17">
      <formula1>"Y,N"</formula1>
    </dataValidation>
    <dataValidation type="list" allowBlank="1" showInputMessage="1" showErrorMessage="1" sqref="I17">
      <formula1>"Y,N"</formula1>
    </dataValidation>
    <dataValidation type="list" allowBlank="1" showInputMessage="1" showErrorMessage="1" sqref="J17">
      <formula1>"Y,N"</formula1>
    </dataValidation>
    <dataValidation type="list" allowBlank="1" showInputMessage="1" showErrorMessage="1" sqref="K17">
      <formula1>"Y,N"</formula1>
    </dataValidation>
    <dataValidation type="list" allowBlank="1" showInputMessage="1" showErrorMessage="1" sqref="L17">
      <formula1>"Y,N"</formula1>
    </dataValidation>
    <dataValidation type="list" allowBlank="1" showInputMessage="1" showErrorMessage="1" sqref="M17">
      <formula1>"Y,N"</formula1>
    </dataValidation>
    <dataValidation type="list" allowBlank="1" showInputMessage="1" showErrorMessage="1" sqref="N17">
      <formula1>"Y,N"</formula1>
    </dataValidation>
    <dataValidation type="list" allowBlank="1" showInputMessage="1" showErrorMessage="1" sqref="O17">
      <formula1>"Y,N"</formula1>
    </dataValidation>
    <dataValidation type="list" allowBlank="1" showInputMessage="1" showErrorMessage="1" sqref="B18">
      <formula1>"Y,N"</formula1>
    </dataValidation>
    <dataValidation type="list" allowBlank="1" showInputMessage="1" showErrorMessage="1" sqref="C18">
      <formula1>"Y,N"</formula1>
    </dataValidation>
    <dataValidation type="list" allowBlank="1" showInputMessage="1" showErrorMessage="1" sqref="D18">
      <formula1>"Y,N"</formula1>
    </dataValidation>
    <dataValidation type="list" allowBlank="1" showInputMessage="1" showErrorMessage="1" sqref="E18">
      <formula1>"Y,N"</formula1>
    </dataValidation>
    <dataValidation type="list" allowBlank="1" showInputMessage="1" showErrorMessage="1" sqref="F18">
      <formula1>"Y,N"</formula1>
    </dataValidation>
    <dataValidation type="list" allowBlank="1" showInputMessage="1" showErrorMessage="1" sqref="G18">
      <formula1>"Y,N"</formula1>
    </dataValidation>
    <dataValidation type="list" allowBlank="1" showInputMessage="1" showErrorMessage="1" sqref="H18">
      <formula1>"Y,N"</formula1>
    </dataValidation>
    <dataValidation type="list" allowBlank="1" showInputMessage="1" showErrorMessage="1" sqref="I18">
      <formula1>"Y,N"</formula1>
    </dataValidation>
    <dataValidation type="list" allowBlank="1" showInputMessage="1" showErrorMessage="1" sqref="J18">
      <formula1>"Y,N"</formula1>
    </dataValidation>
    <dataValidation type="list" allowBlank="1" showInputMessage="1" showErrorMessage="1" sqref="K18">
      <formula1>"Y,N"</formula1>
    </dataValidation>
    <dataValidation type="list" allowBlank="1" showInputMessage="1" showErrorMessage="1" sqref="L18">
      <formula1>"Y,N"</formula1>
    </dataValidation>
    <dataValidation type="list" allowBlank="1" showInputMessage="1" showErrorMessage="1" sqref="M18">
      <formula1>"Y,N"</formula1>
    </dataValidation>
    <dataValidation type="list" allowBlank="1" showInputMessage="1" showErrorMessage="1" sqref="N18">
      <formula1>"Y,N"</formula1>
    </dataValidation>
    <dataValidation type="list" allowBlank="1" showInputMessage="1" showErrorMessage="1" sqref="O18">
      <formula1>"Y,N"</formula1>
    </dataValidation>
    <dataValidation type="list" allowBlank="1" showInputMessage="1" showErrorMessage="1" sqref="E21">
      <formula1>"N.A."</formula1>
    </dataValidation>
    <dataValidation type="list" allowBlank="1" showInputMessage="1" showErrorMessage="1" sqref="E22">
      <formula1>"N.A."</formula1>
    </dataValidation>
    <dataValidation type="list" allowBlank="1" showInputMessage="1" showErrorMessage="1" sqref="E23">
      <formula1>"N.A."</formula1>
    </dataValidation>
    <dataValidation type="list" allowBlank="1" showInputMessage="1" showErrorMessage="1" sqref="E24">
      <formula1>"N.A."</formula1>
    </dataValidation>
    <dataValidation type="list" allowBlank="1" showInputMessage="1" showErrorMessage="1" sqref="E25">
      <formula1>"N.A."</formula1>
    </dataValidation>
    <dataValidation type="list" allowBlank="1" showInputMessage="1" showErrorMessage="1" sqref="E26">
      <formula1>"N.A."</formula1>
    </dataValidation>
    <dataValidation type="list" allowBlank="1" showInputMessage="1" showErrorMessage="1" sqref="E27">
      <formula1>"N.A."</formula1>
    </dataValidation>
    <dataValidation type="list" allowBlank="1" showInputMessage="1" showErrorMessage="1" sqref="E28">
      <formula1>"N.A."</formula1>
    </dataValidation>
    <dataValidation type="list" allowBlank="1" showInputMessage="1" showErrorMessage="1" sqref="E29">
      <formula1>"N.A."</formula1>
    </dataValidation>
    <dataValidation type="list" allowBlank="1" showInputMessage="1" showErrorMessage="1" sqref="E30">
      <formula1>"N.A."</formula1>
    </dataValidation>
    <dataValidation type="list" allowBlank="1" showInputMessage="1" showErrorMessage="1" sqref="E31">
      <formula1>"N.A."</formula1>
    </dataValidation>
    <dataValidation type="list" allowBlank="1" showInputMessage="1" showErrorMessage="1" sqref="E32">
      <formula1>"N.A."</formula1>
    </dataValidation>
    <dataValidation type="list" allowBlank="1" showInputMessage="1" showErrorMessage="1" sqref="E33">
      <formula1>"N.A."</formula1>
    </dataValidation>
    <dataValidation type="list" allowBlank="1" showInputMessage="1" showErrorMessage="1" sqref="E34">
      <formula1>"N.A."</formula1>
    </dataValidation>
    <dataValidation type="list" allowBlank="1" showInputMessage="1" showErrorMessage="1" sqref="E35">
      <formula1>"N.A."</formula1>
    </dataValidation>
    <dataValidation type="list" allowBlank="1" showInputMessage="1" showErrorMessage="1" sqref="E36">
      <formula1>"N.A."</formula1>
    </dataValidation>
    <dataValidation type="list" allowBlank="1" showInputMessage="1" showErrorMessage="1" sqref="E37">
      <formula1>"N.A."</formula1>
    </dataValidation>
    <dataValidation type="list" allowBlank="1" showInputMessage="1" showErrorMessage="1" sqref="E38">
      <formula1>"N.A."</formula1>
    </dataValidation>
    <dataValidation type="list" allowBlank="1" showInputMessage="1" showErrorMessage="1" sqref="E39">
      <formula1>"N.A."</formula1>
    </dataValidation>
    <dataValidation type="list" allowBlank="1" showInputMessage="1" showErrorMessage="1" sqref="E40">
      <formula1>"N.A."</formula1>
    </dataValidation>
    <dataValidation type="list" allowBlank="1" showInputMessage="1" showErrorMessage="1" sqref="E41">
      <formula1>"N.A."</formula1>
    </dataValidation>
    <dataValidation type="list" allowBlank="1" showInputMessage="1" showErrorMessage="1" sqref="E42">
      <formula1>"N.A."</formula1>
    </dataValidation>
    <dataValidation type="list" allowBlank="1" showInputMessage="1" showErrorMessage="1" sqref="E43">
      <formula1>"N.A."</formula1>
    </dataValidation>
    <dataValidation type="list" allowBlank="1" showInputMessage="1" showErrorMessage="1" sqref="E44">
      <formula1>"N.A."</formula1>
    </dataValidation>
    <dataValidation type="list" allowBlank="1" showInputMessage="1" showErrorMessage="1" sqref="E45">
      <formula1>"N.A."</formula1>
    </dataValidation>
    <dataValidation type="list" allowBlank="1" showInputMessage="1" showErrorMessage="1" sqref="E46">
      <formula1>"N.A."</formula1>
    </dataValidation>
    <dataValidation type="list" allowBlank="1" showInputMessage="1" showErrorMessage="1" sqref="E47">
      <formula1>"N.A."</formula1>
    </dataValidation>
    <dataValidation type="list" allowBlank="1" showInputMessage="1" showErrorMessage="1" sqref="E48">
      <formula1>"N.A."</formula1>
    </dataValidation>
    <dataValidation type="list" allowBlank="1" showInputMessage="1" showErrorMessage="1" sqref="E49">
      <formula1>"N.A."</formula1>
    </dataValidation>
    <dataValidation type="list" allowBlank="1" showInputMessage="1" showErrorMessage="1" sqref="E50">
      <formula1>"N.A."</formula1>
    </dataValidation>
    <dataValidation type="list" allowBlank="1" showInputMessage="1" showErrorMessage="1" sqref="E51">
      <formula1>"N.A."</formula1>
    </dataValidation>
    <dataValidation type="list" allowBlank="1" showInputMessage="1" showErrorMessage="1" sqref="E52">
      <formula1>"N.A."</formula1>
    </dataValidation>
    <dataValidation type="list" allowBlank="1" showInputMessage="1" showErrorMessage="1" sqref="E53">
      <formula1>"N.A."</formula1>
    </dataValidation>
    <dataValidation type="list" allowBlank="1" showInputMessage="1" showErrorMessage="1" sqref="E54">
      <formula1>"N.A."</formula1>
    </dataValidation>
    <dataValidation type="list" allowBlank="1" showInputMessage="1" showErrorMessage="1" sqref="E55">
      <formula1>"N.A."</formula1>
    </dataValidation>
    <dataValidation type="list" allowBlank="1" showInputMessage="1" showErrorMessage="1" sqref="E56">
      <formula1>"N.A."</formula1>
    </dataValidation>
    <dataValidation type="list" allowBlank="1" showInputMessage="1" showErrorMessage="1" sqref="E57">
      <formula1>"N.A."</formula1>
    </dataValidation>
    <dataValidation type="list" allowBlank="1" showInputMessage="1" showErrorMessage="1" sqref="E58">
      <formula1>"N.A."</formula1>
    </dataValidation>
    <dataValidation type="list" allowBlank="1" showInputMessage="1" showErrorMessage="1" sqref="E59">
      <formula1>"N.A."</formula1>
    </dataValidation>
    <dataValidation type="list" allowBlank="1" showInputMessage="1" showErrorMessage="1" sqref="E60">
      <formula1>"N.A."</formula1>
    </dataValidation>
    <dataValidation type="list" allowBlank="1" showInputMessage="1" showErrorMessage="1" sqref="E61">
      <formula1>"N.A."</formula1>
    </dataValidation>
    <dataValidation type="list" allowBlank="1" showInputMessage="1" showErrorMessage="1" sqref="E62">
      <formula1>"N.A."</formula1>
    </dataValidation>
    <dataValidation type="list" allowBlank="1" showInputMessage="1" showErrorMessage="1" sqref="E63">
      <formula1>"N.A."</formula1>
    </dataValidation>
    <dataValidation type="list" allowBlank="1" showInputMessage="1" showErrorMessage="1" sqref="E64">
      <formula1>"N.A."</formula1>
    </dataValidation>
    <dataValidation type="list" allowBlank="1" showInputMessage="1" showErrorMessage="1" sqref="E65">
      <formula1>"N.A."</formula1>
    </dataValidation>
    <dataValidation type="list" allowBlank="1" showInputMessage="1" showErrorMessage="1" sqref="E66">
      <formula1>"N.A."</formula1>
    </dataValidation>
    <dataValidation type="list" allowBlank="1" showInputMessage="1" showErrorMessage="1" sqref="E67">
      <formula1>"N.A."</formula1>
    </dataValidation>
    <dataValidation type="list" allowBlank="1" showInputMessage="1" showErrorMessage="1" sqref="E68">
      <formula1>"N.A."</formula1>
    </dataValidation>
    <dataValidation type="list" allowBlank="1" showInputMessage="1" showErrorMessage="1" sqref="E69">
      <formula1>"N.A."</formula1>
    </dataValidation>
    <dataValidation type="list" allowBlank="1" showInputMessage="1" showErrorMessage="1" sqref="E70">
      <formula1>"N.A."</formula1>
    </dataValidation>
    <dataValidation type="list" allowBlank="1" showInputMessage="1" showErrorMessage="1" sqref="E71">
      <formula1>"N.A."</formula1>
    </dataValidation>
    <dataValidation type="list" allowBlank="1" showInputMessage="1" showErrorMessage="1" sqref="E72">
      <formula1>"N.A."</formula1>
    </dataValidation>
    <dataValidation type="list" allowBlank="1" showInputMessage="1" showErrorMessage="1" sqref="E73">
      <formula1>"N.A."</formula1>
    </dataValidation>
    <dataValidation type="list" allowBlank="1" showInputMessage="1" showErrorMessage="1" sqref="E74">
      <formula1>"N.A."</formula1>
    </dataValidation>
    <dataValidation type="list" allowBlank="1" showInputMessage="1" showErrorMessage="1" sqref="E75">
      <formula1>"N.A."</formula1>
    </dataValidation>
    <dataValidation type="list" allowBlank="1" showInputMessage="1" showErrorMessage="1" sqref="E76">
      <formula1>"N.A."</formula1>
    </dataValidation>
    <dataValidation type="list" allowBlank="1" showInputMessage="1" showErrorMessage="1" sqref="E77">
      <formula1>"N.A."</formula1>
    </dataValidation>
    <dataValidation type="list" allowBlank="1" showInputMessage="1" showErrorMessage="1" sqref="E78">
      <formula1>"N.A."</formula1>
    </dataValidation>
    <dataValidation type="list" allowBlank="1" showInputMessage="1" showErrorMessage="1" sqref="E79">
      <formula1>"N.A."</formula1>
    </dataValidation>
    <dataValidation type="list" allowBlank="1" showInputMessage="1" showErrorMessage="1" sqref="E80">
      <formula1>"N.A."</formula1>
    </dataValidation>
    <dataValidation type="list" allowBlank="1" showInputMessage="1" showErrorMessage="1" sqref="E81">
      <formula1>"N.A."</formula1>
    </dataValidation>
    <dataValidation type="list" allowBlank="1" showInputMessage="1" showErrorMessage="1" sqref="E82">
      <formula1>"N.A."</formula1>
    </dataValidation>
    <dataValidation type="list" allowBlank="1" showInputMessage="1" showErrorMessage="1" sqref="E83">
      <formula1>"N.A."</formula1>
    </dataValidation>
    <dataValidation type="list" allowBlank="1" showInputMessage="1" showErrorMessage="1" sqref="E84">
      <formula1>"N.A."</formula1>
    </dataValidation>
    <dataValidation type="list" allowBlank="1" showInputMessage="1" showErrorMessage="1" sqref="E85">
      <formula1>"N.A."</formula1>
    </dataValidation>
    <dataValidation type="list" allowBlank="1" showInputMessage="1" showErrorMessage="1" sqref="E86">
      <formula1>"N.A."</formula1>
    </dataValidation>
    <dataValidation type="list" allowBlank="1" showInputMessage="1" showErrorMessage="1" sqref="E87">
      <formula1>"N.A."</formula1>
    </dataValidation>
    <dataValidation type="list" allowBlank="1" showInputMessage="1" showErrorMessage="1" sqref="E88">
      <formula1>"N.A."</formula1>
    </dataValidation>
    <dataValidation type="list" allowBlank="1" showInputMessage="1" showErrorMessage="1" sqref="E89">
      <formula1>"N.A."</formula1>
    </dataValidation>
    <dataValidation type="list" allowBlank="1" showInputMessage="1" showErrorMessage="1" sqref="E90">
      <formula1>"N.A."</formula1>
    </dataValidation>
    <dataValidation type="list" allowBlank="1" showInputMessage="1" showErrorMessage="1" sqref="E91">
      <formula1>"N.A."</formula1>
    </dataValidation>
    <dataValidation type="list" allowBlank="1" showInputMessage="1" showErrorMessage="1" sqref="E92">
      <formula1>"N.A."</formula1>
    </dataValidation>
    <dataValidation type="list" allowBlank="1" showInputMessage="1" showErrorMessage="1" sqref="E93">
      <formula1>"N.A."</formula1>
    </dataValidation>
    <dataValidation type="list" allowBlank="1" showInputMessage="1" showErrorMessage="1" sqref="E94">
      <formula1>"N.A."</formula1>
    </dataValidation>
    <dataValidation type="list" allowBlank="1" showInputMessage="1" showErrorMessage="1" sqref="E95">
      <formula1>"N.A."</formula1>
    </dataValidation>
    <dataValidation type="list" allowBlank="1" showInputMessage="1" showErrorMessage="1" sqref="E96">
      <formula1>"N.A."</formula1>
    </dataValidation>
    <dataValidation type="list" allowBlank="1" showInputMessage="1" showErrorMessage="1" sqref="E97">
      <formula1>"N.A."</formula1>
    </dataValidation>
    <dataValidation type="list" allowBlank="1" showInputMessage="1" showErrorMessage="1" sqref="E98">
      <formula1>"N.A."</formula1>
    </dataValidation>
    <dataValidation type="list" allowBlank="1" showInputMessage="1" showErrorMessage="1" sqref="E99">
      <formula1>"N.A."</formula1>
    </dataValidation>
    <dataValidation type="list" allowBlank="1" showInputMessage="1" showErrorMessage="1" sqref="E100">
      <formula1>"N.A."</formula1>
    </dataValidation>
    <dataValidation type="list" allowBlank="1" showInputMessage="1" showErrorMessage="1" sqref="E101">
      <formula1>"N.A."</formula1>
    </dataValidation>
    <dataValidation type="list" allowBlank="1" showInputMessage="1" showErrorMessage="1" sqref="E102">
      <formula1>"N.A."</formula1>
    </dataValidation>
    <dataValidation type="list" allowBlank="1" showInputMessage="1" showErrorMessage="1" sqref="E103">
      <formula1>"N.A."</formula1>
    </dataValidation>
    <dataValidation type="list" allowBlank="1" showInputMessage="1" showErrorMessage="1" sqref="E104">
      <formula1>"N.A."</formula1>
    </dataValidation>
    <dataValidation type="list" allowBlank="1" showInputMessage="1" showErrorMessage="1" sqref="E105">
      <formula1>"N.A."</formula1>
    </dataValidation>
    <dataValidation type="list" allowBlank="1" showInputMessage="1" showErrorMessage="1" sqref="E106">
      <formula1>"N.A."</formula1>
    </dataValidation>
    <dataValidation type="list" allowBlank="1" showInputMessage="1" showErrorMessage="1" sqref="E107">
      <formula1>"N.A."</formula1>
    </dataValidation>
    <dataValidation type="list" allowBlank="1" showInputMessage="1" showErrorMessage="1" sqref="E108">
      <formula1>"N.A."</formula1>
    </dataValidation>
    <dataValidation type="list" allowBlank="1" showInputMessage="1" showErrorMessage="1" sqref="E109">
      <formula1>"N.A."</formula1>
    </dataValidation>
    <dataValidation type="list" allowBlank="1" showInputMessage="1" showErrorMessage="1" sqref="E110">
      <formula1>"N.A."</formula1>
    </dataValidation>
    <dataValidation type="list" allowBlank="1" showInputMessage="1" showErrorMessage="1" sqref="E111">
      <formula1>"N.A."</formula1>
    </dataValidation>
    <dataValidation type="list" allowBlank="1" showInputMessage="1" showErrorMessage="1" sqref="E112">
      <formula1>"N.A."</formula1>
    </dataValidation>
    <dataValidation type="list" allowBlank="1" showInputMessage="1" showErrorMessage="1" sqref="E113">
      <formula1>"N.A."</formula1>
    </dataValidation>
    <dataValidation type="list" allowBlank="1" showInputMessage="1" showErrorMessage="1" sqref="E114">
      <formula1>"N.A."</formula1>
    </dataValidation>
    <dataValidation type="list" allowBlank="1" showInputMessage="1" showErrorMessage="1" sqref="E115">
      <formula1>"N.A."</formula1>
    </dataValidation>
    <dataValidation type="list" allowBlank="1" showInputMessage="1" showErrorMessage="1" sqref="E116">
      <formula1>"N.A."</formula1>
    </dataValidation>
    <dataValidation type="list" allowBlank="1" showInputMessage="1" showErrorMessage="1" sqref="E117">
      <formula1>"N.A."</formula1>
    </dataValidation>
    <dataValidation type="list" allowBlank="1" showInputMessage="1" showErrorMessage="1" sqref="E118">
      <formula1>"N.A."</formula1>
    </dataValidation>
    <dataValidation type="list" allowBlank="1" showInputMessage="1" showErrorMessage="1" sqref="E119">
      <formula1>"N.A."</formula1>
    </dataValidation>
    <dataValidation type="list" allowBlank="1" showInputMessage="1" showErrorMessage="1" sqref="E120">
      <formula1>"N.A."</formula1>
    </dataValidation>
    <dataValidation type="list" allowBlank="1" showInputMessage="1" showErrorMessage="1" sqref="E121">
      <formula1>"N.A."</formula1>
    </dataValidation>
    <dataValidation type="list" allowBlank="1" showInputMessage="1" showErrorMessage="1" sqref="E122">
      <formula1>"N.A."</formula1>
    </dataValidation>
    <dataValidation type="list" allowBlank="1" showInputMessage="1" showErrorMessage="1" sqref="E123">
      <formula1>"N.A."</formula1>
    </dataValidation>
    <dataValidation type="list" allowBlank="1" showInputMessage="1" showErrorMessage="1" sqref="E124">
      <formula1>"N.A."</formula1>
    </dataValidation>
    <dataValidation type="list" allowBlank="1" showInputMessage="1" showErrorMessage="1" sqref="E125">
      <formula1>"N.A."</formula1>
    </dataValidation>
    <dataValidation type="list" allowBlank="1" showInputMessage="1" showErrorMessage="1" sqref="E126">
      <formula1>"N.A."</formula1>
    </dataValidation>
    <dataValidation type="list" allowBlank="1" showInputMessage="1" showErrorMessage="1" sqref="E127">
      <formula1>"N.A."</formula1>
    </dataValidation>
    <dataValidation type="list" allowBlank="1" showInputMessage="1" showErrorMessage="1" sqref="E128">
      <formula1>"N.A."</formula1>
    </dataValidation>
    <dataValidation type="list" allowBlank="1" showInputMessage="1" showErrorMessage="1" sqref="E129">
      <formula1>"N.A."</formula1>
    </dataValidation>
    <dataValidation type="list" allowBlank="1" showInputMessage="1" showErrorMessage="1" sqref="E130">
      <formula1>"N.A."</formula1>
    </dataValidation>
    <dataValidation type="list" allowBlank="1" showInputMessage="1" showErrorMessage="1" sqref="E131">
      <formula1>"N.A."</formula1>
    </dataValidation>
    <dataValidation type="list" allowBlank="1" showInputMessage="1" showErrorMessage="1" sqref="E132">
      <formula1>"N.A."</formula1>
    </dataValidation>
    <dataValidation type="list" allowBlank="1" showInputMessage="1" showErrorMessage="1" sqref="E133">
      <formula1>"N.A."</formula1>
    </dataValidation>
    <dataValidation type="list" allowBlank="1" showInputMessage="1" showErrorMessage="1" sqref="E134">
      <formula1>"N.A."</formula1>
    </dataValidation>
    <dataValidation type="list" allowBlank="1" showInputMessage="1" showErrorMessage="1" sqref="E135">
      <formula1>"N.A."</formula1>
    </dataValidation>
    <dataValidation type="list" allowBlank="1" showInputMessage="1" showErrorMessage="1" sqref="E136">
      <formula1>"N.A."</formula1>
    </dataValidation>
    <dataValidation type="list" allowBlank="1" showInputMessage="1" showErrorMessage="1" sqref="E137">
      <formula1>"N.A."</formula1>
    </dataValidation>
    <dataValidation type="list" allowBlank="1" showInputMessage="1" showErrorMessage="1" sqref="E138">
      <formula1>"N.A."</formula1>
    </dataValidation>
    <dataValidation type="list" allowBlank="1" showInputMessage="1" showErrorMessage="1" sqref="E139">
      <formula1>"N.A."</formula1>
    </dataValidation>
    <dataValidation type="list" allowBlank="1" showInputMessage="1" showErrorMessage="1" sqref="E140">
      <formula1>"N.A."</formula1>
    </dataValidation>
    <dataValidation type="list" allowBlank="1" showInputMessage="1" showErrorMessage="1" sqref="E141">
      <formula1>"N.A."</formula1>
    </dataValidation>
    <dataValidation type="list" allowBlank="1" showInputMessage="1" showErrorMessage="1" sqref="E142">
      <formula1>"N.A."</formula1>
    </dataValidation>
    <dataValidation type="list" allowBlank="1" showInputMessage="1" showErrorMessage="1" sqref="E143">
      <formula1>"N.A."</formula1>
    </dataValidation>
    <dataValidation type="list" allowBlank="1" showInputMessage="1" showErrorMessage="1" sqref="E144">
      <formula1>"N.A."</formula1>
    </dataValidation>
    <dataValidation type="list" allowBlank="1" showInputMessage="1" showErrorMessage="1" sqref="E145">
      <formula1>"N.A."</formula1>
    </dataValidation>
    <dataValidation type="list" allowBlank="1" showInputMessage="1" showErrorMessage="1" sqref="E146">
      <formula1>"N.A."</formula1>
    </dataValidation>
    <dataValidation type="list" allowBlank="1" showInputMessage="1" showErrorMessage="1" sqref="E147">
      <formula1>"N.A."</formula1>
    </dataValidation>
    <dataValidation type="list" allowBlank="1" showInputMessage="1" showErrorMessage="1" sqref="E148">
      <formula1>"N.A."</formula1>
    </dataValidation>
    <dataValidation type="list" allowBlank="1" showInputMessage="1" showErrorMessage="1" sqref="E149">
      <formula1>"N.A."</formula1>
    </dataValidation>
    <dataValidation type="list" allowBlank="1" showInputMessage="1" showErrorMessage="1" sqref="E150">
      <formula1>"N.A."</formula1>
    </dataValidation>
    <dataValidation type="list" allowBlank="1" showInputMessage="1" showErrorMessage="1" sqref="E151">
      <formula1>"N.A."</formula1>
    </dataValidation>
    <dataValidation type="list" allowBlank="1" showInputMessage="1" showErrorMessage="1" sqref="E152">
      <formula1>"N.A."</formula1>
    </dataValidation>
    <dataValidation type="list" allowBlank="1" showInputMessage="1" showErrorMessage="1" sqref="E153">
      <formula1>"N.A."</formula1>
    </dataValidation>
    <dataValidation type="list" allowBlank="1" showInputMessage="1" showErrorMessage="1" sqref="E154">
      <formula1>"N.A."</formula1>
    </dataValidation>
    <dataValidation type="list" allowBlank="1" showInputMessage="1" showErrorMessage="1" sqref="E155">
      <formula1>"N.A."</formula1>
    </dataValidation>
    <dataValidation type="list" allowBlank="1" showInputMessage="1" showErrorMessage="1" sqref="E156">
      <formula1>"N.A."</formula1>
    </dataValidation>
    <dataValidation type="list" allowBlank="1" showInputMessage="1" showErrorMessage="1" sqref="E157">
      <formula1>"N.A."</formula1>
    </dataValidation>
    <dataValidation type="list" allowBlank="1" showInputMessage="1" showErrorMessage="1" sqref="E158">
      <formula1>"N.A."</formula1>
    </dataValidation>
    <dataValidation type="list" allowBlank="1" showInputMessage="1" showErrorMessage="1" sqref="E159">
      <formula1>"N.A."</formula1>
    </dataValidation>
    <dataValidation type="list" allowBlank="1" showInputMessage="1" showErrorMessage="1" sqref="E160">
      <formula1>"N.A."</formula1>
    </dataValidation>
    <dataValidation type="list" allowBlank="1" showInputMessage="1" showErrorMessage="1" sqref="E161">
      <formula1>"N.A."</formula1>
    </dataValidation>
    <dataValidation type="list" allowBlank="1" showInputMessage="1" showErrorMessage="1" sqref="E162">
      <formula1>"N.A."</formula1>
    </dataValidation>
    <dataValidation type="list" allowBlank="1" showInputMessage="1" showErrorMessage="1" sqref="E163">
      <formula1>"N.A."</formula1>
    </dataValidation>
    <dataValidation type="list" allowBlank="1" showInputMessage="1" showErrorMessage="1" sqref="E164">
      <formula1>"N.A."</formula1>
    </dataValidation>
    <dataValidation type="list" allowBlank="1" showInputMessage="1" showErrorMessage="1" sqref="E165">
      <formula1>"N.A."</formula1>
    </dataValidation>
    <dataValidation type="list" allowBlank="1" showInputMessage="1" showErrorMessage="1" sqref="E166">
      <formula1>"N.A."</formula1>
    </dataValidation>
    <dataValidation type="list" allowBlank="1" showInputMessage="1" showErrorMessage="1" sqref="E167">
      <formula1>"N.A."</formula1>
    </dataValidation>
    <dataValidation type="list" allowBlank="1" showInputMessage="1" showErrorMessage="1" sqref="E168">
      <formula1>"N.A."</formula1>
    </dataValidation>
    <dataValidation type="list" allowBlank="1" showInputMessage="1" showErrorMessage="1" sqref="E169">
      <formula1>"N.A."</formula1>
    </dataValidation>
    <dataValidation type="list" allowBlank="1" showInputMessage="1" showErrorMessage="1" sqref="E170">
      <formula1>"N.A."</formula1>
    </dataValidation>
    <dataValidation type="list" allowBlank="1" showInputMessage="1" showErrorMessage="1" sqref="E171">
      <formula1>"N.A."</formula1>
    </dataValidation>
    <dataValidation type="list" allowBlank="1" showInputMessage="1" showErrorMessage="1" sqref="E172">
      <formula1>"N.A."</formula1>
    </dataValidation>
    <dataValidation type="list" allowBlank="1" showInputMessage="1" showErrorMessage="1" sqref="E173">
      <formula1>"N.A."</formula1>
    </dataValidation>
    <dataValidation type="list" allowBlank="1" showInputMessage="1" showErrorMessage="1" sqref="E174">
      <formula1>"N.A."</formula1>
    </dataValidation>
    <dataValidation type="list" allowBlank="1" showInputMessage="1" showErrorMessage="1" sqref="E175">
      <formula1>"N.A."</formula1>
    </dataValidation>
    <dataValidation type="list" allowBlank="1" showInputMessage="1" showErrorMessage="1" sqref="E176">
      <formula1>"N.A."</formula1>
    </dataValidation>
    <dataValidation type="list" allowBlank="1" showInputMessage="1" showErrorMessage="1" sqref="E177">
      <formula1>"N.A."</formula1>
    </dataValidation>
    <dataValidation type="list" allowBlank="1" showInputMessage="1" showErrorMessage="1" sqref="E178">
      <formula1>"N.A."</formula1>
    </dataValidation>
    <dataValidation type="list" allowBlank="1" showInputMessage="1" showErrorMessage="1" sqref="E179">
      <formula1>"N.A."</formula1>
    </dataValidation>
    <dataValidation type="list" allowBlank="1" showInputMessage="1" showErrorMessage="1" sqref="E180">
      <formula1>"N.A."</formula1>
    </dataValidation>
    <dataValidation type="list" allowBlank="1" showInputMessage="1" showErrorMessage="1" sqref="E181">
      <formula1>"N.A."</formula1>
    </dataValidation>
    <dataValidation type="list" allowBlank="1" showInputMessage="1" showErrorMessage="1" sqref="E182">
      <formula1>"N.A."</formula1>
    </dataValidation>
    <dataValidation type="list" allowBlank="1" showInputMessage="1" showErrorMessage="1" sqref="E183">
      <formula1>"N.A."</formula1>
    </dataValidation>
    <dataValidation type="list" allowBlank="1" showInputMessage="1" showErrorMessage="1" sqref="E184">
      <formula1>"N.A."</formula1>
    </dataValidation>
    <dataValidation type="list" allowBlank="1" showInputMessage="1" showErrorMessage="1" sqref="E185">
      <formula1>"N.A."</formula1>
    </dataValidation>
    <dataValidation type="list" allowBlank="1" showInputMessage="1" showErrorMessage="1" sqref="E186">
      <formula1>"N.A."</formula1>
    </dataValidation>
    <dataValidation type="list" allowBlank="1" showInputMessage="1" showErrorMessage="1" sqref="E187">
      <formula1>"N.A."</formula1>
    </dataValidation>
    <dataValidation type="list" allowBlank="1" showInputMessage="1" showErrorMessage="1" sqref="E188">
      <formula1>"N.A."</formula1>
    </dataValidation>
    <dataValidation type="list" allowBlank="1" showInputMessage="1" showErrorMessage="1" sqref="E189">
      <formula1>"N.A."</formula1>
    </dataValidation>
    <dataValidation type="list" allowBlank="1" showInputMessage="1" showErrorMessage="1" sqref="E190">
      <formula1>"N.A."</formula1>
    </dataValidation>
    <dataValidation type="list" allowBlank="1" showInputMessage="1" showErrorMessage="1" sqref="E191">
      <formula1>"N.A."</formula1>
    </dataValidation>
    <dataValidation type="list" allowBlank="1" showInputMessage="1" showErrorMessage="1" sqref="E192">
      <formula1>"N.A."</formula1>
    </dataValidation>
    <dataValidation type="list" allowBlank="1" showInputMessage="1" showErrorMessage="1" sqref="E193">
      <formula1>"N.A."</formula1>
    </dataValidation>
    <dataValidation type="list" allowBlank="1" showInputMessage="1" showErrorMessage="1" sqref="E194">
      <formula1>"N.A."</formula1>
    </dataValidation>
    <dataValidation type="list" allowBlank="1" showInputMessage="1" showErrorMessage="1" sqref="E195">
      <formula1>"N.A."</formula1>
    </dataValidation>
    <dataValidation type="list" allowBlank="1" showInputMessage="1" showErrorMessage="1" sqref="E196">
      <formula1>"N.A."</formula1>
    </dataValidation>
    <dataValidation type="list" allowBlank="1" showInputMessage="1" showErrorMessage="1" sqref="E197">
      <formula1>"N.A."</formula1>
    </dataValidation>
    <dataValidation type="list" allowBlank="1" showInputMessage="1" showErrorMessage="1" sqref="E198">
      <formula1>"N.A."</formula1>
    </dataValidation>
    <dataValidation type="list" allowBlank="1" showInputMessage="1" showErrorMessage="1" sqref="E199">
      <formula1>"N.A."</formula1>
    </dataValidation>
    <dataValidation type="list" allowBlank="1" showInputMessage="1" showErrorMessage="1" sqref="E200">
      <formula1>"N.A."</formula1>
    </dataValidation>
    <dataValidation type="list" allowBlank="1" showInputMessage="1" showErrorMessage="1" sqref="E201">
      <formula1>"N.A."</formula1>
    </dataValidation>
    <dataValidation type="list" allowBlank="1" showInputMessage="1" showErrorMessage="1" sqref="E202">
      <formula1>"N.A."</formula1>
    </dataValidation>
    <dataValidation type="list" allowBlank="1" showInputMessage="1" showErrorMessage="1" sqref="E203">
      <formula1>"N.A."</formula1>
    </dataValidation>
    <dataValidation type="list" allowBlank="1" showInputMessage="1" showErrorMessage="1" sqref="E204">
      <formula1>"N.A."</formula1>
    </dataValidation>
    <dataValidation type="list" allowBlank="1" showInputMessage="1" showErrorMessage="1" sqref="E205">
      <formula1>"N.A."</formula1>
    </dataValidation>
    <dataValidation type="list" allowBlank="1" showInputMessage="1" showErrorMessage="1" sqref="E206">
      <formula1>"N.A."</formula1>
    </dataValidation>
    <dataValidation type="list" allowBlank="1" showInputMessage="1" showErrorMessage="1" sqref="E207">
      <formula1>"N.A."</formula1>
    </dataValidation>
    <dataValidation type="list" allowBlank="1" showInputMessage="1" showErrorMessage="1" sqref="E208">
      <formula1>"N.A."</formula1>
    </dataValidation>
    <dataValidation type="list" allowBlank="1" showInputMessage="1" showErrorMessage="1" sqref="E209">
      <formula1>"N.A."</formula1>
    </dataValidation>
    <dataValidation type="list" allowBlank="1" showInputMessage="1" showErrorMessage="1" sqref="E210">
      <formula1>"N.A."</formula1>
    </dataValidation>
    <dataValidation type="list" allowBlank="1" showInputMessage="1" showErrorMessage="1" sqref="E211">
      <formula1>"N.A."</formula1>
    </dataValidation>
    <dataValidation type="list" allowBlank="1" showInputMessage="1" showErrorMessage="1" sqref="E212">
      <formula1>"N.A."</formula1>
    </dataValidation>
    <dataValidation type="list" allowBlank="1" showInputMessage="1" showErrorMessage="1" sqref="E213">
      <formula1>"N.A."</formula1>
    </dataValidation>
    <dataValidation type="list" allowBlank="1" showInputMessage="1" showErrorMessage="1" sqref="E214">
      <formula1>"N.A."</formula1>
    </dataValidation>
    <dataValidation type="list" allowBlank="1" showInputMessage="1" showErrorMessage="1" sqref="E215">
      <formula1>"N.A."</formula1>
    </dataValidation>
    <dataValidation type="list" allowBlank="1" showInputMessage="1" showErrorMessage="1" sqref="E216">
      <formula1>"N.A."</formula1>
    </dataValidation>
    <dataValidation type="list" allowBlank="1" showInputMessage="1" showErrorMessage="1" sqref="B222">
      <formula1>"Y,N"</formula1>
    </dataValidation>
    <dataValidation type="list" allowBlank="1" showInputMessage="1" showErrorMessage="1" sqref="C222">
      <formula1>"Y,N"</formula1>
    </dataValidation>
    <dataValidation type="list" allowBlank="1" showInputMessage="1" showErrorMessage="1" sqref="D222">
      <formula1>"Y,N"</formula1>
    </dataValidation>
    <dataValidation type="list" allowBlank="1" showInputMessage="1" showErrorMessage="1" sqref="E222">
      <formula1>"Y,N"</formula1>
    </dataValidation>
    <dataValidation type="list" allowBlank="1" showInputMessage="1" showErrorMessage="1" sqref="F222">
      <formula1>"Y,N"</formula1>
    </dataValidation>
    <dataValidation type="list" allowBlank="1" showInputMessage="1" showErrorMessage="1" sqref="G222">
      <formula1>"Y,N"</formula1>
    </dataValidation>
    <dataValidation type="list" allowBlank="1" showInputMessage="1" showErrorMessage="1" sqref="H222">
      <formula1>"Y,N"</formula1>
    </dataValidation>
    <dataValidation type="list" allowBlank="1" showInputMessage="1" showErrorMessage="1" sqref="I222">
      <formula1>"Y,N"</formula1>
    </dataValidation>
    <dataValidation type="list" allowBlank="1" showInputMessage="1" showErrorMessage="1" sqref="J222">
      <formula1>"Y,N"</formula1>
    </dataValidation>
    <dataValidation type="list" allowBlank="1" showInputMessage="1" showErrorMessage="1" sqref="K222">
      <formula1>"Y,N"</formula1>
    </dataValidation>
    <dataValidation type="list" allowBlank="1" showInputMessage="1" showErrorMessage="1" sqref="L222">
      <formula1>"Y,N"</formula1>
    </dataValidation>
    <dataValidation type="list" allowBlank="1" showInputMessage="1" showErrorMessage="1" sqref="M222">
      <formula1>"Y,N"</formula1>
    </dataValidation>
    <dataValidation type="list" allowBlank="1" showInputMessage="1" showErrorMessage="1" sqref="N222">
      <formula1>"Y,N"</formula1>
    </dataValidation>
    <dataValidation type="list" allowBlank="1" showInputMessage="1" showErrorMessage="1" sqref="O222">
      <formula1>"Y,N"</formula1>
    </dataValidation>
    <dataValidation type="list" allowBlank="1" showInputMessage="1" showErrorMessage="1" sqref="B223">
      <formula1>"Y,N"</formula1>
    </dataValidation>
    <dataValidation type="list" allowBlank="1" showInputMessage="1" showErrorMessage="1" sqref="C223">
      <formula1>"Y,N"</formula1>
    </dataValidation>
    <dataValidation type="list" allowBlank="1" showInputMessage="1" showErrorMessage="1" sqref="D223">
      <formula1>"Y,N"</formula1>
    </dataValidation>
    <dataValidation type="list" allowBlank="1" showInputMessage="1" showErrorMessage="1" sqref="E223">
      <formula1>"Y,N"</formula1>
    </dataValidation>
    <dataValidation type="list" allowBlank="1" showInputMessage="1" showErrorMessage="1" sqref="F223">
      <formula1>"Y,N"</formula1>
    </dataValidation>
    <dataValidation type="list" allowBlank="1" showInputMessage="1" showErrorMessage="1" sqref="G223">
      <formula1>"Y,N"</formula1>
    </dataValidation>
    <dataValidation type="list" allowBlank="1" showInputMessage="1" showErrorMessage="1" sqref="H223">
      <formula1>"Y,N"</formula1>
    </dataValidation>
    <dataValidation type="list" allowBlank="1" showInputMessage="1" showErrorMessage="1" sqref="I223">
      <formula1>"Y,N"</formula1>
    </dataValidation>
    <dataValidation type="list" allowBlank="1" showInputMessage="1" showErrorMessage="1" sqref="J223">
      <formula1>"Y,N"</formula1>
    </dataValidation>
    <dataValidation type="list" allowBlank="1" showInputMessage="1" showErrorMessage="1" sqref="K223">
      <formula1>"Y,N"</formula1>
    </dataValidation>
    <dataValidation type="list" allowBlank="1" showInputMessage="1" showErrorMessage="1" sqref="L223">
      <formula1>"Y,N"</formula1>
    </dataValidation>
    <dataValidation type="list" allowBlank="1" showInputMessage="1" showErrorMessage="1" sqref="M223">
      <formula1>"Y,N"</formula1>
    </dataValidation>
    <dataValidation type="list" allowBlank="1" showInputMessage="1" showErrorMessage="1" sqref="N223">
      <formula1>"Y,N"</formula1>
    </dataValidation>
    <dataValidation type="list" allowBlank="1" showInputMessage="1" showErrorMessage="1" sqref="O223">
      <formula1>"Y,N"</formula1>
    </dataValidation>
    <dataValidation type="list" allowBlank="1" showInputMessage="1" showErrorMessage="1" sqref="B224">
      <formula1>"Y,N"</formula1>
    </dataValidation>
    <dataValidation type="list" allowBlank="1" showInputMessage="1" showErrorMessage="1" sqref="C224">
      <formula1>"Y,N"</formula1>
    </dataValidation>
    <dataValidation type="list" allowBlank="1" showInputMessage="1" showErrorMessage="1" sqref="D224">
      <formula1>"Y,N"</formula1>
    </dataValidation>
    <dataValidation type="list" allowBlank="1" showInputMessage="1" showErrorMessage="1" sqref="E224">
      <formula1>"Y,N"</formula1>
    </dataValidation>
    <dataValidation type="list" allowBlank="1" showInputMessage="1" showErrorMessage="1" sqref="F224">
      <formula1>"Y,N"</formula1>
    </dataValidation>
    <dataValidation type="list" allowBlank="1" showInputMessage="1" showErrorMessage="1" sqref="G224">
      <formula1>"Y,N"</formula1>
    </dataValidation>
    <dataValidation type="list" allowBlank="1" showInputMessage="1" showErrorMessage="1" sqref="H224">
      <formula1>"Y,N"</formula1>
    </dataValidation>
    <dataValidation type="list" allowBlank="1" showInputMessage="1" showErrorMessage="1" sqref="I224">
      <formula1>"Y,N"</formula1>
    </dataValidation>
    <dataValidation type="list" allowBlank="1" showInputMessage="1" showErrorMessage="1" sqref="J224">
      <formula1>"Y,N"</formula1>
    </dataValidation>
    <dataValidation type="list" allowBlank="1" showInputMessage="1" showErrorMessage="1" sqref="K224">
      <formula1>"Y,N"</formula1>
    </dataValidation>
    <dataValidation type="list" allowBlank="1" showInputMessage="1" showErrorMessage="1" sqref="L224">
      <formula1>"Y,N"</formula1>
    </dataValidation>
    <dataValidation type="list" allowBlank="1" showInputMessage="1" showErrorMessage="1" sqref="M224">
      <formula1>"Y,N"</formula1>
    </dataValidation>
    <dataValidation type="list" allowBlank="1" showInputMessage="1" showErrorMessage="1" sqref="N224">
      <formula1>"Y,N"</formula1>
    </dataValidation>
    <dataValidation type="list" allowBlank="1" showInputMessage="1" showErrorMessage="1" sqref="O224">
      <formula1>"Y,N"</formula1>
    </dataValidation>
    <dataValidation type="list" allowBlank="1" showInputMessage="1" showErrorMessage="1" sqref="B225">
      <formula1>"Y,N"</formula1>
    </dataValidation>
    <dataValidation type="list" allowBlank="1" showInputMessage="1" showErrorMessage="1" sqref="C225">
      <formula1>"Y,N"</formula1>
    </dataValidation>
    <dataValidation type="list" allowBlank="1" showInputMessage="1" showErrorMessage="1" sqref="D225">
      <formula1>"Y,N"</formula1>
    </dataValidation>
    <dataValidation type="list" allowBlank="1" showInputMessage="1" showErrorMessage="1" sqref="E225">
      <formula1>"Y,N"</formula1>
    </dataValidation>
    <dataValidation type="list" allowBlank="1" showInputMessage="1" showErrorMessage="1" sqref="F225">
      <formula1>"Y,N"</formula1>
    </dataValidation>
    <dataValidation type="list" allowBlank="1" showInputMessage="1" showErrorMessage="1" sqref="G225">
      <formula1>"Y,N"</formula1>
    </dataValidation>
    <dataValidation type="list" allowBlank="1" showInputMessage="1" showErrorMessage="1" sqref="H225">
      <formula1>"Y,N"</formula1>
    </dataValidation>
    <dataValidation type="list" allowBlank="1" showInputMessage="1" showErrorMessage="1" sqref="I225">
      <formula1>"Y,N"</formula1>
    </dataValidation>
    <dataValidation type="list" allowBlank="1" showInputMessage="1" showErrorMessage="1" sqref="J225">
      <formula1>"Y,N"</formula1>
    </dataValidation>
    <dataValidation type="list" allowBlank="1" showInputMessage="1" showErrorMessage="1" sqref="K225">
      <formula1>"Y,N"</formula1>
    </dataValidation>
    <dataValidation type="list" allowBlank="1" showInputMessage="1" showErrorMessage="1" sqref="L225">
      <formula1>"Y,N"</formula1>
    </dataValidation>
    <dataValidation type="list" allowBlank="1" showInputMessage="1" showErrorMessage="1" sqref="M225">
      <formula1>"Y,N"</formula1>
    </dataValidation>
    <dataValidation type="list" allowBlank="1" showInputMessage="1" showErrorMessage="1" sqref="N225">
      <formula1>"Y,N"</formula1>
    </dataValidation>
    <dataValidation type="list" allowBlank="1" showInputMessage="1" showErrorMessage="1" sqref="O225">
      <formula1>"Y,N"</formula1>
    </dataValidation>
    <dataValidation type="list" allowBlank="1" showInputMessage="1" showErrorMessage="1" sqref="B226">
      <formula1>"Y,N"</formula1>
    </dataValidation>
    <dataValidation type="list" allowBlank="1" showInputMessage="1" showErrorMessage="1" sqref="C226">
      <formula1>"Y,N"</formula1>
    </dataValidation>
    <dataValidation type="list" allowBlank="1" showInputMessage="1" showErrorMessage="1" sqref="D226">
      <formula1>"Y,N"</formula1>
    </dataValidation>
    <dataValidation type="list" allowBlank="1" showInputMessage="1" showErrorMessage="1" sqref="E226">
      <formula1>"Y,N"</formula1>
    </dataValidation>
    <dataValidation type="list" allowBlank="1" showInputMessage="1" showErrorMessage="1" sqref="F226">
      <formula1>"Y,N"</formula1>
    </dataValidation>
    <dataValidation type="list" allowBlank="1" showInputMessage="1" showErrorMessage="1" sqref="G226">
      <formula1>"Y,N"</formula1>
    </dataValidation>
    <dataValidation type="list" allowBlank="1" showInputMessage="1" showErrorMessage="1" sqref="H226">
      <formula1>"Y,N"</formula1>
    </dataValidation>
    <dataValidation type="list" allowBlank="1" showInputMessage="1" showErrorMessage="1" sqref="I226">
      <formula1>"Y,N"</formula1>
    </dataValidation>
    <dataValidation type="list" allowBlank="1" showInputMessage="1" showErrorMessage="1" sqref="J226">
      <formula1>"Y,N"</formula1>
    </dataValidation>
    <dataValidation type="list" allowBlank="1" showInputMessage="1" showErrorMessage="1" sqref="K226">
      <formula1>"Y,N"</formula1>
    </dataValidation>
    <dataValidation type="list" allowBlank="1" showInputMessage="1" showErrorMessage="1" sqref="L226">
      <formula1>"Y,N"</formula1>
    </dataValidation>
    <dataValidation type="list" allowBlank="1" showInputMessage="1" showErrorMessage="1" sqref="M226">
      <formula1>"Y,N"</formula1>
    </dataValidation>
    <dataValidation type="list" allowBlank="1" showInputMessage="1" showErrorMessage="1" sqref="N226">
      <formula1>"Y,N"</formula1>
    </dataValidation>
    <dataValidation type="list" allowBlank="1" showInputMessage="1" showErrorMessage="1" sqref="O226">
      <formula1>"Y,N"</formula1>
    </dataValidation>
    <dataValidation type="list" allowBlank="1" showInputMessage="1" showErrorMessage="1" sqref="B227">
      <formula1>"Y,N"</formula1>
    </dataValidation>
    <dataValidation type="list" allowBlank="1" showInputMessage="1" showErrorMessage="1" sqref="C227">
      <formula1>"Y,N"</formula1>
    </dataValidation>
    <dataValidation type="list" allowBlank="1" showInputMessage="1" showErrorMessage="1" sqref="D227">
      <formula1>"Y,N"</formula1>
    </dataValidation>
    <dataValidation type="list" allowBlank="1" showInputMessage="1" showErrorMessage="1" sqref="E227">
      <formula1>"Y,N"</formula1>
    </dataValidation>
    <dataValidation type="list" allowBlank="1" showInputMessage="1" showErrorMessage="1" sqref="F227">
      <formula1>"Y,N"</formula1>
    </dataValidation>
    <dataValidation type="list" allowBlank="1" showInputMessage="1" showErrorMessage="1" sqref="G227">
      <formula1>"Y,N"</formula1>
    </dataValidation>
    <dataValidation type="list" allowBlank="1" showInputMessage="1" showErrorMessage="1" sqref="H227">
      <formula1>"Y,N"</formula1>
    </dataValidation>
    <dataValidation type="list" allowBlank="1" showInputMessage="1" showErrorMessage="1" sqref="I227">
      <formula1>"Y,N"</formula1>
    </dataValidation>
    <dataValidation type="list" allowBlank="1" showInputMessage="1" showErrorMessage="1" sqref="J227">
      <formula1>"Y,N"</formula1>
    </dataValidation>
    <dataValidation type="list" allowBlank="1" showInputMessage="1" showErrorMessage="1" sqref="K227">
      <formula1>"Y,N"</formula1>
    </dataValidation>
    <dataValidation type="list" allowBlank="1" showInputMessage="1" showErrorMessage="1" sqref="L227">
      <formula1>"Y,N"</formula1>
    </dataValidation>
    <dataValidation type="list" allowBlank="1" showInputMessage="1" showErrorMessage="1" sqref="M227">
      <formula1>"Y,N"</formula1>
    </dataValidation>
    <dataValidation type="list" allowBlank="1" showInputMessage="1" showErrorMessage="1" sqref="N227">
      <formula1>"Y,N"</formula1>
    </dataValidation>
    <dataValidation type="list" allowBlank="1" showInputMessage="1" showErrorMessage="1" sqref="O227">
      <formula1>"Y,N"</formula1>
    </dataValidation>
    <dataValidation type="list" allowBlank="1" showInputMessage="1" showErrorMessage="1" sqref="B228">
      <formula1>"Y,N"</formula1>
    </dataValidation>
    <dataValidation type="list" allowBlank="1" showInputMessage="1" showErrorMessage="1" sqref="C228">
      <formula1>"Y,N"</formula1>
    </dataValidation>
    <dataValidation type="list" allowBlank="1" showInputMessage="1" showErrorMessage="1" sqref="D228">
      <formula1>"Y,N"</formula1>
    </dataValidation>
    <dataValidation type="list" allowBlank="1" showInputMessage="1" showErrorMessage="1" sqref="E228">
      <formula1>"Y,N"</formula1>
    </dataValidation>
    <dataValidation type="list" allowBlank="1" showInputMessage="1" showErrorMessage="1" sqref="F228">
      <formula1>"Y,N"</formula1>
    </dataValidation>
    <dataValidation type="list" allowBlank="1" showInputMessage="1" showErrorMessage="1" sqref="G228">
      <formula1>"Y,N"</formula1>
    </dataValidation>
    <dataValidation type="list" allowBlank="1" showInputMessage="1" showErrorMessage="1" sqref="H228">
      <formula1>"Y,N"</formula1>
    </dataValidation>
    <dataValidation type="list" allowBlank="1" showInputMessage="1" showErrorMessage="1" sqref="I228">
      <formula1>"Y,N"</formula1>
    </dataValidation>
    <dataValidation type="list" allowBlank="1" showInputMessage="1" showErrorMessage="1" sqref="J228">
      <formula1>"Y,N"</formula1>
    </dataValidation>
    <dataValidation type="list" allowBlank="1" showInputMessage="1" showErrorMessage="1" sqref="K228">
      <formula1>"Y,N"</formula1>
    </dataValidation>
    <dataValidation type="list" allowBlank="1" showInputMessage="1" showErrorMessage="1" sqref="L228">
      <formula1>"Y,N"</formula1>
    </dataValidation>
    <dataValidation type="list" allowBlank="1" showInputMessage="1" showErrorMessage="1" sqref="M228">
      <formula1>"Y,N"</formula1>
    </dataValidation>
    <dataValidation type="list" allowBlank="1" showInputMessage="1" showErrorMessage="1" sqref="N228">
      <formula1>"Y,N"</formula1>
    </dataValidation>
    <dataValidation type="list" allowBlank="1" showInputMessage="1" showErrorMessage="1" sqref="O228">
      <formula1>"Y,N"</formula1>
    </dataValidation>
    <dataValidation type="list" allowBlank="1" showInputMessage="1" showErrorMessage="1" sqref="B229">
      <formula1>"Y,N"</formula1>
    </dataValidation>
    <dataValidation type="list" allowBlank="1" showInputMessage="1" showErrorMessage="1" sqref="C229">
      <formula1>"Y,N"</formula1>
    </dataValidation>
    <dataValidation type="list" allowBlank="1" showInputMessage="1" showErrorMessage="1" sqref="D229">
      <formula1>"Y,N"</formula1>
    </dataValidation>
    <dataValidation type="list" allowBlank="1" showInputMessage="1" showErrorMessage="1" sqref="E229">
      <formula1>"Y,N"</formula1>
    </dataValidation>
    <dataValidation type="list" allowBlank="1" showInputMessage="1" showErrorMessage="1" sqref="F229">
      <formula1>"Y,N"</formula1>
    </dataValidation>
    <dataValidation type="list" allowBlank="1" showInputMessage="1" showErrorMessage="1" sqref="G229">
      <formula1>"Y,N"</formula1>
    </dataValidation>
    <dataValidation type="list" allowBlank="1" showInputMessage="1" showErrorMessage="1" sqref="H229">
      <formula1>"Y,N"</formula1>
    </dataValidation>
    <dataValidation type="list" allowBlank="1" showInputMessage="1" showErrorMessage="1" sqref="I229">
      <formula1>"Y,N"</formula1>
    </dataValidation>
    <dataValidation type="list" allowBlank="1" showInputMessage="1" showErrorMessage="1" sqref="J229">
      <formula1>"Y,N"</formula1>
    </dataValidation>
    <dataValidation type="list" allowBlank="1" showInputMessage="1" showErrorMessage="1" sqref="K229">
      <formula1>"Y,N"</formula1>
    </dataValidation>
    <dataValidation type="list" allowBlank="1" showInputMessage="1" showErrorMessage="1" sqref="L229">
      <formula1>"Y,N"</formula1>
    </dataValidation>
    <dataValidation type="list" allowBlank="1" showInputMessage="1" showErrorMessage="1" sqref="M229">
      <formula1>"Y,N"</formula1>
    </dataValidation>
    <dataValidation type="list" allowBlank="1" showInputMessage="1" showErrorMessage="1" sqref="N229">
      <formula1>"Y,N"</formula1>
    </dataValidation>
    <dataValidation type="list" allowBlank="1" showInputMessage="1" showErrorMessage="1" sqref="O229">
      <formula1>"Y,N"</formula1>
    </dataValidation>
    <dataValidation type="list" allowBlank="1" showInputMessage="1" showErrorMessage="1" sqref="B230">
      <formula1>"Y,N"</formula1>
    </dataValidation>
    <dataValidation type="list" allowBlank="1" showInputMessage="1" showErrorMessage="1" sqref="C230">
      <formula1>"Y,N"</formula1>
    </dataValidation>
    <dataValidation type="list" allowBlank="1" showInputMessage="1" showErrorMessage="1" sqref="D230">
      <formula1>"Y,N"</formula1>
    </dataValidation>
    <dataValidation type="list" allowBlank="1" showInputMessage="1" showErrorMessage="1" sqref="E230">
      <formula1>"Y,N"</formula1>
    </dataValidation>
    <dataValidation type="list" allowBlank="1" showInputMessage="1" showErrorMessage="1" sqref="F230">
      <formula1>"Y,N"</formula1>
    </dataValidation>
    <dataValidation type="list" allowBlank="1" showInputMessage="1" showErrorMessage="1" sqref="G230">
      <formula1>"Y,N"</formula1>
    </dataValidation>
    <dataValidation type="list" allowBlank="1" showInputMessage="1" showErrorMessage="1" sqref="H230">
      <formula1>"Y,N"</formula1>
    </dataValidation>
    <dataValidation type="list" allowBlank="1" showInputMessage="1" showErrorMessage="1" sqref="I230">
      <formula1>"Y,N"</formula1>
    </dataValidation>
    <dataValidation type="list" allowBlank="1" showInputMessage="1" showErrorMessage="1" sqref="J230">
      <formula1>"Y,N"</formula1>
    </dataValidation>
    <dataValidation type="list" allowBlank="1" showInputMessage="1" showErrorMessage="1" sqref="K230">
      <formula1>"Y,N"</formula1>
    </dataValidation>
    <dataValidation type="list" allowBlank="1" showInputMessage="1" showErrorMessage="1" sqref="L230">
      <formula1>"Y,N"</formula1>
    </dataValidation>
    <dataValidation type="list" allowBlank="1" showInputMessage="1" showErrorMessage="1" sqref="M230">
      <formula1>"Y,N"</formula1>
    </dataValidation>
    <dataValidation type="list" allowBlank="1" showInputMessage="1" showErrorMessage="1" sqref="N230">
      <formula1>"Y,N"</formula1>
    </dataValidation>
    <dataValidation type="list" allowBlank="1" showInputMessage="1" showErrorMessage="1" sqref="O230">
      <formula1>"Y,N"</formula1>
    </dataValidation>
    <dataValidation type="list" allowBlank="1" showInputMessage="1" showErrorMessage="1" sqref="B231">
      <formula1>"Y,N"</formula1>
    </dataValidation>
    <dataValidation type="list" allowBlank="1" showInputMessage="1" showErrorMessage="1" sqref="C231">
      <formula1>"Y,N"</formula1>
    </dataValidation>
    <dataValidation type="list" allowBlank="1" showInputMessage="1" showErrorMessage="1" sqref="D231">
      <formula1>"Y,N"</formula1>
    </dataValidation>
    <dataValidation type="list" allowBlank="1" showInputMessage="1" showErrorMessage="1" sqref="E231">
      <formula1>"Y,N"</formula1>
    </dataValidation>
    <dataValidation type="list" allowBlank="1" showInputMessage="1" showErrorMessage="1" sqref="F231">
      <formula1>"Y,N"</formula1>
    </dataValidation>
    <dataValidation type="list" allowBlank="1" showInputMessage="1" showErrorMessage="1" sqref="G231">
      <formula1>"Y,N"</formula1>
    </dataValidation>
    <dataValidation type="list" allowBlank="1" showInputMessage="1" showErrorMessage="1" sqref="H231">
      <formula1>"Y,N"</formula1>
    </dataValidation>
    <dataValidation type="list" allowBlank="1" showInputMessage="1" showErrorMessage="1" sqref="I231">
      <formula1>"Y,N"</formula1>
    </dataValidation>
    <dataValidation type="list" allowBlank="1" showInputMessage="1" showErrorMessage="1" sqref="J231">
      <formula1>"Y,N"</formula1>
    </dataValidation>
    <dataValidation type="list" allowBlank="1" showInputMessage="1" showErrorMessage="1" sqref="K231">
      <formula1>"Y,N"</formula1>
    </dataValidation>
    <dataValidation type="list" allowBlank="1" showInputMessage="1" showErrorMessage="1" sqref="L231">
      <formula1>"Y,N"</formula1>
    </dataValidation>
    <dataValidation type="list" allowBlank="1" showInputMessage="1" showErrorMessage="1" sqref="M231">
      <formula1>"Y,N"</formula1>
    </dataValidation>
    <dataValidation type="list" allowBlank="1" showInputMessage="1" showErrorMessage="1" sqref="N231">
      <formula1>"Y,N"</formula1>
    </dataValidation>
    <dataValidation type="list" allowBlank="1" showInputMessage="1" showErrorMessage="1" sqref="O231">
      <formula1>"Y,N"</formula1>
    </dataValidation>
    <dataValidation type="list" allowBlank="1" showInputMessage="1" showErrorMessage="1" sqref="B232">
      <formula1>"Y,N"</formula1>
    </dataValidation>
    <dataValidation type="list" allowBlank="1" showInputMessage="1" showErrorMessage="1" sqref="C232">
      <formula1>"Y,N"</formula1>
    </dataValidation>
    <dataValidation type="list" allowBlank="1" showInputMessage="1" showErrorMessage="1" sqref="D232">
      <formula1>"Y,N"</formula1>
    </dataValidation>
    <dataValidation type="list" allowBlank="1" showInputMessage="1" showErrorMessage="1" sqref="E232">
      <formula1>"Y,N"</formula1>
    </dataValidation>
    <dataValidation type="list" allowBlank="1" showInputMessage="1" showErrorMessage="1" sqref="F232">
      <formula1>"Y,N"</formula1>
    </dataValidation>
    <dataValidation type="list" allowBlank="1" showInputMessage="1" showErrorMessage="1" sqref="G232">
      <formula1>"Y,N"</formula1>
    </dataValidation>
    <dataValidation type="list" allowBlank="1" showInputMessage="1" showErrorMessage="1" sqref="H232">
      <formula1>"Y,N"</formula1>
    </dataValidation>
    <dataValidation type="list" allowBlank="1" showInputMessage="1" showErrorMessage="1" sqref="I232">
      <formula1>"Y,N"</formula1>
    </dataValidation>
    <dataValidation type="list" allowBlank="1" showInputMessage="1" showErrorMessage="1" sqref="J232">
      <formula1>"Y,N"</formula1>
    </dataValidation>
    <dataValidation type="list" allowBlank="1" showInputMessage="1" showErrorMessage="1" sqref="K232">
      <formula1>"Y,N"</formula1>
    </dataValidation>
    <dataValidation type="list" allowBlank="1" showInputMessage="1" showErrorMessage="1" sqref="L232">
      <formula1>"Y,N"</formula1>
    </dataValidation>
    <dataValidation type="list" allowBlank="1" showInputMessage="1" showErrorMessage="1" sqref="M232">
      <formula1>"Y,N"</formula1>
    </dataValidation>
    <dataValidation type="list" allowBlank="1" showInputMessage="1" showErrorMessage="1" sqref="N232">
      <formula1>"Y,N"</formula1>
    </dataValidation>
    <dataValidation type="list" allowBlank="1" showInputMessage="1" showErrorMessage="1" sqref="O232">
      <formula1>"Y,N"</formula1>
    </dataValidation>
    <dataValidation type="list" allowBlank="1" showInputMessage="1" showErrorMessage="1" sqref="B233">
      <formula1>"Y,N"</formula1>
    </dataValidation>
    <dataValidation type="list" allowBlank="1" showInputMessage="1" showErrorMessage="1" sqref="C233">
      <formula1>"Y,N"</formula1>
    </dataValidation>
    <dataValidation type="list" allowBlank="1" showInputMessage="1" showErrorMessage="1" sqref="D233">
      <formula1>"Y,N"</formula1>
    </dataValidation>
    <dataValidation type="list" allowBlank="1" showInputMessage="1" showErrorMessage="1" sqref="E233">
      <formula1>"Y,N"</formula1>
    </dataValidation>
    <dataValidation type="list" allowBlank="1" showInputMessage="1" showErrorMessage="1" sqref="F233">
      <formula1>"Y,N"</formula1>
    </dataValidation>
    <dataValidation type="list" allowBlank="1" showInputMessage="1" showErrorMessage="1" sqref="G233">
      <formula1>"Y,N"</formula1>
    </dataValidation>
    <dataValidation type="list" allowBlank="1" showInputMessage="1" showErrorMessage="1" sqref="H233">
      <formula1>"Y,N"</formula1>
    </dataValidation>
    <dataValidation type="list" allowBlank="1" showInputMessage="1" showErrorMessage="1" sqref="I233">
      <formula1>"Y,N"</formula1>
    </dataValidation>
    <dataValidation type="list" allowBlank="1" showInputMessage="1" showErrorMessage="1" sqref="J233">
      <formula1>"Y,N"</formula1>
    </dataValidation>
    <dataValidation type="list" allowBlank="1" showInputMessage="1" showErrorMessage="1" sqref="K233">
      <formula1>"Y,N"</formula1>
    </dataValidation>
    <dataValidation type="list" allowBlank="1" showInputMessage="1" showErrorMessage="1" sqref="L233">
      <formula1>"Y,N"</formula1>
    </dataValidation>
    <dataValidation type="list" allowBlank="1" showInputMessage="1" showErrorMessage="1" sqref="M233">
      <formula1>"Y,N"</formula1>
    </dataValidation>
    <dataValidation type="list" allowBlank="1" showInputMessage="1" showErrorMessage="1" sqref="N233">
      <formula1>"Y,N"</formula1>
    </dataValidation>
    <dataValidation type="list" allowBlank="1" showInputMessage="1" showErrorMessage="1" sqref="O233">
      <formula1>"Y,N"</formula1>
    </dataValidation>
    <dataValidation type="list" allowBlank="1" showInputMessage="1" showErrorMessage="1" sqref="B234">
      <formula1>"Y,N"</formula1>
    </dataValidation>
    <dataValidation type="list" allowBlank="1" showInputMessage="1" showErrorMessage="1" sqref="C234">
      <formula1>"Y,N"</formula1>
    </dataValidation>
    <dataValidation type="list" allowBlank="1" showInputMessage="1" showErrorMessage="1" sqref="D234">
      <formula1>"Y,N"</formula1>
    </dataValidation>
    <dataValidation type="list" allowBlank="1" showInputMessage="1" showErrorMessage="1" sqref="E234">
      <formula1>"Y,N"</formula1>
    </dataValidation>
    <dataValidation type="list" allowBlank="1" showInputMessage="1" showErrorMessage="1" sqref="F234">
      <formula1>"Y,N"</formula1>
    </dataValidation>
    <dataValidation type="list" allowBlank="1" showInputMessage="1" showErrorMessage="1" sqref="G234">
      <formula1>"Y,N"</formula1>
    </dataValidation>
    <dataValidation type="list" allowBlank="1" showInputMessage="1" showErrorMessage="1" sqref="H234">
      <formula1>"Y,N"</formula1>
    </dataValidation>
    <dataValidation type="list" allowBlank="1" showInputMessage="1" showErrorMessage="1" sqref="I234">
      <formula1>"Y,N"</formula1>
    </dataValidation>
    <dataValidation type="list" allowBlank="1" showInputMessage="1" showErrorMessage="1" sqref="J234">
      <formula1>"Y,N"</formula1>
    </dataValidation>
    <dataValidation type="list" allowBlank="1" showInputMessage="1" showErrorMessage="1" sqref="K234">
      <formula1>"Y,N"</formula1>
    </dataValidation>
    <dataValidation type="list" allowBlank="1" showInputMessage="1" showErrorMessage="1" sqref="L234">
      <formula1>"Y,N"</formula1>
    </dataValidation>
    <dataValidation type="list" allowBlank="1" showInputMessage="1" showErrorMessage="1" sqref="M234">
      <formula1>"Y,N"</formula1>
    </dataValidation>
    <dataValidation type="list" allowBlank="1" showInputMessage="1" showErrorMessage="1" sqref="N234">
      <formula1>"Y,N"</formula1>
    </dataValidation>
    <dataValidation type="list" allowBlank="1" showInputMessage="1" showErrorMessage="1" sqref="O234">
      <formula1>"Y,N"</formula1>
    </dataValidation>
    <dataValidation type="list" allowBlank="1" showInputMessage="1" showErrorMessage="1" sqref="B235">
      <formula1>"Y,N"</formula1>
    </dataValidation>
    <dataValidation type="list" allowBlank="1" showInputMessage="1" showErrorMessage="1" sqref="C235">
      <formula1>"Y,N"</formula1>
    </dataValidation>
    <dataValidation type="list" allowBlank="1" showInputMessage="1" showErrorMessage="1" sqref="D235">
      <formula1>"Y,N"</formula1>
    </dataValidation>
    <dataValidation type="list" allowBlank="1" showInputMessage="1" showErrorMessage="1" sqref="E235">
      <formula1>"Y,N"</formula1>
    </dataValidation>
    <dataValidation type="list" allowBlank="1" showInputMessage="1" showErrorMessage="1" sqref="F235">
      <formula1>"Y,N"</formula1>
    </dataValidation>
    <dataValidation type="list" allowBlank="1" showInputMessage="1" showErrorMessage="1" sqref="G235">
      <formula1>"Y,N"</formula1>
    </dataValidation>
    <dataValidation type="list" allowBlank="1" showInputMessage="1" showErrorMessage="1" sqref="H235">
      <formula1>"Y,N"</formula1>
    </dataValidation>
    <dataValidation type="list" allowBlank="1" showInputMessage="1" showErrorMessage="1" sqref="I235">
      <formula1>"Y,N"</formula1>
    </dataValidation>
    <dataValidation type="list" allowBlank="1" showInputMessage="1" showErrorMessage="1" sqref="J235">
      <formula1>"Y,N"</formula1>
    </dataValidation>
    <dataValidation type="list" allowBlank="1" showInputMessage="1" showErrorMessage="1" sqref="K235">
      <formula1>"Y,N"</formula1>
    </dataValidation>
    <dataValidation type="list" allowBlank="1" showInputMessage="1" showErrorMessage="1" sqref="L235">
      <formula1>"Y,N"</formula1>
    </dataValidation>
    <dataValidation type="list" allowBlank="1" showInputMessage="1" showErrorMessage="1" sqref="M235">
      <formula1>"Y,N"</formula1>
    </dataValidation>
    <dataValidation type="list" allowBlank="1" showInputMessage="1" showErrorMessage="1" sqref="N235">
      <formula1>"Y,N"</formula1>
    </dataValidation>
    <dataValidation type="list" allowBlank="1" showInputMessage="1" showErrorMessage="1" sqref="O235">
      <formula1>"Y,N"</formula1>
    </dataValidation>
    <dataValidation type="list" allowBlank="1" showInputMessage="1" showErrorMessage="1" sqref="E238">
      <formula1>"N.A."</formula1>
    </dataValidation>
    <dataValidation type="list" allowBlank="1" showInputMessage="1" showErrorMessage="1" sqref="E239">
      <formula1>"N.A."</formula1>
    </dataValidation>
    <dataValidation type="list" allowBlank="1" showInputMessage="1" showErrorMessage="1" sqref="E240">
      <formula1>"N.A."</formula1>
    </dataValidation>
    <dataValidation type="list" allowBlank="1" showInputMessage="1" showErrorMessage="1" sqref="E241">
      <formula1>"N.A."</formula1>
    </dataValidation>
    <dataValidation type="list" allowBlank="1" showInputMessage="1" showErrorMessage="1" sqref="E242">
      <formula1>"N.A."</formula1>
    </dataValidation>
    <dataValidation type="list" allowBlank="1" showInputMessage="1" showErrorMessage="1" sqref="E243">
      <formula1>"N.A."</formula1>
    </dataValidation>
    <dataValidation type="list" allowBlank="1" showInputMessage="1" showErrorMessage="1" sqref="E244">
      <formula1>"N.A."</formula1>
    </dataValidation>
    <dataValidation type="list" allowBlank="1" showInputMessage="1" showErrorMessage="1" sqref="E245">
      <formula1>"N.A."</formula1>
    </dataValidation>
    <dataValidation type="list" allowBlank="1" showInputMessage="1" showErrorMessage="1" sqref="E246">
      <formula1>"N.A."</formula1>
    </dataValidation>
    <dataValidation type="list" allowBlank="1" showInputMessage="1" showErrorMessage="1" sqref="E247">
      <formula1>"N.A."</formula1>
    </dataValidation>
    <dataValidation type="list" allowBlank="1" showInputMessage="1" showErrorMessage="1" sqref="E248">
      <formula1>"N.A."</formula1>
    </dataValidation>
    <dataValidation type="list" allowBlank="1" showInputMessage="1" showErrorMessage="1" sqref="E249">
      <formula1>"N.A."</formula1>
    </dataValidation>
    <dataValidation type="list" allowBlank="1" showInputMessage="1" showErrorMessage="1" sqref="E250">
      <formula1>"N.A."</formula1>
    </dataValidation>
    <dataValidation type="list" allowBlank="1" showInputMessage="1" showErrorMessage="1" sqref="E251">
      <formula1>"N.A."</formula1>
    </dataValidation>
    <dataValidation type="list" allowBlank="1" showInputMessage="1" showErrorMessage="1" sqref="E252">
      <formula1>"N.A."</formula1>
    </dataValidation>
    <dataValidation type="list" allowBlank="1" showInputMessage="1" showErrorMessage="1" sqref="E253">
      <formula1>"N.A."</formula1>
    </dataValidation>
    <dataValidation type="list" allowBlank="1" showInputMessage="1" showErrorMessage="1" sqref="E254">
      <formula1>"N.A."</formula1>
    </dataValidation>
    <dataValidation type="list" allowBlank="1" showInputMessage="1" showErrorMessage="1" sqref="E255">
      <formula1>"N.A."</formula1>
    </dataValidation>
    <dataValidation type="list" allowBlank="1" showInputMessage="1" showErrorMessage="1" sqref="E256">
      <formula1>"N.A."</formula1>
    </dataValidation>
    <dataValidation type="list" allowBlank="1" showInputMessage="1" showErrorMessage="1" sqref="E257">
      <formula1>"N.A."</formula1>
    </dataValidation>
    <dataValidation type="list" allowBlank="1" showInputMessage="1" showErrorMessage="1" sqref="E258">
      <formula1>"N.A."</formula1>
    </dataValidation>
    <dataValidation type="list" allowBlank="1" showInputMessage="1" showErrorMessage="1" sqref="E259">
      <formula1>"N.A."</formula1>
    </dataValidation>
    <dataValidation type="list" allowBlank="1" showInputMessage="1" showErrorMessage="1" sqref="E260">
      <formula1>"N.A."</formula1>
    </dataValidation>
    <dataValidation type="list" allowBlank="1" showInputMessage="1" showErrorMessage="1" sqref="E261">
      <formula1>"N.A."</formula1>
    </dataValidation>
    <dataValidation type="list" allowBlank="1" showInputMessage="1" showErrorMessage="1" sqref="E262">
      <formula1>"N.A."</formula1>
    </dataValidation>
    <dataValidation type="list" allowBlank="1" showInputMessage="1" showErrorMessage="1" sqref="E263">
      <formula1>"N.A."</formula1>
    </dataValidation>
    <dataValidation type="list" allowBlank="1" showInputMessage="1" showErrorMessage="1" sqref="E264">
      <formula1>"N.A."</formula1>
    </dataValidation>
    <dataValidation type="list" allowBlank="1" showInputMessage="1" showErrorMessage="1" sqref="E265">
      <formula1>"N.A."</formula1>
    </dataValidation>
    <dataValidation type="list" allowBlank="1" showInputMessage="1" showErrorMessage="1" sqref="E266">
      <formula1>"N.A."</formula1>
    </dataValidation>
    <dataValidation type="list" allowBlank="1" showInputMessage="1" showErrorMessage="1" sqref="E267">
      <formula1>"N.A."</formula1>
    </dataValidation>
    <dataValidation type="list" allowBlank="1" showInputMessage="1" showErrorMessage="1" sqref="E268">
      <formula1>"N.A."</formula1>
    </dataValidation>
    <dataValidation type="list" allowBlank="1" showInputMessage="1" showErrorMessage="1" sqref="E269">
      <formula1>"N.A."</formula1>
    </dataValidation>
    <dataValidation type="list" allowBlank="1" showInputMessage="1" showErrorMessage="1" sqref="E270">
      <formula1>"N.A."</formula1>
    </dataValidation>
    <dataValidation type="list" allowBlank="1" showInputMessage="1" showErrorMessage="1" sqref="E271">
      <formula1>"N.A."</formula1>
    </dataValidation>
    <dataValidation type="list" allowBlank="1" showInputMessage="1" showErrorMessage="1" sqref="E272">
      <formula1>"N.A."</formula1>
    </dataValidation>
    <dataValidation type="list" allowBlank="1" showInputMessage="1" showErrorMessage="1" sqref="E273">
      <formula1>"N.A."</formula1>
    </dataValidation>
    <dataValidation type="list" allowBlank="1" showInputMessage="1" showErrorMessage="1" sqref="E274">
      <formula1>"N.A."</formula1>
    </dataValidation>
    <dataValidation type="list" allowBlank="1" showInputMessage="1" showErrorMessage="1" sqref="E275">
      <formula1>"N.A."</formula1>
    </dataValidation>
    <dataValidation type="list" allowBlank="1" showInputMessage="1" showErrorMessage="1" sqref="E276">
      <formula1>"N.A."</formula1>
    </dataValidation>
    <dataValidation type="list" allowBlank="1" showInputMessage="1" showErrorMessage="1" sqref="E277">
      <formula1>"N.A."</formula1>
    </dataValidation>
    <dataValidation type="list" allowBlank="1" showInputMessage="1" showErrorMessage="1" sqref="E278">
      <formula1>"N.A."</formula1>
    </dataValidation>
    <dataValidation type="list" allowBlank="1" showInputMessage="1" showErrorMessage="1" sqref="E279">
      <formula1>"N.A."</formula1>
    </dataValidation>
    <dataValidation type="list" allowBlank="1" showInputMessage="1" showErrorMessage="1" sqref="E280">
      <formula1>"N.A."</formula1>
    </dataValidation>
    <dataValidation type="list" allowBlank="1" showInputMessage="1" showErrorMessage="1" sqref="E281">
      <formula1>"N.A."</formula1>
    </dataValidation>
    <dataValidation type="list" allowBlank="1" showInputMessage="1" showErrorMessage="1" sqref="E282">
      <formula1>"N.A."</formula1>
    </dataValidation>
    <dataValidation type="list" allowBlank="1" showInputMessage="1" showErrorMessage="1" sqref="E283">
      <formula1>"N.A."</formula1>
    </dataValidation>
    <dataValidation type="list" allowBlank="1" showInputMessage="1" showErrorMessage="1" sqref="E284">
      <formula1>"N.A."</formula1>
    </dataValidation>
    <dataValidation type="list" allowBlank="1" showInputMessage="1" showErrorMessage="1" sqref="E285">
      <formula1>"N.A."</formula1>
    </dataValidation>
    <dataValidation type="list" allowBlank="1" showInputMessage="1" showErrorMessage="1" sqref="E286">
      <formula1>"N.A."</formula1>
    </dataValidation>
    <dataValidation type="list" allowBlank="1" showInputMessage="1" showErrorMessage="1" sqref="E287">
      <formula1>"N.A."</formula1>
    </dataValidation>
    <dataValidation type="list" allowBlank="1" showInputMessage="1" showErrorMessage="1" sqref="E288">
      <formula1>"N.A."</formula1>
    </dataValidation>
    <dataValidation type="list" allowBlank="1" showInputMessage="1" showErrorMessage="1" sqref="E289">
      <formula1>"N.A."</formula1>
    </dataValidation>
    <dataValidation type="list" allowBlank="1" showInputMessage="1" showErrorMessage="1" sqref="E290">
      <formula1>"N.A."</formula1>
    </dataValidation>
    <dataValidation type="list" allowBlank="1" showInputMessage="1" showErrorMessage="1" sqref="E291">
      <formula1>"N.A."</formula1>
    </dataValidation>
    <dataValidation type="list" allowBlank="1" showInputMessage="1" showErrorMessage="1" sqref="E292">
      <formula1>"N.A."</formula1>
    </dataValidation>
    <dataValidation type="list" allowBlank="1" showInputMessage="1" showErrorMessage="1" sqref="E293">
      <formula1>"N.A."</formula1>
    </dataValidation>
    <dataValidation type="list" allowBlank="1" showInputMessage="1" showErrorMessage="1" sqref="E294">
      <formula1>"N.A."</formula1>
    </dataValidation>
    <dataValidation type="list" allowBlank="1" showInputMessage="1" showErrorMessage="1" sqref="E295">
      <formula1>"N.A."</formula1>
    </dataValidation>
    <dataValidation type="list" allowBlank="1" showInputMessage="1" showErrorMessage="1" sqref="E296">
      <formula1>"N.A."</formula1>
    </dataValidation>
    <dataValidation type="list" allowBlank="1" showInputMessage="1" showErrorMessage="1" sqref="E297">
      <formula1>"N.A."</formula1>
    </dataValidation>
    <dataValidation type="list" allowBlank="1" showInputMessage="1" showErrorMessage="1" sqref="E298">
      <formula1>"N.A."</formula1>
    </dataValidation>
    <dataValidation type="list" allowBlank="1" showInputMessage="1" showErrorMessage="1" sqref="E299">
      <formula1>"N.A."</formula1>
    </dataValidation>
    <dataValidation type="list" allowBlank="1" showInputMessage="1" showErrorMessage="1" sqref="E300">
      <formula1>"N.A."</formula1>
    </dataValidation>
    <dataValidation type="list" allowBlank="1" showInputMessage="1" showErrorMessage="1" sqref="E301">
      <formula1>"N.A."</formula1>
    </dataValidation>
    <dataValidation type="list" allowBlank="1" showInputMessage="1" showErrorMessage="1" sqref="E302">
      <formula1>"N.A."</formula1>
    </dataValidation>
    <dataValidation type="list" allowBlank="1" showInputMessage="1" showErrorMessage="1" sqref="E303">
      <formula1>"N.A."</formula1>
    </dataValidation>
    <dataValidation type="list" allowBlank="1" showInputMessage="1" showErrorMessage="1" sqref="E304">
      <formula1>"N.A."</formula1>
    </dataValidation>
    <dataValidation type="list" allowBlank="1" showInputMessage="1" showErrorMessage="1" sqref="E305">
      <formula1>"N.A."</formula1>
    </dataValidation>
    <dataValidation type="list" allowBlank="1" showInputMessage="1" showErrorMessage="1" sqref="E306">
      <formula1>"N.A."</formula1>
    </dataValidation>
    <dataValidation type="list" allowBlank="1" showInputMessage="1" showErrorMessage="1" sqref="E307">
      <formula1>"N.A."</formula1>
    </dataValidation>
    <dataValidation type="list" allowBlank="1" showInputMessage="1" showErrorMessage="1" sqref="E308">
      <formula1>"N.A."</formula1>
    </dataValidation>
    <dataValidation type="list" allowBlank="1" showInputMessage="1" showErrorMessage="1" sqref="E309">
      <formula1>"N.A."</formula1>
    </dataValidation>
    <dataValidation type="list" allowBlank="1" showInputMessage="1" showErrorMessage="1" sqref="E310">
      <formula1>"N.A."</formula1>
    </dataValidation>
    <dataValidation type="list" allowBlank="1" showInputMessage="1" showErrorMessage="1" sqref="E311">
      <formula1>"N.A."</formula1>
    </dataValidation>
    <dataValidation type="list" allowBlank="1" showInputMessage="1" showErrorMessage="1" sqref="E312">
      <formula1>"N.A."</formula1>
    </dataValidation>
    <dataValidation type="list" allowBlank="1" showInputMessage="1" showErrorMessage="1" sqref="E313">
      <formula1>"N.A."</formula1>
    </dataValidation>
    <dataValidation type="list" allowBlank="1" showInputMessage="1" showErrorMessage="1" sqref="E314">
      <formula1>"N.A."</formula1>
    </dataValidation>
    <dataValidation type="list" allowBlank="1" showInputMessage="1" showErrorMessage="1" sqref="E315">
      <formula1>"N.A."</formula1>
    </dataValidation>
    <dataValidation type="list" allowBlank="1" showInputMessage="1" showErrorMessage="1" sqref="E316">
      <formula1>"N.A."</formula1>
    </dataValidation>
    <dataValidation type="list" allowBlank="1" showInputMessage="1" showErrorMessage="1" sqref="E317">
      <formula1>"N.A."</formula1>
    </dataValidation>
    <dataValidation type="list" allowBlank="1" showInputMessage="1" showErrorMessage="1" sqref="E318">
      <formula1>"N.A."</formula1>
    </dataValidation>
    <dataValidation type="list" allowBlank="1" showInputMessage="1" showErrorMessage="1" sqref="E319">
      <formula1>"N.A."</formula1>
    </dataValidation>
    <dataValidation type="list" allowBlank="1" showInputMessage="1" showErrorMessage="1" sqref="E320">
      <formula1>"N.A."</formula1>
    </dataValidation>
    <dataValidation type="list" allowBlank="1" showInputMessage="1" showErrorMessage="1" sqref="E321">
      <formula1>"N.A."</formula1>
    </dataValidation>
    <dataValidation type="list" allowBlank="1" showInputMessage="1" showErrorMessage="1" sqref="E322">
      <formula1>"N.A."</formula1>
    </dataValidation>
    <dataValidation type="list" allowBlank="1" showInputMessage="1" showErrorMessage="1" sqref="E323">
      <formula1>"N.A."</formula1>
    </dataValidation>
    <dataValidation type="list" allowBlank="1" showInputMessage="1" showErrorMessage="1" sqref="E324">
      <formula1>"N.A."</formula1>
    </dataValidation>
    <dataValidation type="list" allowBlank="1" showInputMessage="1" showErrorMessage="1" sqref="E325">
      <formula1>"N.A."</formula1>
    </dataValidation>
    <dataValidation type="list" allowBlank="1" showInputMessage="1" showErrorMessage="1" sqref="E326">
      <formula1>"N.A."</formula1>
    </dataValidation>
    <dataValidation type="list" allowBlank="1" showInputMessage="1" showErrorMessage="1" sqref="E327">
      <formula1>"N.A."</formula1>
    </dataValidation>
    <dataValidation type="list" allowBlank="1" showInputMessage="1" showErrorMessage="1" sqref="E328">
      <formula1>"N.A."</formula1>
    </dataValidation>
    <dataValidation type="list" allowBlank="1" showInputMessage="1" showErrorMessage="1" sqref="E329">
      <formula1>"N.A."</formula1>
    </dataValidation>
    <dataValidation type="list" allowBlank="1" showInputMessage="1" showErrorMessage="1" sqref="E330">
      <formula1>"N.A."</formula1>
    </dataValidation>
    <dataValidation type="list" allowBlank="1" showInputMessage="1" showErrorMessage="1" sqref="E331">
      <formula1>"N.A."</formula1>
    </dataValidation>
    <dataValidation type="list" allowBlank="1" showInputMessage="1" showErrorMessage="1" sqref="E332">
      <formula1>"N.A."</formula1>
    </dataValidation>
    <dataValidation type="list" allowBlank="1" showInputMessage="1" showErrorMessage="1" sqref="E333">
      <formula1>"N.A."</formula1>
    </dataValidation>
    <dataValidation type="list" allowBlank="1" showInputMessage="1" showErrorMessage="1" sqref="E334">
      <formula1>"N.A."</formula1>
    </dataValidation>
    <dataValidation type="list" allowBlank="1" showInputMessage="1" showErrorMessage="1" sqref="E335">
      <formula1>"N.A."</formula1>
    </dataValidation>
    <dataValidation type="list" allowBlank="1" showInputMessage="1" showErrorMessage="1" sqref="E336">
      <formula1>"N.A."</formula1>
    </dataValidation>
    <dataValidation type="list" allowBlank="1" showInputMessage="1" showErrorMessage="1" sqref="E337">
      <formula1>"N.A."</formula1>
    </dataValidation>
    <dataValidation type="list" allowBlank="1" showInputMessage="1" showErrorMessage="1" sqref="E338">
      <formula1>"N.A."</formula1>
    </dataValidation>
    <dataValidation type="list" allowBlank="1" showInputMessage="1" showErrorMessage="1" sqref="E339">
      <formula1>"N.A."</formula1>
    </dataValidation>
    <dataValidation type="list" allowBlank="1" showInputMessage="1" showErrorMessage="1" sqref="E340">
      <formula1>"N.A."</formula1>
    </dataValidation>
    <dataValidation type="list" allowBlank="1" showInputMessage="1" showErrorMessage="1" sqref="E341">
      <formula1>"N.A."</formula1>
    </dataValidation>
    <dataValidation type="list" allowBlank="1" showInputMessage="1" showErrorMessage="1" sqref="E342">
      <formula1>"N.A."</formula1>
    </dataValidation>
    <dataValidation type="list" allowBlank="1" showInputMessage="1" showErrorMessage="1" sqref="E343">
      <formula1>"N.A."</formula1>
    </dataValidation>
    <dataValidation type="list" allowBlank="1" showInputMessage="1" showErrorMessage="1" sqref="E344">
      <formula1>"N.A."</formula1>
    </dataValidation>
    <dataValidation type="list" allowBlank="1" showInputMessage="1" showErrorMessage="1" sqref="E345">
      <formula1>"N.A."</formula1>
    </dataValidation>
    <dataValidation type="list" allowBlank="1" showInputMessage="1" showErrorMessage="1" sqref="E346">
      <formula1>"N.A."</formula1>
    </dataValidation>
    <dataValidation type="list" allowBlank="1" showInputMessage="1" showErrorMessage="1" sqref="E347">
      <formula1>"N.A."</formula1>
    </dataValidation>
    <dataValidation type="list" allowBlank="1" showInputMessage="1" showErrorMessage="1" sqref="E348">
      <formula1>"N.A."</formula1>
    </dataValidation>
    <dataValidation type="list" allowBlank="1" showInputMessage="1" showErrorMessage="1" sqref="E349">
      <formula1>"N.A."</formula1>
    </dataValidation>
    <dataValidation type="list" allowBlank="1" showInputMessage="1" showErrorMessage="1" sqref="E350">
      <formula1>"N.A."</formula1>
    </dataValidation>
    <dataValidation type="list" allowBlank="1" showInputMessage="1" showErrorMessage="1" sqref="E351">
      <formula1>"N.A."</formula1>
    </dataValidation>
    <dataValidation type="list" allowBlank="1" showInputMessage="1" showErrorMessage="1" sqref="E352">
      <formula1>"N.A."</formula1>
    </dataValidation>
    <dataValidation type="list" allowBlank="1" showInputMessage="1" showErrorMessage="1" sqref="E353">
      <formula1>"N.A."</formula1>
    </dataValidation>
    <dataValidation type="list" allowBlank="1" showInputMessage="1" showErrorMessage="1" sqref="E354">
      <formula1>"N.A."</formula1>
    </dataValidation>
    <dataValidation type="list" allowBlank="1" showInputMessage="1" showErrorMessage="1" sqref="E355">
      <formula1>"N.A."</formula1>
    </dataValidation>
    <dataValidation type="list" allowBlank="1" showInputMessage="1" showErrorMessage="1" sqref="E356">
      <formula1>"N.A."</formula1>
    </dataValidation>
    <dataValidation type="list" allowBlank="1" showInputMessage="1" showErrorMessage="1" sqref="E357">
      <formula1>"N.A."</formula1>
    </dataValidation>
    <dataValidation type="list" allowBlank="1" showInputMessage="1" showErrorMessage="1" sqref="E358">
      <formula1>"N.A."</formula1>
    </dataValidation>
    <dataValidation type="list" allowBlank="1" showInputMessage="1" showErrorMessage="1" sqref="E359">
      <formula1>"N.A."</formula1>
    </dataValidation>
    <dataValidation type="list" allowBlank="1" showInputMessage="1" showErrorMessage="1" sqref="E360">
      <formula1>"N.A."</formula1>
    </dataValidation>
    <dataValidation type="list" allowBlank="1" showInputMessage="1" showErrorMessage="1" sqref="E361">
      <formula1>"N.A."</formula1>
    </dataValidation>
    <dataValidation type="list" allowBlank="1" showInputMessage="1" showErrorMessage="1" sqref="E362">
      <formula1>"N.A."</formula1>
    </dataValidation>
    <dataValidation type="list" allowBlank="1" showInputMessage="1" showErrorMessage="1" sqref="E363">
      <formula1>"N.A."</formula1>
    </dataValidation>
    <dataValidation type="list" allowBlank="1" showInputMessage="1" showErrorMessage="1" sqref="E364">
      <formula1>"N.A."</formula1>
    </dataValidation>
    <dataValidation type="list" allowBlank="1" showInputMessage="1" showErrorMessage="1" sqref="E365">
      <formula1>"N.A."</formula1>
    </dataValidation>
    <dataValidation type="list" allowBlank="1" showInputMessage="1" showErrorMessage="1" sqref="E366">
      <formula1>"N.A."</formula1>
    </dataValidation>
    <dataValidation type="list" allowBlank="1" showInputMessage="1" showErrorMessage="1" sqref="E367">
      <formula1>"N.A."</formula1>
    </dataValidation>
    <dataValidation type="list" allowBlank="1" showInputMessage="1" showErrorMessage="1" sqref="E368">
      <formula1>"N.A."</formula1>
    </dataValidation>
    <dataValidation type="list" allowBlank="1" showInputMessage="1" showErrorMessage="1" sqref="E369">
      <formula1>"N.A."</formula1>
    </dataValidation>
    <dataValidation type="list" allowBlank="1" showInputMessage="1" showErrorMessage="1" sqref="E370">
      <formula1>"N.A."</formula1>
    </dataValidation>
    <dataValidation type="list" allowBlank="1" showInputMessage="1" showErrorMessage="1" sqref="E371">
      <formula1>"N.A."</formula1>
    </dataValidation>
    <dataValidation type="list" allowBlank="1" showInputMessage="1" showErrorMessage="1" sqref="E372">
      <formula1>"N.A."</formula1>
    </dataValidation>
    <dataValidation type="list" allowBlank="1" showInputMessage="1" showErrorMessage="1" sqref="E373">
      <formula1>"N.A."</formula1>
    </dataValidation>
    <dataValidation type="list" allowBlank="1" showInputMessage="1" showErrorMessage="1" sqref="E374">
      <formula1>"N.A."</formula1>
    </dataValidation>
    <dataValidation type="list" allowBlank="1" showInputMessage="1" showErrorMessage="1" sqref="E375">
      <formula1>"N.A."</formula1>
    </dataValidation>
    <dataValidation type="list" allowBlank="1" showInputMessage="1" showErrorMessage="1" sqref="E376">
      <formula1>"N.A."</formula1>
    </dataValidation>
    <dataValidation type="list" allowBlank="1" showInputMessage="1" showErrorMessage="1" sqref="E377">
      <formula1>"N.A."</formula1>
    </dataValidation>
    <dataValidation type="list" allowBlank="1" showInputMessage="1" showErrorMessage="1" sqref="E378">
      <formula1>"N.A."</formula1>
    </dataValidation>
    <dataValidation type="list" allowBlank="1" showInputMessage="1" showErrorMessage="1" sqref="E379">
      <formula1>"N.A."</formula1>
    </dataValidation>
    <dataValidation type="list" allowBlank="1" showInputMessage="1" showErrorMessage="1" sqref="E380">
      <formula1>"N.A."</formula1>
    </dataValidation>
    <dataValidation type="list" allowBlank="1" showInputMessage="1" showErrorMessage="1" sqref="E381">
      <formula1>"N.A."</formula1>
    </dataValidation>
    <dataValidation type="list" allowBlank="1" showInputMessage="1" showErrorMessage="1" sqref="E382">
      <formula1>"N.A."</formula1>
    </dataValidation>
    <dataValidation type="list" allowBlank="1" showInputMessage="1" showErrorMessage="1" sqref="E383">
      <formula1>"N.A."</formula1>
    </dataValidation>
    <dataValidation type="list" allowBlank="1" showInputMessage="1" showErrorMessage="1" sqref="E384">
      <formula1>"N.A."</formula1>
    </dataValidation>
    <dataValidation type="list" allowBlank="1" showInputMessage="1" showErrorMessage="1" sqref="E385">
      <formula1>"N.A."</formula1>
    </dataValidation>
    <dataValidation type="list" allowBlank="1" showInputMessage="1" showErrorMessage="1" sqref="E386">
      <formula1>"N.A."</formula1>
    </dataValidation>
    <dataValidation type="list" allowBlank="1" showInputMessage="1" showErrorMessage="1" sqref="E387">
      <formula1>"N.A."</formula1>
    </dataValidation>
    <dataValidation type="list" allowBlank="1" showInputMessage="1" showErrorMessage="1" sqref="E388">
      <formula1>"N.A."</formula1>
    </dataValidation>
    <dataValidation type="list" allowBlank="1" showInputMessage="1" showErrorMessage="1" sqref="E389">
      <formula1>"N.A."</formula1>
    </dataValidation>
    <dataValidation type="list" allowBlank="1" showInputMessage="1" showErrorMessage="1" sqref="E390">
      <formula1>"N.A."</formula1>
    </dataValidation>
    <dataValidation type="list" allowBlank="1" showInputMessage="1" showErrorMessage="1" sqref="E391">
      <formula1>"N.A."</formula1>
    </dataValidation>
    <dataValidation type="list" allowBlank="1" showInputMessage="1" showErrorMessage="1" sqref="E392">
      <formula1>"N.A."</formula1>
    </dataValidation>
    <dataValidation type="list" allowBlank="1" showInputMessage="1" showErrorMessage="1" sqref="E393">
      <formula1>"N.A."</formula1>
    </dataValidation>
    <dataValidation type="list" allowBlank="1" showInputMessage="1" showErrorMessage="1" sqref="E394">
      <formula1>"N.A."</formula1>
    </dataValidation>
    <dataValidation type="list" allowBlank="1" showInputMessage="1" showErrorMessage="1" sqref="E395">
      <formula1>"N.A."</formula1>
    </dataValidation>
    <dataValidation type="list" allowBlank="1" showInputMessage="1" showErrorMessage="1" sqref="E396">
      <formula1>"N.A."</formula1>
    </dataValidation>
    <dataValidation type="list" allowBlank="1" showInputMessage="1" showErrorMessage="1" sqref="E397">
      <formula1>"N.A."</formula1>
    </dataValidation>
    <dataValidation type="list" allowBlank="1" showInputMessage="1" showErrorMessage="1" sqref="E398">
      <formula1>"N.A."</formula1>
    </dataValidation>
    <dataValidation type="list" allowBlank="1" showInputMessage="1" showErrorMessage="1" sqref="E399">
      <formula1>"N.A."</formula1>
    </dataValidation>
    <dataValidation type="list" allowBlank="1" showInputMessage="1" showErrorMessage="1" sqref="E400">
      <formula1>"N.A."</formula1>
    </dataValidation>
    <dataValidation type="list" allowBlank="1" showInputMessage="1" showErrorMessage="1" sqref="E401">
      <formula1>"N.A."</formula1>
    </dataValidation>
    <dataValidation type="list" allowBlank="1" showInputMessage="1" showErrorMessage="1" sqref="E402">
      <formula1>"N.A."</formula1>
    </dataValidation>
    <dataValidation type="list" allowBlank="1" showInputMessage="1" showErrorMessage="1" sqref="E403">
      <formula1>"N.A."</formula1>
    </dataValidation>
    <dataValidation type="list" allowBlank="1" showInputMessage="1" showErrorMessage="1" sqref="E404">
      <formula1>"N.A."</formula1>
    </dataValidation>
    <dataValidation type="list" allowBlank="1" showInputMessage="1" showErrorMessage="1" sqref="E405">
      <formula1>"N.A."</formula1>
    </dataValidation>
    <dataValidation type="list" allowBlank="1" showInputMessage="1" showErrorMessage="1" sqref="E406">
      <formula1>"N.A."</formula1>
    </dataValidation>
    <dataValidation type="list" allowBlank="1" showInputMessage="1" showErrorMessage="1" sqref="E407">
      <formula1>"N.A."</formula1>
    </dataValidation>
    <dataValidation type="list" allowBlank="1" showInputMessage="1" showErrorMessage="1" sqref="E408">
      <formula1>"N.A."</formula1>
    </dataValidation>
    <dataValidation type="list" allowBlank="1" showInputMessage="1" showErrorMessage="1" sqref="E409">
      <formula1>"N.A."</formula1>
    </dataValidation>
    <dataValidation type="list" allowBlank="1" showInputMessage="1" showErrorMessage="1" sqref="E410">
      <formula1>"N.A."</formula1>
    </dataValidation>
    <dataValidation type="list" allowBlank="1" showInputMessage="1" showErrorMessage="1" sqref="E411">
      <formula1>"N.A."</formula1>
    </dataValidation>
    <dataValidation type="list" allowBlank="1" showInputMessage="1" showErrorMessage="1" sqref="E412">
      <formula1>"N.A."</formula1>
    </dataValidation>
    <dataValidation type="list" allowBlank="1" showInputMessage="1" showErrorMessage="1" sqref="E413">
      <formula1>"N.A."</formula1>
    </dataValidation>
    <dataValidation type="list" allowBlank="1" showInputMessage="1" showErrorMessage="1" sqref="E414">
      <formula1>"N.A."</formula1>
    </dataValidation>
    <dataValidation type="list" allowBlank="1" showInputMessage="1" showErrorMessage="1" sqref="E415">
      <formula1>"N.A."</formula1>
    </dataValidation>
    <dataValidation type="list" allowBlank="1" showInputMessage="1" showErrorMessage="1" sqref="E416">
      <formula1>"N.A."</formula1>
    </dataValidation>
    <dataValidation type="list" allowBlank="1" showInputMessage="1" showErrorMessage="1" sqref="E417">
      <formula1>"N.A."</formula1>
    </dataValidation>
    <dataValidation type="list" allowBlank="1" showInputMessage="1" showErrorMessage="1" sqref="E418">
      <formula1>"N.A."</formula1>
    </dataValidation>
    <dataValidation type="list" allowBlank="1" showInputMessage="1" showErrorMessage="1" sqref="E419">
      <formula1>"N.A."</formula1>
    </dataValidation>
    <dataValidation type="list" allowBlank="1" showInputMessage="1" showErrorMessage="1" sqref="E420">
      <formula1>"N.A."</formula1>
    </dataValidation>
    <dataValidation type="list" allowBlank="1" showInputMessage="1" showErrorMessage="1" sqref="E421">
      <formula1>"N.A."</formula1>
    </dataValidation>
    <dataValidation type="list" allowBlank="1" showInputMessage="1" showErrorMessage="1" sqref="E422">
      <formula1>"N.A."</formula1>
    </dataValidation>
    <dataValidation type="list" allowBlank="1" showInputMessage="1" showErrorMessage="1" sqref="E423">
      <formula1>"N.A."</formula1>
    </dataValidation>
    <dataValidation type="list" allowBlank="1" showInputMessage="1" showErrorMessage="1" sqref="E424">
      <formula1>"N.A."</formula1>
    </dataValidation>
    <dataValidation type="list" allowBlank="1" showInputMessage="1" showErrorMessage="1" sqref="E425">
      <formula1>"N.A."</formula1>
    </dataValidation>
    <dataValidation type="list" allowBlank="1" showInputMessage="1" showErrorMessage="1" sqref="E426">
      <formula1>"N.A."</formula1>
    </dataValidation>
    <dataValidation type="list" allowBlank="1" showInputMessage="1" showErrorMessage="1" sqref="E427">
      <formula1>"N.A."</formula1>
    </dataValidation>
    <dataValidation type="list" allowBlank="1" showInputMessage="1" showErrorMessage="1" sqref="E428">
      <formula1>"N.A."</formula1>
    </dataValidation>
    <dataValidation type="list" allowBlank="1" showInputMessage="1" showErrorMessage="1" sqref="E429">
      <formula1>"N.A."</formula1>
    </dataValidation>
    <dataValidation type="list" allowBlank="1" showInputMessage="1" showErrorMessage="1" sqref="E430">
      <formula1>"N.A."</formula1>
    </dataValidation>
    <dataValidation type="list" allowBlank="1" showInputMessage="1" showErrorMessage="1" sqref="E431">
      <formula1>"N.A."</formula1>
    </dataValidation>
    <dataValidation type="list" allowBlank="1" showInputMessage="1" showErrorMessage="1" sqref="E432">
      <formula1>"N.A."</formula1>
    </dataValidation>
    <dataValidation type="list" allowBlank="1" showInputMessage="1" showErrorMessage="1" sqref="E433">
      <formula1>"N.A."</formula1>
    </dataValidation>
  </dataValidations>
  <hyperlinks>
    <hyperlink ref="B5" location="Interactions!B21" display="Y"/>
    <hyperlink ref="C5" location="Interactions!B22" display="Y"/>
    <hyperlink ref="D5" location="Interactions!B23" display="N"/>
    <hyperlink ref="E5" location="Interactions!B24" display="N"/>
    <hyperlink ref="F5" location="Interactions!B25" display="N"/>
    <hyperlink ref="G5" location="Interactions!B26" display="N"/>
    <hyperlink ref="H5" location="Interactions!B27" display="N"/>
    <hyperlink ref="I5" location="Interactions!B28" display="N"/>
    <hyperlink ref="J5" location="Interactions!B29" display="N"/>
    <hyperlink ref="K5" location="Interactions!B30" display="N"/>
    <hyperlink ref="L5" location="Interactions!B31" display="N"/>
    <hyperlink ref="M5" location="Interactions!B32" display="N"/>
    <hyperlink ref="N5" location="Interactions!B33" display="N"/>
    <hyperlink ref="O5" location="Interactions!B34" display="N"/>
    <hyperlink ref="B6" location="Interactions!B35" display="Y"/>
    <hyperlink ref="C6" location="Interactions!B36" display="Y"/>
    <hyperlink ref="D6" location="Interactions!B37" display="N"/>
    <hyperlink ref="E6" location="Interactions!B38" display="N"/>
    <hyperlink ref="F6" location="Interactions!B39" display="N"/>
    <hyperlink ref="G6" location="Interactions!B40" display="N"/>
    <hyperlink ref="H6" location="Interactions!B41" display="N"/>
    <hyperlink ref="I6" location="Interactions!B42" display="N"/>
    <hyperlink ref="J6" location="Interactions!B43" display="N"/>
    <hyperlink ref="K6" location="Interactions!B44" display="N"/>
    <hyperlink ref="L6" location="Interactions!B45" display="N"/>
    <hyperlink ref="M6" location="Interactions!B46" display="N"/>
    <hyperlink ref="N6" location="Interactions!B47" display="N"/>
    <hyperlink ref="O6" location="Interactions!B48" display="N"/>
    <hyperlink ref="B7" location="Interactions!B49" display="N"/>
    <hyperlink ref="C7" location="Interactions!B50" display="N"/>
    <hyperlink ref="D7" location="Interactions!B51" display="N"/>
    <hyperlink ref="E7" location="Interactions!B52" display="N"/>
    <hyperlink ref="F7" location="Interactions!B53" display="N"/>
    <hyperlink ref="G7" location="Interactions!B54" display="N"/>
    <hyperlink ref="H7" location="Interactions!B55" display="N"/>
    <hyperlink ref="I7" location="Interactions!B56" display="N"/>
    <hyperlink ref="J7" location="Interactions!B57" display="N"/>
    <hyperlink ref="K7" location="Interactions!B58" display="N"/>
    <hyperlink ref="L7" location="Interactions!B59" display="N"/>
    <hyperlink ref="M7" location="Interactions!B60" display="N"/>
    <hyperlink ref="N7" location="Interactions!B61" display="N"/>
    <hyperlink ref="O7" location="Interactions!B62" display="N"/>
    <hyperlink ref="B8" location="Interactions!B63" display="N"/>
    <hyperlink ref="C8" location="Interactions!B64" display="N"/>
    <hyperlink ref="D8" location="Interactions!B65" display="N"/>
    <hyperlink ref="E8" location="Interactions!B66" display="N"/>
    <hyperlink ref="F8" location="Interactions!B67" display="N"/>
    <hyperlink ref="G8" location="Interactions!B68" display="N"/>
    <hyperlink ref="H8" location="Interactions!B69" display="N"/>
    <hyperlink ref="I8" location="Interactions!B70" display="N"/>
    <hyperlink ref="J8" location="Interactions!B71" display="N"/>
    <hyperlink ref="K8" location="Interactions!B72" display="N"/>
    <hyperlink ref="L8" location="Interactions!B73" display="N"/>
    <hyperlink ref="M8" location="Interactions!B74" display="N"/>
    <hyperlink ref="N8" location="Interactions!B75" display="N"/>
    <hyperlink ref="O8" location="Interactions!B76" display="N"/>
    <hyperlink ref="B9" location="Interactions!B77" display="N"/>
    <hyperlink ref="C9" location="Interactions!B78" display="N"/>
    <hyperlink ref="D9" location="Interactions!B79" display="N"/>
    <hyperlink ref="E9" location="Interactions!B80" display="N"/>
    <hyperlink ref="F9" location="Interactions!B81" display="N"/>
    <hyperlink ref="G9" location="Interactions!B82" display="N"/>
    <hyperlink ref="H9" location="Interactions!B83" display="N"/>
    <hyperlink ref="I9" location="Interactions!B84" display="N"/>
    <hyperlink ref="J9" location="Interactions!B85" display="N"/>
    <hyperlink ref="K9" location="Interactions!B86" display="N"/>
    <hyperlink ref="L9" location="Interactions!B87" display="N"/>
    <hyperlink ref="M9" location="Interactions!B88" display="N"/>
    <hyperlink ref="N9" location="Interactions!B89" display="N"/>
    <hyperlink ref="O9" location="Interactions!B90" display="N"/>
    <hyperlink ref="B10" location="Interactions!B91" display="N"/>
    <hyperlink ref="C10" location="Interactions!B92" display="N"/>
    <hyperlink ref="D10" location="Interactions!B93" display="N"/>
    <hyperlink ref="E10" location="Interactions!B94" display="N"/>
    <hyperlink ref="F10" location="Interactions!B95" display="N"/>
    <hyperlink ref="G10" location="Interactions!B96" display="N"/>
    <hyperlink ref="H10" location="Interactions!B97" display="N"/>
    <hyperlink ref="I10" location="Interactions!B98" display="N"/>
    <hyperlink ref="J10" location="Interactions!B99" display="N"/>
    <hyperlink ref="K10" location="Interactions!B100" display="N"/>
    <hyperlink ref="L10" location="Interactions!B101" display="N"/>
    <hyperlink ref="M10" location="Interactions!B102" display="N"/>
    <hyperlink ref="N10" location="Interactions!B103" display="N"/>
    <hyperlink ref="O10" location="Interactions!B104" display="N"/>
    <hyperlink ref="B11" location="Interactions!B105" display="N"/>
    <hyperlink ref="C11" location="Interactions!B106" display="N"/>
    <hyperlink ref="D11" location="Interactions!B107" display="N"/>
    <hyperlink ref="E11" location="Interactions!B108" display="N"/>
    <hyperlink ref="F11" location="Interactions!B109" display="N"/>
    <hyperlink ref="G11" location="Interactions!B110" display="N"/>
    <hyperlink ref="H11" location="Interactions!B111" display="N"/>
    <hyperlink ref="I11" location="Interactions!B112" display="N"/>
    <hyperlink ref="J11" location="Interactions!B113" display="N"/>
    <hyperlink ref="K11" location="Interactions!B114" display="N"/>
    <hyperlink ref="L11" location="Interactions!B115" display="N"/>
    <hyperlink ref="M11" location="Interactions!B116" display="N"/>
    <hyperlink ref="N11" location="Interactions!B117" display="N"/>
    <hyperlink ref="O11" location="Interactions!B118" display="N"/>
    <hyperlink ref="B12" location="Interactions!B119" display="N"/>
    <hyperlink ref="C12" location="Interactions!B120" display="N"/>
    <hyperlink ref="D12" location="Interactions!B121" display="N"/>
    <hyperlink ref="E12" location="Interactions!B122" display="N"/>
    <hyperlink ref="F12" location="Interactions!B123" display="N"/>
    <hyperlink ref="G12" location="Interactions!B124" display="N"/>
    <hyperlink ref="H12" location="Interactions!B125" display="N"/>
    <hyperlink ref="I12" location="Interactions!B126" display="N"/>
    <hyperlink ref="J12" location="Interactions!B127" display="N"/>
    <hyperlink ref="K12" location="Interactions!B128" display="N"/>
    <hyperlink ref="L12" location="Interactions!B129" display="N"/>
    <hyperlink ref="M12" location="Interactions!B130" display="N"/>
    <hyperlink ref="N12" location="Interactions!B131" display="N"/>
    <hyperlink ref="O12" location="Interactions!B132" display="N"/>
    <hyperlink ref="B13" location="Interactions!B133" display="N"/>
    <hyperlink ref="C13" location="Interactions!B134" display="N"/>
    <hyperlink ref="D13" location="Interactions!B135" display="N"/>
    <hyperlink ref="E13" location="Interactions!B136" display="N"/>
    <hyperlink ref="F13" location="Interactions!B137" display="N"/>
    <hyperlink ref="G13" location="Interactions!B138" display="N"/>
    <hyperlink ref="H13" location="Interactions!B139" display="N"/>
    <hyperlink ref="I13" location="Interactions!B140" display="N"/>
    <hyperlink ref="J13" location="Interactions!B141" display="N"/>
    <hyperlink ref="K13" location="Interactions!B142" display="N"/>
    <hyperlink ref="L13" location="Interactions!B143" display="N"/>
    <hyperlink ref="M13" location="Interactions!B144" display="N"/>
    <hyperlink ref="N13" location="Interactions!B145" display="N"/>
    <hyperlink ref="O13" location="Interactions!B146" display="N"/>
    <hyperlink ref="B14" location="Interactions!B147" display="N"/>
    <hyperlink ref="C14" location="Interactions!B148" display="N"/>
    <hyperlink ref="D14" location="Interactions!B149" display="N"/>
    <hyperlink ref="E14" location="Interactions!B150" display="N"/>
    <hyperlink ref="F14" location="Interactions!B151" display="N"/>
    <hyperlink ref="G14" location="Interactions!B152" display="N"/>
    <hyperlink ref="H14" location="Interactions!B153" display="N"/>
    <hyperlink ref="I14" location="Interactions!B154" display="N"/>
    <hyperlink ref="J14" location="Interactions!B155" display="N"/>
    <hyperlink ref="K14" location="Interactions!B156" display="N"/>
    <hyperlink ref="L14" location="Interactions!B157" display="N"/>
    <hyperlink ref="M14" location="Interactions!B158" display="N"/>
    <hyperlink ref="N14" location="Interactions!B159" display="N"/>
    <hyperlink ref="O14" location="Interactions!B160" display="N"/>
    <hyperlink ref="B15" location="Interactions!B161" display="N"/>
    <hyperlink ref="C15" location="Interactions!B162" display="N"/>
    <hyperlink ref="D15" location="Interactions!B163" display="N"/>
    <hyperlink ref="E15" location="Interactions!B164" display="N"/>
    <hyperlink ref="F15" location="Interactions!B165" display="N"/>
    <hyperlink ref="G15" location="Interactions!B166" display="N"/>
    <hyperlink ref="H15" location="Interactions!B167" display="N"/>
    <hyperlink ref="I15" location="Interactions!B168" display="N"/>
    <hyperlink ref="J15" location="Interactions!B169" display="N"/>
    <hyperlink ref="K15" location="Interactions!B170" display="N"/>
    <hyperlink ref="L15" location="Interactions!B171" display="N"/>
    <hyperlink ref="M15" location="Interactions!B172" display="N"/>
    <hyperlink ref="N15" location="Interactions!B173" display="N"/>
    <hyperlink ref="O15" location="Interactions!B174" display="N"/>
    <hyperlink ref="B16" location="Interactions!B175" display="N"/>
    <hyperlink ref="C16" location="Interactions!B176" display="N"/>
    <hyperlink ref="D16" location="Interactions!B177" display="N"/>
    <hyperlink ref="E16" location="Interactions!B178" display="N"/>
    <hyperlink ref="F16" location="Interactions!B179" display="N"/>
    <hyperlink ref="G16" location="Interactions!B180" display="N"/>
    <hyperlink ref="H16" location="Interactions!B181" display="N"/>
    <hyperlink ref="I16" location="Interactions!B182" display="N"/>
    <hyperlink ref="J16" location="Interactions!B183" display="N"/>
    <hyperlink ref="K16" location="Interactions!B184" display="N"/>
    <hyperlink ref="L16" location="Interactions!B185" display="N"/>
    <hyperlink ref="M16" location="Interactions!B186" display="N"/>
    <hyperlink ref="N16" location="Interactions!B187" display="N"/>
    <hyperlink ref="O16" location="Interactions!B188" display="N"/>
    <hyperlink ref="B17" location="Interactions!B189" display="N"/>
    <hyperlink ref="C17" location="Interactions!B190" display="N"/>
    <hyperlink ref="D17" location="Interactions!B191" display="N"/>
    <hyperlink ref="E17" location="Interactions!B192" display="N"/>
    <hyperlink ref="F17" location="Interactions!B193" display="N"/>
    <hyperlink ref="G17" location="Interactions!B194" display="N"/>
    <hyperlink ref="H17" location="Interactions!B195" display="N"/>
    <hyperlink ref="I17" location="Interactions!B196" display="N"/>
    <hyperlink ref="J17" location="Interactions!B197" display="N"/>
    <hyperlink ref="K17" location="Interactions!B198" display="N"/>
    <hyperlink ref="L17" location="Interactions!B199" display="N"/>
    <hyperlink ref="M17" location="Interactions!B200" display="N"/>
    <hyperlink ref="N17" location="Interactions!B201" display="Y"/>
    <hyperlink ref="O17" location="Interactions!B202" display="N"/>
    <hyperlink ref="B18" location="Interactions!B203" display="N"/>
    <hyperlink ref="C18" location="Interactions!B204" display="N"/>
    <hyperlink ref="D18" location="Interactions!B205" display="N"/>
    <hyperlink ref="E18" location="Interactions!B206" display="N"/>
    <hyperlink ref="F18" location="Interactions!B207" display="N"/>
    <hyperlink ref="G18" location="Interactions!B208" display="N"/>
    <hyperlink ref="H18" location="Interactions!B209" display="N"/>
    <hyperlink ref="I18" location="Interactions!B210" display="N"/>
    <hyperlink ref="J18" location="Interactions!B211" display="N"/>
    <hyperlink ref="K18" location="Interactions!B212" display="N"/>
    <hyperlink ref="L18" location="Interactions!B213" display="N"/>
    <hyperlink ref="M18" location="Interactions!B214" display="N"/>
    <hyperlink ref="N18" location="Interactions!B215" display="N"/>
    <hyperlink ref="O18" location="Interactions!B216" display="Y"/>
    <hyperlink ref="B21" location="Interactions!$B$5" display="Interactions!$B$5"/>
    <hyperlink ref="B22" location="Interactions!$C$5" display="Interactions!$C$5"/>
    <hyperlink ref="B23" location="Interactions!$D$5" display="Interactions!$D$5"/>
    <hyperlink ref="B24" location="Interactions!$E$5" display="Interactions!$E$5"/>
    <hyperlink ref="B25" location="Interactions!$F$5" display="Interactions!$F$5"/>
    <hyperlink ref="B26" location="Interactions!$G$5" display="Interactions!$G$5"/>
    <hyperlink ref="B27" location="Interactions!$H$5" display="Interactions!$H$5"/>
    <hyperlink ref="B28" location="Interactions!$I$5" display="Interactions!$I$5"/>
    <hyperlink ref="B29" location="Interactions!$J$5" display="Interactions!$J$5"/>
    <hyperlink ref="B30" location="Interactions!$K$5" display="Interactions!$K$5"/>
    <hyperlink ref="B31" location="Interactions!$L$5" display="Interactions!$L$5"/>
    <hyperlink ref="B32" location="Interactions!$M$5" display="Interactions!$M$5"/>
    <hyperlink ref="B33" location="Interactions!$N$5" display="Interactions!$N$5"/>
    <hyperlink ref="B34" location="Interactions!$O$5" display="Interactions!$O$5"/>
    <hyperlink ref="B35" location="Interactions!$B$6" display="Interactions!$B$6"/>
    <hyperlink ref="B36" location="Interactions!$C$6" display="Interactions!$C$6"/>
    <hyperlink ref="B37" location="Interactions!$D$6" display="Interactions!$D$6"/>
    <hyperlink ref="B38" location="Interactions!$E$6" display="Interactions!$E$6"/>
    <hyperlink ref="B39" location="Interactions!$F$6" display="Interactions!$F$6"/>
    <hyperlink ref="B40" location="Interactions!$G$6" display="Interactions!$G$6"/>
    <hyperlink ref="B41" location="Interactions!$H$6" display="Interactions!$H$6"/>
    <hyperlink ref="B42" location="Interactions!$I$6" display="Interactions!$I$6"/>
    <hyperlink ref="B43" location="Interactions!$J$6" display="Interactions!$J$6"/>
    <hyperlink ref="B44" location="Interactions!$K$6" display="Interactions!$K$6"/>
    <hyperlink ref="B45" location="Interactions!$L$6" display="Interactions!$L$6"/>
    <hyperlink ref="B46" location="Interactions!$M$6" display="Interactions!$M$6"/>
    <hyperlink ref="B47" location="Interactions!$N$6" display="Interactions!$N$6"/>
    <hyperlink ref="B48" location="Interactions!$O$6" display="Interactions!$O$6"/>
    <hyperlink ref="B49" location="Interactions!$B$7" display="Interactions!$B$7"/>
    <hyperlink ref="B50" location="Interactions!$C$7" display="Interactions!$C$7"/>
    <hyperlink ref="B51" location="Interactions!$D$7" display="Interactions!$D$7"/>
    <hyperlink ref="B52" location="Interactions!$E$7" display="Interactions!$E$7"/>
    <hyperlink ref="B53" location="Interactions!$F$7" display="Interactions!$F$7"/>
    <hyperlink ref="B54" location="Interactions!$G$7" display="Interactions!$G$7"/>
    <hyperlink ref="B55" location="Interactions!$H$7" display="Interactions!$H$7"/>
    <hyperlink ref="B56" location="Interactions!$I$7" display="Interactions!$I$7"/>
    <hyperlink ref="B57" location="Interactions!$J$7" display="Interactions!$J$7"/>
    <hyperlink ref="B58" location="Interactions!$K$7" display="Interactions!$K$7"/>
    <hyperlink ref="B59" location="Interactions!$L$7" display="Interactions!$L$7"/>
    <hyperlink ref="B60" location="Interactions!$M$7" display="Interactions!$M$7"/>
    <hyperlink ref="B61" location="Interactions!$N$7" display="Interactions!$N$7"/>
    <hyperlink ref="B62" location="Interactions!$O$7" display="Interactions!$O$7"/>
    <hyperlink ref="B63" location="Interactions!$B$8" display="Interactions!$B$8"/>
    <hyperlink ref="B64" location="Interactions!$C$8" display="Interactions!$C$8"/>
    <hyperlink ref="B65" location="Interactions!$D$8" display="Interactions!$D$8"/>
    <hyperlink ref="B66" location="Interactions!$E$8" display="Interactions!$E$8"/>
    <hyperlink ref="B67" location="Interactions!$F$8" display="Interactions!$F$8"/>
    <hyperlink ref="B68" location="Interactions!$G$8" display="Interactions!$G$8"/>
    <hyperlink ref="B69" location="Interactions!$H$8" display="Interactions!$H$8"/>
    <hyperlink ref="B70" location="Interactions!$I$8" display="Interactions!$I$8"/>
    <hyperlink ref="B71" location="Interactions!$J$8" display="Interactions!$J$8"/>
    <hyperlink ref="B72" location="Interactions!$K$8" display="Interactions!$K$8"/>
    <hyperlink ref="B73" location="Interactions!$L$8" display="Interactions!$L$8"/>
    <hyperlink ref="B74" location="Interactions!$M$8" display="Interactions!$M$8"/>
    <hyperlink ref="B75" location="Interactions!$N$8" display="Interactions!$N$8"/>
    <hyperlink ref="B76" location="Interactions!$O$8" display="Interactions!$O$8"/>
    <hyperlink ref="B77" location="Interactions!$B$9" display="Interactions!$B$9"/>
    <hyperlink ref="B78" location="Interactions!$C$9" display="Interactions!$C$9"/>
    <hyperlink ref="B79" location="Interactions!$D$9" display="Interactions!$D$9"/>
    <hyperlink ref="B80" location="Interactions!$E$9" display="Interactions!$E$9"/>
    <hyperlink ref="B81" location="Interactions!$F$9" display="Interactions!$F$9"/>
    <hyperlink ref="B82" location="Interactions!$G$9" display="Interactions!$G$9"/>
    <hyperlink ref="B83" location="Interactions!$H$9" display="Interactions!$H$9"/>
    <hyperlink ref="B84" location="Interactions!$I$9" display="Interactions!$I$9"/>
    <hyperlink ref="B85" location="Interactions!$J$9" display="Interactions!$J$9"/>
    <hyperlink ref="B86" location="Interactions!$K$9" display="Interactions!$K$9"/>
    <hyperlink ref="B87" location="Interactions!$L$9" display="Interactions!$L$9"/>
    <hyperlink ref="B88" location="Interactions!$M$9" display="Interactions!$M$9"/>
    <hyperlink ref="B89" location="Interactions!$N$9" display="Interactions!$N$9"/>
    <hyperlink ref="B90" location="Interactions!$O$9" display="Interactions!$O$9"/>
    <hyperlink ref="B91" location="Interactions!$B$10" display="Interactions!$B$10"/>
    <hyperlink ref="B92" location="Interactions!$C$10" display="Interactions!$C$10"/>
    <hyperlink ref="B93" location="Interactions!$D$10" display="Interactions!$D$10"/>
    <hyperlink ref="B94" location="Interactions!$E$10" display="Interactions!$E$10"/>
    <hyperlink ref="B95" location="Interactions!$F$10" display="Interactions!$F$10"/>
    <hyperlink ref="B96" location="Interactions!$G$10" display="Interactions!$G$10"/>
    <hyperlink ref="B97" location="Interactions!$H$10" display="Interactions!$H$10"/>
    <hyperlink ref="B98" location="Interactions!$I$10" display="Interactions!$I$10"/>
    <hyperlink ref="B99" location="Interactions!$J$10" display="Interactions!$J$10"/>
    <hyperlink ref="B100" location="Interactions!$K$10" display="Interactions!$K$10"/>
    <hyperlink ref="B101" location="Interactions!$L$10" display="Interactions!$L$10"/>
    <hyperlink ref="B102" location="Interactions!$M$10" display="Interactions!$M$10"/>
    <hyperlink ref="B103" location="Interactions!$N$10" display="Interactions!$N$10"/>
    <hyperlink ref="B104" location="Interactions!$O$10" display="Interactions!$O$10"/>
    <hyperlink ref="B105" location="Interactions!$B$11" display="Interactions!$B$11"/>
    <hyperlink ref="B106" location="Interactions!$C$11" display="Interactions!$C$11"/>
    <hyperlink ref="B107" location="Interactions!$D$11" display="Interactions!$D$11"/>
    <hyperlink ref="B108" location="Interactions!$E$11" display="Interactions!$E$11"/>
    <hyperlink ref="B109" location="Interactions!$F$11" display="Interactions!$F$11"/>
    <hyperlink ref="B110" location="Interactions!$G$11" display="Interactions!$G$11"/>
    <hyperlink ref="B111" location="Interactions!$H$11" display="Interactions!$H$11"/>
    <hyperlink ref="B112" location="Interactions!$I$11" display="Interactions!$I$11"/>
    <hyperlink ref="B113" location="Interactions!$J$11" display="Interactions!$J$11"/>
    <hyperlink ref="B114" location="Interactions!$K$11" display="Interactions!$K$11"/>
    <hyperlink ref="B115" location="Interactions!$L$11" display="Interactions!$L$11"/>
    <hyperlink ref="B116" location="Interactions!$M$11" display="Interactions!$M$11"/>
    <hyperlink ref="B117" location="Interactions!$N$11" display="Interactions!$N$11"/>
    <hyperlink ref="B118" location="Interactions!$O$11" display="Interactions!$O$11"/>
    <hyperlink ref="B119" location="Interactions!$B$12" display="Interactions!$B$12"/>
    <hyperlink ref="B120" location="Interactions!$C$12" display="Interactions!$C$12"/>
    <hyperlink ref="B121" location="Interactions!$D$12" display="Interactions!$D$12"/>
    <hyperlink ref="B122" location="Interactions!$E$12" display="Interactions!$E$12"/>
    <hyperlink ref="B123" location="Interactions!$F$12" display="Interactions!$F$12"/>
    <hyperlink ref="B124" location="Interactions!$G$12" display="Interactions!$G$12"/>
    <hyperlink ref="B125" location="Interactions!$H$12" display="Interactions!$H$12"/>
    <hyperlink ref="B126" location="Interactions!$I$12" display="Interactions!$I$12"/>
    <hyperlink ref="B127" location="Interactions!$J$12" display="Interactions!$J$12"/>
    <hyperlink ref="B128" location="Interactions!$K$12" display="Interactions!$K$12"/>
    <hyperlink ref="B129" location="Interactions!$L$12" display="Interactions!$L$12"/>
    <hyperlink ref="B130" location="Interactions!$M$12" display="Interactions!$M$12"/>
    <hyperlink ref="B131" location="Interactions!$N$12" display="Interactions!$N$12"/>
    <hyperlink ref="B132" location="Interactions!$O$12" display="Interactions!$O$12"/>
    <hyperlink ref="B133" location="Interactions!$B$13" display="Interactions!$B$13"/>
    <hyperlink ref="B134" location="Interactions!$C$13" display="Interactions!$C$13"/>
    <hyperlink ref="B135" location="Interactions!$D$13" display="Interactions!$D$13"/>
    <hyperlink ref="B136" location="Interactions!$E$13" display="Interactions!$E$13"/>
    <hyperlink ref="B137" location="Interactions!$F$13" display="Interactions!$F$13"/>
    <hyperlink ref="B138" location="Interactions!$G$13" display="Interactions!$G$13"/>
    <hyperlink ref="B139" location="Interactions!$H$13" display="Interactions!$H$13"/>
    <hyperlink ref="B140" location="Interactions!$I$13" display="Interactions!$I$13"/>
    <hyperlink ref="B141" location="Interactions!$J$13" display="Interactions!$J$13"/>
    <hyperlink ref="B142" location="Interactions!$K$13" display="Interactions!$K$13"/>
    <hyperlink ref="B143" location="Interactions!$L$13" display="Interactions!$L$13"/>
    <hyperlink ref="B144" location="Interactions!$M$13" display="Interactions!$M$13"/>
    <hyperlink ref="B145" location="Interactions!$N$13" display="Interactions!$N$13"/>
    <hyperlink ref="B146" location="Interactions!$O$13" display="Interactions!$O$13"/>
    <hyperlink ref="B147" location="Interactions!$B$14" display="Interactions!$B$14"/>
    <hyperlink ref="B148" location="Interactions!$C$14" display="Interactions!$C$14"/>
    <hyperlink ref="B149" location="Interactions!$D$14" display="Interactions!$D$14"/>
    <hyperlink ref="B150" location="Interactions!$E$14" display="Interactions!$E$14"/>
    <hyperlink ref="B151" location="Interactions!$F$14" display="Interactions!$F$14"/>
    <hyperlink ref="B152" location="Interactions!$G$14" display="Interactions!$G$14"/>
    <hyperlink ref="B153" location="Interactions!$H$14" display="Interactions!$H$14"/>
    <hyperlink ref="B154" location="Interactions!$I$14" display="Interactions!$I$14"/>
    <hyperlink ref="B155" location="Interactions!$J$14" display="Interactions!$J$14"/>
    <hyperlink ref="B156" location="Interactions!$K$14" display="Interactions!$K$14"/>
    <hyperlink ref="B157" location="Interactions!$L$14" display="Interactions!$L$14"/>
    <hyperlink ref="B158" location="Interactions!$M$14" display="Interactions!$M$14"/>
    <hyperlink ref="B159" location="Interactions!$N$14" display="Interactions!$N$14"/>
    <hyperlink ref="B160" location="Interactions!$O$14" display="Interactions!$O$14"/>
    <hyperlink ref="B161" location="Interactions!$B$15" display="Interactions!$B$15"/>
    <hyperlink ref="B162" location="Interactions!$C$15" display="Interactions!$C$15"/>
    <hyperlink ref="B163" location="Interactions!$D$15" display="Interactions!$D$15"/>
    <hyperlink ref="B164" location="Interactions!$E$15" display="Interactions!$E$15"/>
    <hyperlink ref="B165" location="Interactions!$F$15" display="Interactions!$F$15"/>
    <hyperlink ref="B166" location="Interactions!$G$15" display="Interactions!$G$15"/>
    <hyperlink ref="B167" location="Interactions!$H$15" display="Interactions!$H$15"/>
    <hyperlink ref="B168" location="Interactions!$I$15" display="Interactions!$I$15"/>
    <hyperlink ref="B169" location="Interactions!$J$15" display="Interactions!$J$15"/>
    <hyperlink ref="B170" location="Interactions!$K$15" display="Interactions!$K$15"/>
    <hyperlink ref="B171" location="Interactions!$L$15" display="Interactions!$L$15"/>
    <hyperlink ref="B172" location="Interactions!$M$15" display="Interactions!$M$15"/>
    <hyperlink ref="B173" location="Interactions!$N$15" display="Interactions!$N$15"/>
    <hyperlink ref="B174" location="Interactions!$O$15" display="Interactions!$O$15"/>
    <hyperlink ref="B175" location="Interactions!$B$16" display="Interactions!$B$16"/>
    <hyperlink ref="B176" location="Interactions!$C$16" display="Interactions!$C$16"/>
    <hyperlink ref="B177" location="Interactions!$D$16" display="Interactions!$D$16"/>
    <hyperlink ref="B178" location="Interactions!$E$16" display="Interactions!$E$16"/>
    <hyperlink ref="B179" location="Interactions!$F$16" display="Interactions!$F$16"/>
    <hyperlink ref="B180" location="Interactions!$G$16" display="Interactions!$G$16"/>
    <hyperlink ref="B181" location="Interactions!$H$16" display="Interactions!$H$16"/>
    <hyperlink ref="B182" location="Interactions!$I$16" display="Interactions!$I$16"/>
    <hyperlink ref="B183" location="Interactions!$J$16" display="Interactions!$J$16"/>
    <hyperlink ref="B184" location="Interactions!$K$16" display="Interactions!$K$16"/>
    <hyperlink ref="B185" location="Interactions!$L$16" display="Interactions!$L$16"/>
    <hyperlink ref="B186" location="Interactions!$M$16" display="Interactions!$M$16"/>
    <hyperlink ref="B187" location="Interactions!$N$16" display="Interactions!$N$16"/>
    <hyperlink ref="B188" location="Interactions!$O$16" display="Interactions!$O$16"/>
    <hyperlink ref="B189" location="Interactions!$B$17" display="Interactions!$B$17"/>
    <hyperlink ref="B190" location="Interactions!$C$17" display="Interactions!$C$17"/>
    <hyperlink ref="B191" location="Interactions!$D$17" display="Interactions!$D$17"/>
    <hyperlink ref="B192" location="Interactions!$E$17" display="Interactions!$E$17"/>
    <hyperlink ref="B193" location="Interactions!$F$17" display="Interactions!$F$17"/>
    <hyperlink ref="B194" location="Interactions!$G$17" display="Interactions!$G$17"/>
    <hyperlink ref="B195" location="Interactions!$H$17" display="Interactions!$H$17"/>
    <hyperlink ref="B196" location="Interactions!$I$17" display="Interactions!$I$17"/>
    <hyperlink ref="B197" location="Interactions!$J$17" display="Interactions!$J$17"/>
    <hyperlink ref="B198" location="Interactions!$K$17" display="Interactions!$K$17"/>
    <hyperlink ref="B199" location="Interactions!$L$17" display="Interactions!$L$17"/>
    <hyperlink ref="B200" location="Interactions!$M$17" display="Interactions!$M$17"/>
    <hyperlink ref="B201" location="Interactions!$N$17" display="Interactions!$N$17"/>
    <hyperlink ref="B202" location="Interactions!$O$17" display="Interactions!$O$17"/>
    <hyperlink ref="B203" location="Interactions!$B$18" display="Interactions!$B$18"/>
    <hyperlink ref="B204" location="Interactions!$C$18" display="Interactions!$C$18"/>
    <hyperlink ref="B205" location="Interactions!$D$18" display="Interactions!$D$18"/>
    <hyperlink ref="B206" location="Interactions!$E$18" display="Interactions!$E$18"/>
    <hyperlink ref="B207" location="Interactions!$F$18" display="Interactions!$F$18"/>
    <hyperlink ref="B208" location="Interactions!$G$18" display="Interactions!$G$18"/>
    <hyperlink ref="B209" location="Interactions!$H$18" display="Interactions!$H$18"/>
    <hyperlink ref="B210" location="Interactions!$I$18" display="Interactions!$I$18"/>
    <hyperlink ref="B211" location="Interactions!$J$18" display="Interactions!$J$18"/>
    <hyperlink ref="B212" location="Interactions!$K$18" display="Interactions!$K$18"/>
    <hyperlink ref="B213" location="Interactions!$L$18" display="Interactions!$L$18"/>
    <hyperlink ref="B214" location="Interactions!$M$18" display="Interactions!$M$18"/>
    <hyperlink ref="B215" location="Interactions!$N$18" display="Interactions!$N$18"/>
    <hyperlink ref="B216" location="Interactions!$O$18" display="Interactions!$O$18"/>
    <hyperlink ref="B222" location="Interactions!B238" display="N"/>
    <hyperlink ref="C222" location="Interactions!B239" display="N"/>
    <hyperlink ref="D222" location="Interactions!B240" display="N"/>
    <hyperlink ref="E222" location="Interactions!B241" display="N"/>
    <hyperlink ref="F222" location="Interactions!B242" display="N"/>
    <hyperlink ref="G222" location="Interactions!B243" display="N"/>
    <hyperlink ref="H222" location="Interactions!B244" display="N"/>
    <hyperlink ref="I222" location="Interactions!B245" display="N"/>
    <hyperlink ref="J222" location="Interactions!B246" display="N"/>
    <hyperlink ref="K222" location="Interactions!B247" display="N"/>
    <hyperlink ref="L222" location="Interactions!B248" display="N"/>
    <hyperlink ref="M222" location="Interactions!B249" display="N"/>
    <hyperlink ref="N222" location="Interactions!B250" display="N"/>
    <hyperlink ref="O222" location="Interactions!B251" display="N"/>
    <hyperlink ref="B223" location="Interactions!B252" display="N"/>
    <hyperlink ref="C223" location="Interactions!B253" display="N"/>
    <hyperlink ref="D223" location="Interactions!B254" display="N"/>
    <hyperlink ref="E223" location="Interactions!B255" display="N"/>
    <hyperlink ref="F223" location="Interactions!B256" display="N"/>
    <hyperlink ref="G223" location="Interactions!B257" display="N"/>
    <hyperlink ref="H223" location="Interactions!B258" display="N"/>
    <hyperlink ref="I223" location="Interactions!B259" display="N"/>
    <hyperlink ref="J223" location="Interactions!B260" display="N"/>
    <hyperlink ref="K223" location="Interactions!B261" display="N"/>
    <hyperlink ref="L223" location="Interactions!B262" display="N"/>
    <hyperlink ref="M223" location="Interactions!B263" display="N"/>
    <hyperlink ref="N223" location="Interactions!B264" display="N"/>
    <hyperlink ref="O223" location="Interactions!B265" display="N"/>
    <hyperlink ref="B224" location="Interactions!B266" display="N"/>
    <hyperlink ref="C224" location="Interactions!B267" display="N"/>
    <hyperlink ref="D224" location="Interactions!B268" display="N"/>
    <hyperlink ref="E224" location="Interactions!B269" display="N"/>
    <hyperlink ref="F224" location="Interactions!B270" display="N"/>
    <hyperlink ref="G224" location="Interactions!B271" display="N"/>
    <hyperlink ref="H224" location="Interactions!B272" display="N"/>
    <hyperlink ref="I224" location="Interactions!B273" display="N"/>
    <hyperlink ref="J224" location="Interactions!B274" display="N"/>
    <hyperlink ref="K224" location="Interactions!B275" display="N"/>
    <hyperlink ref="L224" location="Interactions!B276" display="N"/>
    <hyperlink ref="M224" location="Interactions!B277" display="N"/>
    <hyperlink ref="N224" location="Interactions!B278" display="N"/>
    <hyperlink ref="O224" location="Interactions!B279" display="N"/>
    <hyperlink ref="B225" location="Interactions!B280" display="N"/>
    <hyperlink ref="C225" location="Interactions!B281" display="N"/>
    <hyperlink ref="D225" location="Interactions!B282" display="N"/>
    <hyperlink ref="E225" location="Interactions!B283" display="N"/>
    <hyperlink ref="F225" location="Interactions!B284" display="N"/>
    <hyperlink ref="G225" location="Interactions!B285" display="N"/>
    <hyperlink ref="H225" location="Interactions!B286" display="N"/>
    <hyperlink ref="I225" location="Interactions!B287" display="N"/>
    <hyperlink ref="J225" location="Interactions!B288" display="N"/>
    <hyperlink ref="K225" location="Interactions!B289" display="N"/>
    <hyperlink ref="L225" location="Interactions!B290" display="N"/>
    <hyperlink ref="M225" location="Interactions!B291" display="N"/>
    <hyperlink ref="N225" location="Interactions!B292" display="N"/>
    <hyperlink ref="O225" location="Interactions!B293" display="N"/>
    <hyperlink ref="B226" location="Interactions!B294" display="N"/>
    <hyperlink ref="C226" location="Interactions!B295" display="N"/>
    <hyperlink ref="D226" location="Interactions!B296" display="N"/>
    <hyperlink ref="E226" location="Interactions!B297" display="N"/>
    <hyperlink ref="F226" location="Interactions!B298" display="N"/>
    <hyperlink ref="G226" location="Interactions!B299" display="N"/>
    <hyperlink ref="H226" location="Interactions!B300" display="N"/>
    <hyperlink ref="I226" location="Interactions!B301" display="N"/>
    <hyperlink ref="J226" location="Interactions!B302" display="N"/>
    <hyperlink ref="K226" location="Interactions!B303" display="N"/>
    <hyperlink ref="L226" location="Interactions!B304" display="N"/>
    <hyperlink ref="M226" location="Interactions!B305" display="N"/>
    <hyperlink ref="N226" location="Interactions!B306" display="N"/>
    <hyperlink ref="O226" location="Interactions!B307" display="N"/>
    <hyperlink ref="B227" location="Interactions!B308" display="N"/>
    <hyperlink ref="C227" location="Interactions!B309" display="N"/>
    <hyperlink ref="D227" location="Interactions!B310" display="N"/>
    <hyperlink ref="E227" location="Interactions!B311" display="N"/>
    <hyperlink ref="F227" location="Interactions!B312" display="N"/>
    <hyperlink ref="G227" location="Interactions!B313" display="N"/>
    <hyperlink ref="H227" location="Interactions!B314" display="N"/>
    <hyperlink ref="I227" location="Interactions!B315" display="N"/>
    <hyperlink ref="J227" location="Interactions!B316" display="N"/>
    <hyperlink ref="K227" location="Interactions!B317" display="N"/>
    <hyperlink ref="L227" location="Interactions!B318" display="N"/>
    <hyperlink ref="M227" location="Interactions!B319" display="N"/>
    <hyperlink ref="N227" location="Interactions!B320" display="N"/>
    <hyperlink ref="O227" location="Interactions!B321" display="N"/>
    <hyperlink ref="B228" location="Interactions!B322" display="N"/>
    <hyperlink ref="C228" location="Interactions!B323" display="N"/>
    <hyperlink ref="D228" location="Interactions!B324" display="N"/>
    <hyperlink ref="E228" location="Interactions!B325" display="N"/>
    <hyperlink ref="F228" location="Interactions!B326" display="N"/>
    <hyperlink ref="G228" location="Interactions!B327" display="N"/>
    <hyperlink ref="H228" location="Interactions!B328" display="Y"/>
    <hyperlink ref="I228" location="Interactions!B329" display="Y"/>
    <hyperlink ref="J228" location="Interactions!B330" display="Y"/>
    <hyperlink ref="K228" location="Interactions!B331" display="Y"/>
    <hyperlink ref="L228" location="Interactions!B332" display="N"/>
    <hyperlink ref="M228" location="Interactions!B333" display="N"/>
    <hyperlink ref="N228" location="Interactions!B334" display="N"/>
    <hyperlink ref="O228" location="Interactions!B335" display="N"/>
    <hyperlink ref="B229" location="Interactions!B336" display="N"/>
    <hyperlink ref="C229" location="Interactions!B337" display="N"/>
    <hyperlink ref="D229" location="Interactions!B338" display="N"/>
    <hyperlink ref="E229" location="Interactions!B339" display="N"/>
    <hyperlink ref="F229" location="Interactions!B340" display="N"/>
    <hyperlink ref="G229" location="Interactions!B341" display="N"/>
    <hyperlink ref="H229" location="Interactions!B342" display="Y"/>
    <hyperlink ref="I229" location="Interactions!B343" display="Y"/>
    <hyperlink ref="J229" location="Interactions!B344" display="Y"/>
    <hyperlink ref="K229" location="Interactions!B345" display="Y"/>
    <hyperlink ref="L229" location="Interactions!B346" display="N"/>
    <hyperlink ref="M229" location="Interactions!B347" display="N"/>
    <hyperlink ref="N229" location="Interactions!B348" display="N"/>
    <hyperlink ref="O229" location="Interactions!B349" display="N"/>
    <hyperlink ref="B230" location="Interactions!B350" display="N"/>
    <hyperlink ref="C230" location="Interactions!B351" display="N"/>
    <hyperlink ref="D230" location="Interactions!B352" display="N"/>
    <hyperlink ref="E230" location="Interactions!B353" display="N"/>
    <hyperlink ref="F230" location="Interactions!B354" display="N"/>
    <hyperlink ref="G230" location="Interactions!B355" display="N"/>
    <hyperlink ref="H230" location="Interactions!B356" display="Y"/>
    <hyperlink ref="I230" location="Interactions!B357" display="Y"/>
    <hyperlink ref="J230" location="Interactions!B358" display="Y"/>
    <hyperlink ref="K230" location="Interactions!B359" display="Y"/>
    <hyperlink ref="L230" location="Interactions!B360" display="N"/>
    <hyperlink ref="M230" location="Interactions!B361" display="N"/>
    <hyperlink ref="N230" location="Interactions!B362" display="N"/>
    <hyperlink ref="O230" location="Interactions!B363" display="N"/>
    <hyperlink ref="B231" location="Interactions!B364" display="N"/>
    <hyperlink ref="C231" location="Interactions!B365" display="N"/>
    <hyperlink ref="D231" location="Interactions!B366" display="N"/>
    <hyperlink ref="E231" location="Interactions!B367" display="N"/>
    <hyperlink ref="F231" location="Interactions!B368" display="N"/>
    <hyperlink ref="G231" location="Interactions!B369" display="N"/>
    <hyperlink ref="H231" location="Interactions!B370" display="Y"/>
    <hyperlink ref="I231" location="Interactions!B371" display="Y"/>
    <hyperlink ref="J231" location="Interactions!B372" display="Y"/>
    <hyperlink ref="K231" location="Interactions!B373" display="Y"/>
    <hyperlink ref="L231" location="Interactions!B374" display="N"/>
    <hyperlink ref="M231" location="Interactions!B375" display="N"/>
    <hyperlink ref="N231" location="Interactions!B376" display="N"/>
    <hyperlink ref="O231" location="Interactions!B377" display="N"/>
    <hyperlink ref="B232" location="Interactions!B378" display="N"/>
    <hyperlink ref="C232" location="Interactions!B379" display="N"/>
    <hyperlink ref="D232" location="Interactions!B380" display="N"/>
    <hyperlink ref="E232" location="Interactions!B381" display="N"/>
    <hyperlink ref="F232" location="Interactions!B382" display="N"/>
    <hyperlink ref="G232" location="Interactions!B383" display="N"/>
    <hyperlink ref="H232" location="Interactions!B384" display="N"/>
    <hyperlink ref="I232" location="Interactions!B385" display="N"/>
    <hyperlink ref="J232" location="Interactions!B386" display="N"/>
    <hyperlink ref="K232" location="Interactions!B387" display="N"/>
    <hyperlink ref="L232" location="Interactions!B388" display="N"/>
    <hyperlink ref="M232" location="Interactions!B389" display="N"/>
    <hyperlink ref="N232" location="Interactions!B390" display="N"/>
    <hyperlink ref="O232" location="Interactions!B391" display="N"/>
    <hyperlink ref="B233" location="Interactions!B392" display="N"/>
    <hyperlink ref="C233" location="Interactions!B393" display="N"/>
    <hyperlink ref="D233" location="Interactions!B394" display="N"/>
    <hyperlink ref="E233" location="Interactions!B395" display="N"/>
    <hyperlink ref="F233" location="Interactions!B396" display="N"/>
    <hyperlink ref="G233" location="Interactions!B397" display="N"/>
    <hyperlink ref="H233" location="Interactions!B398" display="N"/>
    <hyperlink ref="I233" location="Interactions!B399" display="N"/>
    <hyperlink ref="J233" location="Interactions!B400" display="N"/>
    <hyperlink ref="K233" location="Interactions!B401" display="N"/>
    <hyperlink ref="L233" location="Interactions!B402" display="N"/>
    <hyperlink ref="M233" location="Interactions!B403" display="N"/>
    <hyperlink ref="N233" location="Interactions!B404" display="N"/>
    <hyperlink ref="O233" location="Interactions!B405" display="N"/>
    <hyperlink ref="B234" location="Interactions!B406" display="N"/>
    <hyperlink ref="C234" location="Interactions!B407" display="N"/>
    <hyperlink ref="D234" location="Interactions!B408" display="N"/>
    <hyperlink ref="E234" location="Interactions!B409" display="N"/>
    <hyperlink ref="F234" location="Interactions!B410" display="N"/>
    <hyperlink ref="G234" location="Interactions!B411" display="N"/>
    <hyperlink ref="H234" location="Interactions!B412" display="N"/>
    <hyperlink ref="I234" location="Interactions!B413" display="N"/>
    <hyperlink ref="J234" location="Interactions!B414" display="N"/>
    <hyperlink ref="K234" location="Interactions!B415" display="N"/>
    <hyperlink ref="L234" location="Interactions!B416" display="N"/>
    <hyperlink ref="M234" location="Interactions!B417" display="N"/>
    <hyperlink ref="N234" location="Interactions!B418" display="N"/>
    <hyperlink ref="O234" location="Interactions!B419" display="N"/>
    <hyperlink ref="B235" location="Interactions!B420" display="N"/>
    <hyperlink ref="C235" location="Interactions!B421" display="N"/>
    <hyperlink ref="D235" location="Interactions!B422" display="N"/>
    <hyperlink ref="E235" location="Interactions!B423" display="N"/>
    <hyperlink ref="F235" location="Interactions!B424" display="N"/>
    <hyperlink ref="G235" location="Interactions!B425" display="N"/>
    <hyperlink ref="H235" location="Interactions!B426" display="N"/>
    <hyperlink ref="I235" location="Interactions!B427" display="N"/>
    <hyperlink ref="J235" location="Interactions!B428" display="N"/>
    <hyperlink ref="K235" location="Interactions!B429" display="N"/>
    <hyperlink ref="L235" location="Interactions!B430" display="N"/>
    <hyperlink ref="M235" location="Interactions!B431" display="N"/>
    <hyperlink ref="N235" location="Interactions!B432" display="N"/>
    <hyperlink ref="O235" location="Interactions!B433" display="N"/>
    <hyperlink ref="B238" location="Interactions!$B$222" display="Interactions!$B$222"/>
    <hyperlink ref="B239" location="Interactions!$C$222" display="Interactions!$C$222"/>
    <hyperlink ref="B240" location="Interactions!$D$222" display="Interactions!$D$222"/>
    <hyperlink ref="B241" location="Interactions!$E$222" display="Interactions!$E$222"/>
    <hyperlink ref="B242" location="Interactions!$F$222" display="Interactions!$F$222"/>
    <hyperlink ref="B243" location="Interactions!$G$222" display="Interactions!$G$222"/>
    <hyperlink ref="B244" location="Interactions!$H$222" display="Interactions!$H$222"/>
    <hyperlink ref="B245" location="Interactions!$I$222" display="Interactions!$I$222"/>
    <hyperlink ref="B246" location="Interactions!$J$222" display="Interactions!$J$222"/>
    <hyperlink ref="B247" location="Interactions!$K$222" display="Interactions!$K$222"/>
    <hyperlink ref="B248" location="Interactions!$L$222" display="Interactions!$L$222"/>
    <hyperlink ref="B249" location="Interactions!$M$222" display="Interactions!$M$222"/>
    <hyperlink ref="B250" location="Interactions!$N$222" display="Interactions!$N$222"/>
    <hyperlink ref="B251" location="Interactions!$O$222" display="Interactions!$O$222"/>
    <hyperlink ref="B252" location="Interactions!$B$223" display="Interactions!$B$223"/>
    <hyperlink ref="B253" location="Interactions!$C$223" display="Interactions!$C$223"/>
    <hyperlink ref="B254" location="Interactions!$D$223" display="Interactions!$D$223"/>
    <hyperlink ref="B255" location="Interactions!$E$223" display="Interactions!$E$223"/>
    <hyperlink ref="B256" location="Interactions!$F$223" display="Interactions!$F$223"/>
    <hyperlink ref="B257" location="Interactions!$G$223" display="Interactions!$G$223"/>
    <hyperlink ref="B258" location="Interactions!$H$223" display="Interactions!$H$223"/>
    <hyperlink ref="B259" location="Interactions!$I$223" display="Interactions!$I$223"/>
    <hyperlink ref="B260" location="Interactions!$J$223" display="Interactions!$J$223"/>
    <hyperlink ref="B261" location="Interactions!$K$223" display="Interactions!$K$223"/>
    <hyperlink ref="B262" location="Interactions!$L$223" display="Interactions!$L$223"/>
    <hyperlink ref="B263" location="Interactions!$M$223" display="Interactions!$M$223"/>
    <hyperlink ref="B264" location="Interactions!$N$223" display="Interactions!$N$223"/>
    <hyperlink ref="B265" location="Interactions!$O$223" display="Interactions!$O$223"/>
    <hyperlink ref="B266" location="Interactions!$B$224" display="Interactions!$B$224"/>
    <hyperlink ref="B267" location="Interactions!$C$224" display="Interactions!$C$224"/>
    <hyperlink ref="B268" location="Interactions!$D$224" display="Interactions!$D$224"/>
    <hyperlink ref="B269" location="Interactions!$E$224" display="Interactions!$E$224"/>
    <hyperlink ref="B270" location="Interactions!$F$224" display="Interactions!$F$224"/>
    <hyperlink ref="B271" location="Interactions!$G$224" display="Interactions!$G$224"/>
    <hyperlink ref="B272" location="Interactions!$H$224" display="Interactions!$H$224"/>
    <hyperlink ref="B273" location="Interactions!$I$224" display="Interactions!$I$224"/>
    <hyperlink ref="B274" location="Interactions!$J$224" display="Interactions!$J$224"/>
    <hyperlink ref="B275" location="Interactions!$K$224" display="Interactions!$K$224"/>
    <hyperlink ref="B276" location="Interactions!$L$224" display="Interactions!$L$224"/>
    <hyperlink ref="B277" location="Interactions!$M$224" display="Interactions!$M$224"/>
    <hyperlink ref="B278" location="Interactions!$N$224" display="Interactions!$N$224"/>
    <hyperlink ref="B279" location="Interactions!$O$224" display="Interactions!$O$224"/>
    <hyperlink ref="B280" location="Interactions!$B$225" display="Interactions!$B$225"/>
    <hyperlink ref="B281" location="Interactions!$C$225" display="Interactions!$C$225"/>
    <hyperlink ref="B282" location="Interactions!$D$225" display="Interactions!$D$225"/>
    <hyperlink ref="B283" location="Interactions!$E$225" display="Interactions!$E$225"/>
    <hyperlink ref="B284" location="Interactions!$F$225" display="Interactions!$F$225"/>
    <hyperlink ref="B285" location="Interactions!$G$225" display="Interactions!$G$225"/>
    <hyperlink ref="B286" location="Interactions!$H$225" display="Interactions!$H$225"/>
    <hyperlink ref="B287" location="Interactions!$I$225" display="Interactions!$I$225"/>
    <hyperlink ref="B288" location="Interactions!$J$225" display="Interactions!$J$225"/>
    <hyperlink ref="B289" location="Interactions!$K$225" display="Interactions!$K$225"/>
    <hyperlink ref="B290" location="Interactions!$L$225" display="Interactions!$L$225"/>
    <hyperlink ref="B291" location="Interactions!$M$225" display="Interactions!$M$225"/>
    <hyperlink ref="B292" location="Interactions!$N$225" display="Interactions!$N$225"/>
    <hyperlink ref="B293" location="Interactions!$O$225" display="Interactions!$O$225"/>
    <hyperlink ref="B294" location="Interactions!$B$226" display="Interactions!$B$226"/>
    <hyperlink ref="B295" location="Interactions!$C$226" display="Interactions!$C$226"/>
    <hyperlink ref="B296" location="Interactions!$D$226" display="Interactions!$D$226"/>
    <hyperlink ref="B297" location="Interactions!$E$226" display="Interactions!$E$226"/>
    <hyperlink ref="B298" location="Interactions!$F$226" display="Interactions!$F$226"/>
    <hyperlink ref="B299" location="Interactions!$G$226" display="Interactions!$G$226"/>
    <hyperlink ref="B300" location="Interactions!$H$226" display="Interactions!$H$226"/>
    <hyperlink ref="B301" location="Interactions!$I$226" display="Interactions!$I$226"/>
    <hyperlink ref="B302" location="Interactions!$J$226" display="Interactions!$J$226"/>
    <hyperlink ref="B303" location="Interactions!$K$226" display="Interactions!$K$226"/>
    <hyperlink ref="B304" location="Interactions!$L$226" display="Interactions!$L$226"/>
    <hyperlink ref="B305" location="Interactions!$M$226" display="Interactions!$M$226"/>
    <hyperlink ref="B306" location="Interactions!$N$226" display="Interactions!$N$226"/>
    <hyperlink ref="B307" location="Interactions!$O$226" display="Interactions!$O$226"/>
    <hyperlink ref="B308" location="Interactions!$B$227" display="Interactions!$B$227"/>
    <hyperlink ref="B309" location="Interactions!$C$227" display="Interactions!$C$227"/>
    <hyperlink ref="B310" location="Interactions!$D$227" display="Interactions!$D$227"/>
    <hyperlink ref="B311" location="Interactions!$E$227" display="Interactions!$E$227"/>
    <hyperlink ref="B312" location="Interactions!$F$227" display="Interactions!$F$227"/>
    <hyperlink ref="B313" location="Interactions!$G$227" display="Interactions!$G$227"/>
    <hyperlink ref="B314" location="Interactions!$H$227" display="Interactions!$H$227"/>
    <hyperlink ref="B315" location="Interactions!$I$227" display="Interactions!$I$227"/>
    <hyperlink ref="B316" location="Interactions!$J$227" display="Interactions!$J$227"/>
    <hyperlink ref="B317" location="Interactions!$K$227" display="Interactions!$K$227"/>
    <hyperlink ref="B318" location="Interactions!$L$227" display="Interactions!$L$227"/>
    <hyperlink ref="B319" location="Interactions!$M$227" display="Interactions!$M$227"/>
    <hyperlink ref="B320" location="Interactions!$N$227" display="Interactions!$N$227"/>
    <hyperlink ref="B321" location="Interactions!$O$227" display="Interactions!$O$227"/>
    <hyperlink ref="B322" location="Interactions!$B$228" display="Interactions!$B$228"/>
    <hyperlink ref="B323" location="Interactions!$C$228" display="Interactions!$C$228"/>
    <hyperlink ref="B324" location="Interactions!$D$228" display="Interactions!$D$228"/>
    <hyperlink ref="B325" location="Interactions!$E$228" display="Interactions!$E$228"/>
    <hyperlink ref="B326" location="Interactions!$F$228" display="Interactions!$F$228"/>
    <hyperlink ref="B327" location="Interactions!$G$228" display="Interactions!$G$228"/>
    <hyperlink ref="B328" location="Interactions!$H$228" display="Interactions!$H$228"/>
    <hyperlink ref="B329" location="Interactions!$I$228" display="Interactions!$I$228"/>
    <hyperlink ref="B330" location="Interactions!$J$228" display="Interactions!$J$228"/>
    <hyperlink ref="B331" location="Interactions!$K$228" display="Interactions!$K$228"/>
    <hyperlink ref="B332" location="Interactions!$L$228" display="Interactions!$L$228"/>
    <hyperlink ref="B333" location="Interactions!$M$228" display="Interactions!$M$228"/>
    <hyperlink ref="B334" location="Interactions!$N$228" display="Interactions!$N$228"/>
    <hyperlink ref="B335" location="Interactions!$O$228" display="Interactions!$O$228"/>
    <hyperlink ref="B336" location="Interactions!$B$229" display="Interactions!$B$229"/>
    <hyperlink ref="B337" location="Interactions!$C$229" display="Interactions!$C$229"/>
    <hyperlink ref="B338" location="Interactions!$D$229" display="Interactions!$D$229"/>
    <hyperlink ref="B339" location="Interactions!$E$229" display="Interactions!$E$229"/>
    <hyperlink ref="B340" location="Interactions!$F$229" display="Interactions!$F$229"/>
    <hyperlink ref="B341" location="Interactions!$G$229" display="Interactions!$G$229"/>
    <hyperlink ref="B342" location="Interactions!$H$229" display="Interactions!$H$229"/>
    <hyperlink ref="B343" location="Interactions!$I$229" display="Interactions!$I$229"/>
    <hyperlink ref="B344" location="Interactions!$J$229" display="Interactions!$J$229"/>
    <hyperlink ref="B345" location="Interactions!$K$229" display="Interactions!$K$229"/>
    <hyperlink ref="B346" location="Interactions!$L$229" display="Interactions!$L$229"/>
    <hyperlink ref="B347" location="Interactions!$M$229" display="Interactions!$M$229"/>
    <hyperlink ref="B348" location="Interactions!$N$229" display="Interactions!$N$229"/>
    <hyperlink ref="B349" location="Interactions!$O$229" display="Interactions!$O$229"/>
    <hyperlink ref="B350" location="Interactions!$B$230" display="Interactions!$B$230"/>
    <hyperlink ref="B351" location="Interactions!$C$230" display="Interactions!$C$230"/>
    <hyperlink ref="B352" location="Interactions!$D$230" display="Interactions!$D$230"/>
    <hyperlink ref="B353" location="Interactions!$E$230" display="Interactions!$E$230"/>
    <hyperlink ref="B354" location="Interactions!$F$230" display="Interactions!$F$230"/>
    <hyperlink ref="B355" location="Interactions!$G$230" display="Interactions!$G$230"/>
    <hyperlink ref="B356" location="Interactions!$H$230" display="Interactions!$H$230"/>
    <hyperlink ref="B357" location="Interactions!$I$230" display="Interactions!$I$230"/>
    <hyperlink ref="B358" location="Interactions!$J$230" display="Interactions!$J$230"/>
    <hyperlink ref="B359" location="Interactions!$K$230" display="Interactions!$K$230"/>
    <hyperlink ref="B360" location="Interactions!$L$230" display="Interactions!$L$230"/>
    <hyperlink ref="B361" location="Interactions!$M$230" display="Interactions!$M$230"/>
    <hyperlink ref="B362" location="Interactions!$N$230" display="Interactions!$N$230"/>
    <hyperlink ref="B363" location="Interactions!$O$230" display="Interactions!$O$230"/>
    <hyperlink ref="B364" location="Interactions!$B$231" display="Interactions!$B$231"/>
    <hyperlink ref="B365" location="Interactions!$C$231" display="Interactions!$C$231"/>
    <hyperlink ref="B366" location="Interactions!$D$231" display="Interactions!$D$231"/>
    <hyperlink ref="B367" location="Interactions!$E$231" display="Interactions!$E$231"/>
    <hyperlink ref="B368" location="Interactions!$F$231" display="Interactions!$F$231"/>
    <hyperlink ref="B369" location="Interactions!$G$231" display="Interactions!$G$231"/>
    <hyperlink ref="B370" location="Interactions!$H$231" display="Interactions!$H$231"/>
    <hyperlink ref="B371" location="Interactions!$I$231" display="Interactions!$I$231"/>
    <hyperlink ref="B372" location="Interactions!$J$231" display="Interactions!$J$231"/>
    <hyperlink ref="B373" location="Interactions!$K$231" display="Interactions!$K$231"/>
    <hyperlink ref="B374" location="Interactions!$L$231" display="Interactions!$L$231"/>
    <hyperlink ref="B375" location="Interactions!$M$231" display="Interactions!$M$231"/>
    <hyperlink ref="B376" location="Interactions!$N$231" display="Interactions!$N$231"/>
    <hyperlink ref="B377" location="Interactions!$O$231" display="Interactions!$O$231"/>
    <hyperlink ref="B378" location="Interactions!$B$232" display="Interactions!$B$232"/>
    <hyperlink ref="B379" location="Interactions!$C$232" display="Interactions!$C$232"/>
    <hyperlink ref="B380" location="Interactions!$D$232" display="Interactions!$D$232"/>
    <hyperlink ref="B381" location="Interactions!$E$232" display="Interactions!$E$232"/>
    <hyperlink ref="B382" location="Interactions!$F$232" display="Interactions!$F$232"/>
    <hyperlink ref="B383" location="Interactions!$G$232" display="Interactions!$G$232"/>
    <hyperlink ref="B384" location="Interactions!$H$232" display="Interactions!$H$232"/>
    <hyperlink ref="B385" location="Interactions!$I$232" display="Interactions!$I$232"/>
    <hyperlink ref="B386" location="Interactions!$J$232" display="Interactions!$J$232"/>
    <hyperlink ref="B387" location="Interactions!$K$232" display="Interactions!$K$232"/>
    <hyperlink ref="B388" location="Interactions!$L$232" display="Interactions!$L$232"/>
    <hyperlink ref="B389" location="Interactions!$M$232" display="Interactions!$M$232"/>
    <hyperlink ref="B390" location="Interactions!$N$232" display="Interactions!$N$232"/>
    <hyperlink ref="B391" location="Interactions!$O$232" display="Interactions!$O$232"/>
    <hyperlink ref="B392" location="Interactions!$B$233" display="Interactions!$B$233"/>
    <hyperlink ref="B393" location="Interactions!$C$233" display="Interactions!$C$233"/>
    <hyperlink ref="B394" location="Interactions!$D$233" display="Interactions!$D$233"/>
    <hyperlink ref="B395" location="Interactions!$E$233" display="Interactions!$E$233"/>
    <hyperlink ref="B396" location="Interactions!$F$233" display="Interactions!$F$233"/>
    <hyperlink ref="B397" location="Interactions!$G$233" display="Interactions!$G$233"/>
    <hyperlink ref="B398" location="Interactions!$H$233" display="Interactions!$H$233"/>
    <hyperlink ref="B399" location="Interactions!$I$233" display="Interactions!$I$233"/>
    <hyperlink ref="B400" location="Interactions!$J$233" display="Interactions!$J$233"/>
    <hyperlink ref="B401" location="Interactions!$K$233" display="Interactions!$K$233"/>
    <hyperlink ref="B402" location="Interactions!$L$233" display="Interactions!$L$233"/>
    <hyperlink ref="B403" location="Interactions!$M$233" display="Interactions!$M$233"/>
    <hyperlink ref="B404" location="Interactions!$N$233" display="Interactions!$N$233"/>
    <hyperlink ref="B405" location="Interactions!$O$233" display="Interactions!$O$233"/>
    <hyperlink ref="B406" location="Interactions!$B$234" display="Interactions!$B$234"/>
    <hyperlink ref="B407" location="Interactions!$C$234" display="Interactions!$C$234"/>
    <hyperlink ref="B408" location="Interactions!$D$234" display="Interactions!$D$234"/>
    <hyperlink ref="B409" location="Interactions!$E$234" display="Interactions!$E$234"/>
    <hyperlink ref="B410" location="Interactions!$F$234" display="Interactions!$F$234"/>
    <hyperlink ref="B411" location="Interactions!$G$234" display="Interactions!$G$234"/>
    <hyperlink ref="B412" location="Interactions!$H$234" display="Interactions!$H$234"/>
    <hyperlink ref="B413" location="Interactions!$I$234" display="Interactions!$I$234"/>
    <hyperlink ref="B414" location="Interactions!$J$234" display="Interactions!$J$234"/>
    <hyperlink ref="B415" location="Interactions!$K$234" display="Interactions!$K$234"/>
    <hyperlink ref="B416" location="Interactions!$L$234" display="Interactions!$L$234"/>
    <hyperlink ref="B417" location="Interactions!$M$234" display="Interactions!$M$234"/>
    <hyperlink ref="B418" location="Interactions!$N$234" display="Interactions!$N$234"/>
    <hyperlink ref="B419" location="Interactions!$O$234" display="Interactions!$O$234"/>
    <hyperlink ref="B420" location="Interactions!$B$235" display="Interactions!$B$235"/>
    <hyperlink ref="B421" location="Interactions!$C$235" display="Interactions!$C$235"/>
    <hyperlink ref="B422" location="Interactions!$D$235" display="Interactions!$D$235"/>
    <hyperlink ref="B423" location="Interactions!$E$235" display="Interactions!$E$235"/>
    <hyperlink ref="B424" location="Interactions!$F$235" display="Interactions!$F$235"/>
    <hyperlink ref="B425" location="Interactions!$G$235" display="Interactions!$G$235"/>
    <hyperlink ref="B426" location="Interactions!$H$235" display="Interactions!$H$235"/>
    <hyperlink ref="B427" location="Interactions!$I$235" display="Interactions!$I$235"/>
    <hyperlink ref="B428" location="Interactions!$J$235" display="Interactions!$J$235"/>
    <hyperlink ref="B429" location="Interactions!$K$235" display="Interactions!$K$235"/>
    <hyperlink ref="B430" location="Interactions!$L$235" display="Interactions!$L$235"/>
    <hyperlink ref="B431" location="Interactions!$M$235" display="Interactions!$M$235"/>
    <hyperlink ref="B432" location="Interactions!$N$235" display="Interactions!$N$235"/>
    <hyperlink ref="B433" location="Interactions!$O$235" display="Interactions!$O$235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sheetPr>
    <tabColor rgb="FF808080"/>
  </sheetPr>
  <dimension ref="A1:BG650"/>
  <sheetViews>
    <sheetView workbookViewId="0"/>
  </sheetViews>
  <sheetFormatPr defaultRowHeight="15"/>
  <cols>
    <col min="1" max="1" width="25.85546875" customWidth="1"/>
    <col min="2" max="2" width="44.5703125" customWidth="1"/>
    <col min="3" max="3" width="25.85546875" customWidth="1"/>
    <col min="4" max="4" width="21.5703125" customWidth="1"/>
    <col min="5" max="5" width="18.28515625" customWidth="1"/>
    <col min="6" max="6" width="13.85546875" customWidth="1"/>
    <col min="7" max="7" width="16" customWidth="1"/>
    <col min="8" max="8" width="13.85546875" customWidth="1"/>
    <col min="9" max="9" width="16" customWidth="1"/>
    <col min="10" max="10" width="11.5703125" customWidth="1"/>
    <col min="11" max="11" width="13.85546875" customWidth="1"/>
    <col min="12" max="12" width="18.28515625" customWidth="1"/>
    <col min="13" max="13" width="20.42578125" customWidth="1"/>
    <col min="14" max="14" width="23.7109375" customWidth="1"/>
    <col min="15" max="15" width="25.85546875" customWidth="1"/>
    <col min="16" max="59" width="9.42578125" customWidth="1"/>
  </cols>
  <sheetData>
    <row r="1" spans="1:15">
      <c r="A1" s="1" t="s">
        <v>0</v>
      </c>
      <c r="B1" s="1" t="s">
        <v>1</v>
      </c>
      <c r="C1" s="1" t="s">
        <v>226</v>
      </c>
      <c r="D1" s="1" t="s">
        <v>227</v>
      </c>
    </row>
    <row r="2" spans="1:15">
      <c r="A2" t="s">
        <v>626</v>
      </c>
      <c r="B2" t="s">
        <v>627</v>
      </c>
      <c r="C2" t="s">
        <v>5</v>
      </c>
      <c r="D2" t="s">
        <v>5</v>
      </c>
    </row>
    <row r="4" spans="1:15">
      <c r="B4" s="1" t="str">
        <f>'Population Definitions'!$A$2</f>
        <v>PWID_males</v>
      </c>
      <c r="C4" s="1" t="str">
        <f>'Population Definitions'!$A$3</f>
        <v>PWID_females</v>
      </c>
      <c r="D4" s="1" t="str">
        <f>'Population Definitions'!$A$4</f>
        <v>0-9_males</v>
      </c>
      <c r="E4" s="1" t="str">
        <f>'Population Definitions'!$A$5</f>
        <v>0-9_females</v>
      </c>
      <c r="F4" s="1" t="str">
        <f>'Population Definitions'!$A$6</f>
        <v>10-17_males</v>
      </c>
      <c r="G4" s="1" t="str">
        <f>'Population Definitions'!$A$7</f>
        <v>10-17_females</v>
      </c>
      <c r="H4" s="1" t="str">
        <f>'Population Definitions'!$A$8</f>
        <v>18-64_males</v>
      </c>
      <c r="I4" s="1" t="str">
        <f>'Population Definitions'!$A$9</f>
        <v>18-64_females</v>
      </c>
      <c r="J4" s="1" t="str">
        <f>'Population Definitions'!$A$10</f>
        <v>65+_males</v>
      </c>
      <c r="K4" s="1" t="str">
        <f>'Population Definitions'!$A$11</f>
        <v>65+_females</v>
      </c>
      <c r="L4" s="1" t="str">
        <f>'Population Definitions'!$A$12</f>
        <v>Prisoners_males</v>
      </c>
      <c r="M4" s="1" t="str">
        <f>'Population Definitions'!$A$13</f>
        <v>Prisoners_females</v>
      </c>
      <c r="N4" s="1" t="str">
        <f>'Population Definitions'!$A$14</f>
        <v>Prisoners_PWID_males</v>
      </c>
      <c r="O4" s="1" t="str">
        <f>'Population Definitions'!$A$15</f>
        <v>Prisoners_PWID_females</v>
      </c>
    </row>
    <row r="5" spans="1:15">
      <c r="A5" s="1" t="str">
        <f>'Population Definitions'!$A$2</f>
        <v>PWID_males</v>
      </c>
      <c r="B5" s="4" t="s">
        <v>58</v>
      </c>
      <c r="C5" s="5" t="s">
        <v>229</v>
      </c>
      <c r="D5" s="5" t="s">
        <v>229</v>
      </c>
      <c r="E5" s="5" t="s">
        <v>229</v>
      </c>
      <c r="F5" s="5" t="s">
        <v>229</v>
      </c>
      <c r="G5" s="5" t="s">
        <v>229</v>
      </c>
      <c r="H5" s="5" t="s">
        <v>229</v>
      </c>
      <c r="I5" s="5" t="s">
        <v>229</v>
      </c>
      <c r="J5" s="5" t="s">
        <v>229</v>
      </c>
      <c r="K5" s="5" t="s">
        <v>229</v>
      </c>
      <c r="L5" s="5" t="s">
        <v>229</v>
      </c>
      <c r="M5" s="5" t="s">
        <v>229</v>
      </c>
      <c r="N5" s="5" t="s">
        <v>229</v>
      </c>
      <c r="O5" s="5" t="s">
        <v>229</v>
      </c>
    </row>
    <row r="6" spans="1:15">
      <c r="A6" s="1" t="str">
        <f>'Population Definitions'!$A$3</f>
        <v>PWID_females</v>
      </c>
      <c r="B6" s="5" t="s">
        <v>229</v>
      </c>
      <c r="C6" s="4" t="s">
        <v>58</v>
      </c>
      <c r="D6" s="5" t="s">
        <v>229</v>
      </c>
      <c r="E6" s="5" t="s">
        <v>229</v>
      </c>
      <c r="F6" s="5" t="s">
        <v>229</v>
      </c>
      <c r="G6" s="5" t="s">
        <v>229</v>
      </c>
      <c r="H6" s="5" t="s">
        <v>229</v>
      </c>
      <c r="I6" s="5" t="s">
        <v>229</v>
      </c>
      <c r="J6" s="5" t="s">
        <v>229</v>
      </c>
      <c r="K6" s="5" t="s">
        <v>229</v>
      </c>
      <c r="L6" s="5" t="s">
        <v>229</v>
      </c>
      <c r="M6" s="5" t="s">
        <v>229</v>
      </c>
      <c r="N6" s="5" t="s">
        <v>229</v>
      </c>
      <c r="O6" s="5" t="s">
        <v>229</v>
      </c>
    </row>
    <row r="7" spans="1:15">
      <c r="A7" s="1" t="str">
        <f>'Population Definitions'!$A$4</f>
        <v>0-9_males</v>
      </c>
      <c r="B7" s="5" t="s">
        <v>229</v>
      </c>
      <c r="C7" s="5" t="s">
        <v>229</v>
      </c>
      <c r="D7" s="4" t="s">
        <v>58</v>
      </c>
      <c r="E7" s="5" t="s">
        <v>229</v>
      </c>
      <c r="F7" s="5" t="s">
        <v>228</v>
      </c>
      <c r="G7" s="5" t="s">
        <v>229</v>
      </c>
      <c r="H7" s="5" t="s">
        <v>229</v>
      </c>
      <c r="I7" s="5" t="s">
        <v>229</v>
      </c>
      <c r="J7" s="5" t="s">
        <v>229</v>
      </c>
      <c r="K7" s="5" t="s">
        <v>229</v>
      </c>
      <c r="L7" s="5" t="s">
        <v>229</v>
      </c>
      <c r="M7" s="5" t="s">
        <v>229</v>
      </c>
      <c r="N7" s="5" t="s">
        <v>229</v>
      </c>
      <c r="O7" s="5" t="s">
        <v>229</v>
      </c>
    </row>
    <row r="8" spans="1:15">
      <c r="A8" s="1" t="str">
        <f>'Population Definitions'!$A$5</f>
        <v>0-9_females</v>
      </c>
      <c r="B8" s="5" t="s">
        <v>229</v>
      </c>
      <c r="C8" s="5" t="s">
        <v>229</v>
      </c>
      <c r="D8" s="5" t="s">
        <v>229</v>
      </c>
      <c r="E8" s="4" t="s">
        <v>58</v>
      </c>
      <c r="F8" s="5" t="s">
        <v>229</v>
      </c>
      <c r="G8" s="5" t="s">
        <v>228</v>
      </c>
      <c r="H8" s="5" t="s">
        <v>229</v>
      </c>
      <c r="I8" s="5" t="s">
        <v>229</v>
      </c>
      <c r="J8" s="5" t="s">
        <v>229</v>
      </c>
      <c r="K8" s="5" t="s">
        <v>229</v>
      </c>
      <c r="L8" s="5" t="s">
        <v>229</v>
      </c>
      <c r="M8" s="5" t="s">
        <v>229</v>
      </c>
      <c r="N8" s="5" t="s">
        <v>229</v>
      </c>
      <c r="O8" s="5" t="s">
        <v>229</v>
      </c>
    </row>
    <row r="9" spans="1:15">
      <c r="A9" s="1" t="str">
        <f>'Population Definitions'!$A$6</f>
        <v>10-17_males</v>
      </c>
      <c r="B9" s="5" t="s">
        <v>229</v>
      </c>
      <c r="C9" s="5" t="s">
        <v>229</v>
      </c>
      <c r="D9" s="5" t="s">
        <v>229</v>
      </c>
      <c r="E9" s="5" t="s">
        <v>229</v>
      </c>
      <c r="F9" s="4" t="s">
        <v>58</v>
      </c>
      <c r="G9" s="5" t="s">
        <v>229</v>
      </c>
      <c r="H9" s="5" t="s">
        <v>228</v>
      </c>
      <c r="I9" s="5" t="s">
        <v>229</v>
      </c>
      <c r="J9" s="5" t="s">
        <v>229</v>
      </c>
      <c r="K9" s="5" t="s">
        <v>229</v>
      </c>
      <c r="L9" s="5" t="s">
        <v>229</v>
      </c>
      <c r="M9" s="5" t="s">
        <v>229</v>
      </c>
      <c r="N9" s="5" t="s">
        <v>229</v>
      </c>
      <c r="O9" s="5" t="s">
        <v>229</v>
      </c>
    </row>
    <row r="10" spans="1:15">
      <c r="A10" s="1" t="str">
        <f>'Population Definitions'!$A$7</f>
        <v>10-17_females</v>
      </c>
      <c r="B10" s="5" t="s">
        <v>229</v>
      </c>
      <c r="C10" s="5" t="s">
        <v>229</v>
      </c>
      <c r="D10" s="5" t="s">
        <v>229</v>
      </c>
      <c r="E10" s="5" t="s">
        <v>229</v>
      </c>
      <c r="F10" s="5" t="s">
        <v>229</v>
      </c>
      <c r="G10" s="4" t="s">
        <v>58</v>
      </c>
      <c r="H10" s="5" t="s">
        <v>229</v>
      </c>
      <c r="I10" s="5" t="s">
        <v>228</v>
      </c>
      <c r="J10" s="5" t="s">
        <v>229</v>
      </c>
      <c r="K10" s="5" t="s">
        <v>229</v>
      </c>
      <c r="L10" s="5" t="s">
        <v>229</v>
      </c>
      <c r="M10" s="5" t="s">
        <v>229</v>
      </c>
      <c r="N10" s="5" t="s">
        <v>229</v>
      </c>
      <c r="O10" s="5" t="s">
        <v>229</v>
      </c>
    </row>
    <row r="11" spans="1:15">
      <c r="A11" s="1" t="str">
        <f>'Population Definitions'!$A$8</f>
        <v>18-64_males</v>
      </c>
      <c r="B11" s="5" t="s">
        <v>229</v>
      </c>
      <c r="C11" s="5" t="s">
        <v>229</v>
      </c>
      <c r="D11" s="5" t="s">
        <v>229</v>
      </c>
      <c r="E11" s="5" t="s">
        <v>229</v>
      </c>
      <c r="F11" s="5" t="s">
        <v>229</v>
      </c>
      <c r="G11" s="5" t="s">
        <v>229</v>
      </c>
      <c r="H11" s="4" t="s">
        <v>58</v>
      </c>
      <c r="I11" s="5" t="s">
        <v>229</v>
      </c>
      <c r="J11" s="5" t="s">
        <v>228</v>
      </c>
      <c r="K11" s="5" t="s">
        <v>229</v>
      </c>
      <c r="L11" s="5" t="s">
        <v>229</v>
      </c>
      <c r="M11" s="5" t="s">
        <v>229</v>
      </c>
      <c r="N11" s="5" t="s">
        <v>229</v>
      </c>
      <c r="O11" s="5" t="s">
        <v>229</v>
      </c>
    </row>
    <row r="12" spans="1:15">
      <c r="A12" s="1" t="str">
        <f>'Population Definitions'!$A$9</f>
        <v>18-64_females</v>
      </c>
      <c r="B12" s="5" t="s">
        <v>229</v>
      </c>
      <c r="C12" s="5" t="s">
        <v>229</v>
      </c>
      <c r="D12" s="5" t="s">
        <v>229</v>
      </c>
      <c r="E12" s="5" t="s">
        <v>229</v>
      </c>
      <c r="F12" s="5" t="s">
        <v>229</v>
      </c>
      <c r="G12" s="5" t="s">
        <v>229</v>
      </c>
      <c r="H12" s="5" t="s">
        <v>229</v>
      </c>
      <c r="I12" s="4" t="s">
        <v>58</v>
      </c>
      <c r="J12" s="5" t="s">
        <v>229</v>
      </c>
      <c r="K12" s="5" t="s">
        <v>228</v>
      </c>
      <c r="L12" s="5" t="s">
        <v>229</v>
      </c>
      <c r="M12" s="5" t="s">
        <v>229</v>
      </c>
      <c r="N12" s="5" t="s">
        <v>229</v>
      </c>
      <c r="O12" s="5" t="s">
        <v>229</v>
      </c>
    </row>
    <row r="13" spans="1:15">
      <c r="A13" s="1" t="str">
        <f>'Population Definitions'!$A$10</f>
        <v>65+_males</v>
      </c>
      <c r="B13" s="5" t="s">
        <v>229</v>
      </c>
      <c r="C13" s="5" t="s">
        <v>229</v>
      </c>
      <c r="D13" s="5" t="s">
        <v>229</v>
      </c>
      <c r="E13" s="5" t="s">
        <v>229</v>
      </c>
      <c r="F13" s="5" t="s">
        <v>229</v>
      </c>
      <c r="G13" s="5" t="s">
        <v>229</v>
      </c>
      <c r="H13" s="5" t="s">
        <v>229</v>
      </c>
      <c r="I13" s="5" t="s">
        <v>229</v>
      </c>
      <c r="J13" s="4" t="s">
        <v>58</v>
      </c>
      <c r="K13" s="5" t="s">
        <v>229</v>
      </c>
      <c r="L13" s="5" t="s">
        <v>229</v>
      </c>
      <c r="M13" s="5" t="s">
        <v>229</v>
      </c>
      <c r="N13" s="5" t="s">
        <v>229</v>
      </c>
      <c r="O13" s="5" t="s">
        <v>229</v>
      </c>
    </row>
    <row r="14" spans="1:15">
      <c r="A14" s="1" t="str">
        <f>'Population Definitions'!$A$11</f>
        <v>65+_females</v>
      </c>
      <c r="B14" s="5" t="s">
        <v>229</v>
      </c>
      <c r="C14" s="5" t="s">
        <v>229</v>
      </c>
      <c r="D14" s="5" t="s">
        <v>229</v>
      </c>
      <c r="E14" s="5" t="s">
        <v>229</v>
      </c>
      <c r="F14" s="5" t="s">
        <v>229</v>
      </c>
      <c r="G14" s="5" t="s">
        <v>229</v>
      </c>
      <c r="H14" s="5" t="s">
        <v>229</v>
      </c>
      <c r="I14" s="5" t="s">
        <v>229</v>
      </c>
      <c r="J14" s="5" t="s">
        <v>229</v>
      </c>
      <c r="K14" s="4" t="s">
        <v>58</v>
      </c>
      <c r="L14" s="5" t="s">
        <v>229</v>
      </c>
      <c r="M14" s="5" t="s">
        <v>229</v>
      </c>
      <c r="N14" s="5" t="s">
        <v>229</v>
      </c>
      <c r="O14" s="5" t="s">
        <v>229</v>
      </c>
    </row>
    <row r="15" spans="1:15">
      <c r="A15" s="1" t="str">
        <f>'Population Definitions'!$A$12</f>
        <v>Prisoners_males</v>
      </c>
      <c r="B15" s="5" t="s">
        <v>229</v>
      </c>
      <c r="C15" s="5" t="s">
        <v>229</v>
      </c>
      <c r="D15" s="5" t="s">
        <v>229</v>
      </c>
      <c r="E15" s="5" t="s">
        <v>229</v>
      </c>
      <c r="F15" s="5" t="s">
        <v>229</v>
      </c>
      <c r="G15" s="5" t="s">
        <v>229</v>
      </c>
      <c r="H15" s="5" t="s">
        <v>229</v>
      </c>
      <c r="I15" s="5" t="s">
        <v>229</v>
      </c>
      <c r="J15" s="5" t="s">
        <v>229</v>
      </c>
      <c r="K15" s="5" t="s">
        <v>229</v>
      </c>
      <c r="L15" s="4" t="s">
        <v>58</v>
      </c>
      <c r="M15" s="5" t="s">
        <v>229</v>
      </c>
      <c r="N15" s="5" t="s">
        <v>229</v>
      </c>
      <c r="O15" s="5" t="s">
        <v>229</v>
      </c>
    </row>
    <row r="16" spans="1:15">
      <c r="A16" s="1" t="str">
        <f>'Population Definitions'!$A$13</f>
        <v>Prisoners_females</v>
      </c>
      <c r="B16" s="5" t="s">
        <v>229</v>
      </c>
      <c r="C16" s="5" t="s">
        <v>229</v>
      </c>
      <c r="D16" s="5" t="s">
        <v>229</v>
      </c>
      <c r="E16" s="5" t="s">
        <v>229</v>
      </c>
      <c r="F16" s="5" t="s">
        <v>229</v>
      </c>
      <c r="G16" s="5" t="s">
        <v>229</v>
      </c>
      <c r="H16" s="5" t="s">
        <v>229</v>
      </c>
      <c r="I16" s="5" t="s">
        <v>229</v>
      </c>
      <c r="J16" s="5" t="s">
        <v>229</v>
      </c>
      <c r="K16" s="5" t="s">
        <v>229</v>
      </c>
      <c r="L16" s="5" t="s">
        <v>229</v>
      </c>
      <c r="M16" s="4" t="s">
        <v>58</v>
      </c>
      <c r="N16" s="5" t="s">
        <v>229</v>
      </c>
      <c r="O16" s="5" t="s">
        <v>229</v>
      </c>
    </row>
    <row r="17" spans="1:59">
      <c r="A17" s="1" t="str">
        <f>'Population Definitions'!$A$14</f>
        <v>Prisoners_PWID_males</v>
      </c>
      <c r="B17" s="5" t="s">
        <v>229</v>
      </c>
      <c r="C17" s="5" t="s">
        <v>229</v>
      </c>
      <c r="D17" s="5" t="s">
        <v>229</v>
      </c>
      <c r="E17" s="5" t="s">
        <v>229</v>
      </c>
      <c r="F17" s="5" t="s">
        <v>229</v>
      </c>
      <c r="G17" s="5" t="s">
        <v>229</v>
      </c>
      <c r="H17" s="5" t="s">
        <v>229</v>
      </c>
      <c r="I17" s="5" t="s">
        <v>229</v>
      </c>
      <c r="J17" s="5" t="s">
        <v>229</v>
      </c>
      <c r="K17" s="5" t="s">
        <v>229</v>
      </c>
      <c r="L17" s="5" t="s">
        <v>229</v>
      </c>
      <c r="M17" s="5" t="s">
        <v>229</v>
      </c>
      <c r="N17" s="4" t="s">
        <v>58</v>
      </c>
      <c r="O17" s="5" t="s">
        <v>229</v>
      </c>
    </row>
    <row r="18" spans="1:59">
      <c r="A18" s="1" t="str">
        <f>'Population Definitions'!$A$15</f>
        <v>Prisoners_PWID_females</v>
      </c>
      <c r="B18" s="5" t="s">
        <v>229</v>
      </c>
      <c r="C18" s="5" t="s">
        <v>229</v>
      </c>
      <c r="D18" s="5" t="s">
        <v>229</v>
      </c>
      <c r="E18" s="5" t="s">
        <v>229</v>
      </c>
      <c r="F18" s="5" t="s">
        <v>229</v>
      </c>
      <c r="G18" s="5" t="s">
        <v>229</v>
      </c>
      <c r="H18" s="5" t="s">
        <v>229</v>
      </c>
      <c r="I18" s="5" t="s">
        <v>229</v>
      </c>
      <c r="J18" s="5" t="s">
        <v>229</v>
      </c>
      <c r="K18" s="5" t="s">
        <v>229</v>
      </c>
      <c r="L18" s="5" t="s">
        <v>229</v>
      </c>
      <c r="M18" s="5" t="s">
        <v>229</v>
      </c>
      <c r="N18" s="5" t="s">
        <v>229</v>
      </c>
      <c r="O18" s="4" t="s">
        <v>58</v>
      </c>
    </row>
    <row r="20" spans="1:59">
      <c r="A20" s="1" t="s">
        <v>230</v>
      </c>
      <c r="B20" s="1"/>
      <c r="C20" s="1" t="s">
        <v>231</v>
      </c>
      <c r="D20" s="1" t="s">
        <v>31</v>
      </c>
      <c r="E20" s="1" t="s">
        <v>32</v>
      </c>
      <c r="F20" s="1" t="s">
        <v>33</v>
      </c>
      <c r="G20" s="1" t="s">
        <v>38</v>
      </c>
      <c r="H20" s="1"/>
      <c r="I20" s="1">
        <v>2000</v>
      </c>
      <c r="J20" s="1">
        <v>2001</v>
      </c>
      <c r="K20" s="1">
        <v>2002</v>
      </c>
      <c r="L20" s="1">
        <v>2003</v>
      </c>
      <c r="M20" s="1">
        <v>2004</v>
      </c>
      <c r="N20" s="1">
        <v>2005</v>
      </c>
      <c r="O20" s="1">
        <v>2006</v>
      </c>
      <c r="P20" s="1">
        <v>2007</v>
      </c>
      <c r="Q20" s="1">
        <v>2008</v>
      </c>
      <c r="R20" s="1">
        <v>2009</v>
      </c>
      <c r="S20" s="1">
        <v>2010</v>
      </c>
      <c r="T20" s="1">
        <v>2011</v>
      </c>
      <c r="U20" s="1">
        <v>2012</v>
      </c>
      <c r="V20" s="1">
        <v>2013</v>
      </c>
      <c r="W20" s="1">
        <v>2014</v>
      </c>
      <c r="X20" s="1">
        <v>2015</v>
      </c>
      <c r="Y20" s="1">
        <v>2016</v>
      </c>
      <c r="Z20" s="1">
        <v>2017</v>
      </c>
      <c r="AA20" s="1">
        <v>2018</v>
      </c>
      <c r="AB20" s="1">
        <v>2019</v>
      </c>
      <c r="AC20" s="1">
        <v>2020</v>
      </c>
      <c r="AD20" s="1">
        <v>2021</v>
      </c>
      <c r="AE20" s="1">
        <v>2022</v>
      </c>
      <c r="AF20" s="1">
        <v>2023</v>
      </c>
      <c r="AG20" s="1">
        <v>2024</v>
      </c>
      <c r="AH20" s="1">
        <v>2025</v>
      </c>
      <c r="AI20" s="1">
        <v>2026</v>
      </c>
      <c r="AJ20" s="1">
        <v>2027</v>
      </c>
      <c r="AK20" s="1">
        <v>2028</v>
      </c>
      <c r="AL20" s="1">
        <v>2029</v>
      </c>
      <c r="AM20" s="1">
        <v>2030</v>
      </c>
      <c r="AN20" s="1">
        <v>2031</v>
      </c>
      <c r="AO20" s="1">
        <v>2032</v>
      </c>
      <c r="AP20" s="1">
        <v>2033</v>
      </c>
      <c r="AQ20" s="1">
        <v>2034</v>
      </c>
      <c r="AR20" s="1">
        <v>2035</v>
      </c>
      <c r="AS20" s="1">
        <v>2036</v>
      </c>
      <c r="AT20" s="1">
        <v>2037</v>
      </c>
      <c r="AU20" s="1">
        <v>2038</v>
      </c>
      <c r="AV20" s="1">
        <v>2039</v>
      </c>
      <c r="AW20" s="1">
        <v>2040</v>
      </c>
      <c r="AX20" s="1">
        <v>2041</v>
      </c>
      <c r="AY20" s="1">
        <v>2042</v>
      </c>
      <c r="AZ20" s="1">
        <v>2043</v>
      </c>
      <c r="BA20" s="1">
        <v>2044</v>
      </c>
      <c r="BB20" s="1">
        <v>2045</v>
      </c>
      <c r="BC20" s="1">
        <v>2046</v>
      </c>
      <c r="BD20" s="1">
        <v>2047</v>
      </c>
      <c r="BE20" s="1">
        <v>2048</v>
      </c>
      <c r="BF20" s="1">
        <v>2049</v>
      </c>
      <c r="BG20" s="1">
        <v>2050</v>
      </c>
    </row>
    <row r="21" spans="1:59">
      <c r="A21" s="1" t="str">
        <f>IF($B$5="Y",'Population Definitions'!$A$2,"...")</f>
        <v>...</v>
      </c>
      <c r="B21" s="4" t="str">
        <f>IF($B$5="Y","---&gt;","...")</f>
        <v>...</v>
      </c>
      <c r="C21" s="1" t="str">
        <f>IF($B$5="Y",'Population Definitions'!$A$2,"...")</f>
        <v>...</v>
      </c>
      <c r="E21" s="2"/>
      <c r="F21" s="3"/>
      <c r="G21" s="2"/>
      <c r="H21" s="4" t="str">
        <f>IF($B$5="Y","OR","...")</f>
        <v>...</v>
      </c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  <c r="AN21" s="2"/>
      <c r="AO21" s="2"/>
      <c r="AP21" s="2"/>
      <c r="AQ21" s="2"/>
      <c r="AR21" s="2"/>
      <c r="AS21" s="2"/>
      <c r="AT21" s="2"/>
      <c r="AU21" s="2"/>
      <c r="AV21" s="2"/>
      <c r="AW21" s="2"/>
      <c r="AX21" s="2"/>
      <c r="AY21" s="2"/>
      <c r="AZ21" s="2"/>
      <c r="BA21" s="2"/>
      <c r="BB21" s="2"/>
      <c r="BC21" s="2"/>
      <c r="BD21" s="2"/>
      <c r="BE21" s="2"/>
      <c r="BF21" s="2"/>
      <c r="BG21" s="2"/>
    </row>
    <row r="22" spans="1:59">
      <c r="A22" s="1" t="str">
        <f>IF($C$5="Y",'Population Definitions'!$A$2,"...")</f>
        <v>...</v>
      </c>
      <c r="B22" s="4" t="str">
        <f>IF($C$5="Y","---&gt;","...")</f>
        <v>...</v>
      </c>
      <c r="C22" s="1" t="str">
        <f>IF($C$5="Y",'Population Definitions'!$A$3,"...")</f>
        <v>...</v>
      </c>
      <c r="E22" s="2"/>
      <c r="F22" s="3"/>
      <c r="G22" s="2"/>
      <c r="H22" s="4" t="str">
        <f>IF($C$5="Y","OR","...")</f>
        <v>...</v>
      </c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  <c r="AN22" s="2"/>
      <c r="AO22" s="2"/>
      <c r="AP22" s="2"/>
      <c r="AQ22" s="2"/>
      <c r="AR22" s="2"/>
      <c r="AS22" s="2"/>
      <c r="AT22" s="2"/>
      <c r="AU22" s="2"/>
      <c r="AV22" s="2"/>
      <c r="AW22" s="2"/>
      <c r="AX22" s="2"/>
      <c r="AY22" s="2"/>
      <c r="AZ22" s="2"/>
      <c r="BA22" s="2"/>
      <c r="BB22" s="2"/>
      <c r="BC22" s="2"/>
      <c r="BD22" s="2"/>
      <c r="BE22" s="2"/>
      <c r="BF22" s="2"/>
      <c r="BG22" s="2"/>
    </row>
    <row r="23" spans="1:59">
      <c r="A23" s="1" t="str">
        <f>IF($D$5="Y",'Population Definitions'!$A$2,"...")</f>
        <v>...</v>
      </c>
      <c r="B23" s="4" t="str">
        <f>IF($D$5="Y","---&gt;","...")</f>
        <v>...</v>
      </c>
      <c r="C23" s="1" t="str">
        <f>IF($D$5="Y",'Population Definitions'!$A$4,"...")</f>
        <v>...</v>
      </c>
      <c r="E23" s="2"/>
      <c r="F23" s="3"/>
      <c r="G23" s="2"/>
      <c r="H23" s="4" t="str">
        <f>IF($D$5="Y","OR","...")</f>
        <v>...</v>
      </c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  <c r="BA23" s="2"/>
      <c r="BB23" s="2"/>
      <c r="BC23" s="2"/>
      <c r="BD23" s="2"/>
      <c r="BE23" s="2"/>
      <c r="BF23" s="2"/>
      <c r="BG23" s="2"/>
    </row>
    <row r="24" spans="1:59">
      <c r="A24" s="1" t="str">
        <f>IF($E$5="Y",'Population Definitions'!$A$2,"...")</f>
        <v>...</v>
      </c>
      <c r="B24" s="4" t="str">
        <f>IF($E$5="Y","---&gt;","...")</f>
        <v>...</v>
      </c>
      <c r="C24" s="1" t="str">
        <f>IF($E$5="Y",'Population Definitions'!$A$5,"...")</f>
        <v>...</v>
      </c>
      <c r="E24" s="2"/>
      <c r="F24" s="3"/>
      <c r="G24" s="2"/>
      <c r="H24" s="4" t="str">
        <f>IF($E$5="Y","OR","...")</f>
        <v>...</v>
      </c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2"/>
      <c r="AX24" s="2"/>
      <c r="AY24" s="2"/>
      <c r="AZ24" s="2"/>
      <c r="BA24" s="2"/>
      <c r="BB24" s="2"/>
      <c r="BC24" s="2"/>
      <c r="BD24" s="2"/>
      <c r="BE24" s="2"/>
      <c r="BF24" s="2"/>
      <c r="BG24" s="2"/>
    </row>
    <row r="25" spans="1:59">
      <c r="A25" s="1" t="str">
        <f>IF($F$5="Y",'Population Definitions'!$A$2,"...")</f>
        <v>...</v>
      </c>
      <c r="B25" s="4" t="str">
        <f>IF($F$5="Y","---&gt;","...")</f>
        <v>...</v>
      </c>
      <c r="C25" s="1" t="str">
        <f>IF($F$5="Y",'Population Definitions'!$A$6,"...")</f>
        <v>...</v>
      </c>
      <c r="E25" s="2"/>
      <c r="F25" s="3"/>
      <c r="G25" s="2"/>
      <c r="H25" s="4" t="str">
        <f>IF($F$5="Y","OR","...")</f>
        <v>...</v>
      </c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  <c r="BA25" s="2"/>
      <c r="BB25" s="2"/>
      <c r="BC25" s="2"/>
      <c r="BD25" s="2"/>
      <c r="BE25" s="2"/>
      <c r="BF25" s="2"/>
      <c r="BG25" s="2"/>
    </row>
    <row r="26" spans="1:59">
      <c r="A26" s="1" t="str">
        <f>IF($G$5="Y",'Population Definitions'!$A$2,"...")</f>
        <v>...</v>
      </c>
      <c r="B26" s="4" t="str">
        <f>IF($G$5="Y","---&gt;","...")</f>
        <v>...</v>
      </c>
      <c r="C26" s="1" t="str">
        <f>IF($G$5="Y",'Population Definitions'!$A$7,"...")</f>
        <v>...</v>
      </c>
      <c r="E26" s="2"/>
      <c r="F26" s="3"/>
      <c r="G26" s="2"/>
      <c r="H26" s="4" t="str">
        <f>IF($G$5="Y","OR","...")</f>
        <v>...</v>
      </c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  <c r="BA26" s="2"/>
      <c r="BB26" s="2"/>
      <c r="BC26" s="2"/>
      <c r="BD26" s="2"/>
      <c r="BE26" s="2"/>
      <c r="BF26" s="2"/>
      <c r="BG26" s="2"/>
    </row>
    <row r="27" spans="1:59">
      <c r="A27" s="1" t="str">
        <f>IF($H$5="Y",'Population Definitions'!$A$2,"...")</f>
        <v>...</v>
      </c>
      <c r="B27" s="4" t="str">
        <f>IF($H$5="Y","---&gt;","...")</f>
        <v>...</v>
      </c>
      <c r="C27" s="1" t="str">
        <f>IF($H$5="Y",'Population Definitions'!$A$8,"...")</f>
        <v>...</v>
      </c>
      <c r="E27" s="2"/>
      <c r="F27" s="3"/>
      <c r="G27" s="2"/>
      <c r="H27" s="4" t="str">
        <f>IF($H$5="Y","OR","...")</f>
        <v>...</v>
      </c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  <c r="BA27" s="2"/>
      <c r="BB27" s="2"/>
      <c r="BC27" s="2"/>
      <c r="BD27" s="2"/>
      <c r="BE27" s="2"/>
      <c r="BF27" s="2"/>
      <c r="BG27" s="2"/>
    </row>
    <row r="28" spans="1:59">
      <c r="A28" s="1" t="str">
        <f>IF($I$5="Y",'Population Definitions'!$A$2,"...")</f>
        <v>...</v>
      </c>
      <c r="B28" s="4" t="str">
        <f>IF($I$5="Y","---&gt;","...")</f>
        <v>...</v>
      </c>
      <c r="C28" s="1" t="str">
        <f>IF($I$5="Y",'Population Definitions'!$A$9,"...")</f>
        <v>...</v>
      </c>
      <c r="E28" s="2"/>
      <c r="F28" s="3"/>
      <c r="G28" s="2"/>
      <c r="H28" s="4" t="str">
        <f>IF($I$5="Y","OR","...")</f>
        <v>...</v>
      </c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2"/>
      <c r="BC28" s="2"/>
      <c r="BD28" s="2"/>
      <c r="BE28" s="2"/>
      <c r="BF28" s="2"/>
      <c r="BG28" s="2"/>
    </row>
    <row r="29" spans="1:59">
      <c r="A29" s="1" t="str">
        <f>IF($J$5="Y",'Population Definitions'!$A$2,"...")</f>
        <v>...</v>
      </c>
      <c r="B29" s="4" t="str">
        <f>IF($J$5="Y","---&gt;","...")</f>
        <v>...</v>
      </c>
      <c r="C29" s="1" t="str">
        <f>IF($J$5="Y",'Population Definitions'!$A$10,"...")</f>
        <v>...</v>
      </c>
      <c r="E29" s="2"/>
      <c r="F29" s="3"/>
      <c r="G29" s="2"/>
      <c r="H29" s="4" t="str">
        <f>IF($J$5="Y","OR","...")</f>
        <v>...</v>
      </c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  <c r="BA29" s="2"/>
      <c r="BB29" s="2"/>
      <c r="BC29" s="2"/>
      <c r="BD29" s="2"/>
      <c r="BE29" s="2"/>
      <c r="BF29" s="2"/>
      <c r="BG29" s="2"/>
    </row>
    <row r="30" spans="1:59">
      <c r="A30" s="1" t="str">
        <f>IF($K$5="Y",'Population Definitions'!$A$2,"...")</f>
        <v>...</v>
      </c>
      <c r="B30" s="4" t="str">
        <f>IF($K$5="Y","---&gt;","...")</f>
        <v>...</v>
      </c>
      <c r="C30" s="1" t="str">
        <f>IF($K$5="Y",'Population Definitions'!$A$11,"...")</f>
        <v>...</v>
      </c>
      <c r="E30" s="2"/>
      <c r="F30" s="3"/>
      <c r="G30" s="2"/>
      <c r="H30" s="4" t="str">
        <f>IF($K$5="Y","OR","...")</f>
        <v>...</v>
      </c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  <c r="BA30" s="2"/>
      <c r="BB30" s="2"/>
      <c r="BC30" s="2"/>
      <c r="BD30" s="2"/>
      <c r="BE30" s="2"/>
      <c r="BF30" s="2"/>
      <c r="BG30" s="2"/>
    </row>
    <row r="31" spans="1:59">
      <c r="A31" s="1" t="str">
        <f>IF($L$5="Y",'Population Definitions'!$A$2,"...")</f>
        <v>...</v>
      </c>
      <c r="B31" s="4" t="str">
        <f>IF($L$5="Y","---&gt;","...")</f>
        <v>...</v>
      </c>
      <c r="C31" s="1" t="str">
        <f>IF($L$5="Y",'Population Definitions'!$A$12,"...")</f>
        <v>...</v>
      </c>
      <c r="E31" s="2"/>
      <c r="F31" s="3"/>
      <c r="G31" s="2"/>
      <c r="H31" s="4" t="str">
        <f>IF($L$5="Y","OR","...")</f>
        <v>...</v>
      </c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  <c r="BE31" s="2"/>
      <c r="BF31" s="2"/>
      <c r="BG31" s="2"/>
    </row>
    <row r="32" spans="1:59">
      <c r="A32" s="1" t="str">
        <f>IF($M$5="Y",'Population Definitions'!$A$2,"...")</f>
        <v>...</v>
      </c>
      <c r="B32" s="4" t="str">
        <f>IF($M$5="Y","---&gt;","...")</f>
        <v>...</v>
      </c>
      <c r="C32" s="1" t="str">
        <f>IF($M$5="Y",'Population Definitions'!$A$13,"...")</f>
        <v>...</v>
      </c>
      <c r="E32" s="2"/>
      <c r="F32" s="3"/>
      <c r="G32" s="2"/>
      <c r="H32" s="4" t="str">
        <f>IF($M$5="Y","OR","...")</f>
        <v>...</v>
      </c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  <c r="BE32" s="2"/>
      <c r="BF32" s="2"/>
      <c r="BG32" s="2"/>
    </row>
    <row r="33" spans="1:59">
      <c r="A33" s="1" t="str">
        <f>IF($N$5="Y",'Population Definitions'!$A$2,"...")</f>
        <v>...</v>
      </c>
      <c r="B33" s="4" t="str">
        <f>IF($N$5="Y","---&gt;","...")</f>
        <v>...</v>
      </c>
      <c r="C33" s="1" t="str">
        <f>IF($N$5="Y",'Population Definitions'!$A$14,"...")</f>
        <v>...</v>
      </c>
      <c r="E33" s="2"/>
      <c r="F33" s="3"/>
      <c r="G33" s="2"/>
      <c r="H33" s="4" t="str">
        <f>IF($N$5="Y","OR","...")</f>
        <v>...</v>
      </c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2"/>
      <c r="BC33" s="2"/>
      <c r="BD33" s="2"/>
      <c r="BE33" s="2"/>
      <c r="BF33" s="2"/>
      <c r="BG33" s="2"/>
    </row>
    <row r="34" spans="1:59">
      <c r="A34" s="1" t="str">
        <f>IF($O$5="Y",'Population Definitions'!$A$2,"...")</f>
        <v>...</v>
      </c>
      <c r="B34" s="4" t="str">
        <f>IF($O$5="Y","---&gt;","...")</f>
        <v>...</v>
      </c>
      <c r="C34" s="1" t="str">
        <f>IF($O$5="Y",'Population Definitions'!$A$15,"...")</f>
        <v>...</v>
      </c>
      <c r="E34" s="2"/>
      <c r="F34" s="3"/>
      <c r="G34" s="2"/>
      <c r="H34" s="4" t="str">
        <f>IF($O$5="Y","OR","...")</f>
        <v>...</v>
      </c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  <c r="BE34" s="2"/>
      <c r="BF34" s="2"/>
      <c r="BG34" s="2"/>
    </row>
    <row r="35" spans="1:59">
      <c r="A35" s="1" t="str">
        <f>IF($B$6="Y",'Population Definitions'!$A$3,"...")</f>
        <v>...</v>
      </c>
      <c r="B35" s="4" t="str">
        <f>IF($B$6="Y","---&gt;","...")</f>
        <v>...</v>
      </c>
      <c r="C35" s="1" t="str">
        <f>IF($B$6="Y",'Population Definitions'!$A$2,"...")</f>
        <v>...</v>
      </c>
      <c r="E35" s="2"/>
      <c r="F35" s="3"/>
      <c r="G35" s="2"/>
      <c r="H35" s="4" t="str">
        <f>IF($B$6="Y","OR","...")</f>
        <v>...</v>
      </c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  <c r="BE35" s="2"/>
      <c r="BF35" s="2"/>
      <c r="BG35" s="2"/>
    </row>
    <row r="36" spans="1:59">
      <c r="A36" s="1" t="str">
        <f>IF($C$6="Y",'Population Definitions'!$A$3,"...")</f>
        <v>...</v>
      </c>
      <c r="B36" s="4" t="str">
        <f>IF($C$6="Y","---&gt;","...")</f>
        <v>...</v>
      </c>
      <c r="C36" s="1" t="str">
        <f>IF($C$6="Y",'Population Definitions'!$A$3,"...")</f>
        <v>...</v>
      </c>
      <c r="E36" s="2"/>
      <c r="F36" s="3"/>
      <c r="G36" s="2"/>
      <c r="H36" s="4" t="str">
        <f>IF($C$6="Y","OR","...")</f>
        <v>...</v>
      </c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  <c r="BE36" s="2"/>
      <c r="BF36" s="2"/>
      <c r="BG36" s="2"/>
    </row>
    <row r="37" spans="1:59">
      <c r="A37" s="1" t="str">
        <f>IF($D$6="Y",'Population Definitions'!$A$3,"...")</f>
        <v>...</v>
      </c>
      <c r="B37" s="4" t="str">
        <f>IF($D$6="Y","---&gt;","...")</f>
        <v>...</v>
      </c>
      <c r="C37" s="1" t="str">
        <f>IF($D$6="Y",'Population Definitions'!$A$4,"...")</f>
        <v>...</v>
      </c>
      <c r="E37" s="2"/>
      <c r="F37" s="3"/>
      <c r="G37" s="2"/>
      <c r="H37" s="4" t="str">
        <f>IF($D$6="Y","OR","...")</f>
        <v>...</v>
      </c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  <c r="BE37" s="2"/>
      <c r="BF37" s="2"/>
      <c r="BG37" s="2"/>
    </row>
    <row r="38" spans="1:59">
      <c r="A38" s="1" t="str">
        <f>IF($E$6="Y",'Population Definitions'!$A$3,"...")</f>
        <v>...</v>
      </c>
      <c r="B38" s="4" t="str">
        <f>IF($E$6="Y","---&gt;","...")</f>
        <v>...</v>
      </c>
      <c r="C38" s="1" t="str">
        <f>IF($E$6="Y",'Population Definitions'!$A$5,"...")</f>
        <v>...</v>
      </c>
      <c r="E38" s="2"/>
      <c r="F38" s="3"/>
      <c r="G38" s="2"/>
      <c r="H38" s="4" t="str">
        <f>IF($E$6="Y","OR","...")</f>
        <v>...</v>
      </c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  <c r="BE38" s="2"/>
      <c r="BF38" s="2"/>
      <c r="BG38" s="2"/>
    </row>
    <row r="39" spans="1:59">
      <c r="A39" s="1" t="str">
        <f>IF($F$6="Y",'Population Definitions'!$A$3,"...")</f>
        <v>...</v>
      </c>
      <c r="B39" s="4" t="str">
        <f>IF($F$6="Y","---&gt;","...")</f>
        <v>...</v>
      </c>
      <c r="C39" s="1" t="str">
        <f>IF($F$6="Y",'Population Definitions'!$A$6,"...")</f>
        <v>...</v>
      </c>
      <c r="E39" s="2"/>
      <c r="F39" s="3"/>
      <c r="G39" s="2"/>
      <c r="H39" s="4" t="str">
        <f>IF($F$6="Y","OR","...")</f>
        <v>...</v>
      </c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  <c r="BE39" s="2"/>
      <c r="BF39" s="2"/>
      <c r="BG39" s="2"/>
    </row>
    <row r="40" spans="1:59">
      <c r="A40" s="1" t="str">
        <f>IF($G$6="Y",'Population Definitions'!$A$3,"...")</f>
        <v>...</v>
      </c>
      <c r="B40" s="4" t="str">
        <f>IF($G$6="Y","---&gt;","...")</f>
        <v>...</v>
      </c>
      <c r="C40" s="1" t="str">
        <f>IF($G$6="Y",'Population Definitions'!$A$7,"...")</f>
        <v>...</v>
      </c>
      <c r="E40" s="2"/>
      <c r="F40" s="3"/>
      <c r="G40" s="2"/>
      <c r="H40" s="4" t="str">
        <f>IF($G$6="Y","OR","...")</f>
        <v>...</v>
      </c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  <c r="BE40" s="2"/>
      <c r="BF40" s="2"/>
      <c r="BG40" s="2"/>
    </row>
    <row r="41" spans="1:59">
      <c r="A41" s="1" t="str">
        <f>IF($H$6="Y",'Population Definitions'!$A$3,"...")</f>
        <v>...</v>
      </c>
      <c r="B41" s="4" t="str">
        <f>IF($H$6="Y","---&gt;","...")</f>
        <v>...</v>
      </c>
      <c r="C41" s="1" t="str">
        <f>IF($H$6="Y",'Population Definitions'!$A$8,"...")</f>
        <v>...</v>
      </c>
      <c r="E41" s="2"/>
      <c r="F41" s="3"/>
      <c r="G41" s="2"/>
      <c r="H41" s="4" t="str">
        <f>IF($H$6="Y","OR","...")</f>
        <v>...</v>
      </c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  <c r="BE41" s="2"/>
      <c r="BF41" s="2"/>
      <c r="BG41" s="2"/>
    </row>
    <row r="42" spans="1:59">
      <c r="A42" s="1" t="str">
        <f>IF($I$6="Y",'Population Definitions'!$A$3,"...")</f>
        <v>...</v>
      </c>
      <c r="B42" s="4" t="str">
        <f>IF($I$6="Y","---&gt;","...")</f>
        <v>...</v>
      </c>
      <c r="C42" s="1" t="str">
        <f>IF($I$6="Y",'Population Definitions'!$A$9,"...")</f>
        <v>...</v>
      </c>
      <c r="E42" s="2"/>
      <c r="F42" s="3"/>
      <c r="G42" s="2"/>
      <c r="H42" s="4" t="str">
        <f>IF($I$6="Y","OR","...")</f>
        <v>...</v>
      </c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  <c r="BE42" s="2"/>
      <c r="BF42" s="2"/>
      <c r="BG42" s="2"/>
    </row>
    <row r="43" spans="1:59">
      <c r="A43" s="1" t="str">
        <f>IF($J$6="Y",'Population Definitions'!$A$3,"...")</f>
        <v>...</v>
      </c>
      <c r="B43" s="4" t="str">
        <f>IF($J$6="Y","---&gt;","...")</f>
        <v>...</v>
      </c>
      <c r="C43" s="1" t="str">
        <f>IF($J$6="Y",'Population Definitions'!$A$10,"...")</f>
        <v>...</v>
      </c>
      <c r="E43" s="2"/>
      <c r="F43" s="3"/>
      <c r="G43" s="2"/>
      <c r="H43" s="4" t="str">
        <f>IF($J$6="Y","OR","...")</f>
        <v>...</v>
      </c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  <c r="BE43" s="2"/>
      <c r="BF43" s="2"/>
      <c r="BG43" s="2"/>
    </row>
    <row r="44" spans="1:59">
      <c r="A44" s="1" t="str">
        <f>IF($K$6="Y",'Population Definitions'!$A$3,"...")</f>
        <v>...</v>
      </c>
      <c r="B44" s="4" t="str">
        <f>IF($K$6="Y","---&gt;","...")</f>
        <v>...</v>
      </c>
      <c r="C44" s="1" t="str">
        <f>IF($K$6="Y",'Population Definitions'!$A$11,"...")</f>
        <v>...</v>
      </c>
      <c r="E44" s="2"/>
      <c r="F44" s="3"/>
      <c r="G44" s="2"/>
      <c r="H44" s="4" t="str">
        <f>IF($K$6="Y","OR","...")</f>
        <v>...</v>
      </c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  <c r="BE44" s="2"/>
      <c r="BF44" s="2"/>
      <c r="BG44" s="2"/>
    </row>
    <row r="45" spans="1:59">
      <c r="A45" s="1" t="str">
        <f>IF($L$6="Y",'Population Definitions'!$A$3,"...")</f>
        <v>...</v>
      </c>
      <c r="B45" s="4" t="str">
        <f>IF($L$6="Y","---&gt;","...")</f>
        <v>...</v>
      </c>
      <c r="C45" s="1" t="str">
        <f>IF($L$6="Y",'Population Definitions'!$A$12,"...")</f>
        <v>...</v>
      </c>
      <c r="E45" s="2"/>
      <c r="F45" s="3"/>
      <c r="G45" s="2"/>
      <c r="H45" s="4" t="str">
        <f>IF($L$6="Y","OR","...")</f>
        <v>...</v>
      </c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  <c r="BE45" s="2"/>
      <c r="BF45" s="2"/>
      <c r="BG45" s="2"/>
    </row>
    <row r="46" spans="1:59">
      <c r="A46" s="1" t="str">
        <f>IF($M$6="Y",'Population Definitions'!$A$3,"...")</f>
        <v>...</v>
      </c>
      <c r="B46" s="4" t="str">
        <f>IF($M$6="Y","---&gt;","...")</f>
        <v>...</v>
      </c>
      <c r="C46" s="1" t="str">
        <f>IF($M$6="Y",'Population Definitions'!$A$13,"...")</f>
        <v>...</v>
      </c>
      <c r="E46" s="2"/>
      <c r="F46" s="3"/>
      <c r="G46" s="2"/>
      <c r="H46" s="4" t="str">
        <f>IF($M$6="Y","OR","...")</f>
        <v>...</v>
      </c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  <c r="BE46" s="2"/>
      <c r="BF46" s="2"/>
      <c r="BG46" s="2"/>
    </row>
    <row r="47" spans="1:59">
      <c r="A47" s="1" t="str">
        <f>IF($N$6="Y",'Population Definitions'!$A$3,"...")</f>
        <v>...</v>
      </c>
      <c r="B47" s="4" t="str">
        <f>IF($N$6="Y","---&gt;","...")</f>
        <v>...</v>
      </c>
      <c r="C47" s="1" t="str">
        <f>IF($N$6="Y",'Population Definitions'!$A$14,"...")</f>
        <v>...</v>
      </c>
      <c r="E47" s="2"/>
      <c r="F47" s="3"/>
      <c r="G47" s="2"/>
      <c r="H47" s="4" t="str">
        <f>IF($N$6="Y","OR","...")</f>
        <v>...</v>
      </c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  <c r="BE47" s="2"/>
      <c r="BF47" s="2"/>
      <c r="BG47" s="2"/>
    </row>
    <row r="48" spans="1:59">
      <c r="A48" s="1" t="str">
        <f>IF($O$6="Y",'Population Definitions'!$A$3,"...")</f>
        <v>...</v>
      </c>
      <c r="B48" s="4" t="str">
        <f>IF($O$6="Y","---&gt;","...")</f>
        <v>...</v>
      </c>
      <c r="C48" s="1" t="str">
        <f>IF($O$6="Y",'Population Definitions'!$A$15,"...")</f>
        <v>...</v>
      </c>
      <c r="E48" s="2"/>
      <c r="F48" s="3"/>
      <c r="G48" s="2"/>
      <c r="H48" s="4" t="str">
        <f>IF($O$6="Y","OR","...")</f>
        <v>...</v>
      </c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  <c r="BE48" s="2"/>
      <c r="BF48" s="2"/>
      <c r="BG48" s="2"/>
    </row>
    <row r="49" spans="1:59">
      <c r="A49" s="1" t="str">
        <f>IF($B$7="Y",'Population Definitions'!$A$4,"...")</f>
        <v>...</v>
      </c>
      <c r="B49" s="4" t="str">
        <f>IF($B$7="Y","---&gt;","...")</f>
        <v>...</v>
      </c>
      <c r="C49" s="1" t="str">
        <f>IF($B$7="Y",'Population Definitions'!$A$2,"...")</f>
        <v>...</v>
      </c>
      <c r="E49" s="2"/>
      <c r="F49" s="3"/>
      <c r="G49" s="2"/>
      <c r="H49" s="4" t="str">
        <f>IF($B$7="Y","OR","...")</f>
        <v>...</v>
      </c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  <c r="BE49" s="2"/>
      <c r="BF49" s="2"/>
      <c r="BG49" s="2"/>
    </row>
    <row r="50" spans="1:59">
      <c r="A50" s="1" t="str">
        <f>IF($C$7="Y",'Population Definitions'!$A$4,"...")</f>
        <v>...</v>
      </c>
      <c r="B50" s="4" t="str">
        <f>IF($C$7="Y","---&gt;","...")</f>
        <v>...</v>
      </c>
      <c r="C50" s="1" t="str">
        <f>IF($C$7="Y",'Population Definitions'!$A$3,"...")</f>
        <v>...</v>
      </c>
      <c r="E50" s="2"/>
      <c r="F50" s="3"/>
      <c r="G50" s="2"/>
      <c r="H50" s="4" t="str">
        <f>IF($C$7="Y","OR","...")</f>
        <v>...</v>
      </c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  <c r="BE50" s="2"/>
      <c r="BF50" s="2"/>
      <c r="BG50" s="2"/>
    </row>
    <row r="51" spans="1:59">
      <c r="A51" s="1" t="str">
        <f>IF($D$7="Y",'Population Definitions'!$A$4,"...")</f>
        <v>...</v>
      </c>
      <c r="B51" s="4" t="str">
        <f>IF($D$7="Y","---&gt;","...")</f>
        <v>...</v>
      </c>
      <c r="C51" s="1" t="str">
        <f>IF($D$7="Y",'Population Definitions'!$A$4,"...")</f>
        <v>...</v>
      </c>
      <c r="E51" s="2"/>
      <c r="F51" s="3"/>
      <c r="G51" s="2"/>
      <c r="H51" s="4" t="str">
        <f>IF($D$7="Y","OR","...")</f>
        <v>...</v>
      </c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  <c r="BE51" s="2"/>
      <c r="BF51" s="2"/>
      <c r="BG51" s="2"/>
    </row>
    <row r="52" spans="1:59">
      <c r="A52" s="1" t="str">
        <f>IF($E$7="Y",'Population Definitions'!$A$4,"...")</f>
        <v>...</v>
      </c>
      <c r="B52" s="4" t="str">
        <f>IF($E$7="Y","---&gt;","...")</f>
        <v>...</v>
      </c>
      <c r="C52" s="1" t="str">
        <f>IF($E$7="Y",'Population Definitions'!$A$5,"...")</f>
        <v>...</v>
      </c>
      <c r="E52" s="2"/>
      <c r="F52" s="3"/>
      <c r="G52" s="2"/>
      <c r="H52" s="4" t="str">
        <f>IF($E$7="Y","OR","...")</f>
        <v>...</v>
      </c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  <c r="BE52" s="2"/>
      <c r="BF52" s="2"/>
      <c r="BG52" s="2"/>
    </row>
    <row r="53" spans="1:59">
      <c r="A53" s="1" t="str">
        <f>IF($F$7="Y",'Population Definitions'!$A$4,"...")</f>
        <v>0-9_males</v>
      </c>
      <c r="B53" s="4" t="str">
        <f>IF($F$7="Y","---&gt;","...")</f>
        <v>---&gt;</v>
      </c>
      <c r="C53" s="1" t="str">
        <f>IF($F$7="Y",'Population Definitions'!$A$6,"...")</f>
        <v>10-17_males</v>
      </c>
      <c r="E53" s="3" t="s">
        <v>658</v>
      </c>
      <c r="F53" s="3"/>
      <c r="G53" s="3"/>
      <c r="H53" s="4" t="str">
        <f>IF($F$7="Y","OR","...")</f>
        <v>OR</v>
      </c>
      <c r="I53" s="3">
        <v>458765</v>
      </c>
      <c r="J53" s="3">
        <v>468171.5</v>
      </c>
      <c r="K53" s="3">
        <v>478396</v>
      </c>
      <c r="L53" s="3">
        <v>488895</v>
      </c>
      <c r="M53" s="3">
        <v>503221.5</v>
      </c>
      <c r="N53" s="3">
        <v>523020.9999999999</v>
      </c>
      <c r="O53" s="3">
        <v>543671</v>
      </c>
      <c r="P53" s="3">
        <v>560085</v>
      </c>
      <c r="Q53" s="3">
        <v>577116.5</v>
      </c>
      <c r="R53" s="3">
        <v>595390.5</v>
      </c>
      <c r="S53" s="3">
        <v>612128</v>
      </c>
      <c r="T53" s="3">
        <v>630736.5</v>
      </c>
      <c r="U53" s="3">
        <v>649919</v>
      </c>
      <c r="V53" s="3">
        <v>672349</v>
      </c>
      <c r="W53" s="3">
        <v>699115.5</v>
      </c>
      <c r="X53" s="3">
        <v>724832</v>
      </c>
      <c r="Y53" s="3">
        <v>745448.5</v>
      </c>
      <c r="Z53" s="3">
        <v>759603</v>
      </c>
      <c r="AA53" s="3">
        <v>772129.5</v>
      </c>
      <c r="AB53" s="3">
        <v>786839</v>
      </c>
      <c r="AC53" s="3">
        <v>803248.5</v>
      </c>
      <c r="AD53" s="3">
        <v>818407.5</v>
      </c>
      <c r="AE53" s="3">
        <v>838806.5</v>
      </c>
      <c r="AF53" s="3">
        <v>870932</v>
      </c>
      <c r="AG53" s="3">
        <v>903967</v>
      </c>
      <c r="AH53" s="3">
        <v>926494</v>
      </c>
      <c r="AI53" s="3">
        <v>951430</v>
      </c>
      <c r="AJ53" s="3">
        <v>985622</v>
      </c>
      <c r="AK53" s="3">
        <v>1015572</v>
      </c>
      <c r="AL53" s="3">
        <v>1038762</v>
      </c>
      <c r="AM53" s="3">
        <v>1059506</v>
      </c>
      <c r="AN53" s="3">
        <v>1080912</v>
      </c>
      <c r="AO53" s="3">
        <v>1103189</v>
      </c>
      <c r="AP53" s="3">
        <v>1125198</v>
      </c>
      <c r="AQ53" s="3">
        <v>1146006</v>
      </c>
      <c r="AR53" s="3">
        <v>1164937</v>
      </c>
      <c r="AS53" s="3">
        <v>1183986</v>
      </c>
      <c r="AT53" s="3">
        <v>1203409</v>
      </c>
      <c r="AU53" s="3">
        <v>1221627</v>
      </c>
      <c r="AV53" s="3">
        <v>1240869</v>
      </c>
      <c r="AW53" s="3">
        <v>1260669</v>
      </c>
      <c r="AX53" s="3">
        <v>1281233</v>
      </c>
      <c r="AY53" s="3">
        <v>1299905</v>
      </c>
      <c r="AZ53" s="3">
        <v>1317816</v>
      </c>
      <c r="BA53" s="3">
        <v>1339787</v>
      </c>
      <c r="BB53" s="3">
        <v>1362168</v>
      </c>
      <c r="BC53" s="3">
        <v>1382264</v>
      </c>
      <c r="BD53" s="3">
        <v>1399731</v>
      </c>
      <c r="BE53" s="3">
        <v>1419293</v>
      </c>
      <c r="BF53" s="3">
        <v>1441017</v>
      </c>
      <c r="BG53" s="3">
        <v>1460789</v>
      </c>
    </row>
    <row r="54" spans="1:59">
      <c r="A54" s="1" t="str">
        <f>IF($G$7="Y",'Population Definitions'!$A$4,"...")</f>
        <v>...</v>
      </c>
      <c r="B54" s="4" t="str">
        <f>IF($G$7="Y","---&gt;","...")</f>
        <v>...</v>
      </c>
      <c r="C54" s="1" t="str">
        <f>IF($G$7="Y",'Population Definitions'!$A$7,"...")</f>
        <v>...</v>
      </c>
      <c r="E54" s="2"/>
      <c r="F54" s="3"/>
      <c r="G54" s="2"/>
      <c r="H54" s="4" t="str">
        <f>IF($G$7="Y","OR","...")</f>
        <v>...</v>
      </c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  <c r="BE54" s="2"/>
      <c r="BF54" s="2"/>
      <c r="BG54" s="2"/>
    </row>
    <row r="55" spans="1:59">
      <c r="A55" s="1" t="str">
        <f>IF($H$7="Y",'Population Definitions'!$A$4,"...")</f>
        <v>...</v>
      </c>
      <c r="B55" s="4" t="str">
        <f>IF($H$7="Y","---&gt;","...")</f>
        <v>...</v>
      </c>
      <c r="C55" s="1" t="str">
        <f>IF($H$7="Y",'Population Definitions'!$A$8,"...")</f>
        <v>...</v>
      </c>
      <c r="E55" s="2"/>
      <c r="F55" s="3"/>
      <c r="G55" s="2"/>
      <c r="H55" s="4" t="str">
        <f>IF($H$7="Y","OR","...")</f>
        <v>...</v>
      </c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  <c r="BE55" s="2"/>
      <c r="BF55" s="2"/>
      <c r="BG55" s="2"/>
    </row>
    <row r="56" spans="1:59">
      <c r="A56" s="1" t="str">
        <f>IF($I$7="Y",'Population Definitions'!$A$4,"...")</f>
        <v>...</v>
      </c>
      <c r="B56" s="4" t="str">
        <f>IF($I$7="Y","---&gt;","...")</f>
        <v>...</v>
      </c>
      <c r="C56" s="1" t="str">
        <f>IF($I$7="Y",'Population Definitions'!$A$9,"...")</f>
        <v>...</v>
      </c>
      <c r="E56" s="2"/>
      <c r="F56" s="3"/>
      <c r="G56" s="2"/>
      <c r="H56" s="4" t="str">
        <f>IF($I$7="Y","OR","...")</f>
        <v>...</v>
      </c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  <c r="BE56" s="2"/>
      <c r="BF56" s="2"/>
      <c r="BG56" s="2"/>
    </row>
    <row r="57" spans="1:59">
      <c r="A57" s="1" t="str">
        <f>IF($J$7="Y",'Population Definitions'!$A$4,"...")</f>
        <v>...</v>
      </c>
      <c r="B57" s="4" t="str">
        <f>IF($J$7="Y","---&gt;","...")</f>
        <v>...</v>
      </c>
      <c r="C57" s="1" t="str">
        <f>IF($J$7="Y",'Population Definitions'!$A$10,"...")</f>
        <v>...</v>
      </c>
      <c r="E57" s="2"/>
      <c r="F57" s="3"/>
      <c r="G57" s="2"/>
      <c r="H57" s="4" t="str">
        <f>IF($J$7="Y","OR","...")</f>
        <v>...</v>
      </c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  <c r="BE57" s="2"/>
      <c r="BF57" s="2"/>
      <c r="BG57" s="2"/>
    </row>
    <row r="58" spans="1:59">
      <c r="A58" s="1" t="str">
        <f>IF($K$7="Y",'Population Definitions'!$A$4,"...")</f>
        <v>...</v>
      </c>
      <c r="B58" s="4" t="str">
        <f>IF($K$7="Y","---&gt;","...")</f>
        <v>...</v>
      </c>
      <c r="C58" s="1" t="str">
        <f>IF($K$7="Y",'Population Definitions'!$A$11,"...")</f>
        <v>...</v>
      </c>
      <c r="E58" s="2"/>
      <c r="F58" s="3"/>
      <c r="G58" s="2"/>
      <c r="H58" s="4" t="str">
        <f>IF($K$7="Y","OR","...")</f>
        <v>...</v>
      </c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/>
      <c r="BE58" s="2"/>
      <c r="BF58" s="2"/>
      <c r="BG58" s="2"/>
    </row>
    <row r="59" spans="1:59">
      <c r="A59" s="1" t="str">
        <f>IF($L$7="Y",'Population Definitions'!$A$4,"...")</f>
        <v>...</v>
      </c>
      <c r="B59" s="4" t="str">
        <f>IF($L$7="Y","---&gt;","...")</f>
        <v>...</v>
      </c>
      <c r="C59" s="1" t="str">
        <f>IF($L$7="Y",'Population Definitions'!$A$12,"...")</f>
        <v>...</v>
      </c>
      <c r="E59" s="2"/>
      <c r="F59" s="3"/>
      <c r="G59" s="2"/>
      <c r="H59" s="4" t="str">
        <f>IF($L$7="Y","OR","...")</f>
        <v>...</v>
      </c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  <c r="BE59" s="2"/>
      <c r="BF59" s="2"/>
      <c r="BG59" s="2"/>
    </row>
    <row r="60" spans="1:59">
      <c r="A60" s="1" t="str">
        <f>IF($M$7="Y",'Population Definitions'!$A$4,"...")</f>
        <v>...</v>
      </c>
      <c r="B60" s="4" t="str">
        <f>IF($M$7="Y","---&gt;","...")</f>
        <v>...</v>
      </c>
      <c r="C60" s="1" t="str">
        <f>IF($M$7="Y",'Population Definitions'!$A$13,"...")</f>
        <v>...</v>
      </c>
      <c r="E60" s="2"/>
      <c r="F60" s="3"/>
      <c r="G60" s="2"/>
      <c r="H60" s="4" t="str">
        <f>IF($M$7="Y","OR","...")</f>
        <v>...</v>
      </c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  <c r="BE60" s="2"/>
      <c r="BF60" s="2"/>
      <c r="BG60" s="2"/>
    </row>
    <row r="61" spans="1:59">
      <c r="A61" s="1" t="str">
        <f>IF($N$7="Y",'Population Definitions'!$A$4,"...")</f>
        <v>...</v>
      </c>
      <c r="B61" s="4" t="str">
        <f>IF($N$7="Y","---&gt;","...")</f>
        <v>...</v>
      </c>
      <c r="C61" s="1" t="str">
        <f>IF($N$7="Y",'Population Definitions'!$A$14,"...")</f>
        <v>...</v>
      </c>
      <c r="E61" s="2"/>
      <c r="F61" s="3"/>
      <c r="G61" s="2"/>
      <c r="H61" s="4" t="str">
        <f>IF($N$7="Y","OR","...")</f>
        <v>...</v>
      </c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  <c r="BE61" s="2"/>
      <c r="BF61" s="2"/>
      <c r="BG61" s="2"/>
    </row>
    <row r="62" spans="1:59">
      <c r="A62" s="1" t="str">
        <f>IF($O$7="Y",'Population Definitions'!$A$4,"...")</f>
        <v>...</v>
      </c>
      <c r="B62" s="4" t="str">
        <f>IF($O$7="Y","---&gt;","...")</f>
        <v>...</v>
      </c>
      <c r="C62" s="1" t="str">
        <f>IF($O$7="Y",'Population Definitions'!$A$15,"...")</f>
        <v>...</v>
      </c>
      <c r="E62" s="2"/>
      <c r="F62" s="3"/>
      <c r="G62" s="2"/>
      <c r="H62" s="4" t="str">
        <f>IF($O$7="Y","OR","...")</f>
        <v>...</v>
      </c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  <c r="BE62" s="2"/>
      <c r="BF62" s="2"/>
      <c r="BG62" s="2"/>
    </row>
    <row r="63" spans="1:59">
      <c r="A63" s="1" t="str">
        <f>IF($B$8="Y",'Population Definitions'!$A$5,"...")</f>
        <v>...</v>
      </c>
      <c r="B63" s="4" t="str">
        <f>IF($B$8="Y","---&gt;","...")</f>
        <v>...</v>
      </c>
      <c r="C63" s="1" t="str">
        <f>IF($B$8="Y",'Population Definitions'!$A$2,"...")</f>
        <v>...</v>
      </c>
      <c r="E63" s="2"/>
      <c r="F63" s="3"/>
      <c r="G63" s="2"/>
      <c r="H63" s="4" t="str">
        <f>IF($B$8="Y","OR","...")</f>
        <v>...</v>
      </c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  <c r="BE63" s="2"/>
      <c r="BF63" s="2"/>
      <c r="BG63" s="2"/>
    </row>
    <row r="64" spans="1:59">
      <c r="A64" s="1" t="str">
        <f>IF($C$8="Y",'Population Definitions'!$A$5,"...")</f>
        <v>...</v>
      </c>
      <c r="B64" s="4" t="str">
        <f>IF($C$8="Y","---&gt;","...")</f>
        <v>...</v>
      </c>
      <c r="C64" s="1" t="str">
        <f>IF($C$8="Y",'Population Definitions'!$A$3,"...")</f>
        <v>...</v>
      </c>
      <c r="E64" s="2"/>
      <c r="F64" s="3"/>
      <c r="G64" s="2"/>
      <c r="H64" s="4" t="str">
        <f>IF($C$8="Y","OR","...")</f>
        <v>...</v>
      </c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  <c r="BE64" s="2"/>
      <c r="BF64" s="2"/>
      <c r="BG64" s="2"/>
    </row>
    <row r="65" spans="1:59">
      <c r="A65" s="1" t="str">
        <f>IF($D$8="Y",'Population Definitions'!$A$5,"...")</f>
        <v>...</v>
      </c>
      <c r="B65" s="4" t="str">
        <f>IF($D$8="Y","---&gt;","...")</f>
        <v>...</v>
      </c>
      <c r="C65" s="1" t="str">
        <f>IF($D$8="Y",'Population Definitions'!$A$4,"...")</f>
        <v>...</v>
      </c>
      <c r="E65" s="2"/>
      <c r="F65" s="3"/>
      <c r="G65" s="2"/>
      <c r="H65" s="4" t="str">
        <f>IF($D$8="Y","OR","...")</f>
        <v>...</v>
      </c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  <c r="BE65" s="2"/>
      <c r="BF65" s="2"/>
      <c r="BG65" s="2"/>
    </row>
    <row r="66" spans="1:59">
      <c r="A66" s="1" t="str">
        <f>IF($E$8="Y",'Population Definitions'!$A$5,"...")</f>
        <v>...</v>
      </c>
      <c r="B66" s="4" t="str">
        <f>IF($E$8="Y","---&gt;","...")</f>
        <v>...</v>
      </c>
      <c r="C66" s="1" t="str">
        <f>IF($E$8="Y",'Population Definitions'!$A$5,"...")</f>
        <v>...</v>
      </c>
      <c r="E66" s="2"/>
      <c r="F66" s="3"/>
      <c r="G66" s="2"/>
      <c r="H66" s="4" t="str">
        <f>IF($E$8="Y","OR","...")</f>
        <v>...</v>
      </c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  <c r="BE66" s="2"/>
      <c r="BF66" s="2"/>
      <c r="BG66" s="2"/>
    </row>
    <row r="67" spans="1:59">
      <c r="A67" s="1" t="str">
        <f>IF($F$8="Y",'Population Definitions'!$A$5,"...")</f>
        <v>...</v>
      </c>
      <c r="B67" s="4" t="str">
        <f>IF($F$8="Y","---&gt;","...")</f>
        <v>...</v>
      </c>
      <c r="C67" s="1" t="str">
        <f>IF($F$8="Y",'Population Definitions'!$A$6,"...")</f>
        <v>...</v>
      </c>
      <c r="E67" s="2"/>
      <c r="F67" s="3"/>
      <c r="G67" s="2"/>
      <c r="H67" s="4" t="str">
        <f>IF($F$8="Y","OR","...")</f>
        <v>...</v>
      </c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  <c r="BE67" s="2"/>
      <c r="BF67" s="2"/>
      <c r="BG67" s="2"/>
    </row>
    <row r="68" spans="1:59">
      <c r="A68" s="1" t="str">
        <f>IF($G$8="Y",'Population Definitions'!$A$5,"...")</f>
        <v>0-9_females</v>
      </c>
      <c r="B68" s="4" t="str">
        <f>IF($G$8="Y","---&gt;","...")</f>
        <v>---&gt;</v>
      </c>
      <c r="C68" s="1" t="str">
        <f>IF($G$8="Y",'Population Definitions'!$A$7,"...")</f>
        <v>10-17_females</v>
      </c>
      <c r="E68" s="3" t="s">
        <v>658</v>
      </c>
      <c r="F68" s="3"/>
      <c r="G68" s="3"/>
      <c r="H68" s="4" t="str">
        <f>IF($G$8="Y","OR","...")</f>
        <v>OR</v>
      </c>
      <c r="I68" s="3">
        <v>453464</v>
      </c>
      <c r="J68" s="3">
        <v>462657</v>
      </c>
      <c r="K68" s="3">
        <v>472952.5</v>
      </c>
      <c r="L68" s="3">
        <v>483457.5</v>
      </c>
      <c r="M68" s="3">
        <v>497592.5</v>
      </c>
      <c r="N68" s="3">
        <v>517118.0000000001</v>
      </c>
      <c r="O68" s="3">
        <v>537615.5</v>
      </c>
      <c r="P68" s="3">
        <v>554026</v>
      </c>
      <c r="Q68" s="3">
        <v>571079</v>
      </c>
      <c r="R68" s="3">
        <v>589444.5</v>
      </c>
      <c r="S68" s="3">
        <v>606458</v>
      </c>
      <c r="T68" s="3">
        <v>625313.5</v>
      </c>
      <c r="U68" s="3">
        <v>644599.5</v>
      </c>
      <c r="V68" s="3">
        <v>667008</v>
      </c>
      <c r="W68" s="3">
        <v>693568</v>
      </c>
      <c r="X68" s="3">
        <v>718777</v>
      </c>
      <c r="Y68" s="3">
        <v>738553.5</v>
      </c>
      <c r="Z68" s="3">
        <v>751565.5</v>
      </c>
      <c r="AA68" s="3">
        <v>763072.5</v>
      </c>
      <c r="AB68" s="3">
        <v>776997</v>
      </c>
      <c r="AC68" s="3">
        <v>792430</v>
      </c>
      <c r="AD68" s="3">
        <v>806641.5</v>
      </c>
      <c r="AE68" s="3">
        <v>825968.5</v>
      </c>
      <c r="AF68" s="3">
        <v>856831.5</v>
      </c>
      <c r="AG68" s="3">
        <v>888672</v>
      </c>
      <c r="AH68" s="3">
        <v>909969</v>
      </c>
      <c r="AI68" s="3">
        <v>933388</v>
      </c>
      <c r="AJ68" s="3">
        <v>965914</v>
      </c>
      <c r="AK68" s="3">
        <v>994540</v>
      </c>
      <c r="AL68" s="3">
        <v>1016750</v>
      </c>
      <c r="AM68" s="3">
        <v>1036677</v>
      </c>
      <c r="AN68" s="3">
        <v>1057264</v>
      </c>
      <c r="AO68" s="3">
        <v>1078644</v>
      </c>
      <c r="AP68" s="3">
        <v>1099800</v>
      </c>
      <c r="AQ68" s="3">
        <v>1120001</v>
      </c>
      <c r="AR68" s="3">
        <v>1138552</v>
      </c>
      <c r="AS68" s="3">
        <v>1157213</v>
      </c>
      <c r="AT68" s="3">
        <v>1176282</v>
      </c>
      <c r="AU68" s="3">
        <v>1194157</v>
      </c>
      <c r="AV68" s="3">
        <v>1212979</v>
      </c>
      <c r="AW68" s="3">
        <v>1232584</v>
      </c>
      <c r="AX68" s="3">
        <v>1252923</v>
      </c>
      <c r="AY68" s="3">
        <v>1271224</v>
      </c>
      <c r="AZ68" s="3">
        <v>1288700</v>
      </c>
      <c r="BA68" s="3">
        <v>1310207</v>
      </c>
      <c r="BB68" s="3">
        <v>1332345</v>
      </c>
      <c r="BC68" s="3">
        <v>1352215</v>
      </c>
      <c r="BD68" s="3">
        <v>1369392</v>
      </c>
      <c r="BE68" s="3">
        <v>1388490</v>
      </c>
      <c r="BF68" s="3">
        <v>1409784</v>
      </c>
      <c r="BG68" s="3">
        <v>1429332</v>
      </c>
    </row>
    <row r="69" spans="1:59">
      <c r="A69" s="1" t="str">
        <f>IF($H$8="Y",'Population Definitions'!$A$5,"...")</f>
        <v>...</v>
      </c>
      <c r="B69" s="4" t="str">
        <f>IF($H$8="Y","---&gt;","...")</f>
        <v>...</v>
      </c>
      <c r="C69" s="1" t="str">
        <f>IF($H$8="Y",'Population Definitions'!$A$8,"...")</f>
        <v>...</v>
      </c>
      <c r="E69" s="2"/>
      <c r="F69" s="3"/>
      <c r="G69" s="2"/>
      <c r="H69" s="4" t="str">
        <f>IF($H$8="Y","OR","...")</f>
        <v>...</v>
      </c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  <c r="BE69" s="2"/>
      <c r="BF69" s="2"/>
      <c r="BG69" s="2"/>
    </row>
    <row r="70" spans="1:59">
      <c r="A70" s="1" t="str">
        <f>IF($I$8="Y",'Population Definitions'!$A$5,"...")</f>
        <v>...</v>
      </c>
      <c r="B70" s="4" t="str">
        <f>IF($I$8="Y","---&gt;","...")</f>
        <v>...</v>
      </c>
      <c r="C70" s="1" t="str">
        <f>IF($I$8="Y",'Population Definitions'!$A$9,"...")</f>
        <v>...</v>
      </c>
      <c r="E70" s="2"/>
      <c r="F70" s="3"/>
      <c r="G70" s="2"/>
      <c r="H70" s="4" t="str">
        <f>IF($I$8="Y","OR","...")</f>
        <v>...</v>
      </c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  <c r="BE70" s="2"/>
      <c r="BF70" s="2"/>
      <c r="BG70" s="2"/>
    </row>
    <row r="71" spans="1:59">
      <c r="A71" s="1" t="str">
        <f>IF($J$8="Y",'Population Definitions'!$A$5,"...")</f>
        <v>...</v>
      </c>
      <c r="B71" s="4" t="str">
        <f>IF($J$8="Y","---&gt;","...")</f>
        <v>...</v>
      </c>
      <c r="C71" s="1" t="str">
        <f>IF($J$8="Y",'Population Definitions'!$A$10,"...")</f>
        <v>...</v>
      </c>
      <c r="E71" s="2"/>
      <c r="F71" s="3"/>
      <c r="G71" s="2"/>
      <c r="H71" s="4" t="str">
        <f>IF($J$8="Y","OR","...")</f>
        <v>...</v>
      </c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  <c r="BE71" s="2"/>
      <c r="BF71" s="2"/>
      <c r="BG71" s="2"/>
    </row>
    <row r="72" spans="1:59">
      <c r="A72" s="1" t="str">
        <f>IF($K$8="Y",'Population Definitions'!$A$5,"...")</f>
        <v>...</v>
      </c>
      <c r="B72" s="4" t="str">
        <f>IF($K$8="Y","---&gt;","...")</f>
        <v>...</v>
      </c>
      <c r="C72" s="1" t="str">
        <f>IF($K$8="Y",'Population Definitions'!$A$11,"...")</f>
        <v>...</v>
      </c>
      <c r="E72" s="2"/>
      <c r="F72" s="3"/>
      <c r="G72" s="2"/>
      <c r="H72" s="4" t="str">
        <f>IF($K$8="Y","OR","...")</f>
        <v>...</v>
      </c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  <c r="BE72" s="2"/>
      <c r="BF72" s="2"/>
      <c r="BG72" s="2"/>
    </row>
    <row r="73" spans="1:59">
      <c r="A73" s="1" t="str">
        <f>IF($L$8="Y",'Population Definitions'!$A$5,"...")</f>
        <v>...</v>
      </c>
      <c r="B73" s="4" t="str">
        <f>IF($L$8="Y","---&gt;","...")</f>
        <v>...</v>
      </c>
      <c r="C73" s="1" t="str">
        <f>IF($L$8="Y",'Population Definitions'!$A$12,"...")</f>
        <v>...</v>
      </c>
      <c r="E73" s="2"/>
      <c r="F73" s="3"/>
      <c r="G73" s="2"/>
      <c r="H73" s="4" t="str">
        <f>IF($L$8="Y","OR","...")</f>
        <v>...</v>
      </c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  <c r="BE73" s="2"/>
      <c r="BF73" s="2"/>
      <c r="BG73" s="2"/>
    </row>
    <row r="74" spans="1:59">
      <c r="A74" s="1" t="str">
        <f>IF($M$8="Y",'Population Definitions'!$A$5,"...")</f>
        <v>...</v>
      </c>
      <c r="B74" s="4" t="str">
        <f>IF($M$8="Y","---&gt;","...")</f>
        <v>...</v>
      </c>
      <c r="C74" s="1" t="str">
        <f>IF($M$8="Y",'Population Definitions'!$A$13,"...")</f>
        <v>...</v>
      </c>
      <c r="E74" s="2"/>
      <c r="F74" s="3"/>
      <c r="G74" s="2"/>
      <c r="H74" s="4" t="str">
        <f>IF($M$8="Y","OR","...")</f>
        <v>...</v>
      </c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  <c r="BE74" s="2"/>
      <c r="BF74" s="2"/>
      <c r="BG74" s="2"/>
    </row>
    <row r="75" spans="1:59">
      <c r="A75" s="1" t="str">
        <f>IF($N$8="Y",'Population Definitions'!$A$5,"...")</f>
        <v>...</v>
      </c>
      <c r="B75" s="4" t="str">
        <f>IF($N$8="Y","---&gt;","...")</f>
        <v>...</v>
      </c>
      <c r="C75" s="1" t="str">
        <f>IF($N$8="Y",'Population Definitions'!$A$14,"...")</f>
        <v>...</v>
      </c>
      <c r="E75" s="2"/>
      <c r="F75" s="3"/>
      <c r="G75" s="2"/>
      <c r="H75" s="4" t="str">
        <f>IF($N$8="Y","OR","...")</f>
        <v>...</v>
      </c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  <c r="BE75" s="2"/>
      <c r="BF75" s="2"/>
      <c r="BG75" s="2"/>
    </row>
    <row r="76" spans="1:59">
      <c r="A76" s="1" t="str">
        <f>IF($O$8="Y",'Population Definitions'!$A$5,"...")</f>
        <v>...</v>
      </c>
      <c r="B76" s="4" t="str">
        <f>IF($O$8="Y","---&gt;","...")</f>
        <v>...</v>
      </c>
      <c r="C76" s="1" t="str">
        <f>IF($O$8="Y",'Population Definitions'!$A$15,"...")</f>
        <v>...</v>
      </c>
      <c r="E76" s="2"/>
      <c r="F76" s="3"/>
      <c r="G76" s="2"/>
      <c r="H76" s="4" t="str">
        <f>IF($O$8="Y","OR","...")</f>
        <v>...</v>
      </c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  <c r="BE76" s="2"/>
      <c r="BF76" s="2"/>
      <c r="BG76" s="2"/>
    </row>
    <row r="77" spans="1:59">
      <c r="A77" s="1" t="str">
        <f>IF($B$9="Y",'Population Definitions'!$A$6,"...")</f>
        <v>...</v>
      </c>
      <c r="B77" s="4" t="str">
        <f>IF($B$9="Y","---&gt;","...")</f>
        <v>...</v>
      </c>
      <c r="C77" s="1" t="str">
        <f>IF($B$9="Y",'Population Definitions'!$A$2,"...")</f>
        <v>...</v>
      </c>
      <c r="E77" s="2"/>
      <c r="F77" s="3"/>
      <c r="G77" s="2"/>
      <c r="H77" s="4" t="str">
        <f>IF($B$9="Y","OR","...")</f>
        <v>...</v>
      </c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  <c r="BE77" s="2"/>
      <c r="BF77" s="2"/>
      <c r="BG77" s="2"/>
    </row>
    <row r="78" spans="1:59">
      <c r="A78" s="1" t="str">
        <f>IF($C$9="Y",'Population Definitions'!$A$6,"...")</f>
        <v>...</v>
      </c>
      <c r="B78" s="4" t="str">
        <f>IF($C$9="Y","---&gt;","...")</f>
        <v>...</v>
      </c>
      <c r="C78" s="1" t="str">
        <f>IF($C$9="Y",'Population Definitions'!$A$3,"...")</f>
        <v>...</v>
      </c>
      <c r="E78" s="2"/>
      <c r="F78" s="3"/>
      <c r="G78" s="2"/>
      <c r="H78" s="4" t="str">
        <f>IF($C$9="Y","OR","...")</f>
        <v>...</v>
      </c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  <c r="BE78" s="2"/>
      <c r="BF78" s="2"/>
      <c r="BG78" s="2"/>
    </row>
    <row r="79" spans="1:59">
      <c r="A79" s="1" t="str">
        <f>IF($D$9="Y",'Population Definitions'!$A$6,"...")</f>
        <v>...</v>
      </c>
      <c r="B79" s="4" t="str">
        <f>IF($D$9="Y","---&gt;","...")</f>
        <v>...</v>
      </c>
      <c r="C79" s="1" t="str">
        <f>IF($D$9="Y",'Population Definitions'!$A$4,"...")</f>
        <v>...</v>
      </c>
      <c r="E79" s="2"/>
      <c r="F79" s="3"/>
      <c r="G79" s="2"/>
      <c r="H79" s="4" t="str">
        <f>IF($D$9="Y","OR","...")</f>
        <v>...</v>
      </c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  <c r="BE79" s="2"/>
      <c r="BF79" s="2"/>
      <c r="BG79" s="2"/>
    </row>
    <row r="80" spans="1:59">
      <c r="A80" s="1" t="str">
        <f>IF($E$9="Y",'Population Definitions'!$A$6,"...")</f>
        <v>...</v>
      </c>
      <c r="B80" s="4" t="str">
        <f>IF($E$9="Y","---&gt;","...")</f>
        <v>...</v>
      </c>
      <c r="C80" s="1" t="str">
        <f>IF($E$9="Y",'Population Definitions'!$A$5,"...")</f>
        <v>...</v>
      </c>
      <c r="E80" s="2"/>
      <c r="F80" s="3"/>
      <c r="G80" s="2"/>
      <c r="H80" s="4" t="str">
        <f>IF($E$9="Y","OR","...")</f>
        <v>...</v>
      </c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  <c r="BE80" s="2"/>
      <c r="BF80" s="2"/>
      <c r="BG80" s="2"/>
    </row>
    <row r="81" spans="1:59">
      <c r="A81" s="1" t="str">
        <f>IF($F$9="Y",'Population Definitions'!$A$6,"...")</f>
        <v>...</v>
      </c>
      <c r="B81" s="4" t="str">
        <f>IF($F$9="Y","---&gt;","...")</f>
        <v>...</v>
      </c>
      <c r="C81" s="1" t="str">
        <f>IF($F$9="Y",'Population Definitions'!$A$6,"...")</f>
        <v>...</v>
      </c>
      <c r="E81" s="2"/>
      <c r="F81" s="3"/>
      <c r="G81" s="2"/>
      <c r="H81" s="4" t="str">
        <f>IF($F$9="Y","OR","...")</f>
        <v>...</v>
      </c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  <c r="BE81" s="2"/>
      <c r="BF81" s="2"/>
      <c r="BG81" s="2"/>
    </row>
    <row r="82" spans="1:59">
      <c r="A82" s="1" t="str">
        <f>IF($G$9="Y",'Population Definitions'!$A$6,"...")</f>
        <v>...</v>
      </c>
      <c r="B82" s="4" t="str">
        <f>IF($G$9="Y","---&gt;","...")</f>
        <v>...</v>
      </c>
      <c r="C82" s="1" t="str">
        <f>IF($G$9="Y",'Population Definitions'!$A$7,"...")</f>
        <v>...</v>
      </c>
      <c r="E82" s="2"/>
      <c r="F82" s="3"/>
      <c r="G82" s="2"/>
      <c r="H82" s="4" t="str">
        <f>IF($G$9="Y","OR","...")</f>
        <v>...</v>
      </c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  <c r="BE82" s="2"/>
      <c r="BF82" s="2"/>
      <c r="BG82" s="2"/>
    </row>
    <row r="83" spans="1:59">
      <c r="A83" s="1" t="str">
        <f>IF($H$9="Y",'Population Definitions'!$A$6,"...")</f>
        <v>10-17_males</v>
      </c>
      <c r="B83" s="4" t="str">
        <f>IF($H$9="Y","---&gt;","...")</f>
        <v>---&gt;</v>
      </c>
      <c r="C83" s="1" t="str">
        <f>IF($H$9="Y",'Population Definitions'!$A$8,"...")</f>
        <v>18-64_males</v>
      </c>
      <c r="E83" s="3" t="s">
        <v>658</v>
      </c>
      <c r="F83" s="3"/>
      <c r="G83" s="3"/>
      <c r="H83" s="4" t="str">
        <f>IF($H$9="Y","OR","...")</f>
        <v>OR</v>
      </c>
      <c r="I83" s="3">
        <v>373248</v>
      </c>
      <c r="J83" s="3">
        <v>383834</v>
      </c>
      <c r="K83" s="3">
        <v>392378.5</v>
      </c>
      <c r="L83" s="3">
        <v>399428</v>
      </c>
      <c r="M83" s="3">
        <v>406825</v>
      </c>
      <c r="N83" s="3">
        <v>415284</v>
      </c>
      <c r="O83" s="3">
        <v>426254.5</v>
      </c>
      <c r="P83" s="3">
        <v>436655.5</v>
      </c>
      <c r="Q83" s="3">
        <v>445188.5</v>
      </c>
      <c r="R83" s="3">
        <v>454308.5</v>
      </c>
      <c r="S83" s="3">
        <v>462996</v>
      </c>
      <c r="T83" s="3">
        <v>472899.5</v>
      </c>
      <c r="U83" s="3">
        <v>488568</v>
      </c>
      <c r="V83" s="3">
        <v>509944</v>
      </c>
      <c r="W83" s="3">
        <v>532402</v>
      </c>
      <c r="X83" s="3">
        <v>550373.5</v>
      </c>
      <c r="Y83" s="3">
        <v>569890</v>
      </c>
      <c r="Z83" s="3">
        <v>591193</v>
      </c>
      <c r="AA83" s="3">
        <v>609670</v>
      </c>
      <c r="AB83" s="3">
        <v>627951</v>
      </c>
      <c r="AC83" s="3">
        <v>645352</v>
      </c>
      <c r="AD83" s="3">
        <v>666638.5</v>
      </c>
      <c r="AE83" s="3">
        <v>692977</v>
      </c>
      <c r="AF83" s="3">
        <v>718369.5</v>
      </c>
      <c r="AG83" s="3">
        <v>738548.5</v>
      </c>
      <c r="AH83" s="3">
        <v>752378</v>
      </c>
      <c r="AI83" s="3">
        <v>764830</v>
      </c>
      <c r="AJ83" s="3">
        <v>779641</v>
      </c>
      <c r="AK83" s="3">
        <v>796166</v>
      </c>
      <c r="AL83" s="3">
        <v>811350</v>
      </c>
      <c r="AM83" s="3">
        <v>831698</v>
      </c>
      <c r="AN83" s="3">
        <v>863696</v>
      </c>
      <c r="AO83" s="3">
        <v>896596</v>
      </c>
      <c r="AP83" s="3">
        <v>919106</v>
      </c>
      <c r="AQ83" s="3">
        <v>943990</v>
      </c>
      <c r="AR83" s="3">
        <v>978106</v>
      </c>
      <c r="AS83" s="3">
        <v>1008046</v>
      </c>
      <c r="AT83" s="3">
        <v>1031272</v>
      </c>
      <c r="AU83" s="3">
        <v>1052044</v>
      </c>
      <c r="AV83" s="3">
        <v>1073430</v>
      </c>
      <c r="AW83" s="3">
        <v>1095664</v>
      </c>
      <c r="AX83" s="3">
        <v>1117581</v>
      </c>
      <c r="AY83" s="3">
        <v>1138312</v>
      </c>
      <c r="AZ83" s="3">
        <v>1157168</v>
      </c>
      <c r="BA83" s="3">
        <v>1176145</v>
      </c>
      <c r="BB83" s="3">
        <v>1195495</v>
      </c>
      <c r="BC83" s="3">
        <v>1213682</v>
      </c>
      <c r="BD83" s="3">
        <v>1232889</v>
      </c>
      <c r="BE83" s="3">
        <v>1252628</v>
      </c>
      <c r="BF83" s="3">
        <v>1273181</v>
      </c>
      <c r="BG83" s="3">
        <v>1291843</v>
      </c>
    </row>
    <row r="84" spans="1:59">
      <c r="A84" s="1" t="str">
        <f>IF($I$9="Y",'Population Definitions'!$A$6,"...")</f>
        <v>...</v>
      </c>
      <c r="B84" s="4" t="str">
        <f>IF($I$9="Y","---&gt;","...")</f>
        <v>...</v>
      </c>
      <c r="C84" s="1" t="str">
        <f>IF($I$9="Y",'Population Definitions'!$A$9,"...")</f>
        <v>...</v>
      </c>
      <c r="E84" s="2"/>
      <c r="F84" s="3"/>
      <c r="G84" s="2"/>
      <c r="H84" s="4" t="str">
        <f>IF($I$9="Y","OR","...")</f>
        <v>...</v>
      </c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  <c r="BE84" s="2"/>
      <c r="BF84" s="2"/>
      <c r="BG84" s="2"/>
    </row>
    <row r="85" spans="1:59">
      <c r="A85" s="1" t="str">
        <f>IF($J$9="Y",'Population Definitions'!$A$6,"...")</f>
        <v>...</v>
      </c>
      <c r="B85" s="4" t="str">
        <f>IF($J$9="Y","---&gt;","...")</f>
        <v>...</v>
      </c>
      <c r="C85" s="1" t="str">
        <f>IF($J$9="Y",'Population Definitions'!$A$10,"...")</f>
        <v>...</v>
      </c>
      <c r="E85" s="2"/>
      <c r="F85" s="3"/>
      <c r="G85" s="2"/>
      <c r="H85" s="4" t="str">
        <f>IF($J$9="Y","OR","...")</f>
        <v>...</v>
      </c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  <c r="BE85" s="2"/>
      <c r="BF85" s="2"/>
      <c r="BG85" s="2"/>
    </row>
    <row r="86" spans="1:59">
      <c r="A86" s="1" t="str">
        <f>IF($K$9="Y",'Population Definitions'!$A$6,"...")</f>
        <v>...</v>
      </c>
      <c r="B86" s="4" t="str">
        <f>IF($K$9="Y","---&gt;","...")</f>
        <v>...</v>
      </c>
      <c r="C86" s="1" t="str">
        <f>IF($K$9="Y",'Population Definitions'!$A$11,"...")</f>
        <v>...</v>
      </c>
      <c r="E86" s="2"/>
      <c r="F86" s="3"/>
      <c r="G86" s="2"/>
      <c r="H86" s="4" t="str">
        <f>IF($K$9="Y","OR","...")</f>
        <v>...</v>
      </c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  <c r="BE86" s="2"/>
      <c r="BF86" s="2"/>
      <c r="BG86" s="2"/>
    </row>
    <row r="87" spans="1:59">
      <c r="A87" s="1" t="str">
        <f>IF($L$9="Y",'Population Definitions'!$A$6,"...")</f>
        <v>...</v>
      </c>
      <c r="B87" s="4" t="str">
        <f>IF($L$9="Y","---&gt;","...")</f>
        <v>...</v>
      </c>
      <c r="C87" s="1" t="str">
        <f>IF($L$9="Y",'Population Definitions'!$A$12,"...")</f>
        <v>...</v>
      </c>
      <c r="E87" s="2"/>
      <c r="F87" s="3"/>
      <c r="G87" s="2"/>
      <c r="H87" s="4" t="str">
        <f>IF($L$9="Y","OR","...")</f>
        <v>...</v>
      </c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  <c r="BE87" s="2"/>
      <c r="BF87" s="2"/>
      <c r="BG87" s="2"/>
    </row>
    <row r="88" spans="1:59">
      <c r="A88" s="1" t="str">
        <f>IF($M$9="Y",'Population Definitions'!$A$6,"...")</f>
        <v>...</v>
      </c>
      <c r="B88" s="4" t="str">
        <f>IF($M$9="Y","---&gt;","...")</f>
        <v>...</v>
      </c>
      <c r="C88" s="1" t="str">
        <f>IF($M$9="Y",'Population Definitions'!$A$13,"...")</f>
        <v>...</v>
      </c>
      <c r="E88" s="2"/>
      <c r="F88" s="3"/>
      <c r="G88" s="2"/>
      <c r="H88" s="4" t="str">
        <f>IF($M$9="Y","OR","...")</f>
        <v>...</v>
      </c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  <c r="BE88" s="2"/>
      <c r="BF88" s="2"/>
      <c r="BG88" s="2"/>
    </row>
    <row r="89" spans="1:59">
      <c r="A89" s="1" t="str">
        <f>IF($N$9="Y",'Population Definitions'!$A$6,"...")</f>
        <v>...</v>
      </c>
      <c r="B89" s="4" t="str">
        <f>IF($N$9="Y","---&gt;","...")</f>
        <v>...</v>
      </c>
      <c r="C89" s="1" t="str">
        <f>IF($N$9="Y",'Population Definitions'!$A$14,"...")</f>
        <v>...</v>
      </c>
      <c r="E89" s="2"/>
      <c r="F89" s="3"/>
      <c r="G89" s="2"/>
      <c r="H89" s="4" t="str">
        <f>IF($N$9="Y","OR","...")</f>
        <v>...</v>
      </c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  <c r="BE89" s="2"/>
      <c r="BF89" s="2"/>
      <c r="BG89" s="2"/>
    </row>
    <row r="90" spans="1:59">
      <c r="A90" s="1" t="str">
        <f>IF($O$9="Y",'Population Definitions'!$A$6,"...")</f>
        <v>...</v>
      </c>
      <c r="B90" s="4" t="str">
        <f>IF($O$9="Y","---&gt;","...")</f>
        <v>...</v>
      </c>
      <c r="C90" s="1" t="str">
        <f>IF($O$9="Y",'Population Definitions'!$A$15,"...")</f>
        <v>...</v>
      </c>
      <c r="E90" s="2"/>
      <c r="F90" s="3"/>
      <c r="G90" s="2"/>
      <c r="H90" s="4" t="str">
        <f>IF($O$9="Y","OR","...")</f>
        <v>...</v>
      </c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  <c r="BE90" s="2"/>
      <c r="BF90" s="2"/>
      <c r="BG90" s="2"/>
    </row>
    <row r="91" spans="1:59">
      <c r="A91" s="1" t="str">
        <f>IF($B$10="Y",'Population Definitions'!$A$7,"...")</f>
        <v>...</v>
      </c>
      <c r="B91" s="4" t="str">
        <f>IF($B$10="Y","---&gt;","...")</f>
        <v>...</v>
      </c>
      <c r="C91" s="1" t="str">
        <f>IF($B$10="Y",'Population Definitions'!$A$2,"...")</f>
        <v>...</v>
      </c>
      <c r="E91" s="2"/>
      <c r="F91" s="3"/>
      <c r="G91" s="2"/>
      <c r="H91" s="4" t="str">
        <f>IF($B$10="Y","OR","...")</f>
        <v>...</v>
      </c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  <c r="BE91" s="2"/>
      <c r="BF91" s="2"/>
      <c r="BG91" s="2"/>
    </row>
    <row r="92" spans="1:59">
      <c r="A92" s="1" t="str">
        <f>IF($C$10="Y",'Population Definitions'!$A$7,"...")</f>
        <v>...</v>
      </c>
      <c r="B92" s="4" t="str">
        <f>IF($C$10="Y","---&gt;","...")</f>
        <v>...</v>
      </c>
      <c r="C92" s="1" t="str">
        <f>IF($C$10="Y",'Population Definitions'!$A$3,"...")</f>
        <v>...</v>
      </c>
      <c r="E92" s="2"/>
      <c r="F92" s="3"/>
      <c r="G92" s="2"/>
      <c r="H92" s="4" t="str">
        <f>IF($C$10="Y","OR","...")</f>
        <v>...</v>
      </c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  <c r="BE92" s="2"/>
      <c r="BF92" s="2"/>
      <c r="BG92" s="2"/>
    </row>
    <row r="93" spans="1:59">
      <c r="A93" s="1" t="str">
        <f>IF($D$10="Y",'Population Definitions'!$A$7,"...")</f>
        <v>...</v>
      </c>
      <c r="B93" s="4" t="str">
        <f>IF($D$10="Y","---&gt;","...")</f>
        <v>...</v>
      </c>
      <c r="C93" s="1" t="str">
        <f>IF($D$10="Y",'Population Definitions'!$A$4,"...")</f>
        <v>...</v>
      </c>
      <c r="E93" s="2"/>
      <c r="F93" s="3"/>
      <c r="G93" s="2"/>
      <c r="H93" s="4" t="str">
        <f>IF($D$10="Y","OR","...")</f>
        <v>...</v>
      </c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  <c r="BE93" s="2"/>
      <c r="BF93" s="2"/>
      <c r="BG93" s="2"/>
    </row>
    <row r="94" spans="1:59">
      <c r="A94" s="1" t="str">
        <f>IF($E$10="Y",'Population Definitions'!$A$7,"...")</f>
        <v>...</v>
      </c>
      <c r="B94" s="4" t="str">
        <f>IF($E$10="Y","---&gt;","...")</f>
        <v>...</v>
      </c>
      <c r="C94" s="1" t="str">
        <f>IF($E$10="Y",'Population Definitions'!$A$5,"...")</f>
        <v>...</v>
      </c>
      <c r="E94" s="2"/>
      <c r="F94" s="3"/>
      <c r="G94" s="2"/>
      <c r="H94" s="4" t="str">
        <f>IF($E$10="Y","OR","...")</f>
        <v>...</v>
      </c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  <c r="BE94" s="2"/>
      <c r="BF94" s="2"/>
      <c r="BG94" s="2"/>
    </row>
    <row r="95" spans="1:59">
      <c r="A95" s="1" t="str">
        <f>IF($F$10="Y",'Population Definitions'!$A$7,"...")</f>
        <v>...</v>
      </c>
      <c r="B95" s="4" t="str">
        <f>IF($F$10="Y","---&gt;","...")</f>
        <v>...</v>
      </c>
      <c r="C95" s="1" t="str">
        <f>IF($F$10="Y",'Population Definitions'!$A$6,"...")</f>
        <v>...</v>
      </c>
      <c r="E95" s="2"/>
      <c r="F95" s="3"/>
      <c r="G95" s="2"/>
      <c r="H95" s="4" t="str">
        <f>IF($F$10="Y","OR","...")</f>
        <v>...</v>
      </c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  <c r="BE95" s="2"/>
      <c r="BF95" s="2"/>
      <c r="BG95" s="2"/>
    </row>
    <row r="96" spans="1:59">
      <c r="A96" s="1" t="str">
        <f>IF($G$10="Y",'Population Definitions'!$A$7,"...")</f>
        <v>...</v>
      </c>
      <c r="B96" s="4" t="str">
        <f>IF($G$10="Y","---&gt;","...")</f>
        <v>...</v>
      </c>
      <c r="C96" s="1" t="str">
        <f>IF($G$10="Y",'Population Definitions'!$A$7,"...")</f>
        <v>...</v>
      </c>
      <c r="E96" s="2"/>
      <c r="F96" s="3"/>
      <c r="G96" s="2"/>
      <c r="H96" s="4" t="str">
        <f>IF($G$10="Y","OR","...")</f>
        <v>...</v>
      </c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  <c r="BE96" s="2"/>
      <c r="BF96" s="2"/>
      <c r="BG96" s="2"/>
    </row>
    <row r="97" spans="1:59">
      <c r="A97" s="1" t="str">
        <f>IF($H$10="Y",'Population Definitions'!$A$7,"...")</f>
        <v>...</v>
      </c>
      <c r="B97" s="4" t="str">
        <f>IF($H$10="Y","---&gt;","...")</f>
        <v>...</v>
      </c>
      <c r="C97" s="1" t="str">
        <f>IF($H$10="Y",'Population Definitions'!$A$8,"...")</f>
        <v>...</v>
      </c>
      <c r="E97" s="2"/>
      <c r="F97" s="3"/>
      <c r="G97" s="2"/>
      <c r="H97" s="4" t="str">
        <f>IF($H$10="Y","OR","...")</f>
        <v>...</v>
      </c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  <c r="BE97" s="2"/>
      <c r="BF97" s="2"/>
      <c r="BG97" s="2"/>
    </row>
    <row r="98" spans="1:59">
      <c r="A98" s="1" t="str">
        <f>IF($I$10="Y",'Population Definitions'!$A$7,"...")</f>
        <v>10-17_females</v>
      </c>
      <c r="B98" s="4" t="str">
        <f>IF($I$10="Y","---&gt;","...")</f>
        <v>---&gt;</v>
      </c>
      <c r="C98" s="1" t="str">
        <f>IF($I$10="Y",'Population Definitions'!$A$9,"...")</f>
        <v>18-64_females</v>
      </c>
      <c r="E98" s="3" t="s">
        <v>658</v>
      </c>
      <c r="F98" s="3"/>
      <c r="G98" s="3"/>
      <c r="H98" s="4" t="str">
        <f>IF($I$10="Y","OR","...")</f>
        <v>OR</v>
      </c>
      <c r="I98" s="3">
        <v>371483.5</v>
      </c>
      <c r="J98" s="3">
        <v>381750.5</v>
      </c>
      <c r="K98" s="3">
        <v>390547.5</v>
      </c>
      <c r="L98" s="3">
        <v>397947.5</v>
      </c>
      <c r="M98" s="3">
        <v>405307</v>
      </c>
      <c r="N98" s="3">
        <v>413543</v>
      </c>
      <c r="O98" s="3">
        <v>424186</v>
      </c>
      <c r="P98" s="3">
        <v>434311</v>
      </c>
      <c r="Q98" s="3">
        <v>442533</v>
      </c>
      <c r="R98" s="3">
        <v>451708</v>
      </c>
      <c r="S98" s="3">
        <v>461283.5</v>
      </c>
      <c r="T98" s="3">
        <v>471607</v>
      </c>
      <c r="U98" s="3">
        <v>486618</v>
      </c>
      <c r="V98" s="3">
        <v>507133</v>
      </c>
      <c r="W98" s="3">
        <v>528755</v>
      </c>
      <c r="X98" s="3">
        <v>546171</v>
      </c>
      <c r="Y98" s="3">
        <v>564764</v>
      </c>
      <c r="Z98" s="3">
        <v>584998.5</v>
      </c>
      <c r="AA98" s="3">
        <v>603223.5</v>
      </c>
      <c r="AB98" s="3">
        <v>622111</v>
      </c>
      <c r="AC98" s="3">
        <v>640539</v>
      </c>
      <c r="AD98" s="3">
        <v>662412.5</v>
      </c>
      <c r="AE98" s="3">
        <v>688806.5</v>
      </c>
      <c r="AF98" s="3">
        <v>713890.5</v>
      </c>
      <c r="AG98" s="3">
        <v>733412.5</v>
      </c>
      <c r="AH98" s="3">
        <v>746071</v>
      </c>
      <c r="AI98" s="3">
        <v>757339</v>
      </c>
      <c r="AJ98" s="3">
        <v>771250</v>
      </c>
      <c r="AK98" s="3">
        <v>786741</v>
      </c>
      <c r="AL98" s="3">
        <v>800960</v>
      </c>
      <c r="AM98" s="3">
        <v>820243</v>
      </c>
      <c r="AN98" s="3">
        <v>851018</v>
      </c>
      <c r="AO98" s="3">
        <v>882782</v>
      </c>
      <c r="AP98" s="3">
        <v>904112</v>
      </c>
      <c r="AQ98" s="3">
        <v>927538</v>
      </c>
      <c r="AR98" s="3">
        <v>960064</v>
      </c>
      <c r="AS98" s="3">
        <v>988746</v>
      </c>
      <c r="AT98" s="3">
        <v>1011045</v>
      </c>
      <c r="AU98" s="3">
        <v>1031051</v>
      </c>
      <c r="AV98" s="3">
        <v>1051668</v>
      </c>
      <c r="AW98" s="3">
        <v>1073059</v>
      </c>
      <c r="AX98" s="3">
        <v>1094176</v>
      </c>
      <c r="AY98" s="3">
        <v>1114347</v>
      </c>
      <c r="AZ98" s="3">
        <v>1132869</v>
      </c>
      <c r="BA98" s="3">
        <v>1151499</v>
      </c>
      <c r="BB98" s="3">
        <v>1170534</v>
      </c>
      <c r="BC98" s="3">
        <v>1188414</v>
      </c>
      <c r="BD98" s="3">
        <v>1207240</v>
      </c>
      <c r="BE98" s="3">
        <v>1226822</v>
      </c>
      <c r="BF98" s="3">
        <v>1247186</v>
      </c>
      <c r="BG98" s="3">
        <v>1265508</v>
      </c>
    </row>
    <row r="99" spans="1:59">
      <c r="A99" s="1" t="str">
        <f>IF($J$10="Y",'Population Definitions'!$A$7,"...")</f>
        <v>...</v>
      </c>
      <c r="B99" s="4" t="str">
        <f>IF($J$10="Y","---&gt;","...")</f>
        <v>...</v>
      </c>
      <c r="C99" s="1" t="str">
        <f>IF($J$10="Y",'Population Definitions'!$A$10,"...")</f>
        <v>...</v>
      </c>
      <c r="E99" s="2"/>
      <c r="F99" s="3"/>
      <c r="G99" s="2"/>
      <c r="H99" s="4" t="str">
        <f>IF($J$10="Y","OR","...")</f>
        <v>...</v>
      </c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  <c r="BE99" s="2"/>
      <c r="BF99" s="2"/>
      <c r="BG99" s="2"/>
    </row>
    <row r="100" spans="1:59">
      <c r="A100" s="1" t="str">
        <f>IF($K$10="Y",'Population Definitions'!$A$7,"...")</f>
        <v>...</v>
      </c>
      <c r="B100" s="4" t="str">
        <f>IF($K$10="Y","---&gt;","...")</f>
        <v>...</v>
      </c>
      <c r="C100" s="1" t="str">
        <f>IF($K$10="Y",'Population Definitions'!$A$11,"...")</f>
        <v>...</v>
      </c>
      <c r="E100" s="2"/>
      <c r="F100" s="3"/>
      <c r="G100" s="2"/>
      <c r="H100" s="4" t="str">
        <f>IF($K$10="Y","OR","...")</f>
        <v>...</v>
      </c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  <c r="BE100" s="2"/>
      <c r="BF100" s="2"/>
      <c r="BG100" s="2"/>
    </row>
    <row r="101" spans="1:59">
      <c r="A101" s="1" t="str">
        <f>IF($L$10="Y",'Population Definitions'!$A$7,"...")</f>
        <v>...</v>
      </c>
      <c r="B101" s="4" t="str">
        <f>IF($L$10="Y","---&gt;","...")</f>
        <v>...</v>
      </c>
      <c r="C101" s="1" t="str">
        <f>IF($L$10="Y",'Population Definitions'!$A$12,"...")</f>
        <v>...</v>
      </c>
      <c r="E101" s="2"/>
      <c r="F101" s="3"/>
      <c r="G101" s="2"/>
      <c r="H101" s="4" t="str">
        <f>IF($L$10="Y","OR","...")</f>
        <v>...</v>
      </c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  <c r="BE101" s="2"/>
      <c r="BF101" s="2"/>
      <c r="BG101" s="2"/>
    </row>
    <row r="102" spans="1:59">
      <c r="A102" s="1" t="str">
        <f>IF($M$10="Y",'Population Definitions'!$A$7,"...")</f>
        <v>...</v>
      </c>
      <c r="B102" s="4" t="str">
        <f>IF($M$10="Y","---&gt;","...")</f>
        <v>...</v>
      </c>
      <c r="C102" s="1" t="str">
        <f>IF($M$10="Y",'Population Definitions'!$A$13,"...")</f>
        <v>...</v>
      </c>
      <c r="E102" s="2"/>
      <c r="F102" s="3"/>
      <c r="G102" s="2"/>
      <c r="H102" s="4" t="str">
        <f>IF($M$10="Y","OR","...")</f>
        <v>...</v>
      </c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  <c r="BE102" s="2"/>
      <c r="BF102" s="2"/>
      <c r="BG102" s="2"/>
    </row>
    <row r="103" spans="1:59">
      <c r="A103" s="1" t="str">
        <f>IF($N$10="Y",'Population Definitions'!$A$7,"...")</f>
        <v>...</v>
      </c>
      <c r="B103" s="4" t="str">
        <f>IF($N$10="Y","---&gt;","...")</f>
        <v>...</v>
      </c>
      <c r="C103" s="1" t="str">
        <f>IF($N$10="Y",'Population Definitions'!$A$14,"...")</f>
        <v>...</v>
      </c>
      <c r="E103" s="2"/>
      <c r="F103" s="3"/>
      <c r="G103" s="2"/>
      <c r="H103" s="4" t="str">
        <f>IF($N$10="Y","OR","...")</f>
        <v>...</v>
      </c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  <c r="BE103" s="2"/>
      <c r="BF103" s="2"/>
      <c r="BG103" s="2"/>
    </row>
    <row r="104" spans="1:59">
      <c r="A104" s="1" t="str">
        <f>IF($O$10="Y",'Population Definitions'!$A$7,"...")</f>
        <v>...</v>
      </c>
      <c r="B104" s="4" t="str">
        <f>IF($O$10="Y","---&gt;","...")</f>
        <v>...</v>
      </c>
      <c r="C104" s="1" t="str">
        <f>IF($O$10="Y",'Population Definitions'!$A$15,"...")</f>
        <v>...</v>
      </c>
      <c r="E104" s="2"/>
      <c r="F104" s="3"/>
      <c r="G104" s="2"/>
      <c r="H104" s="4" t="str">
        <f>IF($O$10="Y","OR","...")</f>
        <v>...</v>
      </c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  <c r="BE104" s="2"/>
      <c r="BF104" s="2"/>
      <c r="BG104" s="2"/>
    </row>
    <row r="105" spans="1:59">
      <c r="A105" s="1" t="str">
        <f>IF($B$11="Y",'Population Definitions'!$A$8,"...")</f>
        <v>...</v>
      </c>
      <c r="B105" s="4" t="str">
        <f>IF($B$11="Y","---&gt;","...")</f>
        <v>...</v>
      </c>
      <c r="C105" s="1" t="str">
        <f>IF($B$11="Y",'Population Definitions'!$A$2,"...")</f>
        <v>...</v>
      </c>
      <c r="E105" s="2"/>
      <c r="F105" s="3"/>
      <c r="G105" s="2"/>
      <c r="H105" s="4" t="str">
        <f>IF($B$11="Y","OR","...")</f>
        <v>...</v>
      </c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  <c r="BE105" s="2"/>
      <c r="BF105" s="2"/>
      <c r="BG105" s="2"/>
    </row>
    <row r="106" spans="1:59">
      <c r="A106" s="1" t="str">
        <f>IF($C$11="Y",'Population Definitions'!$A$8,"...")</f>
        <v>...</v>
      </c>
      <c r="B106" s="4" t="str">
        <f>IF($C$11="Y","---&gt;","...")</f>
        <v>...</v>
      </c>
      <c r="C106" s="1" t="str">
        <f>IF($C$11="Y",'Population Definitions'!$A$3,"...")</f>
        <v>...</v>
      </c>
      <c r="E106" s="2"/>
      <c r="F106" s="3"/>
      <c r="G106" s="2"/>
      <c r="H106" s="4" t="str">
        <f>IF($C$11="Y","OR","...")</f>
        <v>...</v>
      </c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  <c r="BE106" s="2"/>
      <c r="BF106" s="2"/>
      <c r="BG106" s="2"/>
    </row>
    <row r="107" spans="1:59">
      <c r="A107" s="1" t="str">
        <f>IF($D$11="Y",'Population Definitions'!$A$8,"...")</f>
        <v>...</v>
      </c>
      <c r="B107" s="4" t="str">
        <f>IF($D$11="Y","---&gt;","...")</f>
        <v>...</v>
      </c>
      <c r="C107" s="1" t="str">
        <f>IF($D$11="Y",'Population Definitions'!$A$4,"...")</f>
        <v>...</v>
      </c>
      <c r="E107" s="2"/>
      <c r="F107" s="3"/>
      <c r="G107" s="2"/>
      <c r="H107" s="4" t="str">
        <f>IF($D$11="Y","OR","...")</f>
        <v>...</v>
      </c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  <c r="BE107" s="2"/>
      <c r="BF107" s="2"/>
      <c r="BG107" s="2"/>
    </row>
    <row r="108" spans="1:59">
      <c r="A108" s="1" t="str">
        <f>IF($E$11="Y",'Population Definitions'!$A$8,"...")</f>
        <v>...</v>
      </c>
      <c r="B108" s="4" t="str">
        <f>IF($E$11="Y","---&gt;","...")</f>
        <v>...</v>
      </c>
      <c r="C108" s="1" t="str">
        <f>IF($E$11="Y",'Population Definitions'!$A$5,"...")</f>
        <v>...</v>
      </c>
      <c r="E108" s="2"/>
      <c r="F108" s="3"/>
      <c r="G108" s="2"/>
      <c r="H108" s="4" t="str">
        <f>IF($E$11="Y","OR","...")</f>
        <v>...</v>
      </c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2"/>
      <c r="BC108" s="2"/>
      <c r="BD108" s="2"/>
      <c r="BE108" s="2"/>
      <c r="BF108" s="2"/>
      <c r="BG108" s="2"/>
    </row>
    <row r="109" spans="1:59">
      <c r="A109" s="1" t="str">
        <f>IF($F$11="Y",'Population Definitions'!$A$8,"...")</f>
        <v>...</v>
      </c>
      <c r="B109" s="4" t="str">
        <f>IF($F$11="Y","---&gt;","...")</f>
        <v>...</v>
      </c>
      <c r="C109" s="1" t="str">
        <f>IF($F$11="Y",'Population Definitions'!$A$6,"...")</f>
        <v>...</v>
      </c>
      <c r="E109" s="2"/>
      <c r="F109" s="3"/>
      <c r="G109" s="2"/>
      <c r="H109" s="4" t="str">
        <f>IF($F$11="Y","OR","...")</f>
        <v>...</v>
      </c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  <c r="BE109" s="2"/>
      <c r="BF109" s="2"/>
      <c r="BG109" s="2"/>
    </row>
    <row r="110" spans="1:59">
      <c r="A110" s="1" t="str">
        <f>IF($G$11="Y",'Population Definitions'!$A$8,"...")</f>
        <v>...</v>
      </c>
      <c r="B110" s="4" t="str">
        <f>IF($G$11="Y","---&gt;","...")</f>
        <v>...</v>
      </c>
      <c r="C110" s="1" t="str">
        <f>IF($G$11="Y",'Population Definitions'!$A$7,"...")</f>
        <v>...</v>
      </c>
      <c r="E110" s="2"/>
      <c r="F110" s="3"/>
      <c r="G110" s="2"/>
      <c r="H110" s="4" t="str">
        <f>IF($G$11="Y","OR","...")</f>
        <v>...</v>
      </c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  <c r="BE110" s="2"/>
      <c r="BF110" s="2"/>
      <c r="BG110" s="2"/>
    </row>
    <row r="111" spans="1:59">
      <c r="A111" s="1" t="str">
        <f>IF($H$11="Y",'Population Definitions'!$A$8,"...")</f>
        <v>...</v>
      </c>
      <c r="B111" s="4" t="str">
        <f>IF($H$11="Y","---&gt;","...")</f>
        <v>...</v>
      </c>
      <c r="C111" s="1" t="str">
        <f>IF($H$11="Y",'Population Definitions'!$A$8,"...")</f>
        <v>...</v>
      </c>
      <c r="E111" s="2"/>
      <c r="F111" s="3"/>
      <c r="G111" s="2"/>
      <c r="H111" s="4" t="str">
        <f>IF($H$11="Y","OR","...")</f>
        <v>...</v>
      </c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  <c r="BE111" s="2"/>
      <c r="BF111" s="2"/>
      <c r="BG111" s="2"/>
    </row>
    <row r="112" spans="1:59">
      <c r="A112" s="1" t="str">
        <f>IF($I$11="Y",'Population Definitions'!$A$8,"...")</f>
        <v>...</v>
      </c>
      <c r="B112" s="4" t="str">
        <f>IF($I$11="Y","---&gt;","...")</f>
        <v>...</v>
      </c>
      <c r="C112" s="1" t="str">
        <f>IF($I$11="Y",'Population Definitions'!$A$9,"...")</f>
        <v>...</v>
      </c>
      <c r="E112" s="2"/>
      <c r="F112" s="3"/>
      <c r="G112" s="2"/>
      <c r="H112" s="4" t="str">
        <f>IF($I$11="Y","OR","...")</f>
        <v>...</v>
      </c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  <c r="BE112" s="2"/>
      <c r="BF112" s="2"/>
      <c r="BG112" s="2"/>
    </row>
    <row r="113" spans="1:59">
      <c r="A113" s="1" t="str">
        <f>IF($J$11="Y",'Population Definitions'!$A$8,"...")</f>
        <v>18-64_males</v>
      </c>
      <c r="B113" s="4" t="str">
        <f>IF($J$11="Y","---&gt;","...")</f>
        <v>---&gt;</v>
      </c>
      <c r="C113" s="1" t="str">
        <f>IF($J$11="Y",'Population Definitions'!$A$10,"...")</f>
        <v>65+_males</v>
      </c>
      <c r="E113" s="3" t="s">
        <v>658</v>
      </c>
      <c r="F113" s="3"/>
      <c r="G113" s="3"/>
      <c r="H113" s="4" t="str">
        <f>IF($J$11="Y","OR","...")</f>
        <v>OR</v>
      </c>
      <c r="I113" s="3">
        <v>43611.5</v>
      </c>
      <c r="J113" s="3">
        <v>44859</v>
      </c>
      <c r="K113" s="3">
        <v>46318</v>
      </c>
      <c r="L113" s="3">
        <v>47794</v>
      </c>
      <c r="M113" s="3">
        <v>49260</v>
      </c>
      <c r="N113" s="3">
        <v>50913</v>
      </c>
      <c r="O113" s="3">
        <v>52951.5</v>
      </c>
      <c r="P113" s="3">
        <v>55277.5</v>
      </c>
      <c r="Q113" s="3">
        <v>57812</v>
      </c>
      <c r="R113" s="3">
        <v>60467</v>
      </c>
      <c r="S113" s="3">
        <v>63043.5</v>
      </c>
      <c r="T113" s="3">
        <v>65542</v>
      </c>
      <c r="U113" s="3">
        <v>67800</v>
      </c>
      <c r="V113" s="3">
        <v>68556</v>
      </c>
      <c r="W113" s="3">
        <v>67980.5</v>
      </c>
      <c r="X113" s="3">
        <v>67508.5</v>
      </c>
      <c r="Y113" s="3">
        <v>68062.5</v>
      </c>
      <c r="Z113" s="3">
        <v>69245.5</v>
      </c>
      <c r="AA113" s="3">
        <v>70063.5</v>
      </c>
      <c r="AB113" s="3">
        <v>70482</v>
      </c>
      <c r="AC113" s="3">
        <v>70700</v>
      </c>
      <c r="AD113" s="3">
        <v>71083</v>
      </c>
      <c r="AE113" s="3">
        <v>71788</v>
      </c>
      <c r="AF113" s="3">
        <v>72669</v>
      </c>
      <c r="AG113" s="3">
        <v>73639</v>
      </c>
      <c r="AH113" s="3">
        <v>75115</v>
      </c>
      <c r="AI113" s="3">
        <v>77313</v>
      </c>
      <c r="AJ113" s="3">
        <v>80420</v>
      </c>
      <c r="AK113" s="3">
        <v>84542</v>
      </c>
      <c r="AL113" s="3">
        <v>89601</v>
      </c>
      <c r="AM113" s="3">
        <v>95696</v>
      </c>
      <c r="AN113" s="3">
        <v>102922</v>
      </c>
      <c r="AO113" s="3">
        <v>110852</v>
      </c>
      <c r="AP113" s="3">
        <v>118765</v>
      </c>
      <c r="AQ113" s="3">
        <v>126839</v>
      </c>
      <c r="AR113" s="3">
        <v>135050</v>
      </c>
      <c r="AS113" s="3">
        <v>143217</v>
      </c>
      <c r="AT113" s="3">
        <v>150878</v>
      </c>
      <c r="AU113" s="3">
        <v>157965</v>
      </c>
      <c r="AV113" s="3">
        <v>164964</v>
      </c>
      <c r="AW113" s="3">
        <v>171388</v>
      </c>
      <c r="AX113" s="3">
        <v>176640</v>
      </c>
      <c r="AY113" s="3">
        <v>181998</v>
      </c>
      <c r="AZ113" s="3">
        <v>187905</v>
      </c>
      <c r="BA113" s="3">
        <v>194128</v>
      </c>
      <c r="BB113" s="3">
        <v>201060</v>
      </c>
      <c r="BC113" s="3">
        <v>208231</v>
      </c>
      <c r="BD113" s="3">
        <v>216245</v>
      </c>
      <c r="BE113" s="3">
        <v>225202</v>
      </c>
      <c r="BF113" s="3">
        <v>233848</v>
      </c>
      <c r="BG113" s="3">
        <v>242346</v>
      </c>
    </row>
    <row r="114" spans="1:59">
      <c r="A114" s="1" t="str">
        <f>IF($K$11="Y",'Population Definitions'!$A$8,"...")</f>
        <v>...</v>
      </c>
      <c r="B114" s="4" t="str">
        <f>IF($K$11="Y","---&gt;","...")</f>
        <v>...</v>
      </c>
      <c r="C114" s="1" t="str">
        <f>IF($K$11="Y",'Population Definitions'!$A$11,"...")</f>
        <v>...</v>
      </c>
      <c r="E114" s="2"/>
      <c r="F114" s="3"/>
      <c r="G114" s="2"/>
      <c r="H114" s="4" t="str">
        <f>IF($K$11="Y","OR","...")</f>
        <v>...</v>
      </c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  <c r="BE114" s="2"/>
      <c r="BF114" s="2"/>
      <c r="BG114" s="2"/>
    </row>
    <row r="115" spans="1:59">
      <c r="A115" s="1" t="str">
        <f>IF($L$11="Y",'Population Definitions'!$A$8,"...")</f>
        <v>...</v>
      </c>
      <c r="B115" s="4" t="str">
        <f>IF($L$11="Y","---&gt;","...")</f>
        <v>...</v>
      </c>
      <c r="C115" s="1" t="str">
        <f>IF($L$11="Y",'Population Definitions'!$A$12,"...")</f>
        <v>...</v>
      </c>
      <c r="E115" s="2"/>
      <c r="F115" s="3"/>
      <c r="G115" s="2"/>
      <c r="H115" s="4" t="str">
        <f>IF($L$11="Y","OR","...")</f>
        <v>...</v>
      </c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  <c r="BE115" s="2"/>
      <c r="BF115" s="2"/>
      <c r="BG115" s="2"/>
    </row>
    <row r="116" spans="1:59">
      <c r="A116" s="1" t="str">
        <f>IF($M$11="Y",'Population Definitions'!$A$8,"...")</f>
        <v>...</v>
      </c>
      <c r="B116" s="4" t="str">
        <f>IF($M$11="Y","---&gt;","...")</f>
        <v>...</v>
      </c>
      <c r="C116" s="1" t="str">
        <f>IF($M$11="Y",'Population Definitions'!$A$13,"...")</f>
        <v>...</v>
      </c>
      <c r="E116" s="2"/>
      <c r="F116" s="3"/>
      <c r="G116" s="2"/>
      <c r="H116" s="4" t="str">
        <f>IF($M$11="Y","OR","...")</f>
        <v>...</v>
      </c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  <c r="BE116" s="2"/>
      <c r="BF116" s="2"/>
      <c r="BG116" s="2"/>
    </row>
    <row r="117" spans="1:59">
      <c r="A117" s="1" t="str">
        <f>IF($N$11="Y",'Population Definitions'!$A$8,"...")</f>
        <v>...</v>
      </c>
      <c r="B117" s="4" t="str">
        <f>IF($N$11="Y","---&gt;","...")</f>
        <v>...</v>
      </c>
      <c r="C117" s="1" t="str">
        <f>IF($N$11="Y",'Population Definitions'!$A$14,"...")</f>
        <v>...</v>
      </c>
      <c r="E117" s="2"/>
      <c r="F117" s="3"/>
      <c r="G117" s="2"/>
      <c r="H117" s="4" t="str">
        <f>IF($N$11="Y","OR","...")</f>
        <v>...</v>
      </c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  <c r="BE117" s="2"/>
      <c r="BF117" s="2"/>
      <c r="BG117" s="2"/>
    </row>
    <row r="118" spans="1:59">
      <c r="A118" s="1" t="str">
        <f>IF($O$11="Y",'Population Definitions'!$A$8,"...")</f>
        <v>...</v>
      </c>
      <c r="B118" s="4" t="str">
        <f>IF($O$11="Y","---&gt;","...")</f>
        <v>...</v>
      </c>
      <c r="C118" s="1" t="str">
        <f>IF($O$11="Y",'Population Definitions'!$A$15,"...")</f>
        <v>...</v>
      </c>
      <c r="E118" s="2"/>
      <c r="F118" s="3"/>
      <c r="G118" s="2"/>
      <c r="H118" s="4" t="str">
        <f>IF($O$11="Y","OR","...")</f>
        <v>...</v>
      </c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  <c r="BE118" s="2"/>
      <c r="BF118" s="2"/>
      <c r="BG118" s="2"/>
    </row>
    <row r="119" spans="1:59">
      <c r="A119" s="1" t="str">
        <f>IF($B$12="Y",'Population Definitions'!$A$9,"...")</f>
        <v>...</v>
      </c>
      <c r="B119" s="4" t="str">
        <f>IF($B$12="Y","---&gt;","...")</f>
        <v>...</v>
      </c>
      <c r="C119" s="1" t="str">
        <f>IF($B$12="Y",'Population Definitions'!$A$2,"...")</f>
        <v>...</v>
      </c>
      <c r="E119" s="2"/>
      <c r="F119" s="3"/>
      <c r="G119" s="2"/>
      <c r="H119" s="4" t="str">
        <f>IF($B$12="Y","OR","...")</f>
        <v>...</v>
      </c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  <c r="BE119" s="2"/>
      <c r="BF119" s="2"/>
      <c r="BG119" s="2"/>
    </row>
    <row r="120" spans="1:59">
      <c r="A120" s="1" t="str">
        <f>IF($C$12="Y",'Population Definitions'!$A$9,"...")</f>
        <v>...</v>
      </c>
      <c r="B120" s="4" t="str">
        <f>IF($C$12="Y","---&gt;","...")</f>
        <v>...</v>
      </c>
      <c r="C120" s="1" t="str">
        <f>IF($C$12="Y",'Population Definitions'!$A$3,"...")</f>
        <v>...</v>
      </c>
      <c r="E120" s="2"/>
      <c r="F120" s="3"/>
      <c r="G120" s="2"/>
      <c r="H120" s="4" t="str">
        <f>IF($C$12="Y","OR","...")</f>
        <v>...</v>
      </c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  <c r="BE120" s="2"/>
      <c r="BF120" s="2"/>
      <c r="BG120" s="2"/>
    </row>
    <row r="121" spans="1:59">
      <c r="A121" s="1" t="str">
        <f>IF($D$12="Y",'Population Definitions'!$A$9,"...")</f>
        <v>...</v>
      </c>
      <c r="B121" s="4" t="str">
        <f>IF($D$12="Y","---&gt;","...")</f>
        <v>...</v>
      </c>
      <c r="C121" s="1" t="str">
        <f>IF($D$12="Y",'Population Definitions'!$A$4,"...")</f>
        <v>...</v>
      </c>
      <c r="E121" s="2"/>
      <c r="F121" s="3"/>
      <c r="G121" s="2"/>
      <c r="H121" s="4" t="str">
        <f>IF($D$12="Y","OR","...")</f>
        <v>...</v>
      </c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  <c r="BE121" s="2"/>
      <c r="BF121" s="2"/>
      <c r="BG121" s="2"/>
    </row>
    <row r="122" spans="1:59">
      <c r="A122" s="1" t="str">
        <f>IF($E$12="Y",'Population Definitions'!$A$9,"...")</f>
        <v>...</v>
      </c>
      <c r="B122" s="4" t="str">
        <f>IF($E$12="Y","---&gt;","...")</f>
        <v>...</v>
      </c>
      <c r="C122" s="1" t="str">
        <f>IF($E$12="Y",'Population Definitions'!$A$5,"...")</f>
        <v>...</v>
      </c>
      <c r="E122" s="2"/>
      <c r="F122" s="3"/>
      <c r="G122" s="2"/>
      <c r="H122" s="4" t="str">
        <f>IF($E$12="Y","OR","...")</f>
        <v>...</v>
      </c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  <c r="BE122" s="2"/>
      <c r="BF122" s="2"/>
      <c r="BG122" s="2"/>
    </row>
    <row r="123" spans="1:59">
      <c r="A123" s="1" t="str">
        <f>IF($F$12="Y",'Population Definitions'!$A$9,"...")</f>
        <v>...</v>
      </c>
      <c r="B123" s="4" t="str">
        <f>IF($F$12="Y","---&gt;","...")</f>
        <v>...</v>
      </c>
      <c r="C123" s="1" t="str">
        <f>IF($F$12="Y",'Population Definitions'!$A$6,"...")</f>
        <v>...</v>
      </c>
      <c r="E123" s="2"/>
      <c r="F123" s="3"/>
      <c r="G123" s="2"/>
      <c r="H123" s="4" t="str">
        <f>IF($F$12="Y","OR","...")</f>
        <v>...</v>
      </c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  <c r="BE123" s="2"/>
      <c r="BF123" s="2"/>
      <c r="BG123" s="2"/>
    </row>
    <row r="124" spans="1:59">
      <c r="A124" s="1" t="str">
        <f>IF($G$12="Y",'Population Definitions'!$A$9,"...")</f>
        <v>...</v>
      </c>
      <c r="B124" s="4" t="str">
        <f>IF($G$12="Y","---&gt;","...")</f>
        <v>...</v>
      </c>
      <c r="C124" s="1" t="str">
        <f>IF($G$12="Y",'Population Definitions'!$A$7,"...")</f>
        <v>...</v>
      </c>
      <c r="E124" s="2"/>
      <c r="F124" s="3"/>
      <c r="G124" s="2"/>
      <c r="H124" s="4" t="str">
        <f>IF($G$12="Y","OR","...")</f>
        <v>...</v>
      </c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  <c r="BE124" s="2"/>
      <c r="BF124" s="2"/>
      <c r="BG124" s="2"/>
    </row>
    <row r="125" spans="1:59">
      <c r="A125" s="1" t="str">
        <f>IF($H$12="Y",'Population Definitions'!$A$9,"...")</f>
        <v>...</v>
      </c>
      <c r="B125" s="4" t="str">
        <f>IF($H$12="Y","---&gt;","...")</f>
        <v>...</v>
      </c>
      <c r="C125" s="1" t="str">
        <f>IF($H$12="Y",'Population Definitions'!$A$8,"...")</f>
        <v>...</v>
      </c>
      <c r="E125" s="2"/>
      <c r="F125" s="3"/>
      <c r="G125" s="2"/>
      <c r="H125" s="4" t="str">
        <f>IF($H$12="Y","OR","...")</f>
        <v>...</v>
      </c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  <c r="BE125" s="2"/>
      <c r="BF125" s="2"/>
      <c r="BG125" s="2"/>
    </row>
    <row r="126" spans="1:59">
      <c r="A126" s="1" t="str">
        <f>IF($I$12="Y",'Population Definitions'!$A$9,"...")</f>
        <v>...</v>
      </c>
      <c r="B126" s="4" t="str">
        <f>IF($I$12="Y","---&gt;","...")</f>
        <v>...</v>
      </c>
      <c r="C126" s="1" t="str">
        <f>IF($I$12="Y",'Population Definitions'!$A$9,"...")</f>
        <v>...</v>
      </c>
      <c r="E126" s="2"/>
      <c r="F126" s="3"/>
      <c r="G126" s="2"/>
      <c r="H126" s="4" t="str">
        <f>IF($I$12="Y","OR","...")</f>
        <v>...</v>
      </c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  <c r="BE126" s="2"/>
      <c r="BF126" s="2"/>
      <c r="BG126" s="2"/>
    </row>
    <row r="127" spans="1:59">
      <c r="A127" s="1" t="str">
        <f>IF($J$12="Y",'Population Definitions'!$A$9,"...")</f>
        <v>...</v>
      </c>
      <c r="B127" s="4" t="str">
        <f>IF($J$12="Y","---&gt;","...")</f>
        <v>...</v>
      </c>
      <c r="C127" s="1" t="str">
        <f>IF($J$12="Y",'Population Definitions'!$A$10,"...")</f>
        <v>...</v>
      </c>
      <c r="E127" s="2"/>
      <c r="F127" s="3"/>
      <c r="G127" s="2"/>
      <c r="H127" s="4" t="str">
        <f>IF($J$12="Y","OR","...")</f>
        <v>...</v>
      </c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  <c r="BE127" s="2"/>
      <c r="BF127" s="2"/>
      <c r="BG127" s="2"/>
    </row>
    <row r="128" spans="1:59">
      <c r="A128" s="1" t="str">
        <f>IF($K$12="Y",'Population Definitions'!$A$9,"...")</f>
        <v>18-64_females</v>
      </c>
      <c r="B128" s="4" t="str">
        <f>IF($K$12="Y","---&gt;","...")</f>
        <v>---&gt;</v>
      </c>
      <c r="C128" s="1" t="str">
        <f>IF($K$12="Y",'Population Definitions'!$A$11,"...")</f>
        <v>65+_females</v>
      </c>
      <c r="E128" s="3" t="s">
        <v>658</v>
      </c>
      <c r="F128" s="3"/>
      <c r="G128" s="3"/>
      <c r="H128" s="4" t="str">
        <f>IF($K$12="Y","OR","...")</f>
        <v>OR</v>
      </c>
      <c r="I128" s="3">
        <v>46072.5</v>
      </c>
      <c r="J128" s="3">
        <v>46754.5</v>
      </c>
      <c r="K128" s="3">
        <v>47693.5</v>
      </c>
      <c r="L128" s="3">
        <v>48709.5</v>
      </c>
      <c r="M128" s="3">
        <v>49789</v>
      </c>
      <c r="N128" s="3">
        <v>51223.5</v>
      </c>
      <c r="O128" s="3">
        <v>53287.5</v>
      </c>
      <c r="P128" s="3">
        <v>55955.5</v>
      </c>
      <c r="Q128" s="3">
        <v>59188.5</v>
      </c>
      <c r="R128" s="3">
        <v>62954.5</v>
      </c>
      <c r="S128" s="3">
        <v>67155.5</v>
      </c>
      <c r="T128" s="3">
        <v>71704</v>
      </c>
      <c r="U128" s="3">
        <v>76317.5</v>
      </c>
      <c r="V128" s="3">
        <v>79191</v>
      </c>
      <c r="W128" s="3">
        <v>79995.5</v>
      </c>
      <c r="X128" s="3">
        <v>81885.5</v>
      </c>
      <c r="Y128" s="3">
        <v>85900.5</v>
      </c>
      <c r="Z128" s="3">
        <v>90333.5</v>
      </c>
      <c r="AA128" s="3">
        <v>94310.5</v>
      </c>
      <c r="AB128" s="3">
        <v>97692.5</v>
      </c>
      <c r="AC128" s="3">
        <v>100520.5</v>
      </c>
      <c r="AD128" s="3">
        <v>102921</v>
      </c>
      <c r="AE128" s="3">
        <v>104826</v>
      </c>
      <c r="AF128" s="3">
        <v>105951</v>
      </c>
      <c r="AG128" s="3">
        <v>106262</v>
      </c>
      <c r="AH128" s="3">
        <v>106333</v>
      </c>
      <c r="AI128" s="3">
        <v>106495</v>
      </c>
      <c r="AJ128" s="3">
        <v>107128</v>
      </c>
      <c r="AK128" s="3">
        <v>108600</v>
      </c>
      <c r="AL128" s="3">
        <v>111062</v>
      </c>
      <c r="AM128" s="3">
        <v>114782</v>
      </c>
      <c r="AN128" s="3">
        <v>119953</v>
      </c>
      <c r="AO128" s="3">
        <v>126297</v>
      </c>
      <c r="AP128" s="3">
        <v>133225</v>
      </c>
      <c r="AQ128" s="3">
        <v>141008</v>
      </c>
      <c r="AR128" s="3">
        <v>149632</v>
      </c>
      <c r="AS128" s="3">
        <v>158737</v>
      </c>
      <c r="AT128" s="3">
        <v>167916</v>
      </c>
      <c r="AU128" s="3">
        <v>177245</v>
      </c>
      <c r="AV128" s="3">
        <v>187544</v>
      </c>
      <c r="AW128" s="3">
        <v>197247</v>
      </c>
      <c r="AX128" s="3">
        <v>205846</v>
      </c>
      <c r="AY128" s="3">
        <v>214756</v>
      </c>
      <c r="AZ128" s="3">
        <v>223856</v>
      </c>
      <c r="BA128" s="3">
        <v>232583</v>
      </c>
      <c r="BB128" s="3">
        <v>240896</v>
      </c>
      <c r="BC128" s="3">
        <v>249194</v>
      </c>
      <c r="BD128" s="3">
        <v>258116</v>
      </c>
      <c r="BE128" s="3">
        <v>267882</v>
      </c>
      <c r="BF128" s="3">
        <v>277195</v>
      </c>
      <c r="BG128" s="3">
        <v>285978</v>
      </c>
    </row>
    <row r="129" spans="1:59">
      <c r="A129" s="1" t="str">
        <f>IF($L$12="Y",'Population Definitions'!$A$9,"...")</f>
        <v>...</v>
      </c>
      <c r="B129" s="4" t="str">
        <f>IF($L$12="Y","---&gt;","...")</f>
        <v>...</v>
      </c>
      <c r="C129" s="1" t="str">
        <f>IF($L$12="Y",'Population Definitions'!$A$12,"...")</f>
        <v>...</v>
      </c>
      <c r="E129" s="2"/>
      <c r="F129" s="3"/>
      <c r="G129" s="2"/>
      <c r="H129" s="4" t="str">
        <f>IF($L$12="Y","OR","...")</f>
        <v>...</v>
      </c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  <c r="BE129" s="2"/>
      <c r="BF129" s="2"/>
      <c r="BG129" s="2"/>
    </row>
    <row r="130" spans="1:59">
      <c r="A130" s="1" t="str">
        <f>IF($M$12="Y",'Population Definitions'!$A$9,"...")</f>
        <v>...</v>
      </c>
      <c r="B130" s="4" t="str">
        <f>IF($M$12="Y","---&gt;","...")</f>
        <v>...</v>
      </c>
      <c r="C130" s="1" t="str">
        <f>IF($M$12="Y",'Population Definitions'!$A$13,"...")</f>
        <v>...</v>
      </c>
      <c r="E130" s="2"/>
      <c r="F130" s="3"/>
      <c r="G130" s="2"/>
      <c r="H130" s="4" t="str">
        <f>IF($M$12="Y","OR","...")</f>
        <v>...</v>
      </c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  <c r="BE130" s="2"/>
      <c r="BF130" s="2"/>
      <c r="BG130" s="2"/>
    </row>
    <row r="131" spans="1:59">
      <c r="A131" s="1" t="str">
        <f>IF($N$12="Y",'Population Definitions'!$A$9,"...")</f>
        <v>...</v>
      </c>
      <c r="B131" s="4" t="str">
        <f>IF($N$12="Y","---&gt;","...")</f>
        <v>...</v>
      </c>
      <c r="C131" s="1" t="str">
        <f>IF($N$12="Y",'Population Definitions'!$A$14,"...")</f>
        <v>...</v>
      </c>
      <c r="E131" s="2"/>
      <c r="F131" s="3"/>
      <c r="G131" s="2"/>
      <c r="H131" s="4" t="str">
        <f>IF($N$12="Y","OR","...")</f>
        <v>...</v>
      </c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  <c r="BE131" s="2"/>
      <c r="BF131" s="2"/>
      <c r="BG131" s="2"/>
    </row>
    <row r="132" spans="1:59">
      <c r="A132" s="1" t="str">
        <f>IF($O$12="Y",'Population Definitions'!$A$9,"...")</f>
        <v>...</v>
      </c>
      <c r="B132" s="4" t="str">
        <f>IF($O$12="Y","---&gt;","...")</f>
        <v>...</v>
      </c>
      <c r="C132" s="1" t="str">
        <f>IF($O$12="Y",'Population Definitions'!$A$15,"...")</f>
        <v>...</v>
      </c>
      <c r="E132" s="2"/>
      <c r="F132" s="3"/>
      <c r="G132" s="2"/>
      <c r="H132" s="4" t="str">
        <f>IF($O$12="Y","OR","...")</f>
        <v>...</v>
      </c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  <c r="BE132" s="2"/>
      <c r="BF132" s="2"/>
      <c r="BG132" s="2"/>
    </row>
    <row r="133" spans="1:59">
      <c r="A133" s="1" t="str">
        <f>IF($B$13="Y",'Population Definitions'!$A$10,"...")</f>
        <v>...</v>
      </c>
      <c r="B133" s="4" t="str">
        <f>IF($B$13="Y","---&gt;","...")</f>
        <v>...</v>
      </c>
      <c r="C133" s="1" t="str">
        <f>IF($B$13="Y",'Population Definitions'!$A$2,"...")</f>
        <v>...</v>
      </c>
      <c r="E133" s="2"/>
      <c r="F133" s="3"/>
      <c r="G133" s="2"/>
      <c r="H133" s="4" t="str">
        <f>IF($B$13="Y","OR","...")</f>
        <v>...</v>
      </c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  <c r="BE133" s="2"/>
      <c r="BF133" s="2"/>
      <c r="BG133" s="2"/>
    </row>
    <row r="134" spans="1:59">
      <c r="A134" s="1" t="str">
        <f>IF($C$13="Y",'Population Definitions'!$A$10,"...")</f>
        <v>...</v>
      </c>
      <c r="B134" s="4" t="str">
        <f>IF($C$13="Y","---&gt;","...")</f>
        <v>...</v>
      </c>
      <c r="C134" s="1" t="str">
        <f>IF($C$13="Y",'Population Definitions'!$A$3,"...")</f>
        <v>...</v>
      </c>
      <c r="E134" s="2"/>
      <c r="F134" s="3"/>
      <c r="G134" s="2"/>
      <c r="H134" s="4" t="str">
        <f>IF($C$13="Y","OR","...")</f>
        <v>...</v>
      </c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  <c r="BE134" s="2"/>
      <c r="BF134" s="2"/>
      <c r="BG134" s="2"/>
    </row>
    <row r="135" spans="1:59">
      <c r="A135" s="1" t="str">
        <f>IF($D$13="Y",'Population Definitions'!$A$10,"...")</f>
        <v>...</v>
      </c>
      <c r="B135" s="4" t="str">
        <f>IF($D$13="Y","---&gt;","...")</f>
        <v>...</v>
      </c>
      <c r="C135" s="1" t="str">
        <f>IF($D$13="Y",'Population Definitions'!$A$4,"...")</f>
        <v>...</v>
      </c>
      <c r="E135" s="2"/>
      <c r="F135" s="3"/>
      <c r="G135" s="2"/>
      <c r="H135" s="4" t="str">
        <f>IF($D$13="Y","OR","...")</f>
        <v>...</v>
      </c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  <c r="BE135" s="2"/>
      <c r="BF135" s="2"/>
      <c r="BG135" s="2"/>
    </row>
    <row r="136" spans="1:59">
      <c r="A136" s="1" t="str">
        <f>IF($E$13="Y",'Population Definitions'!$A$10,"...")</f>
        <v>...</v>
      </c>
      <c r="B136" s="4" t="str">
        <f>IF($E$13="Y","---&gt;","...")</f>
        <v>...</v>
      </c>
      <c r="C136" s="1" t="str">
        <f>IF($E$13="Y",'Population Definitions'!$A$5,"...")</f>
        <v>...</v>
      </c>
      <c r="E136" s="2"/>
      <c r="F136" s="3"/>
      <c r="G136" s="2"/>
      <c r="H136" s="4" t="str">
        <f>IF($E$13="Y","OR","...")</f>
        <v>...</v>
      </c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  <c r="BE136" s="2"/>
      <c r="BF136" s="2"/>
      <c r="BG136" s="2"/>
    </row>
    <row r="137" spans="1:59">
      <c r="A137" s="1" t="str">
        <f>IF($F$13="Y",'Population Definitions'!$A$10,"...")</f>
        <v>...</v>
      </c>
      <c r="B137" s="4" t="str">
        <f>IF($F$13="Y","---&gt;","...")</f>
        <v>...</v>
      </c>
      <c r="C137" s="1" t="str">
        <f>IF($F$13="Y",'Population Definitions'!$A$6,"...")</f>
        <v>...</v>
      </c>
      <c r="E137" s="2"/>
      <c r="F137" s="3"/>
      <c r="G137" s="2"/>
      <c r="H137" s="4" t="str">
        <f>IF($F$13="Y","OR","...")</f>
        <v>...</v>
      </c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  <c r="BE137" s="2"/>
      <c r="BF137" s="2"/>
      <c r="BG137" s="2"/>
    </row>
    <row r="138" spans="1:59">
      <c r="A138" s="1" t="str">
        <f>IF($G$13="Y",'Population Definitions'!$A$10,"...")</f>
        <v>...</v>
      </c>
      <c r="B138" s="4" t="str">
        <f>IF($G$13="Y","---&gt;","...")</f>
        <v>...</v>
      </c>
      <c r="C138" s="1" t="str">
        <f>IF($G$13="Y",'Population Definitions'!$A$7,"...")</f>
        <v>...</v>
      </c>
      <c r="E138" s="2"/>
      <c r="F138" s="3"/>
      <c r="G138" s="2"/>
      <c r="H138" s="4" t="str">
        <f>IF($G$13="Y","OR","...")</f>
        <v>...</v>
      </c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  <c r="BE138" s="2"/>
      <c r="BF138" s="2"/>
      <c r="BG138" s="2"/>
    </row>
    <row r="139" spans="1:59">
      <c r="A139" s="1" t="str">
        <f>IF($H$13="Y",'Population Definitions'!$A$10,"...")</f>
        <v>...</v>
      </c>
      <c r="B139" s="4" t="str">
        <f>IF($H$13="Y","---&gt;","...")</f>
        <v>...</v>
      </c>
      <c r="C139" s="1" t="str">
        <f>IF($H$13="Y",'Population Definitions'!$A$8,"...")</f>
        <v>...</v>
      </c>
      <c r="E139" s="2"/>
      <c r="F139" s="3"/>
      <c r="G139" s="2"/>
      <c r="H139" s="4" t="str">
        <f>IF($H$13="Y","OR","...")</f>
        <v>...</v>
      </c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  <c r="BE139" s="2"/>
      <c r="BF139" s="2"/>
      <c r="BG139" s="2"/>
    </row>
    <row r="140" spans="1:59">
      <c r="A140" s="1" t="str">
        <f>IF($I$13="Y",'Population Definitions'!$A$10,"...")</f>
        <v>...</v>
      </c>
      <c r="B140" s="4" t="str">
        <f>IF($I$13="Y","---&gt;","...")</f>
        <v>...</v>
      </c>
      <c r="C140" s="1" t="str">
        <f>IF($I$13="Y",'Population Definitions'!$A$9,"...")</f>
        <v>...</v>
      </c>
      <c r="E140" s="2"/>
      <c r="F140" s="3"/>
      <c r="G140" s="2"/>
      <c r="H140" s="4" t="str">
        <f>IF($I$13="Y","OR","...")</f>
        <v>...</v>
      </c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  <c r="BE140" s="2"/>
      <c r="BF140" s="2"/>
      <c r="BG140" s="2"/>
    </row>
    <row r="141" spans="1:59">
      <c r="A141" s="1" t="str">
        <f>IF($J$13="Y",'Population Definitions'!$A$10,"...")</f>
        <v>...</v>
      </c>
      <c r="B141" s="4" t="str">
        <f>IF($J$13="Y","---&gt;","...")</f>
        <v>...</v>
      </c>
      <c r="C141" s="1" t="str">
        <f>IF($J$13="Y",'Population Definitions'!$A$10,"...")</f>
        <v>...</v>
      </c>
      <c r="E141" s="2"/>
      <c r="F141" s="3"/>
      <c r="G141" s="2"/>
      <c r="H141" s="4" t="str">
        <f>IF($J$13="Y","OR","...")</f>
        <v>...</v>
      </c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  <c r="BE141" s="2"/>
      <c r="BF141" s="2"/>
      <c r="BG141" s="2"/>
    </row>
    <row r="142" spans="1:59">
      <c r="A142" s="1" t="str">
        <f>IF($K$13="Y",'Population Definitions'!$A$10,"...")</f>
        <v>...</v>
      </c>
      <c r="B142" s="4" t="str">
        <f>IF($K$13="Y","---&gt;","...")</f>
        <v>...</v>
      </c>
      <c r="C142" s="1" t="str">
        <f>IF($K$13="Y",'Population Definitions'!$A$11,"...")</f>
        <v>...</v>
      </c>
      <c r="E142" s="2"/>
      <c r="F142" s="3"/>
      <c r="G142" s="2"/>
      <c r="H142" s="4" t="str">
        <f>IF($K$13="Y","OR","...")</f>
        <v>...</v>
      </c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  <c r="BE142" s="2"/>
      <c r="BF142" s="2"/>
      <c r="BG142" s="2"/>
    </row>
    <row r="143" spans="1:59">
      <c r="A143" s="1" t="str">
        <f>IF($L$13="Y",'Population Definitions'!$A$10,"...")</f>
        <v>...</v>
      </c>
      <c r="B143" s="4" t="str">
        <f>IF($L$13="Y","---&gt;","...")</f>
        <v>...</v>
      </c>
      <c r="C143" s="1" t="str">
        <f>IF($L$13="Y",'Population Definitions'!$A$12,"...")</f>
        <v>...</v>
      </c>
      <c r="E143" s="2"/>
      <c r="F143" s="3"/>
      <c r="G143" s="2"/>
      <c r="H143" s="4" t="str">
        <f>IF($L$13="Y","OR","...")</f>
        <v>...</v>
      </c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  <c r="BE143" s="2"/>
      <c r="BF143" s="2"/>
      <c r="BG143" s="2"/>
    </row>
    <row r="144" spans="1:59">
      <c r="A144" s="1" t="str">
        <f>IF($M$13="Y",'Population Definitions'!$A$10,"...")</f>
        <v>...</v>
      </c>
      <c r="B144" s="4" t="str">
        <f>IF($M$13="Y","---&gt;","...")</f>
        <v>...</v>
      </c>
      <c r="C144" s="1" t="str">
        <f>IF($M$13="Y",'Population Definitions'!$A$13,"...")</f>
        <v>...</v>
      </c>
      <c r="E144" s="2"/>
      <c r="F144" s="3"/>
      <c r="G144" s="2"/>
      <c r="H144" s="4" t="str">
        <f>IF($M$13="Y","OR","...")</f>
        <v>...</v>
      </c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  <c r="BE144" s="2"/>
      <c r="BF144" s="2"/>
      <c r="BG144" s="2"/>
    </row>
    <row r="145" spans="1:59">
      <c r="A145" s="1" t="str">
        <f>IF($N$13="Y",'Population Definitions'!$A$10,"...")</f>
        <v>...</v>
      </c>
      <c r="B145" s="4" t="str">
        <f>IF($N$13="Y","---&gt;","...")</f>
        <v>...</v>
      </c>
      <c r="C145" s="1" t="str">
        <f>IF($N$13="Y",'Population Definitions'!$A$14,"...")</f>
        <v>...</v>
      </c>
      <c r="E145" s="2"/>
      <c r="F145" s="3"/>
      <c r="G145" s="2"/>
      <c r="H145" s="4" t="str">
        <f>IF($N$13="Y","OR","...")</f>
        <v>...</v>
      </c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  <c r="BE145" s="2"/>
      <c r="BF145" s="2"/>
      <c r="BG145" s="2"/>
    </row>
    <row r="146" spans="1:59">
      <c r="A146" s="1" t="str">
        <f>IF($O$13="Y",'Population Definitions'!$A$10,"...")</f>
        <v>...</v>
      </c>
      <c r="B146" s="4" t="str">
        <f>IF($O$13="Y","---&gt;","...")</f>
        <v>...</v>
      </c>
      <c r="C146" s="1" t="str">
        <f>IF($O$13="Y",'Population Definitions'!$A$15,"...")</f>
        <v>...</v>
      </c>
      <c r="E146" s="2"/>
      <c r="F146" s="3"/>
      <c r="G146" s="2"/>
      <c r="H146" s="4" t="str">
        <f>IF($O$13="Y","OR","...")</f>
        <v>...</v>
      </c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  <c r="BE146" s="2"/>
      <c r="BF146" s="2"/>
      <c r="BG146" s="2"/>
    </row>
    <row r="147" spans="1:59">
      <c r="A147" s="1" t="str">
        <f>IF($B$14="Y",'Population Definitions'!$A$11,"...")</f>
        <v>...</v>
      </c>
      <c r="B147" s="4" t="str">
        <f>IF($B$14="Y","---&gt;","...")</f>
        <v>...</v>
      </c>
      <c r="C147" s="1" t="str">
        <f>IF($B$14="Y",'Population Definitions'!$A$2,"...")</f>
        <v>...</v>
      </c>
      <c r="E147" s="2"/>
      <c r="F147" s="3"/>
      <c r="G147" s="2"/>
      <c r="H147" s="4" t="str">
        <f>IF($B$14="Y","OR","...")</f>
        <v>...</v>
      </c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  <c r="BE147" s="2"/>
      <c r="BF147" s="2"/>
      <c r="BG147" s="2"/>
    </row>
    <row r="148" spans="1:59">
      <c r="A148" s="1" t="str">
        <f>IF($C$14="Y",'Population Definitions'!$A$11,"...")</f>
        <v>...</v>
      </c>
      <c r="B148" s="4" t="str">
        <f>IF($C$14="Y","---&gt;","...")</f>
        <v>...</v>
      </c>
      <c r="C148" s="1" t="str">
        <f>IF($C$14="Y",'Population Definitions'!$A$3,"...")</f>
        <v>...</v>
      </c>
      <c r="E148" s="2"/>
      <c r="F148" s="3"/>
      <c r="G148" s="2"/>
      <c r="H148" s="4" t="str">
        <f>IF($C$14="Y","OR","...")</f>
        <v>...</v>
      </c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  <c r="BE148" s="2"/>
      <c r="BF148" s="2"/>
      <c r="BG148" s="2"/>
    </row>
    <row r="149" spans="1:59">
      <c r="A149" s="1" t="str">
        <f>IF($D$14="Y",'Population Definitions'!$A$11,"...")</f>
        <v>...</v>
      </c>
      <c r="B149" s="4" t="str">
        <f>IF($D$14="Y","---&gt;","...")</f>
        <v>...</v>
      </c>
      <c r="C149" s="1" t="str">
        <f>IF($D$14="Y",'Population Definitions'!$A$4,"...")</f>
        <v>...</v>
      </c>
      <c r="E149" s="2"/>
      <c r="F149" s="3"/>
      <c r="G149" s="2"/>
      <c r="H149" s="4" t="str">
        <f>IF($D$14="Y","OR","...")</f>
        <v>...</v>
      </c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  <c r="BE149" s="2"/>
      <c r="BF149" s="2"/>
      <c r="BG149" s="2"/>
    </row>
    <row r="150" spans="1:59">
      <c r="A150" s="1" t="str">
        <f>IF($E$14="Y",'Population Definitions'!$A$11,"...")</f>
        <v>...</v>
      </c>
      <c r="B150" s="4" t="str">
        <f>IF($E$14="Y","---&gt;","...")</f>
        <v>...</v>
      </c>
      <c r="C150" s="1" t="str">
        <f>IF($E$14="Y",'Population Definitions'!$A$5,"...")</f>
        <v>...</v>
      </c>
      <c r="E150" s="2"/>
      <c r="F150" s="3"/>
      <c r="G150" s="2"/>
      <c r="H150" s="4" t="str">
        <f>IF($E$14="Y","OR","...")</f>
        <v>...</v>
      </c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  <c r="BE150" s="2"/>
      <c r="BF150" s="2"/>
      <c r="BG150" s="2"/>
    </row>
    <row r="151" spans="1:59">
      <c r="A151" s="1" t="str">
        <f>IF($F$14="Y",'Population Definitions'!$A$11,"...")</f>
        <v>...</v>
      </c>
      <c r="B151" s="4" t="str">
        <f>IF($F$14="Y","---&gt;","...")</f>
        <v>...</v>
      </c>
      <c r="C151" s="1" t="str">
        <f>IF($F$14="Y",'Population Definitions'!$A$6,"...")</f>
        <v>...</v>
      </c>
      <c r="E151" s="2"/>
      <c r="F151" s="3"/>
      <c r="G151" s="2"/>
      <c r="H151" s="4" t="str">
        <f>IF($F$14="Y","OR","...")</f>
        <v>...</v>
      </c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  <c r="BE151" s="2"/>
      <c r="BF151" s="2"/>
      <c r="BG151" s="2"/>
    </row>
    <row r="152" spans="1:59">
      <c r="A152" s="1" t="str">
        <f>IF($G$14="Y",'Population Definitions'!$A$11,"...")</f>
        <v>...</v>
      </c>
      <c r="B152" s="4" t="str">
        <f>IF($G$14="Y","---&gt;","...")</f>
        <v>...</v>
      </c>
      <c r="C152" s="1" t="str">
        <f>IF($G$14="Y",'Population Definitions'!$A$7,"...")</f>
        <v>...</v>
      </c>
      <c r="E152" s="2"/>
      <c r="F152" s="3"/>
      <c r="G152" s="2"/>
      <c r="H152" s="4" t="str">
        <f>IF($G$14="Y","OR","...")</f>
        <v>...</v>
      </c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  <c r="BE152" s="2"/>
      <c r="BF152" s="2"/>
      <c r="BG152" s="2"/>
    </row>
    <row r="153" spans="1:59">
      <c r="A153" s="1" t="str">
        <f>IF($H$14="Y",'Population Definitions'!$A$11,"...")</f>
        <v>...</v>
      </c>
      <c r="B153" s="4" t="str">
        <f>IF($H$14="Y","---&gt;","...")</f>
        <v>...</v>
      </c>
      <c r="C153" s="1" t="str">
        <f>IF($H$14="Y",'Population Definitions'!$A$8,"...")</f>
        <v>...</v>
      </c>
      <c r="E153" s="2"/>
      <c r="F153" s="3"/>
      <c r="G153" s="2"/>
      <c r="H153" s="4" t="str">
        <f>IF($H$14="Y","OR","...")</f>
        <v>...</v>
      </c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  <c r="BE153" s="2"/>
      <c r="BF153" s="2"/>
      <c r="BG153" s="2"/>
    </row>
    <row r="154" spans="1:59">
      <c r="A154" s="1" t="str">
        <f>IF($I$14="Y",'Population Definitions'!$A$11,"...")</f>
        <v>...</v>
      </c>
      <c r="B154" s="4" t="str">
        <f>IF($I$14="Y","---&gt;","...")</f>
        <v>...</v>
      </c>
      <c r="C154" s="1" t="str">
        <f>IF($I$14="Y",'Population Definitions'!$A$9,"...")</f>
        <v>...</v>
      </c>
      <c r="E154" s="2"/>
      <c r="F154" s="3"/>
      <c r="G154" s="2"/>
      <c r="H154" s="4" t="str">
        <f>IF($I$14="Y","OR","...")</f>
        <v>...</v>
      </c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  <c r="BE154" s="2"/>
      <c r="BF154" s="2"/>
      <c r="BG154" s="2"/>
    </row>
    <row r="155" spans="1:59">
      <c r="A155" s="1" t="str">
        <f>IF($J$14="Y",'Population Definitions'!$A$11,"...")</f>
        <v>...</v>
      </c>
      <c r="B155" s="4" t="str">
        <f>IF($J$14="Y","---&gt;","...")</f>
        <v>...</v>
      </c>
      <c r="C155" s="1" t="str">
        <f>IF($J$14="Y",'Population Definitions'!$A$10,"...")</f>
        <v>...</v>
      </c>
      <c r="E155" s="2"/>
      <c r="F155" s="3"/>
      <c r="G155" s="2"/>
      <c r="H155" s="4" t="str">
        <f>IF($J$14="Y","OR","...")</f>
        <v>...</v>
      </c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  <c r="BE155" s="2"/>
      <c r="BF155" s="2"/>
      <c r="BG155" s="2"/>
    </row>
    <row r="156" spans="1:59">
      <c r="A156" s="1" t="str">
        <f>IF($K$14="Y",'Population Definitions'!$A$11,"...")</f>
        <v>...</v>
      </c>
      <c r="B156" s="4" t="str">
        <f>IF($K$14="Y","---&gt;","...")</f>
        <v>...</v>
      </c>
      <c r="C156" s="1" t="str">
        <f>IF($K$14="Y",'Population Definitions'!$A$11,"...")</f>
        <v>...</v>
      </c>
      <c r="E156" s="2"/>
      <c r="F156" s="3"/>
      <c r="G156" s="2"/>
      <c r="H156" s="4" t="str">
        <f>IF($K$14="Y","OR","...")</f>
        <v>...</v>
      </c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  <c r="BE156" s="2"/>
      <c r="BF156" s="2"/>
      <c r="BG156" s="2"/>
    </row>
    <row r="157" spans="1:59">
      <c r="A157" s="1" t="str">
        <f>IF($L$14="Y",'Population Definitions'!$A$11,"...")</f>
        <v>...</v>
      </c>
      <c r="B157" s="4" t="str">
        <f>IF($L$14="Y","---&gt;","...")</f>
        <v>...</v>
      </c>
      <c r="C157" s="1" t="str">
        <f>IF($L$14="Y",'Population Definitions'!$A$12,"...")</f>
        <v>...</v>
      </c>
      <c r="E157" s="2"/>
      <c r="F157" s="3"/>
      <c r="G157" s="2"/>
      <c r="H157" s="4" t="str">
        <f>IF($L$14="Y","OR","...")</f>
        <v>...</v>
      </c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  <c r="BE157" s="2"/>
      <c r="BF157" s="2"/>
      <c r="BG157" s="2"/>
    </row>
    <row r="158" spans="1:59">
      <c r="A158" s="1" t="str">
        <f>IF($M$14="Y",'Population Definitions'!$A$11,"...")</f>
        <v>...</v>
      </c>
      <c r="B158" s="4" t="str">
        <f>IF($M$14="Y","---&gt;","...")</f>
        <v>...</v>
      </c>
      <c r="C158" s="1" t="str">
        <f>IF($M$14="Y",'Population Definitions'!$A$13,"...")</f>
        <v>...</v>
      </c>
      <c r="E158" s="2"/>
      <c r="F158" s="3"/>
      <c r="G158" s="2"/>
      <c r="H158" s="4" t="str">
        <f>IF($M$14="Y","OR","...")</f>
        <v>...</v>
      </c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  <c r="BE158" s="2"/>
      <c r="BF158" s="2"/>
      <c r="BG158" s="2"/>
    </row>
    <row r="159" spans="1:59">
      <c r="A159" s="1" t="str">
        <f>IF($N$14="Y",'Population Definitions'!$A$11,"...")</f>
        <v>...</v>
      </c>
      <c r="B159" s="4" t="str">
        <f>IF($N$14="Y","---&gt;","...")</f>
        <v>...</v>
      </c>
      <c r="C159" s="1" t="str">
        <f>IF($N$14="Y",'Population Definitions'!$A$14,"...")</f>
        <v>...</v>
      </c>
      <c r="E159" s="2"/>
      <c r="F159" s="3"/>
      <c r="G159" s="2"/>
      <c r="H159" s="4" t="str">
        <f>IF($N$14="Y","OR","...")</f>
        <v>...</v>
      </c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  <c r="BE159" s="2"/>
      <c r="BF159" s="2"/>
      <c r="BG159" s="2"/>
    </row>
    <row r="160" spans="1:59">
      <c r="A160" s="1" t="str">
        <f>IF($O$14="Y",'Population Definitions'!$A$11,"...")</f>
        <v>...</v>
      </c>
      <c r="B160" s="4" t="str">
        <f>IF($O$14="Y","---&gt;","...")</f>
        <v>...</v>
      </c>
      <c r="C160" s="1" t="str">
        <f>IF($O$14="Y",'Population Definitions'!$A$15,"...")</f>
        <v>...</v>
      </c>
      <c r="E160" s="2"/>
      <c r="F160" s="3"/>
      <c r="G160" s="2"/>
      <c r="H160" s="4" t="str">
        <f>IF($O$14="Y","OR","...")</f>
        <v>...</v>
      </c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  <c r="BE160" s="2"/>
      <c r="BF160" s="2"/>
      <c r="BG160" s="2"/>
    </row>
    <row r="161" spans="1:59">
      <c r="A161" s="1" t="str">
        <f>IF($B$15="Y",'Population Definitions'!$A$12,"...")</f>
        <v>...</v>
      </c>
      <c r="B161" s="4" t="str">
        <f>IF($B$15="Y","---&gt;","...")</f>
        <v>...</v>
      </c>
      <c r="C161" s="1" t="str">
        <f>IF($B$15="Y",'Population Definitions'!$A$2,"...")</f>
        <v>...</v>
      </c>
      <c r="E161" s="2"/>
      <c r="F161" s="3"/>
      <c r="G161" s="2"/>
      <c r="H161" s="4" t="str">
        <f>IF($B$15="Y","OR","...")</f>
        <v>...</v>
      </c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  <c r="BE161" s="2"/>
      <c r="BF161" s="2"/>
      <c r="BG161" s="2"/>
    </row>
    <row r="162" spans="1:59">
      <c r="A162" s="1" t="str">
        <f>IF($C$15="Y",'Population Definitions'!$A$12,"...")</f>
        <v>...</v>
      </c>
      <c r="B162" s="4" t="str">
        <f>IF($C$15="Y","---&gt;","...")</f>
        <v>...</v>
      </c>
      <c r="C162" s="1" t="str">
        <f>IF($C$15="Y",'Population Definitions'!$A$3,"...")</f>
        <v>...</v>
      </c>
      <c r="E162" s="2"/>
      <c r="F162" s="3"/>
      <c r="G162" s="2"/>
      <c r="H162" s="4" t="str">
        <f>IF($C$15="Y","OR","...")</f>
        <v>...</v>
      </c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  <c r="BE162" s="2"/>
      <c r="BF162" s="2"/>
      <c r="BG162" s="2"/>
    </row>
    <row r="163" spans="1:59">
      <c r="A163" s="1" t="str">
        <f>IF($D$15="Y",'Population Definitions'!$A$12,"...")</f>
        <v>...</v>
      </c>
      <c r="B163" s="4" t="str">
        <f>IF($D$15="Y","---&gt;","...")</f>
        <v>...</v>
      </c>
      <c r="C163" s="1" t="str">
        <f>IF($D$15="Y",'Population Definitions'!$A$4,"...")</f>
        <v>...</v>
      </c>
      <c r="E163" s="2"/>
      <c r="F163" s="3"/>
      <c r="G163" s="2"/>
      <c r="H163" s="4" t="str">
        <f>IF($D$15="Y","OR","...")</f>
        <v>...</v>
      </c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  <c r="BE163" s="2"/>
      <c r="BF163" s="2"/>
      <c r="BG163" s="2"/>
    </row>
    <row r="164" spans="1:59">
      <c r="A164" s="1" t="str">
        <f>IF($E$15="Y",'Population Definitions'!$A$12,"...")</f>
        <v>...</v>
      </c>
      <c r="B164" s="4" t="str">
        <f>IF($E$15="Y","---&gt;","...")</f>
        <v>...</v>
      </c>
      <c r="C164" s="1" t="str">
        <f>IF($E$15="Y",'Population Definitions'!$A$5,"...")</f>
        <v>...</v>
      </c>
      <c r="E164" s="2"/>
      <c r="F164" s="3"/>
      <c r="G164" s="2"/>
      <c r="H164" s="4" t="str">
        <f>IF($E$15="Y","OR","...")</f>
        <v>...</v>
      </c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  <c r="BE164" s="2"/>
      <c r="BF164" s="2"/>
      <c r="BG164" s="2"/>
    </row>
    <row r="165" spans="1:59">
      <c r="A165" s="1" t="str">
        <f>IF($F$15="Y",'Population Definitions'!$A$12,"...")</f>
        <v>...</v>
      </c>
      <c r="B165" s="4" t="str">
        <f>IF($F$15="Y","---&gt;","...")</f>
        <v>...</v>
      </c>
      <c r="C165" s="1" t="str">
        <f>IF($F$15="Y",'Population Definitions'!$A$6,"...")</f>
        <v>...</v>
      </c>
      <c r="E165" s="2"/>
      <c r="F165" s="3"/>
      <c r="G165" s="2"/>
      <c r="H165" s="4" t="str">
        <f>IF($F$15="Y","OR","...")</f>
        <v>...</v>
      </c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  <c r="BE165" s="2"/>
      <c r="BF165" s="2"/>
      <c r="BG165" s="2"/>
    </row>
    <row r="166" spans="1:59">
      <c r="A166" s="1" t="str">
        <f>IF($G$15="Y",'Population Definitions'!$A$12,"...")</f>
        <v>...</v>
      </c>
      <c r="B166" s="4" t="str">
        <f>IF($G$15="Y","---&gt;","...")</f>
        <v>...</v>
      </c>
      <c r="C166" s="1" t="str">
        <f>IF($G$15="Y",'Population Definitions'!$A$7,"...")</f>
        <v>...</v>
      </c>
      <c r="E166" s="2"/>
      <c r="F166" s="3"/>
      <c r="G166" s="2"/>
      <c r="H166" s="4" t="str">
        <f>IF($G$15="Y","OR","...")</f>
        <v>...</v>
      </c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  <c r="BE166" s="2"/>
      <c r="BF166" s="2"/>
      <c r="BG166" s="2"/>
    </row>
    <row r="167" spans="1:59">
      <c r="A167" s="1" t="str">
        <f>IF($H$15="Y",'Population Definitions'!$A$12,"...")</f>
        <v>...</v>
      </c>
      <c r="B167" s="4" t="str">
        <f>IF($H$15="Y","---&gt;","...")</f>
        <v>...</v>
      </c>
      <c r="C167" s="1" t="str">
        <f>IF($H$15="Y",'Population Definitions'!$A$8,"...")</f>
        <v>...</v>
      </c>
      <c r="E167" s="2"/>
      <c r="F167" s="3"/>
      <c r="G167" s="2"/>
      <c r="H167" s="4" t="str">
        <f>IF($H$15="Y","OR","...")</f>
        <v>...</v>
      </c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  <c r="BE167" s="2"/>
      <c r="BF167" s="2"/>
      <c r="BG167" s="2"/>
    </row>
    <row r="168" spans="1:59">
      <c r="A168" s="1" t="str">
        <f>IF($I$15="Y",'Population Definitions'!$A$12,"...")</f>
        <v>...</v>
      </c>
      <c r="B168" s="4" t="str">
        <f>IF($I$15="Y","---&gt;","...")</f>
        <v>...</v>
      </c>
      <c r="C168" s="1" t="str">
        <f>IF($I$15="Y",'Population Definitions'!$A$9,"...")</f>
        <v>...</v>
      </c>
      <c r="E168" s="2"/>
      <c r="F168" s="3"/>
      <c r="G168" s="2"/>
      <c r="H168" s="4" t="str">
        <f>IF($I$15="Y","OR","...")</f>
        <v>...</v>
      </c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  <c r="BE168" s="2"/>
      <c r="BF168" s="2"/>
      <c r="BG168" s="2"/>
    </row>
    <row r="169" spans="1:59">
      <c r="A169" s="1" t="str">
        <f>IF($J$15="Y",'Population Definitions'!$A$12,"...")</f>
        <v>...</v>
      </c>
      <c r="B169" s="4" t="str">
        <f>IF($J$15="Y","---&gt;","...")</f>
        <v>...</v>
      </c>
      <c r="C169" s="1" t="str">
        <f>IF($J$15="Y",'Population Definitions'!$A$10,"...")</f>
        <v>...</v>
      </c>
      <c r="E169" s="2"/>
      <c r="F169" s="3"/>
      <c r="G169" s="2"/>
      <c r="H169" s="4" t="str">
        <f>IF($J$15="Y","OR","...")</f>
        <v>...</v>
      </c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  <c r="BE169" s="2"/>
      <c r="BF169" s="2"/>
      <c r="BG169" s="2"/>
    </row>
    <row r="170" spans="1:59">
      <c r="A170" s="1" t="str">
        <f>IF($K$15="Y",'Population Definitions'!$A$12,"...")</f>
        <v>...</v>
      </c>
      <c r="B170" s="4" t="str">
        <f>IF($K$15="Y","---&gt;","...")</f>
        <v>...</v>
      </c>
      <c r="C170" s="1" t="str">
        <f>IF($K$15="Y",'Population Definitions'!$A$11,"...")</f>
        <v>...</v>
      </c>
      <c r="E170" s="2"/>
      <c r="F170" s="3"/>
      <c r="G170" s="2"/>
      <c r="H170" s="4" t="str">
        <f>IF($K$15="Y","OR","...")</f>
        <v>...</v>
      </c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  <c r="BE170" s="2"/>
      <c r="BF170" s="2"/>
      <c r="BG170" s="2"/>
    </row>
    <row r="171" spans="1:59">
      <c r="A171" s="1" t="str">
        <f>IF($L$15="Y",'Population Definitions'!$A$12,"...")</f>
        <v>...</v>
      </c>
      <c r="B171" s="4" t="str">
        <f>IF($L$15="Y","---&gt;","...")</f>
        <v>...</v>
      </c>
      <c r="C171" s="1" t="str">
        <f>IF($L$15="Y",'Population Definitions'!$A$12,"...")</f>
        <v>...</v>
      </c>
      <c r="E171" s="2"/>
      <c r="F171" s="3"/>
      <c r="G171" s="2"/>
      <c r="H171" s="4" t="str">
        <f>IF($L$15="Y","OR","...")</f>
        <v>...</v>
      </c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  <c r="BE171" s="2"/>
      <c r="BF171" s="2"/>
      <c r="BG171" s="2"/>
    </row>
    <row r="172" spans="1:59">
      <c r="A172" s="1" t="str">
        <f>IF($M$15="Y",'Population Definitions'!$A$12,"...")</f>
        <v>...</v>
      </c>
      <c r="B172" s="4" t="str">
        <f>IF($M$15="Y","---&gt;","...")</f>
        <v>...</v>
      </c>
      <c r="C172" s="1" t="str">
        <f>IF($M$15="Y",'Population Definitions'!$A$13,"...")</f>
        <v>...</v>
      </c>
      <c r="E172" s="2"/>
      <c r="F172" s="3"/>
      <c r="G172" s="2"/>
      <c r="H172" s="4" t="str">
        <f>IF($M$15="Y","OR","...")</f>
        <v>...</v>
      </c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  <c r="BE172" s="2"/>
      <c r="BF172" s="2"/>
      <c r="BG172" s="2"/>
    </row>
    <row r="173" spans="1:59">
      <c r="A173" s="1" t="str">
        <f>IF($N$15="Y",'Population Definitions'!$A$12,"...")</f>
        <v>...</v>
      </c>
      <c r="B173" s="4" t="str">
        <f>IF($N$15="Y","---&gt;","...")</f>
        <v>...</v>
      </c>
      <c r="C173" s="1" t="str">
        <f>IF($N$15="Y",'Population Definitions'!$A$14,"...")</f>
        <v>...</v>
      </c>
      <c r="E173" s="2"/>
      <c r="F173" s="3"/>
      <c r="G173" s="2"/>
      <c r="H173" s="4" t="str">
        <f>IF($N$15="Y","OR","...")</f>
        <v>...</v>
      </c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  <c r="BE173" s="2"/>
      <c r="BF173" s="2"/>
      <c r="BG173" s="2"/>
    </row>
    <row r="174" spans="1:59">
      <c r="A174" s="1" t="str">
        <f>IF($O$15="Y",'Population Definitions'!$A$12,"...")</f>
        <v>...</v>
      </c>
      <c r="B174" s="4" t="str">
        <f>IF($O$15="Y","---&gt;","...")</f>
        <v>...</v>
      </c>
      <c r="C174" s="1" t="str">
        <f>IF($O$15="Y",'Population Definitions'!$A$15,"...")</f>
        <v>...</v>
      </c>
      <c r="E174" s="2"/>
      <c r="F174" s="3"/>
      <c r="G174" s="2"/>
      <c r="H174" s="4" t="str">
        <f>IF($O$15="Y","OR","...")</f>
        <v>...</v>
      </c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  <c r="BE174" s="2"/>
      <c r="BF174" s="2"/>
      <c r="BG174" s="2"/>
    </row>
    <row r="175" spans="1:59">
      <c r="A175" s="1" t="str">
        <f>IF($B$16="Y",'Population Definitions'!$A$13,"...")</f>
        <v>...</v>
      </c>
      <c r="B175" s="4" t="str">
        <f>IF($B$16="Y","---&gt;","...")</f>
        <v>...</v>
      </c>
      <c r="C175" s="1" t="str">
        <f>IF($B$16="Y",'Population Definitions'!$A$2,"...")</f>
        <v>...</v>
      </c>
      <c r="E175" s="2"/>
      <c r="F175" s="3"/>
      <c r="G175" s="2"/>
      <c r="H175" s="4" t="str">
        <f>IF($B$16="Y","OR","...")</f>
        <v>...</v>
      </c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  <c r="BE175" s="2"/>
      <c r="BF175" s="2"/>
      <c r="BG175" s="2"/>
    </row>
    <row r="176" spans="1:59">
      <c r="A176" s="1" t="str">
        <f>IF($C$16="Y",'Population Definitions'!$A$13,"...")</f>
        <v>...</v>
      </c>
      <c r="B176" s="4" t="str">
        <f>IF($C$16="Y","---&gt;","...")</f>
        <v>...</v>
      </c>
      <c r="C176" s="1" t="str">
        <f>IF($C$16="Y",'Population Definitions'!$A$3,"...")</f>
        <v>...</v>
      </c>
      <c r="E176" s="2"/>
      <c r="F176" s="3"/>
      <c r="G176" s="2"/>
      <c r="H176" s="4" t="str">
        <f>IF($C$16="Y","OR","...")</f>
        <v>...</v>
      </c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  <c r="BE176" s="2"/>
      <c r="BF176" s="2"/>
      <c r="BG176" s="2"/>
    </row>
    <row r="177" spans="1:59">
      <c r="A177" s="1" t="str">
        <f>IF($D$16="Y",'Population Definitions'!$A$13,"...")</f>
        <v>...</v>
      </c>
      <c r="B177" s="4" t="str">
        <f>IF($D$16="Y","---&gt;","...")</f>
        <v>...</v>
      </c>
      <c r="C177" s="1" t="str">
        <f>IF($D$16="Y",'Population Definitions'!$A$4,"...")</f>
        <v>...</v>
      </c>
      <c r="E177" s="2"/>
      <c r="F177" s="3"/>
      <c r="G177" s="2"/>
      <c r="H177" s="4" t="str">
        <f>IF($D$16="Y","OR","...")</f>
        <v>...</v>
      </c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  <c r="BE177" s="2"/>
      <c r="BF177" s="2"/>
      <c r="BG177" s="2"/>
    </row>
    <row r="178" spans="1:59">
      <c r="A178" s="1" t="str">
        <f>IF($E$16="Y",'Population Definitions'!$A$13,"...")</f>
        <v>...</v>
      </c>
      <c r="B178" s="4" t="str">
        <f>IF($E$16="Y","---&gt;","...")</f>
        <v>...</v>
      </c>
      <c r="C178" s="1" t="str">
        <f>IF($E$16="Y",'Population Definitions'!$A$5,"...")</f>
        <v>...</v>
      </c>
      <c r="E178" s="2"/>
      <c r="F178" s="3"/>
      <c r="G178" s="2"/>
      <c r="H178" s="4" t="str">
        <f>IF($E$16="Y","OR","...")</f>
        <v>...</v>
      </c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  <c r="BE178" s="2"/>
      <c r="BF178" s="2"/>
      <c r="BG178" s="2"/>
    </row>
    <row r="179" spans="1:59">
      <c r="A179" s="1" t="str">
        <f>IF($F$16="Y",'Population Definitions'!$A$13,"...")</f>
        <v>...</v>
      </c>
      <c r="B179" s="4" t="str">
        <f>IF($F$16="Y","---&gt;","...")</f>
        <v>...</v>
      </c>
      <c r="C179" s="1" t="str">
        <f>IF($F$16="Y",'Population Definitions'!$A$6,"...")</f>
        <v>...</v>
      </c>
      <c r="E179" s="2"/>
      <c r="F179" s="3"/>
      <c r="G179" s="2"/>
      <c r="H179" s="4" t="str">
        <f>IF($F$16="Y","OR","...")</f>
        <v>...</v>
      </c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  <c r="BE179" s="2"/>
      <c r="BF179" s="2"/>
      <c r="BG179" s="2"/>
    </row>
    <row r="180" spans="1:59">
      <c r="A180" s="1" t="str">
        <f>IF($G$16="Y",'Population Definitions'!$A$13,"...")</f>
        <v>...</v>
      </c>
      <c r="B180" s="4" t="str">
        <f>IF($G$16="Y","---&gt;","...")</f>
        <v>...</v>
      </c>
      <c r="C180" s="1" t="str">
        <f>IF($G$16="Y",'Population Definitions'!$A$7,"...")</f>
        <v>...</v>
      </c>
      <c r="E180" s="2"/>
      <c r="F180" s="3"/>
      <c r="G180" s="2"/>
      <c r="H180" s="4" t="str">
        <f>IF($G$16="Y","OR","...")</f>
        <v>...</v>
      </c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  <c r="BE180" s="2"/>
      <c r="BF180" s="2"/>
      <c r="BG180" s="2"/>
    </row>
    <row r="181" spans="1:59">
      <c r="A181" s="1" t="str">
        <f>IF($H$16="Y",'Population Definitions'!$A$13,"...")</f>
        <v>...</v>
      </c>
      <c r="B181" s="4" t="str">
        <f>IF($H$16="Y","---&gt;","...")</f>
        <v>...</v>
      </c>
      <c r="C181" s="1" t="str">
        <f>IF($H$16="Y",'Population Definitions'!$A$8,"...")</f>
        <v>...</v>
      </c>
      <c r="E181" s="2"/>
      <c r="F181" s="3"/>
      <c r="G181" s="2"/>
      <c r="H181" s="4" t="str">
        <f>IF($H$16="Y","OR","...")</f>
        <v>...</v>
      </c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  <c r="BE181" s="2"/>
      <c r="BF181" s="2"/>
      <c r="BG181" s="2"/>
    </row>
    <row r="182" spans="1:59">
      <c r="A182" s="1" t="str">
        <f>IF($I$16="Y",'Population Definitions'!$A$13,"...")</f>
        <v>...</v>
      </c>
      <c r="B182" s="4" t="str">
        <f>IF($I$16="Y","---&gt;","...")</f>
        <v>...</v>
      </c>
      <c r="C182" s="1" t="str">
        <f>IF($I$16="Y",'Population Definitions'!$A$9,"...")</f>
        <v>...</v>
      </c>
      <c r="E182" s="2"/>
      <c r="F182" s="3"/>
      <c r="G182" s="2"/>
      <c r="H182" s="4" t="str">
        <f>IF($I$16="Y","OR","...")</f>
        <v>...</v>
      </c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  <c r="BE182" s="2"/>
      <c r="BF182" s="2"/>
      <c r="BG182" s="2"/>
    </row>
    <row r="183" spans="1:59">
      <c r="A183" s="1" t="str">
        <f>IF($J$16="Y",'Population Definitions'!$A$13,"...")</f>
        <v>...</v>
      </c>
      <c r="B183" s="4" t="str">
        <f>IF($J$16="Y","---&gt;","...")</f>
        <v>...</v>
      </c>
      <c r="C183" s="1" t="str">
        <f>IF($J$16="Y",'Population Definitions'!$A$10,"...")</f>
        <v>...</v>
      </c>
      <c r="E183" s="2"/>
      <c r="F183" s="3"/>
      <c r="G183" s="2"/>
      <c r="H183" s="4" t="str">
        <f>IF($J$16="Y","OR","...")</f>
        <v>...</v>
      </c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2"/>
      <c r="BC183" s="2"/>
      <c r="BD183" s="2"/>
      <c r="BE183" s="2"/>
      <c r="BF183" s="2"/>
      <c r="BG183" s="2"/>
    </row>
    <row r="184" spans="1:59">
      <c r="A184" s="1" t="str">
        <f>IF($K$16="Y",'Population Definitions'!$A$13,"...")</f>
        <v>...</v>
      </c>
      <c r="B184" s="4" t="str">
        <f>IF($K$16="Y","---&gt;","...")</f>
        <v>...</v>
      </c>
      <c r="C184" s="1" t="str">
        <f>IF($K$16="Y",'Population Definitions'!$A$11,"...")</f>
        <v>...</v>
      </c>
      <c r="E184" s="2"/>
      <c r="F184" s="3"/>
      <c r="G184" s="2"/>
      <c r="H184" s="4" t="str">
        <f>IF($K$16="Y","OR","...")</f>
        <v>...</v>
      </c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  <c r="BE184" s="2"/>
      <c r="BF184" s="2"/>
      <c r="BG184" s="2"/>
    </row>
    <row r="185" spans="1:59">
      <c r="A185" s="1" t="str">
        <f>IF($L$16="Y",'Population Definitions'!$A$13,"...")</f>
        <v>...</v>
      </c>
      <c r="B185" s="4" t="str">
        <f>IF($L$16="Y","---&gt;","...")</f>
        <v>...</v>
      </c>
      <c r="C185" s="1" t="str">
        <f>IF($L$16="Y",'Population Definitions'!$A$12,"...")</f>
        <v>...</v>
      </c>
      <c r="E185" s="2"/>
      <c r="F185" s="3"/>
      <c r="G185" s="2"/>
      <c r="H185" s="4" t="str">
        <f>IF($L$16="Y","OR","...")</f>
        <v>...</v>
      </c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  <c r="BE185" s="2"/>
      <c r="BF185" s="2"/>
      <c r="BG185" s="2"/>
    </row>
    <row r="186" spans="1:59">
      <c r="A186" s="1" t="str">
        <f>IF($M$16="Y",'Population Definitions'!$A$13,"...")</f>
        <v>...</v>
      </c>
      <c r="B186" s="4" t="str">
        <f>IF($M$16="Y","---&gt;","...")</f>
        <v>...</v>
      </c>
      <c r="C186" s="1" t="str">
        <f>IF($M$16="Y",'Population Definitions'!$A$13,"...")</f>
        <v>...</v>
      </c>
      <c r="E186" s="2"/>
      <c r="F186" s="3"/>
      <c r="G186" s="2"/>
      <c r="H186" s="4" t="str">
        <f>IF($M$16="Y","OR","...")</f>
        <v>...</v>
      </c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  <c r="BE186" s="2"/>
      <c r="BF186" s="2"/>
      <c r="BG186" s="2"/>
    </row>
    <row r="187" spans="1:59">
      <c r="A187" s="1" t="str">
        <f>IF($N$16="Y",'Population Definitions'!$A$13,"...")</f>
        <v>...</v>
      </c>
      <c r="B187" s="4" t="str">
        <f>IF($N$16="Y","---&gt;","...")</f>
        <v>...</v>
      </c>
      <c r="C187" s="1" t="str">
        <f>IF($N$16="Y",'Population Definitions'!$A$14,"...")</f>
        <v>...</v>
      </c>
      <c r="E187" s="2"/>
      <c r="F187" s="3"/>
      <c r="G187" s="2"/>
      <c r="H187" s="4" t="str">
        <f>IF($N$16="Y","OR","...")</f>
        <v>...</v>
      </c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  <c r="BE187" s="2"/>
      <c r="BF187" s="2"/>
      <c r="BG187" s="2"/>
    </row>
    <row r="188" spans="1:59">
      <c r="A188" s="1" t="str">
        <f>IF($O$16="Y",'Population Definitions'!$A$13,"...")</f>
        <v>...</v>
      </c>
      <c r="B188" s="4" t="str">
        <f>IF($O$16="Y","---&gt;","...")</f>
        <v>...</v>
      </c>
      <c r="C188" s="1" t="str">
        <f>IF($O$16="Y",'Population Definitions'!$A$15,"...")</f>
        <v>...</v>
      </c>
      <c r="E188" s="2"/>
      <c r="F188" s="3"/>
      <c r="G188" s="2"/>
      <c r="H188" s="4" t="str">
        <f>IF($O$16="Y","OR","...")</f>
        <v>...</v>
      </c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  <c r="BE188" s="2"/>
      <c r="BF188" s="2"/>
      <c r="BG188" s="2"/>
    </row>
    <row r="189" spans="1:59">
      <c r="A189" s="1" t="str">
        <f>IF($B$17="Y",'Population Definitions'!$A$14,"...")</f>
        <v>...</v>
      </c>
      <c r="B189" s="4" t="str">
        <f>IF($B$17="Y","---&gt;","...")</f>
        <v>...</v>
      </c>
      <c r="C189" s="1" t="str">
        <f>IF($B$17="Y",'Population Definitions'!$A$2,"...")</f>
        <v>...</v>
      </c>
      <c r="E189" s="2"/>
      <c r="F189" s="3"/>
      <c r="G189" s="2"/>
      <c r="H189" s="4" t="str">
        <f>IF($B$17="Y","OR","...")</f>
        <v>...</v>
      </c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  <c r="BE189" s="2"/>
      <c r="BF189" s="2"/>
      <c r="BG189" s="2"/>
    </row>
    <row r="190" spans="1:59">
      <c r="A190" s="1" t="str">
        <f>IF($C$17="Y",'Population Definitions'!$A$14,"...")</f>
        <v>...</v>
      </c>
      <c r="B190" s="4" t="str">
        <f>IF($C$17="Y","---&gt;","...")</f>
        <v>...</v>
      </c>
      <c r="C190" s="1" t="str">
        <f>IF($C$17="Y",'Population Definitions'!$A$3,"...")</f>
        <v>...</v>
      </c>
      <c r="E190" s="2"/>
      <c r="F190" s="3"/>
      <c r="G190" s="2"/>
      <c r="H190" s="4" t="str">
        <f>IF($C$17="Y","OR","...")</f>
        <v>...</v>
      </c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  <c r="BE190" s="2"/>
      <c r="BF190" s="2"/>
      <c r="BG190" s="2"/>
    </row>
    <row r="191" spans="1:59">
      <c r="A191" s="1" t="str">
        <f>IF($D$17="Y",'Population Definitions'!$A$14,"...")</f>
        <v>...</v>
      </c>
      <c r="B191" s="4" t="str">
        <f>IF($D$17="Y","---&gt;","...")</f>
        <v>...</v>
      </c>
      <c r="C191" s="1" t="str">
        <f>IF($D$17="Y",'Population Definitions'!$A$4,"...")</f>
        <v>...</v>
      </c>
      <c r="E191" s="2"/>
      <c r="F191" s="3"/>
      <c r="G191" s="2"/>
      <c r="H191" s="4" t="str">
        <f>IF($D$17="Y","OR","...")</f>
        <v>...</v>
      </c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  <c r="BE191" s="2"/>
      <c r="BF191" s="2"/>
      <c r="BG191" s="2"/>
    </row>
    <row r="192" spans="1:59">
      <c r="A192" s="1" t="str">
        <f>IF($E$17="Y",'Population Definitions'!$A$14,"...")</f>
        <v>...</v>
      </c>
      <c r="B192" s="4" t="str">
        <f>IF($E$17="Y","---&gt;","...")</f>
        <v>...</v>
      </c>
      <c r="C192" s="1" t="str">
        <f>IF($E$17="Y",'Population Definitions'!$A$5,"...")</f>
        <v>...</v>
      </c>
      <c r="E192" s="2"/>
      <c r="F192" s="3"/>
      <c r="G192" s="2"/>
      <c r="H192" s="4" t="str">
        <f>IF($E$17="Y","OR","...")</f>
        <v>...</v>
      </c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  <c r="BE192" s="2"/>
      <c r="BF192" s="2"/>
      <c r="BG192" s="2"/>
    </row>
    <row r="193" spans="1:59">
      <c r="A193" s="1" t="str">
        <f>IF($F$17="Y",'Population Definitions'!$A$14,"...")</f>
        <v>...</v>
      </c>
      <c r="B193" s="4" t="str">
        <f>IF($F$17="Y","---&gt;","...")</f>
        <v>...</v>
      </c>
      <c r="C193" s="1" t="str">
        <f>IF($F$17="Y",'Population Definitions'!$A$6,"...")</f>
        <v>...</v>
      </c>
      <c r="E193" s="2"/>
      <c r="F193" s="3"/>
      <c r="G193" s="2"/>
      <c r="H193" s="4" t="str">
        <f>IF($F$17="Y","OR","...")</f>
        <v>...</v>
      </c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  <c r="BE193" s="2"/>
      <c r="BF193" s="2"/>
      <c r="BG193" s="2"/>
    </row>
    <row r="194" spans="1:59">
      <c r="A194" s="1" t="str">
        <f>IF($G$17="Y",'Population Definitions'!$A$14,"...")</f>
        <v>...</v>
      </c>
      <c r="B194" s="4" t="str">
        <f>IF($G$17="Y","---&gt;","...")</f>
        <v>...</v>
      </c>
      <c r="C194" s="1" t="str">
        <f>IF($G$17="Y",'Population Definitions'!$A$7,"...")</f>
        <v>...</v>
      </c>
      <c r="E194" s="2"/>
      <c r="F194" s="3"/>
      <c r="G194" s="2"/>
      <c r="H194" s="4" t="str">
        <f>IF($G$17="Y","OR","...")</f>
        <v>...</v>
      </c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  <c r="BE194" s="2"/>
      <c r="BF194" s="2"/>
      <c r="BG194" s="2"/>
    </row>
    <row r="195" spans="1:59">
      <c r="A195" s="1" t="str">
        <f>IF($H$17="Y",'Population Definitions'!$A$14,"...")</f>
        <v>...</v>
      </c>
      <c r="B195" s="4" t="str">
        <f>IF($H$17="Y","---&gt;","...")</f>
        <v>...</v>
      </c>
      <c r="C195" s="1" t="str">
        <f>IF($H$17="Y",'Population Definitions'!$A$8,"...")</f>
        <v>...</v>
      </c>
      <c r="E195" s="2"/>
      <c r="F195" s="3"/>
      <c r="G195" s="2"/>
      <c r="H195" s="4" t="str">
        <f>IF($H$17="Y","OR","...")</f>
        <v>...</v>
      </c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  <c r="BE195" s="2"/>
      <c r="BF195" s="2"/>
      <c r="BG195" s="2"/>
    </row>
    <row r="196" spans="1:59">
      <c r="A196" s="1" t="str">
        <f>IF($I$17="Y",'Population Definitions'!$A$14,"...")</f>
        <v>...</v>
      </c>
      <c r="B196" s="4" t="str">
        <f>IF($I$17="Y","---&gt;","...")</f>
        <v>...</v>
      </c>
      <c r="C196" s="1" t="str">
        <f>IF($I$17="Y",'Population Definitions'!$A$9,"...")</f>
        <v>...</v>
      </c>
      <c r="E196" s="2"/>
      <c r="F196" s="3"/>
      <c r="G196" s="2"/>
      <c r="H196" s="4" t="str">
        <f>IF($I$17="Y","OR","...")</f>
        <v>...</v>
      </c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  <c r="BE196" s="2"/>
      <c r="BF196" s="2"/>
      <c r="BG196" s="2"/>
    </row>
    <row r="197" spans="1:59">
      <c r="A197" s="1" t="str">
        <f>IF($J$17="Y",'Population Definitions'!$A$14,"...")</f>
        <v>...</v>
      </c>
      <c r="B197" s="4" t="str">
        <f>IF($J$17="Y","---&gt;","...")</f>
        <v>...</v>
      </c>
      <c r="C197" s="1" t="str">
        <f>IF($J$17="Y",'Population Definitions'!$A$10,"...")</f>
        <v>...</v>
      </c>
      <c r="E197" s="2"/>
      <c r="F197" s="3"/>
      <c r="G197" s="2"/>
      <c r="H197" s="4" t="str">
        <f>IF($J$17="Y","OR","...")</f>
        <v>...</v>
      </c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  <c r="BE197" s="2"/>
      <c r="BF197" s="2"/>
      <c r="BG197" s="2"/>
    </row>
    <row r="198" spans="1:59">
      <c r="A198" s="1" t="str">
        <f>IF($K$17="Y",'Population Definitions'!$A$14,"...")</f>
        <v>...</v>
      </c>
      <c r="B198" s="4" t="str">
        <f>IF($K$17="Y","---&gt;","...")</f>
        <v>...</v>
      </c>
      <c r="C198" s="1" t="str">
        <f>IF($K$17="Y",'Population Definitions'!$A$11,"...")</f>
        <v>...</v>
      </c>
      <c r="E198" s="2"/>
      <c r="F198" s="3"/>
      <c r="G198" s="2"/>
      <c r="H198" s="4" t="str">
        <f>IF($K$17="Y","OR","...")</f>
        <v>...</v>
      </c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  <c r="BE198" s="2"/>
      <c r="BF198" s="2"/>
      <c r="BG198" s="2"/>
    </row>
    <row r="199" spans="1:59">
      <c r="A199" s="1" t="str">
        <f>IF($L$17="Y",'Population Definitions'!$A$14,"...")</f>
        <v>...</v>
      </c>
      <c r="B199" s="4" t="str">
        <f>IF($L$17="Y","---&gt;","...")</f>
        <v>...</v>
      </c>
      <c r="C199" s="1" t="str">
        <f>IF($L$17="Y",'Population Definitions'!$A$12,"...")</f>
        <v>...</v>
      </c>
      <c r="E199" s="2"/>
      <c r="F199" s="3"/>
      <c r="G199" s="2"/>
      <c r="H199" s="4" t="str">
        <f>IF($L$17="Y","OR","...")</f>
        <v>...</v>
      </c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/>
      <c r="BB199" s="2"/>
      <c r="BC199" s="2"/>
      <c r="BD199" s="2"/>
      <c r="BE199" s="2"/>
      <c r="BF199" s="2"/>
      <c r="BG199" s="2"/>
    </row>
    <row r="200" spans="1:59">
      <c r="A200" s="1" t="str">
        <f>IF($M$17="Y",'Population Definitions'!$A$14,"...")</f>
        <v>...</v>
      </c>
      <c r="B200" s="4" t="str">
        <f>IF($M$17="Y","---&gt;","...")</f>
        <v>...</v>
      </c>
      <c r="C200" s="1" t="str">
        <f>IF($M$17="Y",'Population Definitions'!$A$13,"...")</f>
        <v>...</v>
      </c>
      <c r="E200" s="2"/>
      <c r="F200" s="3"/>
      <c r="G200" s="2"/>
      <c r="H200" s="4" t="str">
        <f>IF($M$17="Y","OR","...")</f>
        <v>...</v>
      </c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/>
      <c r="BB200" s="2"/>
      <c r="BC200" s="2"/>
      <c r="BD200" s="2"/>
      <c r="BE200" s="2"/>
      <c r="BF200" s="2"/>
      <c r="BG200" s="2"/>
    </row>
    <row r="201" spans="1:59">
      <c r="A201" s="1" t="str">
        <f>IF($N$17="Y",'Population Definitions'!$A$14,"...")</f>
        <v>...</v>
      </c>
      <c r="B201" s="4" t="str">
        <f>IF($N$17="Y","---&gt;","...")</f>
        <v>...</v>
      </c>
      <c r="C201" s="1" t="str">
        <f>IF($N$17="Y",'Population Definitions'!$A$14,"...")</f>
        <v>...</v>
      </c>
      <c r="E201" s="2"/>
      <c r="F201" s="3"/>
      <c r="G201" s="2"/>
      <c r="H201" s="4" t="str">
        <f>IF($N$17="Y","OR","...")</f>
        <v>...</v>
      </c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  <c r="BC201" s="2"/>
      <c r="BD201" s="2"/>
      <c r="BE201" s="2"/>
      <c r="BF201" s="2"/>
      <c r="BG201" s="2"/>
    </row>
    <row r="202" spans="1:59">
      <c r="A202" s="1" t="str">
        <f>IF($O$17="Y",'Population Definitions'!$A$14,"...")</f>
        <v>...</v>
      </c>
      <c r="B202" s="4" t="str">
        <f>IF($O$17="Y","---&gt;","...")</f>
        <v>...</v>
      </c>
      <c r="C202" s="1" t="str">
        <f>IF($O$17="Y",'Population Definitions'!$A$15,"...")</f>
        <v>...</v>
      </c>
      <c r="E202" s="2"/>
      <c r="F202" s="3"/>
      <c r="G202" s="2"/>
      <c r="H202" s="4" t="str">
        <f>IF($O$17="Y","OR","...")</f>
        <v>...</v>
      </c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  <c r="BE202" s="2"/>
      <c r="BF202" s="2"/>
      <c r="BG202" s="2"/>
    </row>
    <row r="203" spans="1:59">
      <c r="A203" s="1" t="str">
        <f>IF($B$18="Y",'Population Definitions'!$A$15,"...")</f>
        <v>...</v>
      </c>
      <c r="B203" s="4" t="str">
        <f>IF($B$18="Y","---&gt;","...")</f>
        <v>...</v>
      </c>
      <c r="C203" s="1" t="str">
        <f>IF($B$18="Y",'Population Definitions'!$A$2,"...")</f>
        <v>...</v>
      </c>
      <c r="E203" s="2"/>
      <c r="F203" s="3"/>
      <c r="G203" s="2"/>
      <c r="H203" s="4" t="str">
        <f>IF($B$18="Y","OR","...")</f>
        <v>...</v>
      </c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  <c r="BE203" s="2"/>
      <c r="BF203" s="2"/>
      <c r="BG203" s="2"/>
    </row>
    <row r="204" spans="1:59">
      <c r="A204" s="1" t="str">
        <f>IF($C$18="Y",'Population Definitions'!$A$15,"...")</f>
        <v>...</v>
      </c>
      <c r="B204" s="4" t="str">
        <f>IF($C$18="Y","---&gt;","...")</f>
        <v>...</v>
      </c>
      <c r="C204" s="1" t="str">
        <f>IF($C$18="Y",'Population Definitions'!$A$3,"...")</f>
        <v>...</v>
      </c>
      <c r="E204" s="2"/>
      <c r="F204" s="3"/>
      <c r="G204" s="2"/>
      <c r="H204" s="4" t="str">
        <f>IF($C$18="Y","OR","...")</f>
        <v>...</v>
      </c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  <c r="BE204" s="2"/>
      <c r="BF204" s="2"/>
      <c r="BG204" s="2"/>
    </row>
    <row r="205" spans="1:59">
      <c r="A205" s="1" t="str">
        <f>IF($D$18="Y",'Population Definitions'!$A$15,"...")</f>
        <v>...</v>
      </c>
      <c r="B205" s="4" t="str">
        <f>IF($D$18="Y","---&gt;","...")</f>
        <v>...</v>
      </c>
      <c r="C205" s="1" t="str">
        <f>IF($D$18="Y",'Population Definitions'!$A$4,"...")</f>
        <v>...</v>
      </c>
      <c r="E205" s="2"/>
      <c r="F205" s="3"/>
      <c r="G205" s="2"/>
      <c r="H205" s="4" t="str">
        <f>IF($D$18="Y","OR","...")</f>
        <v>...</v>
      </c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  <c r="BE205" s="2"/>
      <c r="BF205" s="2"/>
      <c r="BG205" s="2"/>
    </row>
    <row r="206" spans="1:59">
      <c r="A206" s="1" t="str">
        <f>IF($E$18="Y",'Population Definitions'!$A$15,"...")</f>
        <v>...</v>
      </c>
      <c r="B206" s="4" t="str">
        <f>IF($E$18="Y","---&gt;","...")</f>
        <v>...</v>
      </c>
      <c r="C206" s="1" t="str">
        <f>IF($E$18="Y",'Population Definitions'!$A$5,"...")</f>
        <v>...</v>
      </c>
      <c r="E206" s="2"/>
      <c r="F206" s="3"/>
      <c r="G206" s="2"/>
      <c r="H206" s="4" t="str">
        <f>IF($E$18="Y","OR","...")</f>
        <v>...</v>
      </c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  <c r="BE206" s="2"/>
      <c r="BF206" s="2"/>
      <c r="BG206" s="2"/>
    </row>
    <row r="207" spans="1:59">
      <c r="A207" s="1" t="str">
        <f>IF($F$18="Y",'Population Definitions'!$A$15,"...")</f>
        <v>...</v>
      </c>
      <c r="B207" s="4" t="str">
        <f>IF($F$18="Y","---&gt;","...")</f>
        <v>...</v>
      </c>
      <c r="C207" s="1" t="str">
        <f>IF($F$18="Y",'Population Definitions'!$A$6,"...")</f>
        <v>...</v>
      </c>
      <c r="E207" s="2"/>
      <c r="F207" s="3"/>
      <c r="G207" s="2"/>
      <c r="H207" s="4" t="str">
        <f>IF($F$18="Y","OR","...")</f>
        <v>...</v>
      </c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  <c r="BE207" s="2"/>
      <c r="BF207" s="2"/>
      <c r="BG207" s="2"/>
    </row>
    <row r="208" spans="1:59">
      <c r="A208" s="1" t="str">
        <f>IF($G$18="Y",'Population Definitions'!$A$15,"...")</f>
        <v>...</v>
      </c>
      <c r="B208" s="4" t="str">
        <f>IF($G$18="Y","---&gt;","...")</f>
        <v>...</v>
      </c>
      <c r="C208" s="1" t="str">
        <f>IF($G$18="Y",'Population Definitions'!$A$7,"...")</f>
        <v>...</v>
      </c>
      <c r="E208" s="2"/>
      <c r="F208" s="3"/>
      <c r="G208" s="2"/>
      <c r="H208" s="4" t="str">
        <f>IF($G$18="Y","OR","...")</f>
        <v>...</v>
      </c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  <c r="AV208" s="2"/>
      <c r="AW208" s="2"/>
      <c r="AX208" s="2"/>
      <c r="AY208" s="2"/>
      <c r="AZ208" s="2"/>
      <c r="BA208" s="2"/>
      <c r="BB208" s="2"/>
      <c r="BC208" s="2"/>
      <c r="BD208" s="2"/>
      <c r="BE208" s="2"/>
      <c r="BF208" s="2"/>
      <c r="BG208" s="2"/>
    </row>
    <row r="209" spans="1:59">
      <c r="A209" s="1" t="str">
        <f>IF($H$18="Y",'Population Definitions'!$A$15,"...")</f>
        <v>...</v>
      </c>
      <c r="B209" s="4" t="str">
        <f>IF($H$18="Y","---&gt;","...")</f>
        <v>...</v>
      </c>
      <c r="C209" s="1" t="str">
        <f>IF($H$18="Y",'Population Definitions'!$A$8,"...")</f>
        <v>...</v>
      </c>
      <c r="E209" s="2"/>
      <c r="F209" s="3"/>
      <c r="G209" s="2"/>
      <c r="H209" s="4" t="str">
        <f>IF($H$18="Y","OR","...")</f>
        <v>...</v>
      </c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2"/>
      <c r="BE209" s="2"/>
      <c r="BF209" s="2"/>
      <c r="BG209" s="2"/>
    </row>
    <row r="210" spans="1:59">
      <c r="A210" s="1" t="str">
        <f>IF($I$18="Y",'Population Definitions'!$A$15,"...")</f>
        <v>...</v>
      </c>
      <c r="B210" s="4" t="str">
        <f>IF($I$18="Y","---&gt;","...")</f>
        <v>...</v>
      </c>
      <c r="C210" s="1" t="str">
        <f>IF($I$18="Y",'Population Definitions'!$A$9,"...")</f>
        <v>...</v>
      </c>
      <c r="E210" s="2"/>
      <c r="F210" s="3"/>
      <c r="G210" s="2"/>
      <c r="H210" s="4" t="str">
        <f>IF($I$18="Y","OR","...")</f>
        <v>...</v>
      </c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2"/>
      <c r="BE210" s="2"/>
      <c r="BF210" s="2"/>
      <c r="BG210" s="2"/>
    </row>
    <row r="211" spans="1:59">
      <c r="A211" s="1" t="str">
        <f>IF($J$18="Y",'Population Definitions'!$A$15,"...")</f>
        <v>...</v>
      </c>
      <c r="B211" s="4" t="str">
        <f>IF($J$18="Y","---&gt;","...")</f>
        <v>...</v>
      </c>
      <c r="C211" s="1" t="str">
        <f>IF($J$18="Y",'Population Definitions'!$A$10,"...")</f>
        <v>...</v>
      </c>
      <c r="E211" s="2"/>
      <c r="F211" s="3"/>
      <c r="G211" s="2"/>
      <c r="H211" s="4" t="str">
        <f>IF($J$18="Y","OR","...")</f>
        <v>...</v>
      </c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  <c r="BD211" s="2"/>
      <c r="BE211" s="2"/>
      <c r="BF211" s="2"/>
      <c r="BG211" s="2"/>
    </row>
    <row r="212" spans="1:59">
      <c r="A212" s="1" t="str">
        <f>IF($K$18="Y",'Population Definitions'!$A$15,"...")</f>
        <v>...</v>
      </c>
      <c r="B212" s="4" t="str">
        <f>IF($K$18="Y","---&gt;","...")</f>
        <v>...</v>
      </c>
      <c r="C212" s="1" t="str">
        <f>IF($K$18="Y",'Population Definitions'!$A$11,"...")</f>
        <v>...</v>
      </c>
      <c r="E212" s="2"/>
      <c r="F212" s="3"/>
      <c r="G212" s="2"/>
      <c r="H212" s="4" t="str">
        <f>IF($K$18="Y","OR","...")</f>
        <v>...</v>
      </c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  <c r="BD212" s="2"/>
      <c r="BE212" s="2"/>
      <c r="BF212" s="2"/>
      <c r="BG212" s="2"/>
    </row>
    <row r="213" spans="1:59">
      <c r="A213" s="1" t="str">
        <f>IF($L$18="Y",'Population Definitions'!$A$15,"...")</f>
        <v>...</v>
      </c>
      <c r="B213" s="4" t="str">
        <f>IF($L$18="Y","---&gt;","...")</f>
        <v>...</v>
      </c>
      <c r="C213" s="1" t="str">
        <f>IF($L$18="Y",'Population Definitions'!$A$12,"...")</f>
        <v>...</v>
      </c>
      <c r="E213" s="2"/>
      <c r="F213" s="3"/>
      <c r="G213" s="2"/>
      <c r="H213" s="4" t="str">
        <f>IF($L$18="Y","OR","...")</f>
        <v>...</v>
      </c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  <c r="BD213" s="2"/>
      <c r="BE213" s="2"/>
      <c r="BF213" s="2"/>
      <c r="BG213" s="2"/>
    </row>
    <row r="214" spans="1:59">
      <c r="A214" s="1" t="str">
        <f>IF($M$18="Y",'Population Definitions'!$A$15,"...")</f>
        <v>...</v>
      </c>
      <c r="B214" s="4" t="str">
        <f>IF($M$18="Y","---&gt;","...")</f>
        <v>...</v>
      </c>
      <c r="C214" s="1" t="str">
        <f>IF($M$18="Y",'Population Definitions'!$A$13,"...")</f>
        <v>...</v>
      </c>
      <c r="E214" s="2"/>
      <c r="F214" s="3"/>
      <c r="G214" s="2"/>
      <c r="H214" s="4" t="str">
        <f>IF($M$18="Y","OR","...")</f>
        <v>...</v>
      </c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  <c r="BD214" s="2"/>
      <c r="BE214" s="2"/>
      <c r="BF214" s="2"/>
      <c r="BG214" s="2"/>
    </row>
    <row r="215" spans="1:59">
      <c r="A215" s="1" t="str">
        <f>IF($N$18="Y",'Population Definitions'!$A$15,"...")</f>
        <v>...</v>
      </c>
      <c r="B215" s="4" t="str">
        <f>IF($N$18="Y","---&gt;","...")</f>
        <v>...</v>
      </c>
      <c r="C215" s="1" t="str">
        <f>IF($N$18="Y",'Population Definitions'!$A$14,"...")</f>
        <v>...</v>
      </c>
      <c r="E215" s="2"/>
      <c r="F215" s="3"/>
      <c r="G215" s="2"/>
      <c r="H215" s="4" t="str">
        <f>IF($N$18="Y","OR","...")</f>
        <v>...</v>
      </c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  <c r="BD215" s="2"/>
      <c r="BE215" s="2"/>
      <c r="BF215" s="2"/>
      <c r="BG215" s="2"/>
    </row>
    <row r="216" spans="1:59">
      <c r="A216" s="1" t="str">
        <f>IF($O$18="Y",'Population Definitions'!$A$15,"...")</f>
        <v>...</v>
      </c>
      <c r="B216" s="4" t="str">
        <f>IF($O$18="Y","---&gt;","...")</f>
        <v>...</v>
      </c>
      <c r="C216" s="1" t="str">
        <f>IF($O$18="Y",'Population Definitions'!$A$15,"...")</f>
        <v>...</v>
      </c>
      <c r="E216" s="2"/>
      <c r="F216" s="3"/>
      <c r="G216" s="2"/>
      <c r="H216" s="4" t="str">
        <f>IF($O$18="Y","OR","...")</f>
        <v>...</v>
      </c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  <c r="BA216" s="2"/>
      <c r="BB216" s="2"/>
      <c r="BC216" s="2"/>
      <c r="BD216" s="2"/>
      <c r="BE216" s="2"/>
      <c r="BF216" s="2"/>
      <c r="BG216" s="2"/>
    </row>
    <row r="218" spans="1:59">
      <c r="A218" s="1" t="s">
        <v>0</v>
      </c>
      <c r="B218" s="1" t="s">
        <v>1</v>
      </c>
      <c r="C218" s="1" t="s">
        <v>226</v>
      </c>
      <c r="D218" s="1" t="s">
        <v>227</v>
      </c>
    </row>
    <row r="219" spans="1:59">
      <c r="A219" t="s">
        <v>811</v>
      </c>
      <c r="B219" t="s">
        <v>812</v>
      </c>
      <c r="C219" t="s">
        <v>5</v>
      </c>
      <c r="D219" t="s">
        <v>5</v>
      </c>
    </row>
    <row r="221" spans="1:59">
      <c r="B221" s="1" t="str">
        <f>'Population Definitions'!$A$2</f>
        <v>PWID_males</v>
      </c>
      <c r="C221" s="1" t="str">
        <f>'Population Definitions'!$A$3</f>
        <v>PWID_females</v>
      </c>
      <c r="D221" s="1" t="str">
        <f>'Population Definitions'!$A$4</f>
        <v>0-9_males</v>
      </c>
      <c r="E221" s="1" t="str">
        <f>'Population Definitions'!$A$5</f>
        <v>0-9_females</v>
      </c>
      <c r="F221" s="1" t="str">
        <f>'Population Definitions'!$A$6</f>
        <v>10-17_males</v>
      </c>
      <c r="G221" s="1" t="str">
        <f>'Population Definitions'!$A$7</f>
        <v>10-17_females</v>
      </c>
      <c r="H221" s="1" t="str">
        <f>'Population Definitions'!$A$8</f>
        <v>18-64_males</v>
      </c>
      <c r="I221" s="1" t="str">
        <f>'Population Definitions'!$A$9</f>
        <v>18-64_females</v>
      </c>
      <c r="J221" s="1" t="str">
        <f>'Population Definitions'!$A$10</f>
        <v>65+_males</v>
      </c>
      <c r="K221" s="1" t="str">
        <f>'Population Definitions'!$A$11</f>
        <v>65+_females</v>
      </c>
      <c r="L221" s="1" t="str">
        <f>'Population Definitions'!$A$12</f>
        <v>Prisoners_males</v>
      </c>
      <c r="M221" s="1" t="str">
        <f>'Population Definitions'!$A$13</f>
        <v>Prisoners_females</v>
      </c>
      <c r="N221" s="1" t="str">
        <f>'Population Definitions'!$A$14</f>
        <v>Prisoners_PWID_males</v>
      </c>
      <c r="O221" s="1" t="str">
        <f>'Population Definitions'!$A$15</f>
        <v>Prisoners_PWID_females</v>
      </c>
    </row>
    <row r="222" spans="1:59">
      <c r="A222" s="1" t="str">
        <f>'Population Definitions'!$A$2</f>
        <v>PWID_males</v>
      </c>
      <c r="B222" s="4" t="s">
        <v>58</v>
      </c>
      <c r="C222" s="5" t="s">
        <v>229</v>
      </c>
      <c r="D222" s="5" t="s">
        <v>229</v>
      </c>
      <c r="E222" s="5" t="s">
        <v>229</v>
      </c>
      <c r="F222" s="5" t="s">
        <v>229</v>
      </c>
      <c r="G222" s="5" t="s">
        <v>229</v>
      </c>
      <c r="H222" s="5" t="s">
        <v>228</v>
      </c>
      <c r="I222" s="5" t="s">
        <v>229</v>
      </c>
      <c r="J222" s="5" t="s">
        <v>229</v>
      </c>
      <c r="K222" s="5" t="s">
        <v>229</v>
      </c>
      <c r="L222" s="5" t="s">
        <v>229</v>
      </c>
      <c r="M222" s="5" t="s">
        <v>229</v>
      </c>
      <c r="N222" s="5" t="s">
        <v>229</v>
      </c>
      <c r="O222" s="5" t="s">
        <v>229</v>
      </c>
    </row>
    <row r="223" spans="1:59">
      <c r="A223" s="1" t="str">
        <f>'Population Definitions'!$A$3</f>
        <v>PWID_females</v>
      </c>
      <c r="B223" s="5" t="s">
        <v>229</v>
      </c>
      <c r="C223" s="4" t="s">
        <v>58</v>
      </c>
      <c r="D223" s="5" t="s">
        <v>229</v>
      </c>
      <c r="E223" s="5" t="s">
        <v>229</v>
      </c>
      <c r="F223" s="5" t="s">
        <v>229</v>
      </c>
      <c r="G223" s="5" t="s">
        <v>229</v>
      </c>
      <c r="H223" s="5" t="s">
        <v>229</v>
      </c>
      <c r="I223" s="5" t="s">
        <v>228</v>
      </c>
      <c r="J223" s="5" t="s">
        <v>229</v>
      </c>
      <c r="K223" s="5" t="s">
        <v>229</v>
      </c>
      <c r="L223" s="5" t="s">
        <v>229</v>
      </c>
      <c r="M223" s="5" t="s">
        <v>229</v>
      </c>
      <c r="N223" s="5" t="s">
        <v>229</v>
      </c>
      <c r="O223" s="5" t="s">
        <v>229</v>
      </c>
    </row>
    <row r="224" spans="1:59">
      <c r="A224" s="1" t="str">
        <f>'Population Definitions'!$A$4</f>
        <v>0-9_males</v>
      </c>
      <c r="B224" s="5" t="s">
        <v>229</v>
      </c>
      <c r="C224" s="5" t="s">
        <v>229</v>
      </c>
      <c r="D224" s="4" t="s">
        <v>58</v>
      </c>
      <c r="E224" s="5" t="s">
        <v>229</v>
      </c>
      <c r="F224" s="5" t="s">
        <v>229</v>
      </c>
      <c r="G224" s="5" t="s">
        <v>229</v>
      </c>
      <c r="H224" s="5" t="s">
        <v>229</v>
      </c>
      <c r="I224" s="5" t="s">
        <v>229</v>
      </c>
      <c r="J224" s="5" t="s">
        <v>229</v>
      </c>
      <c r="K224" s="5" t="s">
        <v>229</v>
      </c>
      <c r="L224" s="5" t="s">
        <v>229</v>
      </c>
      <c r="M224" s="5" t="s">
        <v>229</v>
      </c>
      <c r="N224" s="5" t="s">
        <v>229</v>
      </c>
      <c r="O224" s="5" t="s">
        <v>229</v>
      </c>
    </row>
    <row r="225" spans="1:59">
      <c r="A225" s="1" t="str">
        <f>'Population Definitions'!$A$5</f>
        <v>0-9_females</v>
      </c>
      <c r="B225" s="5" t="s">
        <v>229</v>
      </c>
      <c r="C225" s="5" t="s">
        <v>229</v>
      </c>
      <c r="D225" s="5" t="s">
        <v>229</v>
      </c>
      <c r="E225" s="4" t="s">
        <v>58</v>
      </c>
      <c r="F225" s="5" t="s">
        <v>229</v>
      </c>
      <c r="G225" s="5" t="s">
        <v>229</v>
      </c>
      <c r="H225" s="5" t="s">
        <v>229</v>
      </c>
      <c r="I225" s="5" t="s">
        <v>229</v>
      </c>
      <c r="J225" s="5" t="s">
        <v>229</v>
      </c>
      <c r="K225" s="5" t="s">
        <v>229</v>
      </c>
      <c r="L225" s="5" t="s">
        <v>229</v>
      </c>
      <c r="M225" s="5" t="s">
        <v>229</v>
      </c>
      <c r="N225" s="5" t="s">
        <v>229</v>
      </c>
      <c r="O225" s="5" t="s">
        <v>229</v>
      </c>
    </row>
    <row r="226" spans="1:59">
      <c r="A226" s="1" t="str">
        <f>'Population Definitions'!$A$6</f>
        <v>10-17_males</v>
      </c>
      <c r="B226" s="5" t="s">
        <v>229</v>
      </c>
      <c r="C226" s="5" t="s">
        <v>229</v>
      </c>
      <c r="D226" s="5" t="s">
        <v>229</v>
      </c>
      <c r="E226" s="5" t="s">
        <v>229</v>
      </c>
      <c r="F226" s="4" t="s">
        <v>58</v>
      </c>
      <c r="G226" s="5" t="s">
        <v>229</v>
      </c>
      <c r="H226" s="5" t="s">
        <v>229</v>
      </c>
      <c r="I226" s="5" t="s">
        <v>229</v>
      </c>
      <c r="J226" s="5" t="s">
        <v>229</v>
      </c>
      <c r="K226" s="5" t="s">
        <v>229</v>
      </c>
      <c r="L226" s="5" t="s">
        <v>229</v>
      </c>
      <c r="M226" s="5" t="s">
        <v>229</v>
      </c>
      <c r="N226" s="5" t="s">
        <v>229</v>
      </c>
      <c r="O226" s="5" t="s">
        <v>229</v>
      </c>
    </row>
    <row r="227" spans="1:59">
      <c r="A227" s="1" t="str">
        <f>'Population Definitions'!$A$7</f>
        <v>10-17_females</v>
      </c>
      <c r="B227" s="5" t="s">
        <v>229</v>
      </c>
      <c r="C227" s="5" t="s">
        <v>229</v>
      </c>
      <c r="D227" s="5" t="s">
        <v>229</v>
      </c>
      <c r="E227" s="5" t="s">
        <v>229</v>
      </c>
      <c r="F227" s="5" t="s">
        <v>229</v>
      </c>
      <c r="G227" s="4" t="s">
        <v>58</v>
      </c>
      <c r="H227" s="5" t="s">
        <v>229</v>
      </c>
      <c r="I227" s="5" t="s">
        <v>229</v>
      </c>
      <c r="J227" s="5" t="s">
        <v>229</v>
      </c>
      <c r="K227" s="5" t="s">
        <v>229</v>
      </c>
      <c r="L227" s="5" t="s">
        <v>229</v>
      </c>
      <c r="M227" s="5" t="s">
        <v>229</v>
      </c>
      <c r="N227" s="5" t="s">
        <v>229</v>
      </c>
      <c r="O227" s="5" t="s">
        <v>229</v>
      </c>
    </row>
    <row r="228" spans="1:59">
      <c r="A228" s="1" t="str">
        <f>'Population Definitions'!$A$8</f>
        <v>18-64_males</v>
      </c>
      <c r="B228" s="5" t="s">
        <v>228</v>
      </c>
      <c r="C228" s="5" t="s">
        <v>229</v>
      </c>
      <c r="D228" s="5" t="s">
        <v>229</v>
      </c>
      <c r="E228" s="5" t="s">
        <v>229</v>
      </c>
      <c r="F228" s="5" t="s">
        <v>229</v>
      </c>
      <c r="G228" s="5" t="s">
        <v>229</v>
      </c>
      <c r="H228" s="4" t="s">
        <v>58</v>
      </c>
      <c r="I228" s="5" t="s">
        <v>229</v>
      </c>
      <c r="J228" s="5" t="s">
        <v>229</v>
      </c>
      <c r="K228" s="5" t="s">
        <v>229</v>
      </c>
      <c r="L228" s="5" t="s">
        <v>229</v>
      </c>
      <c r="M228" s="5" t="s">
        <v>229</v>
      </c>
      <c r="N228" s="5" t="s">
        <v>229</v>
      </c>
      <c r="O228" s="5" t="s">
        <v>229</v>
      </c>
    </row>
    <row r="229" spans="1:59">
      <c r="A229" s="1" t="str">
        <f>'Population Definitions'!$A$9</f>
        <v>18-64_females</v>
      </c>
      <c r="B229" s="5" t="s">
        <v>229</v>
      </c>
      <c r="C229" s="5" t="s">
        <v>228</v>
      </c>
      <c r="D229" s="5" t="s">
        <v>229</v>
      </c>
      <c r="E229" s="5" t="s">
        <v>229</v>
      </c>
      <c r="F229" s="5" t="s">
        <v>229</v>
      </c>
      <c r="G229" s="5" t="s">
        <v>229</v>
      </c>
      <c r="H229" s="5" t="s">
        <v>229</v>
      </c>
      <c r="I229" s="4" t="s">
        <v>58</v>
      </c>
      <c r="J229" s="5" t="s">
        <v>229</v>
      </c>
      <c r="K229" s="5" t="s">
        <v>229</v>
      </c>
      <c r="L229" s="5" t="s">
        <v>229</v>
      </c>
      <c r="M229" s="5" t="s">
        <v>229</v>
      </c>
      <c r="N229" s="5" t="s">
        <v>229</v>
      </c>
      <c r="O229" s="5" t="s">
        <v>229</v>
      </c>
    </row>
    <row r="230" spans="1:59">
      <c r="A230" s="1" t="str">
        <f>'Population Definitions'!$A$10</f>
        <v>65+_males</v>
      </c>
      <c r="B230" s="5" t="s">
        <v>229</v>
      </c>
      <c r="C230" s="5" t="s">
        <v>229</v>
      </c>
      <c r="D230" s="5" t="s">
        <v>229</v>
      </c>
      <c r="E230" s="5" t="s">
        <v>229</v>
      </c>
      <c r="F230" s="5" t="s">
        <v>229</v>
      </c>
      <c r="G230" s="5" t="s">
        <v>229</v>
      </c>
      <c r="H230" s="5" t="s">
        <v>229</v>
      </c>
      <c r="I230" s="5" t="s">
        <v>229</v>
      </c>
      <c r="J230" s="4" t="s">
        <v>58</v>
      </c>
      <c r="K230" s="5" t="s">
        <v>229</v>
      </c>
      <c r="L230" s="5" t="s">
        <v>229</v>
      </c>
      <c r="M230" s="5" t="s">
        <v>229</v>
      </c>
      <c r="N230" s="5" t="s">
        <v>229</v>
      </c>
      <c r="O230" s="5" t="s">
        <v>229</v>
      </c>
    </row>
    <row r="231" spans="1:59">
      <c r="A231" s="1" t="str">
        <f>'Population Definitions'!$A$11</f>
        <v>65+_females</v>
      </c>
      <c r="B231" s="5" t="s">
        <v>229</v>
      </c>
      <c r="C231" s="5" t="s">
        <v>229</v>
      </c>
      <c r="D231" s="5" t="s">
        <v>229</v>
      </c>
      <c r="E231" s="5" t="s">
        <v>229</v>
      </c>
      <c r="F231" s="5" t="s">
        <v>229</v>
      </c>
      <c r="G231" s="5" t="s">
        <v>229</v>
      </c>
      <c r="H231" s="5" t="s">
        <v>229</v>
      </c>
      <c r="I231" s="5" t="s">
        <v>229</v>
      </c>
      <c r="J231" s="5" t="s">
        <v>229</v>
      </c>
      <c r="K231" s="4" t="s">
        <v>58</v>
      </c>
      <c r="L231" s="5" t="s">
        <v>229</v>
      </c>
      <c r="M231" s="5" t="s">
        <v>229</v>
      </c>
      <c r="N231" s="5" t="s">
        <v>229</v>
      </c>
      <c r="O231" s="5" t="s">
        <v>229</v>
      </c>
    </row>
    <row r="232" spans="1:59">
      <c r="A232" s="1" t="str">
        <f>'Population Definitions'!$A$12</f>
        <v>Prisoners_males</v>
      </c>
      <c r="B232" s="5" t="s">
        <v>229</v>
      </c>
      <c r="C232" s="5" t="s">
        <v>229</v>
      </c>
      <c r="D232" s="5" t="s">
        <v>229</v>
      </c>
      <c r="E232" s="5" t="s">
        <v>229</v>
      </c>
      <c r="F232" s="5" t="s">
        <v>229</v>
      </c>
      <c r="G232" s="5" t="s">
        <v>229</v>
      </c>
      <c r="H232" s="5" t="s">
        <v>229</v>
      </c>
      <c r="I232" s="5" t="s">
        <v>229</v>
      </c>
      <c r="J232" s="5" t="s">
        <v>229</v>
      </c>
      <c r="K232" s="5" t="s">
        <v>229</v>
      </c>
      <c r="L232" s="4" t="s">
        <v>58</v>
      </c>
      <c r="M232" s="5" t="s">
        <v>229</v>
      </c>
      <c r="N232" s="5" t="s">
        <v>229</v>
      </c>
      <c r="O232" s="5" t="s">
        <v>229</v>
      </c>
    </row>
    <row r="233" spans="1:59">
      <c r="A233" s="1" t="str">
        <f>'Population Definitions'!$A$13</f>
        <v>Prisoners_females</v>
      </c>
      <c r="B233" s="5" t="s">
        <v>229</v>
      </c>
      <c r="C233" s="5" t="s">
        <v>229</v>
      </c>
      <c r="D233" s="5" t="s">
        <v>229</v>
      </c>
      <c r="E233" s="5" t="s">
        <v>229</v>
      </c>
      <c r="F233" s="5" t="s">
        <v>229</v>
      </c>
      <c r="G233" s="5" t="s">
        <v>229</v>
      </c>
      <c r="H233" s="5" t="s">
        <v>229</v>
      </c>
      <c r="I233" s="5" t="s">
        <v>229</v>
      </c>
      <c r="J233" s="5" t="s">
        <v>229</v>
      </c>
      <c r="K233" s="5" t="s">
        <v>229</v>
      </c>
      <c r="L233" s="5" t="s">
        <v>229</v>
      </c>
      <c r="M233" s="4" t="s">
        <v>58</v>
      </c>
      <c r="N233" s="5" t="s">
        <v>229</v>
      </c>
      <c r="O233" s="5" t="s">
        <v>229</v>
      </c>
    </row>
    <row r="234" spans="1:59">
      <c r="A234" s="1" t="str">
        <f>'Population Definitions'!$A$14</f>
        <v>Prisoners_PWID_males</v>
      </c>
      <c r="B234" s="5" t="s">
        <v>229</v>
      </c>
      <c r="C234" s="5" t="s">
        <v>229</v>
      </c>
      <c r="D234" s="5" t="s">
        <v>229</v>
      </c>
      <c r="E234" s="5" t="s">
        <v>229</v>
      </c>
      <c r="F234" s="5" t="s">
        <v>229</v>
      </c>
      <c r="G234" s="5" t="s">
        <v>229</v>
      </c>
      <c r="H234" s="5" t="s">
        <v>229</v>
      </c>
      <c r="I234" s="5" t="s">
        <v>229</v>
      </c>
      <c r="J234" s="5" t="s">
        <v>229</v>
      </c>
      <c r="K234" s="5" t="s">
        <v>229</v>
      </c>
      <c r="L234" s="5" t="s">
        <v>229</v>
      </c>
      <c r="M234" s="5" t="s">
        <v>229</v>
      </c>
      <c r="N234" s="4" t="s">
        <v>58</v>
      </c>
      <c r="O234" s="5" t="s">
        <v>229</v>
      </c>
    </row>
    <row r="235" spans="1:59">
      <c r="A235" s="1" t="str">
        <f>'Population Definitions'!$A$15</f>
        <v>Prisoners_PWID_females</v>
      </c>
      <c r="B235" s="5" t="s">
        <v>229</v>
      </c>
      <c r="C235" s="5" t="s">
        <v>229</v>
      </c>
      <c r="D235" s="5" t="s">
        <v>229</v>
      </c>
      <c r="E235" s="5" t="s">
        <v>229</v>
      </c>
      <c r="F235" s="5" t="s">
        <v>229</v>
      </c>
      <c r="G235" s="5" t="s">
        <v>229</v>
      </c>
      <c r="H235" s="5" t="s">
        <v>229</v>
      </c>
      <c r="I235" s="5" t="s">
        <v>229</v>
      </c>
      <c r="J235" s="5" t="s">
        <v>229</v>
      </c>
      <c r="K235" s="5" t="s">
        <v>229</v>
      </c>
      <c r="L235" s="5" t="s">
        <v>229</v>
      </c>
      <c r="M235" s="5" t="s">
        <v>229</v>
      </c>
      <c r="N235" s="5" t="s">
        <v>229</v>
      </c>
      <c r="O235" s="4" t="s">
        <v>58</v>
      </c>
    </row>
    <row r="237" spans="1:59">
      <c r="A237" s="1" t="s">
        <v>230</v>
      </c>
      <c r="B237" s="1"/>
      <c r="C237" s="1" t="s">
        <v>231</v>
      </c>
      <c r="D237" s="1" t="s">
        <v>31</v>
      </c>
      <c r="E237" s="1" t="s">
        <v>32</v>
      </c>
      <c r="F237" s="1" t="s">
        <v>33</v>
      </c>
      <c r="G237" s="1" t="s">
        <v>38</v>
      </c>
      <c r="H237" s="1"/>
      <c r="I237" s="1">
        <v>2000</v>
      </c>
      <c r="J237" s="1">
        <v>2001</v>
      </c>
      <c r="K237" s="1">
        <v>2002</v>
      </c>
      <c r="L237" s="1">
        <v>2003</v>
      </c>
      <c r="M237" s="1">
        <v>2004</v>
      </c>
      <c r="N237" s="1">
        <v>2005</v>
      </c>
      <c r="O237" s="1">
        <v>2006</v>
      </c>
      <c r="P237" s="1">
        <v>2007</v>
      </c>
      <c r="Q237" s="1">
        <v>2008</v>
      </c>
      <c r="R237" s="1">
        <v>2009</v>
      </c>
      <c r="S237" s="1">
        <v>2010</v>
      </c>
      <c r="T237" s="1">
        <v>2011</v>
      </c>
      <c r="U237" s="1">
        <v>2012</v>
      </c>
      <c r="V237" s="1">
        <v>2013</v>
      </c>
      <c r="W237" s="1">
        <v>2014</v>
      </c>
      <c r="X237" s="1">
        <v>2015</v>
      </c>
      <c r="Y237" s="1">
        <v>2016</v>
      </c>
      <c r="Z237" s="1">
        <v>2017</v>
      </c>
      <c r="AA237" s="1">
        <v>2018</v>
      </c>
      <c r="AB237" s="1">
        <v>2019</v>
      </c>
      <c r="AC237" s="1">
        <v>2020</v>
      </c>
      <c r="AD237" s="1">
        <v>2021</v>
      </c>
      <c r="AE237" s="1">
        <v>2022</v>
      </c>
      <c r="AF237" s="1">
        <v>2023</v>
      </c>
      <c r="AG237" s="1">
        <v>2024</v>
      </c>
      <c r="AH237" s="1">
        <v>2025</v>
      </c>
      <c r="AI237" s="1">
        <v>2026</v>
      </c>
      <c r="AJ237" s="1">
        <v>2027</v>
      </c>
      <c r="AK237" s="1">
        <v>2028</v>
      </c>
      <c r="AL237" s="1">
        <v>2029</v>
      </c>
      <c r="AM237" s="1">
        <v>2030</v>
      </c>
      <c r="AN237" s="1">
        <v>2031</v>
      </c>
      <c r="AO237" s="1">
        <v>2032</v>
      </c>
      <c r="AP237" s="1">
        <v>2033</v>
      </c>
      <c r="AQ237" s="1">
        <v>2034</v>
      </c>
      <c r="AR237" s="1">
        <v>2035</v>
      </c>
      <c r="AS237" s="1">
        <v>2036</v>
      </c>
      <c r="AT237" s="1">
        <v>2037</v>
      </c>
      <c r="AU237" s="1">
        <v>2038</v>
      </c>
      <c r="AV237" s="1">
        <v>2039</v>
      </c>
      <c r="AW237" s="1">
        <v>2040</v>
      </c>
      <c r="AX237" s="1">
        <v>2041</v>
      </c>
      <c r="AY237" s="1">
        <v>2042</v>
      </c>
      <c r="AZ237" s="1">
        <v>2043</v>
      </c>
      <c r="BA237" s="1">
        <v>2044</v>
      </c>
      <c r="BB237" s="1">
        <v>2045</v>
      </c>
      <c r="BC237" s="1">
        <v>2046</v>
      </c>
      <c r="BD237" s="1">
        <v>2047</v>
      </c>
      <c r="BE237" s="1">
        <v>2048</v>
      </c>
      <c r="BF237" s="1">
        <v>2049</v>
      </c>
      <c r="BG237" s="1">
        <v>2050</v>
      </c>
    </row>
    <row r="238" spans="1:59">
      <c r="A238" s="1" t="str">
        <f>IF($B$222="Y",'Population Definitions'!$A$2,"...")</f>
        <v>...</v>
      </c>
      <c r="B238" s="4" t="str">
        <f>IF($B$222="Y","---&gt;","...")</f>
        <v>...</v>
      </c>
      <c r="C238" s="1" t="str">
        <f>IF($B$222="Y",'Population Definitions'!$A$2,"...")</f>
        <v>...</v>
      </c>
      <c r="E238" s="2"/>
      <c r="F238" s="3"/>
      <c r="G238" s="2"/>
      <c r="H238" s="4" t="str">
        <f>IF($B$222="Y","OR","...")</f>
        <v>...</v>
      </c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  <c r="BC238" s="2"/>
      <c r="BD238" s="2"/>
      <c r="BE238" s="2"/>
      <c r="BF238" s="2"/>
      <c r="BG238" s="2"/>
    </row>
    <row r="239" spans="1:59">
      <c r="A239" s="1" t="str">
        <f>IF($C$222="Y",'Population Definitions'!$A$2,"...")</f>
        <v>...</v>
      </c>
      <c r="B239" s="4" t="str">
        <f>IF($C$222="Y","---&gt;","...")</f>
        <v>...</v>
      </c>
      <c r="C239" s="1" t="str">
        <f>IF($C$222="Y",'Population Definitions'!$A$3,"...")</f>
        <v>...</v>
      </c>
      <c r="E239" s="2"/>
      <c r="F239" s="3"/>
      <c r="G239" s="2"/>
      <c r="H239" s="4" t="str">
        <f>IF($C$222="Y","OR","...")</f>
        <v>...</v>
      </c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  <c r="BC239" s="2"/>
      <c r="BD239" s="2"/>
      <c r="BE239" s="2"/>
      <c r="BF239" s="2"/>
      <c r="BG239" s="2"/>
    </row>
    <row r="240" spans="1:59">
      <c r="A240" s="1" t="str">
        <f>IF($D$222="Y",'Population Definitions'!$A$2,"...")</f>
        <v>...</v>
      </c>
      <c r="B240" s="4" t="str">
        <f>IF($D$222="Y","---&gt;","...")</f>
        <v>...</v>
      </c>
      <c r="C240" s="1" t="str">
        <f>IF($D$222="Y",'Population Definitions'!$A$4,"...")</f>
        <v>...</v>
      </c>
      <c r="E240" s="2"/>
      <c r="F240" s="3"/>
      <c r="G240" s="2"/>
      <c r="H240" s="4" t="str">
        <f>IF($D$222="Y","OR","...")</f>
        <v>...</v>
      </c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  <c r="BC240" s="2"/>
      <c r="BD240" s="2"/>
      <c r="BE240" s="2"/>
      <c r="BF240" s="2"/>
      <c r="BG240" s="2"/>
    </row>
    <row r="241" spans="1:59">
      <c r="A241" s="1" t="str">
        <f>IF($E$222="Y",'Population Definitions'!$A$2,"...")</f>
        <v>...</v>
      </c>
      <c r="B241" s="4" t="str">
        <f>IF($E$222="Y","---&gt;","...")</f>
        <v>...</v>
      </c>
      <c r="C241" s="1" t="str">
        <f>IF($E$222="Y",'Population Definitions'!$A$5,"...")</f>
        <v>...</v>
      </c>
      <c r="E241" s="2"/>
      <c r="F241" s="3"/>
      <c r="G241" s="2"/>
      <c r="H241" s="4" t="str">
        <f>IF($E$222="Y","OR","...")</f>
        <v>...</v>
      </c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  <c r="BC241" s="2"/>
      <c r="BD241" s="2"/>
      <c r="BE241" s="2"/>
      <c r="BF241" s="2"/>
      <c r="BG241" s="2"/>
    </row>
    <row r="242" spans="1:59">
      <c r="A242" s="1" t="str">
        <f>IF($F$222="Y",'Population Definitions'!$A$2,"...")</f>
        <v>...</v>
      </c>
      <c r="B242" s="4" t="str">
        <f>IF($F$222="Y","---&gt;","...")</f>
        <v>...</v>
      </c>
      <c r="C242" s="1" t="str">
        <f>IF($F$222="Y",'Population Definitions'!$A$6,"...")</f>
        <v>...</v>
      </c>
      <c r="E242" s="2"/>
      <c r="F242" s="3"/>
      <c r="G242" s="2"/>
      <c r="H242" s="4" t="str">
        <f>IF($F$222="Y","OR","...")</f>
        <v>...</v>
      </c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  <c r="BC242" s="2"/>
      <c r="BD242" s="2"/>
      <c r="BE242" s="2"/>
      <c r="BF242" s="2"/>
      <c r="BG242" s="2"/>
    </row>
    <row r="243" spans="1:59">
      <c r="A243" s="1" t="str">
        <f>IF($G$222="Y",'Population Definitions'!$A$2,"...")</f>
        <v>...</v>
      </c>
      <c r="B243" s="4" t="str">
        <f>IF($G$222="Y","---&gt;","...")</f>
        <v>...</v>
      </c>
      <c r="C243" s="1" t="str">
        <f>IF($G$222="Y",'Population Definitions'!$A$7,"...")</f>
        <v>...</v>
      </c>
      <c r="E243" s="2"/>
      <c r="F243" s="3"/>
      <c r="G243" s="2"/>
      <c r="H243" s="4" t="str">
        <f>IF($G$222="Y","OR","...")</f>
        <v>...</v>
      </c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  <c r="BC243" s="2"/>
      <c r="BD243" s="2"/>
      <c r="BE243" s="2"/>
      <c r="BF243" s="2"/>
      <c r="BG243" s="2"/>
    </row>
    <row r="244" spans="1:59">
      <c r="A244" s="1" t="str">
        <f>IF($H$222="Y",'Population Definitions'!$A$2,"...")</f>
        <v>PWID_males</v>
      </c>
      <c r="B244" s="4" t="str">
        <f>IF($H$222="Y","---&gt;","...")</f>
        <v>---&gt;</v>
      </c>
      <c r="C244" s="1" t="str">
        <f>IF($H$222="Y",'Population Definitions'!$A$8,"...")</f>
        <v>18-64_males</v>
      </c>
      <c r="E244" s="3" t="s">
        <v>55</v>
      </c>
      <c r="F244" s="3"/>
      <c r="G244" s="3">
        <v>0.05882352941176471</v>
      </c>
      <c r="H244" s="4" t="str">
        <f>IF($H$222="Y","OR","...")</f>
        <v>OR</v>
      </c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  <c r="BF244" s="3"/>
      <c r="BG244" s="3"/>
    </row>
    <row r="245" spans="1:59">
      <c r="A245" s="1" t="str">
        <f>IF($I$222="Y",'Population Definitions'!$A$2,"...")</f>
        <v>...</v>
      </c>
      <c r="B245" s="4" t="str">
        <f>IF($I$222="Y","---&gt;","...")</f>
        <v>...</v>
      </c>
      <c r="C245" s="1" t="str">
        <f>IF($I$222="Y",'Population Definitions'!$A$9,"...")</f>
        <v>...</v>
      </c>
      <c r="E245" s="2"/>
      <c r="F245" s="3"/>
      <c r="G245" s="2"/>
      <c r="H245" s="4" t="str">
        <f>IF($I$222="Y","OR","...")</f>
        <v>...</v>
      </c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  <c r="BC245" s="2"/>
      <c r="BD245" s="2"/>
      <c r="BE245" s="2"/>
      <c r="BF245" s="2"/>
      <c r="BG245" s="2"/>
    </row>
    <row r="246" spans="1:59">
      <c r="A246" s="1" t="str">
        <f>IF($J$222="Y",'Population Definitions'!$A$2,"...")</f>
        <v>...</v>
      </c>
      <c r="B246" s="4" t="str">
        <f>IF($J$222="Y","---&gt;","...")</f>
        <v>...</v>
      </c>
      <c r="C246" s="1" t="str">
        <f>IF($J$222="Y",'Population Definitions'!$A$10,"...")</f>
        <v>...</v>
      </c>
      <c r="E246" s="2"/>
      <c r="F246" s="3"/>
      <c r="G246" s="2"/>
      <c r="H246" s="4" t="str">
        <f>IF($J$222="Y","OR","...")</f>
        <v>...</v>
      </c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  <c r="BC246" s="2"/>
      <c r="BD246" s="2"/>
      <c r="BE246" s="2"/>
      <c r="BF246" s="2"/>
      <c r="BG246" s="2"/>
    </row>
    <row r="247" spans="1:59">
      <c r="A247" s="1" t="str">
        <f>IF($K$222="Y",'Population Definitions'!$A$2,"...")</f>
        <v>...</v>
      </c>
      <c r="B247" s="4" t="str">
        <f>IF($K$222="Y","---&gt;","...")</f>
        <v>...</v>
      </c>
      <c r="C247" s="1" t="str">
        <f>IF($K$222="Y",'Population Definitions'!$A$11,"...")</f>
        <v>...</v>
      </c>
      <c r="E247" s="2"/>
      <c r="F247" s="3"/>
      <c r="G247" s="2"/>
      <c r="H247" s="4" t="str">
        <f>IF($K$222="Y","OR","...")</f>
        <v>...</v>
      </c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  <c r="AT247" s="2"/>
      <c r="AU247" s="2"/>
      <c r="AV247" s="2"/>
      <c r="AW247" s="2"/>
      <c r="AX247" s="2"/>
      <c r="AY247" s="2"/>
      <c r="AZ247" s="2"/>
      <c r="BA247" s="2"/>
      <c r="BB247" s="2"/>
      <c r="BC247" s="2"/>
      <c r="BD247" s="2"/>
      <c r="BE247" s="2"/>
      <c r="BF247" s="2"/>
      <c r="BG247" s="2"/>
    </row>
    <row r="248" spans="1:59">
      <c r="A248" s="1" t="str">
        <f>IF($L$222="Y",'Population Definitions'!$A$2,"...")</f>
        <v>...</v>
      </c>
      <c r="B248" s="4" t="str">
        <f>IF($L$222="Y","---&gt;","...")</f>
        <v>...</v>
      </c>
      <c r="C248" s="1" t="str">
        <f>IF($L$222="Y",'Population Definitions'!$A$12,"...")</f>
        <v>...</v>
      </c>
      <c r="E248" s="2"/>
      <c r="F248" s="3"/>
      <c r="G248" s="2"/>
      <c r="H248" s="4" t="str">
        <f>IF($L$222="Y","OR","...")</f>
        <v>...</v>
      </c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  <c r="AT248" s="2"/>
      <c r="AU248" s="2"/>
      <c r="AV248" s="2"/>
      <c r="AW248" s="2"/>
      <c r="AX248" s="2"/>
      <c r="AY248" s="2"/>
      <c r="AZ248" s="2"/>
      <c r="BA248" s="2"/>
      <c r="BB248" s="2"/>
      <c r="BC248" s="2"/>
      <c r="BD248" s="2"/>
      <c r="BE248" s="2"/>
      <c r="BF248" s="2"/>
      <c r="BG248" s="2"/>
    </row>
    <row r="249" spans="1:59">
      <c r="A249" s="1" t="str">
        <f>IF($M$222="Y",'Population Definitions'!$A$2,"...")</f>
        <v>...</v>
      </c>
      <c r="B249" s="4" t="str">
        <f>IF($M$222="Y","---&gt;","...")</f>
        <v>...</v>
      </c>
      <c r="C249" s="1" t="str">
        <f>IF($M$222="Y",'Population Definitions'!$A$13,"...")</f>
        <v>...</v>
      </c>
      <c r="E249" s="2"/>
      <c r="F249" s="3"/>
      <c r="G249" s="2"/>
      <c r="H249" s="4" t="str">
        <f>IF($M$222="Y","OR","...")</f>
        <v>...</v>
      </c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2"/>
      <c r="BC249" s="2"/>
      <c r="BD249" s="2"/>
      <c r="BE249" s="2"/>
      <c r="BF249" s="2"/>
      <c r="BG249" s="2"/>
    </row>
    <row r="250" spans="1:59">
      <c r="A250" s="1" t="str">
        <f>IF($N$222="Y",'Population Definitions'!$A$2,"...")</f>
        <v>...</v>
      </c>
      <c r="B250" s="4" t="str">
        <f>IF($N$222="Y","---&gt;","...")</f>
        <v>...</v>
      </c>
      <c r="C250" s="1" t="str">
        <f>IF($N$222="Y",'Population Definitions'!$A$14,"...")</f>
        <v>...</v>
      </c>
      <c r="E250" s="2"/>
      <c r="F250" s="3"/>
      <c r="G250" s="2"/>
      <c r="H250" s="4" t="str">
        <f>IF($N$222="Y","OR","...")</f>
        <v>...</v>
      </c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  <c r="BC250" s="2"/>
      <c r="BD250" s="2"/>
      <c r="BE250" s="2"/>
      <c r="BF250" s="2"/>
      <c r="BG250" s="2"/>
    </row>
    <row r="251" spans="1:59">
      <c r="A251" s="1" t="str">
        <f>IF($O$222="Y",'Population Definitions'!$A$2,"...")</f>
        <v>...</v>
      </c>
      <c r="B251" s="4" t="str">
        <f>IF($O$222="Y","---&gt;","...")</f>
        <v>...</v>
      </c>
      <c r="C251" s="1" t="str">
        <f>IF($O$222="Y",'Population Definitions'!$A$15,"...")</f>
        <v>...</v>
      </c>
      <c r="E251" s="2"/>
      <c r="F251" s="3"/>
      <c r="G251" s="2"/>
      <c r="H251" s="4" t="str">
        <f>IF($O$222="Y","OR","...")</f>
        <v>...</v>
      </c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  <c r="BC251" s="2"/>
      <c r="BD251" s="2"/>
      <c r="BE251" s="2"/>
      <c r="BF251" s="2"/>
      <c r="BG251" s="2"/>
    </row>
    <row r="252" spans="1:59">
      <c r="A252" s="1" t="str">
        <f>IF($B$223="Y",'Population Definitions'!$A$3,"...")</f>
        <v>...</v>
      </c>
      <c r="B252" s="4" t="str">
        <f>IF($B$223="Y","---&gt;","...")</f>
        <v>...</v>
      </c>
      <c r="C252" s="1" t="str">
        <f>IF($B$223="Y",'Population Definitions'!$A$2,"...")</f>
        <v>...</v>
      </c>
      <c r="E252" s="2"/>
      <c r="F252" s="3"/>
      <c r="G252" s="2"/>
      <c r="H252" s="4" t="str">
        <f>IF($B$223="Y","OR","...")</f>
        <v>...</v>
      </c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/>
      <c r="BC252" s="2"/>
      <c r="BD252" s="2"/>
      <c r="BE252" s="2"/>
      <c r="BF252" s="2"/>
      <c r="BG252" s="2"/>
    </row>
    <row r="253" spans="1:59">
      <c r="A253" s="1" t="str">
        <f>IF($C$223="Y",'Population Definitions'!$A$3,"...")</f>
        <v>...</v>
      </c>
      <c r="B253" s="4" t="str">
        <f>IF($C$223="Y","---&gt;","...")</f>
        <v>...</v>
      </c>
      <c r="C253" s="1" t="str">
        <f>IF($C$223="Y",'Population Definitions'!$A$3,"...")</f>
        <v>...</v>
      </c>
      <c r="E253" s="2"/>
      <c r="F253" s="3"/>
      <c r="G253" s="2"/>
      <c r="H253" s="4" t="str">
        <f>IF($C$223="Y","OR","...")</f>
        <v>...</v>
      </c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  <c r="BC253" s="2"/>
      <c r="BD253" s="2"/>
      <c r="BE253" s="2"/>
      <c r="BF253" s="2"/>
      <c r="BG253" s="2"/>
    </row>
    <row r="254" spans="1:59">
      <c r="A254" s="1" t="str">
        <f>IF($D$223="Y",'Population Definitions'!$A$3,"...")</f>
        <v>...</v>
      </c>
      <c r="B254" s="4" t="str">
        <f>IF($D$223="Y","---&gt;","...")</f>
        <v>...</v>
      </c>
      <c r="C254" s="1" t="str">
        <f>IF($D$223="Y",'Population Definitions'!$A$4,"...")</f>
        <v>...</v>
      </c>
      <c r="E254" s="2"/>
      <c r="F254" s="3"/>
      <c r="G254" s="2"/>
      <c r="H254" s="4" t="str">
        <f>IF($D$223="Y","OR","...")</f>
        <v>...</v>
      </c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2"/>
      <c r="BC254" s="2"/>
      <c r="BD254" s="2"/>
      <c r="BE254" s="2"/>
      <c r="BF254" s="2"/>
      <c r="BG254" s="2"/>
    </row>
    <row r="255" spans="1:59">
      <c r="A255" s="1" t="str">
        <f>IF($E$223="Y",'Population Definitions'!$A$3,"...")</f>
        <v>...</v>
      </c>
      <c r="B255" s="4" t="str">
        <f>IF($E$223="Y","---&gt;","...")</f>
        <v>...</v>
      </c>
      <c r="C255" s="1" t="str">
        <f>IF($E$223="Y",'Population Definitions'!$A$5,"...")</f>
        <v>...</v>
      </c>
      <c r="E255" s="2"/>
      <c r="F255" s="3"/>
      <c r="G255" s="2"/>
      <c r="H255" s="4" t="str">
        <f>IF($E$223="Y","OR","...")</f>
        <v>...</v>
      </c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2"/>
      <c r="BC255" s="2"/>
      <c r="BD255" s="2"/>
      <c r="BE255" s="2"/>
      <c r="BF255" s="2"/>
      <c r="BG255" s="2"/>
    </row>
    <row r="256" spans="1:59">
      <c r="A256" s="1" t="str">
        <f>IF($F$223="Y",'Population Definitions'!$A$3,"...")</f>
        <v>...</v>
      </c>
      <c r="B256" s="4" t="str">
        <f>IF($F$223="Y","---&gt;","...")</f>
        <v>...</v>
      </c>
      <c r="C256" s="1" t="str">
        <f>IF($F$223="Y",'Population Definitions'!$A$6,"...")</f>
        <v>...</v>
      </c>
      <c r="E256" s="2"/>
      <c r="F256" s="3"/>
      <c r="G256" s="2"/>
      <c r="H256" s="4" t="str">
        <f>IF($F$223="Y","OR","...")</f>
        <v>...</v>
      </c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  <c r="BC256" s="2"/>
      <c r="BD256" s="2"/>
      <c r="BE256" s="2"/>
      <c r="BF256" s="2"/>
      <c r="BG256" s="2"/>
    </row>
    <row r="257" spans="1:59">
      <c r="A257" s="1" t="str">
        <f>IF($G$223="Y",'Population Definitions'!$A$3,"...")</f>
        <v>...</v>
      </c>
      <c r="B257" s="4" t="str">
        <f>IF($G$223="Y","---&gt;","...")</f>
        <v>...</v>
      </c>
      <c r="C257" s="1" t="str">
        <f>IF($G$223="Y",'Population Definitions'!$A$7,"...")</f>
        <v>...</v>
      </c>
      <c r="E257" s="2"/>
      <c r="F257" s="3"/>
      <c r="G257" s="2"/>
      <c r="H257" s="4" t="str">
        <f>IF($G$223="Y","OR","...")</f>
        <v>...</v>
      </c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  <c r="BB257" s="2"/>
      <c r="BC257" s="2"/>
      <c r="BD257" s="2"/>
      <c r="BE257" s="2"/>
      <c r="BF257" s="2"/>
      <c r="BG257" s="2"/>
    </row>
    <row r="258" spans="1:59">
      <c r="A258" s="1" t="str">
        <f>IF($H$223="Y",'Population Definitions'!$A$3,"...")</f>
        <v>...</v>
      </c>
      <c r="B258" s="4" t="str">
        <f>IF($H$223="Y","---&gt;","...")</f>
        <v>...</v>
      </c>
      <c r="C258" s="1" t="str">
        <f>IF($H$223="Y",'Population Definitions'!$A$8,"...")</f>
        <v>...</v>
      </c>
      <c r="E258" s="2"/>
      <c r="F258" s="3"/>
      <c r="G258" s="2"/>
      <c r="H258" s="4" t="str">
        <f>IF($H$223="Y","OR","...")</f>
        <v>...</v>
      </c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  <c r="AT258" s="2"/>
      <c r="AU258" s="2"/>
      <c r="AV258" s="2"/>
      <c r="AW258" s="2"/>
      <c r="AX258" s="2"/>
      <c r="AY258" s="2"/>
      <c r="AZ258" s="2"/>
      <c r="BA258" s="2"/>
      <c r="BB258" s="2"/>
      <c r="BC258" s="2"/>
      <c r="BD258" s="2"/>
      <c r="BE258" s="2"/>
      <c r="BF258" s="2"/>
      <c r="BG258" s="2"/>
    </row>
    <row r="259" spans="1:59">
      <c r="A259" s="1" t="str">
        <f>IF($I$223="Y",'Population Definitions'!$A$3,"...")</f>
        <v>PWID_females</v>
      </c>
      <c r="B259" s="4" t="str">
        <f>IF($I$223="Y","---&gt;","...")</f>
        <v>---&gt;</v>
      </c>
      <c r="C259" s="1" t="str">
        <f>IF($I$223="Y",'Population Definitions'!$A$9,"...")</f>
        <v>18-64_females</v>
      </c>
      <c r="E259" s="3" t="s">
        <v>55</v>
      </c>
      <c r="F259" s="3"/>
      <c r="G259" s="3">
        <v>0.05882352941176471</v>
      </c>
      <c r="H259" s="4" t="str">
        <f>IF($I$223="Y","OR","...")</f>
        <v>OR</v>
      </c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  <c r="BF259" s="3"/>
      <c r="BG259" s="3"/>
    </row>
    <row r="260" spans="1:59">
      <c r="A260" s="1" t="str">
        <f>IF($J$223="Y",'Population Definitions'!$A$3,"...")</f>
        <v>...</v>
      </c>
      <c r="B260" s="4" t="str">
        <f>IF($J$223="Y","---&gt;","...")</f>
        <v>...</v>
      </c>
      <c r="C260" s="1" t="str">
        <f>IF($J$223="Y",'Population Definitions'!$A$10,"...")</f>
        <v>...</v>
      </c>
      <c r="E260" s="2"/>
      <c r="F260" s="3"/>
      <c r="G260" s="2"/>
      <c r="H260" s="4" t="str">
        <f>IF($J$223="Y","OR","...")</f>
        <v>...</v>
      </c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/>
      <c r="BC260" s="2"/>
      <c r="BD260" s="2"/>
      <c r="BE260" s="2"/>
      <c r="BF260" s="2"/>
      <c r="BG260" s="2"/>
    </row>
    <row r="261" spans="1:59">
      <c r="A261" s="1" t="str">
        <f>IF($K$223="Y",'Population Definitions'!$A$3,"...")</f>
        <v>...</v>
      </c>
      <c r="B261" s="4" t="str">
        <f>IF($K$223="Y","---&gt;","...")</f>
        <v>...</v>
      </c>
      <c r="C261" s="1" t="str">
        <f>IF($K$223="Y",'Population Definitions'!$A$11,"...")</f>
        <v>...</v>
      </c>
      <c r="E261" s="2"/>
      <c r="F261" s="3"/>
      <c r="G261" s="2"/>
      <c r="H261" s="4" t="str">
        <f>IF($K$223="Y","OR","...")</f>
        <v>...</v>
      </c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  <c r="BC261" s="2"/>
      <c r="BD261" s="2"/>
      <c r="BE261" s="2"/>
      <c r="BF261" s="2"/>
      <c r="BG261" s="2"/>
    </row>
    <row r="262" spans="1:59">
      <c r="A262" s="1" t="str">
        <f>IF($L$223="Y",'Population Definitions'!$A$3,"...")</f>
        <v>...</v>
      </c>
      <c r="B262" s="4" t="str">
        <f>IF($L$223="Y","---&gt;","...")</f>
        <v>...</v>
      </c>
      <c r="C262" s="1" t="str">
        <f>IF($L$223="Y",'Population Definitions'!$A$12,"...")</f>
        <v>...</v>
      </c>
      <c r="E262" s="2"/>
      <c r="F262" s="3"/>
      <c r="G262" s="2"/>
      <c r="H262" s="4" t="str">
        <f>IF($L$223="Y","OR","...")</f>
        <v>...</v>
      </c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  <c r="BB262" s="2"/>
      <c r="BC262" s="2"/>
      <c r="BD262" s="2"/>
      <c r="BE262" s="2"/>
      <c r="BF262" s="2"/>
      <c r="BG262" s="2"/>
    </row>
    <row r="263" spans="1:59">
      <c r="A263" s="1" t="str">
        <f>IF($M$223="Y",'Population Definitions'!$A$3,"...")</f>
        <v>...</v>
      </c>
      <c r="B263" s="4" t="str">
        <f>IF($M$223="Y","---&gt;","...")</f>
        <v>...</v>
      </c>
      <c r="C263" s="1" t="str">
        <f>IF($M$223="Y",'Population Definitions'!$A$13,"...")</f>
        <v>...</v>
      </c>
      <c r="E263" s="2"/>
      <c r="F263" s="3"/>
      <c r="G263" s="2"/>
      <c r="H263" s="4" t="str">
        <f>IF($M$223="Y","OR","...")</f>
        <v>...</v>
      </c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/>
      <c r="BC263" s="2"/>
      <c r="BD263" s="2"/>
      <c r="BE263" s="2"/>
      <c r="BF263" s="2"/>
      <c r="BG263" s="2"/>
    </row>
    <row r="264" spans="1:59">
      <c r="A264" s="1" t="str">
        <f>IF($N$223="Y",'Population Definitions'!$A$3,"...")</f>
        <v>...</v>
      </c>
      <c r="B264" s="4" t="str">
        <f>IF($N$223="Y","---&gt;","...")</f>
        <v>...</v>
      </c>
      <c r="C264" s="1" t="str">
        <f>IF($N$223="Y",'Population Definitions'!$A$14,"...")</f>
        <v>...</v>
      </c>
      <c r="E264" s="2"/>
      <c r="F264" s="3"/>
      <c r="G264" s="2"/>
      <c r="H264" s="4" t="str">
        <f>IF($N$223="Y","OR","...")</f>
        <v>...</v>
      </c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2"/>
      <c r="BC264" s="2"/>
      <c r="BD264" s="2"/>
      <c r="BE264" s="2"/>
      <c r="BF264" s="2"/>
      <c r="BG264" s="2"/>
    </row>
    <row r="265" spans="1:59">
      <c r="A265" s="1" t="str">
        <f>IF($O$223="Y",'Population Definitions'!$A$3,"...")</f>
        <v>...</v>
      </c>
      <c r="B265" s="4" t="str">
        <f>IF($O$223="Y","---&gt;","...")</f>
        <v>...</v>
      </c>
      <c r="C265" s="1" t="str">
        <f>IF($O$223="Y",'Population Definitions'!$A$15,"...")</f>
        <v>...</v>
      </c>
      <c r="E265" s="2"/>
      <c r="F265" s="3"/>
      <c r="G265" s="2"/>
      <c r="H265" s="4" t="str">
        <f>IF($O$223="Y","OR","...")</f>
        <v>...</v>
      </c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2"/>
      <c r="BC265" s="2"/>
      <c r="BD265" s="2"/>
      <c r="BE265" s="2"/>
      <c r="BF265" s="2"/>
      <c r="BG265" s="2"/>
    </row>
    <row r="266" spans="1:59">
      <c r="A266" s="1" t="str">
        <f>IF($B$224="Y",'Population Definitions'!$A$4,"...")</f>
        <v>...</v>
      </c>
      <c r="B266" s="4" t="str">
        <f>IF($B$224="Y","---&gt;","...")</f>
        <v>...</v>
      </c>
      <c r="C266" s="1" t="str">
        <f>IF($B$224="Y",'Population Definitions'!$A$2,"...")</f>
        <v>...</v>
      </c>
      <c r="E266" s="2"/>
      <c r="F266" s="3"/>
      <c r="G266" s="2"/>
      <c r="H266" s="4" t="str">
        <f>IF($B$224="Y","OR","...")</f>
        <v>...</v>
      </c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2"/>
      <c r="BC266" s="2"/>
      <c r="BD266" s="2"/>
      <c r="BE266" s="2"/>
      <c r="BF266" s="2"/>
      <c r="BG266" s="2"/>
    </row>
    <row r="267" spans="1:59">
      <c r="A267" s="1" t="str">
        <f>IF($C$224="Y",'Population Definitions'!$A$4,"...")</f>
        <v>...</v>
      </c>
      <c r="B267" s="4" t="str">
        <f>IF($C$224="Y","---&gt;","...")</f>
        <v>...</v>
      </c>
      <c r="C267" s="1" t="str">
        <f>IF($C$224="Y",'Population Definitions'!$A$3,"...")</f>
        <v>...</v>
      </c>
      <c r="E267" s="2"/>
      <c r="F267" s="3"/>
      <c r="G267" s="2"/>
      <c r="H267" s="4" t="str">
        <f>IF($C$224="Y","OR","...")</f>
        <v>...</v>
      </c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  <c r="BC267" s="2"/>
      <c r="BD267" s="2"/>
      <c r="BE267" s="2"/>
      <c r="BF267" s="2"/>
      <c r="BG267" s="2"/>
    </row>
    <row r="268" spans="1:59">
      <c r="A268" s="1" t="str">
        <f>IF($D$224="Y",'Population Definitions'!$A$4,"...")</f>
        <v>...</v>
      </c>
      <c r="B268" s="4" t="str">
        <f>IF($D$224="Y","---&gt;","...")</f>
        <v>...</v>
      </c>
      <c r="C268" s="1" t="str">
        <f>IF($D$224="Y",'Population Definitions'!$A$4,"...")</f>
        <v>...</v>
      </c>
      <c r="E268" s="2"/>
      <c r="F268" s="3"/>
      <c r="G268" s="2"/>
      <c r="H268" s="4" t="str">
        <f>IF($D$224="Y","OR","...")</f>
        <v>...</v>
      </c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  <c r="BC268" s="2"/>
      <c r="BD268" s="2"/>
      <c r="BE268" s="2"/>
      <c r="BF268" s="2"/>
      <c r="BG268" s="2"/>
    </row>
    <row r="269" spans="1:59">
      <c r="A269" s="1" t="str">
        <f>IF($E$224="Y",'Population Definitions'!$A$4,"...")</f>
        <v>...</v>
      </c>
      <c r="B269" s="4" t="str">
        <f>IF($E$224="Y","---&gt;","...")</f>
        <v>...</v>
      </c>
      <c r="C269" s="1" t="str">
        <f>IF($E$224="Y",'Population Definitions'!$A$5,"...")</f>
        <v>...</v>
      </c>
      <c r="E269" s="2"/>
      <c r="F269" s="3"/>
      <c r="G269" s="2"/>
      <c r="H269" s="4" t="str">
        <f>IF($E$224="Y","OR","...")</f>
        <v>...</v>
      </c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2"/>
      <c r="BC269" s="2"/>
      <c r="BD269" s="2"/>
      <c r="BE269" s="2"/>
      <c r="BF269" s="2"/>
      <c r="BG269" s="2"/>
    </row>
    <row r="270" spans="1:59">
      <c r="A270" s="1" t="str">
        <f>IF($F$224="Y",'Population Definitions'!$A$4,"...")</f>
        <v>...</v>
      </c>
      <c r="B270" s="4" t="str">
        <f>IF($F$224="Y","---&gt;","...")</f>
        <v>...</v>
      </c>
      <c r="C270" s="1" t="str">
        <f>IF($F$224="Y",'Population Definitions'!$A$6,"...")</f>
        <v>...</v>
      </c>
      <c r="E270" s="2"/>
      <c r="F270" s="3"/>
      <c r="G270" s="2"/>
      <c r="H270" s="4" t="str">
        <f>IF($F$224="Y","OR","...")</f>
        <v>...</v>
      </c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2"/>
      <c r="BC270" s="2"/>
      <c r="BD270" s="2"/>
      <c r="BE270" s="2"/>
      <c r="BF270" s="2"/>
      <c r="BG270" s="2"/>
    </row>
    <row r="271" spans="1:59">
      <c r="A271" s="1" t="str">
        <f>IF($G$224="Y",'Population Definitions'!$A$4,"...")</f>
        <v>...</v>
      </c>
      <c r="B271" s="4" t="str">
        <f>IF($G$224="Y","---&gt;","...")</f>
        <v>...</v>
      </c>
      <c r="C271" s="1" t="str">
        <f>IF($G$224="Y",'Population Definitions'!$A$7,"...")</f>
        <v>...</v>
      </c>
      <c r="E271" s="2"/>
      <c r="F271" s="3"/>
      <c r="G271" s="2"/>
      <c r="H271" s="4" t="str">
        <f>IF($G$224="Y","OR","...")</f>
        <v>...</v>
      </c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  <c r="BB271" s="2"/>
      <c r="BC271" s="2"/>
      <c r="BD271" s="2"/>
      <c r="BE271" s="2"/>
      <c r="BF271" s="2"/>
      <c r="BG271" s="2"/>
    </row>
    <row r="272" spans="1:59">
      <c r="A272" s="1" t="str">
        <f>IF($H$224="Y",'Population Definitions'!$A$4,"...")</f>
        <v>...</v>
      </c>
      <c r="B272" s="4" t="str">
        <f>IF($H$224="Y","---&gt;","...")</f>
        <v>...</v>
      </c>
      <c r="C272" s="1" t="str">
        <f>IF($H$224="Y",'Population Definitions'!$A$8,"...")</f>
        <v>...</v>
      </c>
      <c r="E272" s="2"/>
      <c r="F272" s="3"/>
      <c r="G272" s="2"/>
      <c r="H272" s="4" t="str">
        <f>IF($H$224="Y","OR","...")</f>
        <v>...</v>
      </c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/>
      <c r="BB272" s="2"/>
      <c r="BC272" s="2"/>
      <c r="BD272" s="2"/>
      <c r="BE272" s="2"/>
      <c r="BF272" s="2"/>
      <c r="BG272" s="2"/>
    </row>
    <row r="273" spans="1:59">
      <c r="A273" s="1" t="str">
        <f>IF($I$224="Y",'Population Definitions'!$A$4,"...")</f>
        <v>...</v>
      </c>
      <c r="B273" s="4" t="str">
        <f>IF($I$224="Y","---&gt;","...")</f>
        <v>...</v>
      </c>
      <c r="C273" s="1" t="str">
        <f>IF($I$224="Y",'Population Definitions'!$A$9,"...")</f>
        <v>...</v>
      </c>
      <c r="E273" s="2"/>
      <c r="F273" s="3"/>
      <c r="G273" s="2"/>
      <c r="H273" s="4" t="str">
        <f>IF($I$224="Y","OR","...")</f>
        <v>...</v>
      </c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  <c r="BB273" s="2"/>
      <c r="BC273" s="2"/>
      <c r="BD273" s="2"/>
      <c r="BE273" s="2"/>
      <c r="BF273" s="2"/>
      <c r="BG273" s="2"/>
    </row>
    <row r="274" spans="1:59">
      <c r="A274" s="1" t="str">
        <f>IF($J$224="Y",'Population Definitions'!$A$4,"...")</f>
        <v>...</v>
      </c>
      <c r="B274" s="4" t="str">
        <f>IF($J$224="Y","---&gt;","...")</f>
        <v>...</v>
      </c>
      <c r="C274" s="1" t="str">
        <f>IF($J$224="Y",'Population Definitions'!$A$10,"...")</f>
        <v>...</v>
      </c>
      <c r="E274" s="2"/>
      <c r="F274" s="3"/>
      <c r="G274" s="2"/>
      <c r="H274" s="4" t="str">
        <f>IF($J$224="Y","OR","...")</f>
        <v>...</v>
      </c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  <c r="BB274" s="2"/>
      <c r="BC274" s="2"/>
      <c r="BD274" s="2"/>
      <c r="BE274" s="2"/>
      <c r="BF274" s="2"/>
      <c r="BG274" s="2"/>
    </row>
    <row r="275" spans="1:59">
      <c r="A275" s="1" t="str">
        <f>IF($K$224="Y",'Population Definitions'!$A$4,"...")</f>
        <v>...</v>
      </c>
      <c r="B275" s="4" t="str">
        <f>IF($K$224="Y","---&gt;","...")</f>
        <v>...</v>
      </c>
      <c r="C275" s="1" t="str">
        <f>IF($K$224="Y",'Population Definitions'!$A$11,"...")</f>
        <v>...</v>
      </c>
      <c r="E275" s="2"/>
      <c r="F275" s="3"/>
      <c r="G275" s="2"/>
      <c r="H275" s="4" t="str">
        <f>IF($K$224="Y","OR","...")</f>
        <v>...</v>
      </c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  <c r="BB275" s="2"/>
      <c r="BC275" s="2"/>
      <c r="BD275" s="2"/>
      <c r="BE275" s="2"/>
      <c r="BF275" s="2"/>
      <c r="BG275" s="2"/>
    </row>
    <row r="276" spans="1:59">
      <c r="A276" s="1" t="str">
        <f>IF($L$224="Y",'Population Definitions'!$A$4,"...")</f>
        <v>...</v>
      </c>
      <c r="B276" s="4" t="str">
        <f>IF($L$224="Y","---&gt;","...")</f>
        <v>...</v>
      </c>
      <c r="C276" s="1" t="str">
        <f>IF($L$224="Y",'Population Definitions'!$A$12,"...")</f>
        <v>...</v>
      </c>
      <c r="E276" s="2"/>
      <c r="F276" s="3"/>
      <c r="G276" s="2"/>
      <c r="H276" s="4" t="str">
        <f>IF($L$224="Y","OR","...")</f>
        <v>...</v>
      </c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/>
      <c r="BB276" s="2"/>
      <c r="BC276" s="2"/>
      <c r="BD276" s="2"/>
      <c r="BE276" s="2"/>
      <c r="BF276" s="2"/>
      <c r="BG276" s="2"/>
    </row>
    <row r="277" spans="1:59">
      <c r="A277" s="1" t="str">
        <f>IF($M$224="Y",'Population Definitions'!$A$4,"...")</f>
        <v>...</v>
      </c>
      <c r="B277" s="4" t="str">
        <f>IF($M$224="Y","---&gt;","...")</f>
        <v>...</v>
      </c>
      <c r="C277" s="1" t="str">
        <f>IF($M$224="Y",'Population Definitions'!$A$13,"...")</f>
        <v>...</v>
      </c>
      <c r="E277" s="2"/>
      <c r="F277" s="3"/>
      <c r="G277" s="2"/>
      <c r="H277" s="4" t="str">
        <f>IF($M$224="Y","OR","...")</f>
        <v>...</v>
      </c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/>
      <c r="BB277" s="2"/>
      <c r="BC277" s="2"/>
      <c r="BD277" s="2"/>
      <c r="BE277" s="2"/>
      <c r="BF277" s="2"/>
      <c r="BG277" s="2"/>
    </row>
    <row r="278" spans="1:59">
      <c r="A278" s="1" t="str">
        <f>IF($N$224="Y",'Population Definitions'!$A$4,"...")</f>
        <v>...</v>
      </c>
      <c r="B278" s="4" t="str">
        <f>IF($N$224="Y","---&gt;","...")</f>
        <v>...</v>
      </c>
      <c r="C278" s="1" t="str">
        <f>IF($N$224="Y",'Population Definitions'!$A$14,"...")</f>
        <v>...</v>
      </c>
      <c r="E278" s="2"/>
      <c r="F278" s="3"/>
      <c r="G278" s="2"/>
      <c r="H278" s="4" t="str">
        <f>IF($N$224="Y","OR","...")</f>
        <v>...</v>
      </c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2"/>
      <c r="BC278" s="2"/>
      <c r="BD278" s="2"/>
      <c r="BE278" s="2"/>
      <c r="BF278" s="2"/>
      <c r="BG278" s="2"/>
    </row>
    <row r="279" spans="1:59">
      <c r="A279" s="1" t="str">
        <f>IF($O$224="Y",'Population Definitions'!$A$4,"...")</f>
        <v>...</v>
      </c>
      <c r="B279" s="4" t="str">
        <f>IF($O$224="Y","---&gt;","...")</f>
        <v>...</v>
      </c>
      <c r="C279" s="1" t="str">
        <f>IF($O$224="Y",'Population Definitions'!$A$15,"...")</f>
        <v>...</v>
      </c>
      <c r="E279" s="2"/>
      <c r="F279" s="3"/>
      <c r="G279" s="2"/>
      <c r="H279" s="4" t="str">
        <f>IF($O$224="Y","OR","...")</f>
        <v>...</v>
      </c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/>
      <c r="BC279" s="2"/>
      <c r="BD279" s="2"/>
      <c r="BE279" s="2"/>
      <c r="BF279" s="2"/>
      <c r="BG279" s="2"/>
    </row>
    <row r="280" spans="1:59">
      <c r="A280" s="1" t="str">
        <f>IF($B$225="Y",'Population Definitions'!$A$5,"...")</f>
        <v>...</v>
      </c>
      <c r="B280" s="4" t="str">
        <f>IF($B$225="Y","---&gt;","...")</f>
        <v>...</v>
      </c>
      <c r="C280" s="1" t="str">
        <f>IF($B$225="Y",'Population Definitions'!$A$2,"...")</f>
        <v>...</v>
      </c>
      <c r="E280" s="2"/>
      <c r="F280" s="3"/>
      <c r="G280" s="2"/>
      <c r="H280" s="4" t="str">
        <f>IF($B$225="Y","OR","...")</f>
        <v>...</v>
      </c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  <c r="BB280" s="2"/>
      <c r="BC280" s="2"/>
      <c r="BD280" s="2"/>
      <c r="BE280" s="2"/>
      <c r="BF280" s="2"/>
      <c r="BG280" s="2"/>
    </row>
    <row r="281" spans="1:59">
      <c r="A281" s="1" t="str">
        <f>IF($C$225="Y",'Population Definitions'!$A$5,"...")</f>
        <v>...</v>
      </c>
      <c r="B281" s="4" t="str">
        <f>IF($C$225="Y","---&gt;","...")</f>
        <v>...</v>
      </c>
      <c r="C281" s="1" t="str">
        <f>IF($C$225="Y",'Population Definitions'!$A$3,"...")</f>
        <v>...</v>
      </c>
      <c r="E281" s="2"/>
      <c r="F281" s="3"/>
      <c r="G281" s="2"/>
      <c r="H281" s="4" t="str">
        <f>IF($C$225="Y","OR","...")</f>
        <v>...</v>
      </c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  <c r="BB281" s="2"/>
      <c r="BC281" s="2"/>
      <c r="BD281" s="2"/>
      <c r="BE281" s="2"/>
      <c r="BF281" s="2"/>
      <c r="BG281" s="2"/>
    </row>
    <row r="282" spans="1:59">
      <c r="A282" s="1" t="str">
        <f>IF($D$225="Y",'Population Definitions'!$A$5,"...")</f>
        <v>...</v>
      </c>
      <c r="B282" s="4" t="str">
        <f>IF($D$225="Y","---&gt;","...")</f>
        <v>...</v>
      </c>
      <c r="C282" s="1" t="str">
        <f>IF($D$225="Y",'Population Definitions'!$A$4,"...")</f>
        <v>...</v>
      </c>
      <c r="E282" s="2"/>
      <c r="F282" s="3"/>
      <c r="G282" s="2"/>
      <c r="H282" s="4" t="str">
        <f>IF($D$225="Y","OR","...")</f>
        <v>...</v>
      </c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  <c r="BB282" s="2"/>
      <c r="BC282" s="2"/>
      <c r="BD282" s="2"/>
      <c r="BE282" s="2"/>
      <c r="BF282" s="2"/>
      <c r="BG282" s="2"/>
    </row>
    <row r="283" spans="1:59">
      <c r="A283" s="1" t="str">
        <f>IF($E$225="Y",'Population Definitions'!$A$5,"...")</f>
        <v>...</v>
      </c>
      <c r="B283" s="4" t="str">
        <f>IF($E$225="Y","---&gt;","...")</f>
        <v>...</v>
      </c>
      <c r="C283" s="1" t="str">
        <f>IF($E$225="Y",'Population Definitions'!$A$5,"...")</f>
        <v>...</v>
      </c>
      <c r="E283" s="2"/>
      <c r="F283" s="3"/>
      <c r="G283" s="2"/>
      <c r="H283" s="4" t="str">
        <f>IF($E$225="Y","OR","...")</f>
        <v>...</v>
      </c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  <c r="AT283" s="2"/>
      <c r="AU283" s="2"/>
      <c r="AV283" s="2"/>
      <c r="AW283" s="2"/>
      <c r="AX283" s="2"/>
      <c r="AY283" s="2"/>
      <c r="AZ283" s="2"/>
      <c r="BA283" s="2"/>
      <c r="BB283" s="2"/>
      <c r="BC283" s="2"/>
      <c r="BD283" s="2"/>
      <c r="BE283" s="2"/>
      <c r="BF283" s="2"/>
      <c r="BG283" s="2"/>
    </row>
    <row r="284" spans="1:59">
      <c r="A284" s="1" t="str">
        <f>IF($F$225="Y",'Population Definitions'!$A$5,"...")</f>
        <v>...</v>
      </c>
      <c r="B284" s="4" t="str">
        <f>IF($F$225="Y","---&gt;","...")</f>
        <v>...</v>
      </c>
      <c r="C284" s="1" t="str">
        <f>IF($F$225="Y",'Population Definitions'!$A$6,"...")</f>
        <v>...</v>
      </c>
      <c r="E284" s="2"/>
      <c r="F284" s="3"/>
      <c r="G284" s="2"/>
      <c r="H284" s="4" t="str">
        <f>IF($F$225="Y","OR","...")</f>
        <v>...</v>
      </c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  <c r="BB284" s="2"/>
      <c r="BC284" s="2"/>
      <c r="BD284" s="2"/>
      <c r="BE284" s="2"/>
      <c r="BF284" s="2"/>
      <c r="BG284" s="2"/>
    </row>
    <row r="285" spans="1:59">
      <c r="A285" s="1" t="str">
        <f>IF($G$225="Y",'Population Definitions'!$A$5,"...")</f>
        <v>...</v>
      </c>
      <c r="B285" s="4" t="str">
        <f>IF($G$225="Y","---&gt;","...")</f>
        <v>...</v>
      </c>
      <c r="C285" s="1" t="str">
        <f>IF($G$225="Y",'Population Definitions'!$A$7,"...")</f>
        <v>...</v>
      </c>
      <c r="E285" s="2"/>
      <c r="F285" s="3"/>
      <c r="G285" s="2"/>
      <c r="H285" s="4" t="str">
        <f>IF($G$225="Y","OR","...")</f>
        <v>...</v>
      </c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  <c r="BB285" s="2"/>
      <c r="BC285" s="2"/>
      <c r="BD285" s="2"/>
      <c r="BE285" s="2"/>
      <c r="BF285" s="2"/>
      <c r="BG285" s="2"/>
    </row>
    <row r="286" spans="1:59">
      <c r="A286" s="1" t="str">
        <f>IF($H$225="Y",'Population Definitions'!$A$5,"...")</f>
        <v>...</v>
      </c>
      <c r="B286" s="4" t="str">
        <f>IF($H$225="Y","---&gt;","...")</f>
        <v>...</v>
      </c>
      <c r="C286" s="1" t="str">
        <f>IF($H$225="Y",'Population Definitions'!$A$8,"...")</f>
        <v>...</v>
      </c>
      <c r="E286" s="2"/>
      <c r="F286" s="3"/>
      <c r="G286" s="2"/>
      <c r="H286" s="4" t="str">
        <f>IF($H$225="Y","OR","...")</f>
        <v>...</v>
      </c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  <c r="BB286" s="2"/>
      <c r="BC286" s="2"/>
      <c r="BD286" s="2"/>
      <c r="BE286" s="2"/>
      <c r="BF286" s="2"/>
      <c r="BG286" s="2"/>
    </row>
    <row r="287" spans="1:59">
      <c r="A287" s="1" t="str">
        <f>IF($I$225="Y",'Population Definitions'!$A$5,"...")</f>
        <v>...</v>
      </c>
      <c r="B287" s="4" t="str">
        <f>IF($I$225="Y","---&gt;","...")</f>
        <v>...</v>
      </c>
      <c r="C287" s="1" t="str">
        <f>IF($I$225="Y",'Population Definitions'!$A$9,"...")</f>
        <v>...</v>
      </c>
      <c r="E287" s="2"/>
      <c r="F287" s="3"/>
      <c r="G287" s="2"/>
      <c r="H287" s="4" t="str">
        <f>IF($I$225="Y","OR","...")</f>
        <v>...</v>
      </c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  <c r="BB287" s="2"/>
      <c r="BC287" s="2"/>
      <c r="BD287" s="2"/>
      <c r="BE287" s="2"/>
      <c r="BF287" s="2"/>
      <c r="BG287" s="2"/>
    </row>
    <row r="288" spans="1:59">
      <c r="A288" s="1" t="str">
        <f>IF($J$225="Y",'Population Definitions'!$A$5,"...")</f>
        <v>...</v>
      </c>
      <c r="B288" s="4" t="str">
        <f>IF($J$225="Y","---&gt;","...")</f>
        <v>...</v>
      </c>
      <c r="C288" s="1" t="str">
        <f>IF($J$225="Y",'Population Definitions'!$A$10,"...")</f>
        <v>...</v>
      </c>
      <c r="E288" s="2"/>
      <c r="F288" s="3"/>
      <c r="G288" s="2"/>
      <c r="H288" s="4" t="str">
        <f>IF($J$225="Y","OR","...")</f>
        <v>...</v>
      </c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  <c r="BB288" s="2"/>
      <c r="BC288" s="2"/>
      <c r="BD288" s="2"/>
      <c r="BE288" s="2"/>
      <c r="BF288" s="2"/>
      <c r="BG288" s="2"/>
    </row>
    <row r="289" spans="1:59">
      <c r="A289" s="1" t="str">
        <f>IF($K$225="Y",'Population Definitions'!$A$5,"...")</f>
        <v>...</v>
      </c>
      <c r="B289" s="4" t="str">
        <f>IF($K$225="Y","---&gt;","...")</f>
        <v>...</v>
      </c>
      <c r="C289" s="1" t="str">
        <f>IF($K$225="Y",'Population Definitions'!$A$11,"...")</f>
        <v>...</v>
      </c>
      <c r="E289" s="2"/>
      <c r="F289" s="3"/>
      <c r="G289" s="2"/>
      <c r="H289" s="4" t="str">
        <f>IF($K$225="Y","OR","...")</f>
        <v>...</v>
      </c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  <c r="BB289" s="2"/>
      <c r="BC289" s="2"/>
      <c r="BD289" s="2"/>
      <c r="BE289" s="2"/>
      <c r="BF289" s="2"/>
      <c r="BG289" s="2"/>
    </row>
    <row r="290" spans="1:59">
      <c r="A290" s="1" t="str">
        <f>IF($L$225="Y",'Population Definitions'!$A$5,"...")</f>
        <v>...</v>
      </c>
      <c r="B290" s="4" t="str">
        <f>IF($L$225="Y","---&gt;","...")</f>
        <v>...</v>
      </c>
      <c r="C290" s="1" t="str">
        <f>IF($L$225="Y",'Population Definitions'!$A$12,"...")</f>
        <v>...</v>
      </c>
      <c r="E290" s="2"/>
      <c r="F290" s="3"/>
      <c r="G290" s="2"/>
      <c r="H290" s="4" t="str">
        <f>IF($L$225="Y","OR","...")</f>
        <v>...</v>
      </c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  <c r="BB290" s="2"/>
      <c r="BC290" s="2"/>
      <c r="BD290" s="2"/>
      <c r="BE290" s="2"/>
      <c r="BF290" s="2"/>
      <c r="BG290" s="2"/>
    </row>
    <row r="291" spans="1:59">
      <c r="A291" s="1" t="str">
        <f>IF($M$225="Y",'Population Definitions'!$A$5,"...")</f>
        <v>...</v>
      </c>
      <c r="B291" s="4" t="str">
        <f>IF($M$225="Y","---&gt;","...")</f>
        <v>...</v>
      </c>
      <c r="C291" s="1" t="str">
        <f>IF($M$225="Y",'Population Definitions'!$A$13,"...")</f>
        <v>...</v>
      </c>
      <c r="E291" s="2"/>
      <c r="F291" s="3"/>
      <c r="G291" s="2"/>
      <c r="H291" s="4" t="str">
        <f>IF($M$225="Y","OR","...")</f>
        <v>...</v>
      </c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  <c r="BB291" s="2"/>
      <c r="BC291" s="2"/>
      <c r="BD291" s="2"/>
      <c r="BE291" s="2"/>
      <c r="BF291" s="2"/>
      <c r="BG291" s="2"/>
    </row>
    <row r="292" spans="1:59">
      <c r="A292" s="1" t="str">
        <f>IF($N$225="Y",'Population Definitions'!$A$5,"...")</f>
        <v>...</v>
      </c>
      <c r="B292" s="4" t="str">
        <f>IF($N$225="Y","---&gt;","...")</f>
        <v>...</v>
      </c>
      <c r="C292" s="1" t="str">
        <f>IF($N$225="Y",'Population Definitions'!$A$14,"...")</f>
        <v>...</v>
      </c>
      <c r="E292" s="2"/>
      <c r="F292" s="3"/>
      <c r="G292" s="2"/>
      <c r="H292" s="4" t="str">
        <f>IF($N$225="Y","OR","...")</f>
        <v>...</v>
      </c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/>
      <c r="BB292" s="2"/>
      <c r="BC292" s="2"/>
      <c r="BD292" s="2"/>
      <c r="BE292" s="2"/>
      <c r="BF292" s="2"/>
      <c r="BG292" s="2"/>
    </row>
    <row r="293" spans="1:59">
      <c r="A293" s="1" t="str">
        <f>IF($O$225="Y",'Population Definitions'!$A$5,"...")</f>
        <v>...</v>
      </c>
      <c r="B293" s="4" t="str">
        <f>IF($O$225="Y","---&gt;","...")</f>
        <v>...</v>
      </c>
      <c r="C293" s="1" t="str">
        <f>IF($O$225="Y",'Population Definitions'!$A$15,"...")</f>
        <v>...</v>
      </c>
      <c r="E293" s="2"/>
      <c r="F293" s="3"/>
      <c r="G293" s="2"/>
      <c r="H293" s="4" t="str">
        <f>IF($O$225="Y","OR","...")</f>
        <v>...</v>
      </c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  <c r="BB293" s="2"/>
      <c r="BC293" s="2"/>
      <c r="BD293" s="2"/>
      <c r="BE293" s="2"/>
      <c r="BF293" s="2"/>
      <c r="BG293" s="2"/>
    </row>
    <row r="294" spans="1:59">
      <c r="A294" s="1" t="str">
        <f>IF($B$226="Y",'Population Definitions'!$A$6,"...")</f>
        <v>...</v>
      </c>
      <c r="B294" s="4" t="str">
        <f>IF($B$226="Y","---&gt;","...")</f>
        <v>...</v>
      </c>
      <c r="C294" s="1" t="str">
        <f>IF($B$226="Y",'Population Definitions'!$A$2,"...")</f>
        <v>...</v>
      </c>
      <c r="E294" s="2"/>
      <c r="F294" s="3"/>
      <c r="G294" s="2"/>
      <c r="H294" s="4" t="str">
        <f>IF($B$226="Y","OR","...")</f>
        <v>...</v>
      </c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/>
      <c r="BB294" s="2"/>
      <c r="BC294" s="2"/>
      <c r="BD294" s="2"/>
      <c r="BE294" s="2"/>
      <c r="BF294" s="2"/>
      <c r="BG294" s="2"/>
    </row>
    <row r="295" spans="1:59">
      <c r="A295" s="1" t="str">
        <f>IF($C$226="Y",'Population Definitions'!$A$6,"...")</f>
        <v>...</v>
      </c>
      <c r="B295" s="4" t="str">
        <f>IF($C$226="Y","---&gt;","...")</f>
        <v>...</v>
      </c>
      <c r="C295" s="1" t="str">
        <f>IF($C$226="Y",'Population Definitions'!$A$3,"...")</f>
        <v>...</v>
      </c>
      <c r="E295" s="2"/>
      <c r="F295" s="3"/>
      <c r="G295" s="2"/>
      <c r="H295" s="4" t="str">
        <f>IF($C$226="Y","OR","...")</f>
        <v>...</v>
      </c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  <c r="AT295" s="2"/>
      <c r="AU295" s="2"/>
      <c r="AV295" s="2"/>
      <c r="AW295" s="2"/>
      <c r="AX295" s="2"/>
      <c r="AY295" s="2"/>
      <c r="AZ295" s="2"/>
      <c r="BA295" s="2"/>
      <c r="BB295" s="2"/>
      <c r="BC295" s="2"/>
      <c r="BD295" s="2"/>
      <c r="BE295" s="2"/>
      <c r="BF295" s="2"/>
      <c r="BG295" s="2"/>
    </row>
    <row r="296" spans="1:59">
      <c r="A296" s="1" t="str">
        <f>IF($D$226="Y",'Population Definitions'!$A$6,"...")</f>
        <v>...</v>
      </c>
      <c r="B296" s="4" t="str">
        <f>IF($D$226="Y","---&gt;","...")</f>
        <v>...</v>
      </c>
      <c r="C296" s="1" t="str">
        <f>IF($D$226="Y",'Population Definitions'!$A$4,"...")</f>
        <v>...</v>
      </c>
      <c r="E296" s="2"/>
      <c r="F296" s="3"/>
      <c r="G296" s="2"/>
      <c r="H296" s="4" t="str">
        <f>IF($D$226="Y","OR","...")</f>
        <v>...</v>
      </c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  <c r="AT296" s="2"/>
      <c r="AU296" s="2"/>
      <c r="AV296" s="2"/>
      <c r="AW296" s="2"/>
      <c r="AX296" s="2"/>
      <c r="AY296" s="2"/>
      <c r="AZ296" s="2"/>
      <c r="BA296" s="2"/>
      <c r="BB296" s="2"/>
      <c r="BC296" s="2"/>
      <c r="BD296" s="2"/>
      <c r="BE296" s="2"/>
      <c r="BF296" s="2"/>
      <c r="BG296" s="2"/>
    </row>
    <row r="297" spans="1:59">
      <c r="A297" s="1" t="str">
        <f>IF($E$226="Y",'Population Definitions'!$A$6,"...")</f>
        <v>...</v>
      </c>
      <c r="B297" s="4" t="str">
        <f>IF($E$226="Y","---&gt;","...")</f>
        <v>...</v>
      </c>
      <c r="C297" s="1" t="str">
        <f>IF($E$226="Y",'Population Definitions'!$A$5,"...")</f>
        <v>...</v>
      </c>
      <c r="E297" s="2"/>
      <c r="F297" s="3"/>
      <c r="G297" s="2"/>
      <c r="H297" s="4" t="str">
        <f>IF($E$226="Y","OR","...")</f>
        <v>...</v>
      </c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  <c r="BB297" s="2"/>
      <c r="BC297" s="2"/>
      <c r="BD297" s="2"/>
      <c r="BE297" s="2"/>
      <c r="BF297" s="2"/>
      <c r="BG297" s="2"/>
    </row>
    <row r="298" spans="1:59">
      <c r="A298" s="1" t="str">
        <f>IF($F$226="Y",'Population Definitions'!$A$6,"...")</f>
        <v>...</v>
      </c>
      <c r="B298" s="4" t="str">
        <f>IF($F$226="Y","---&gt;","...")</f>
        <v>...</v>
      </c>
      <c r="C298" s="1" t="str">
        <f>IF($F$226="Y",'Population Definitions'!$A$6,"...")</f>
        <v>...</v>
      </c>
      <c r="E298" s="2"/>
      <c r="F298" s="3"/>
      <c r="G298" s="2"/>
      <c r="H298" s="4" t="str">
        <f>IF($F$226="Y","OR","...")</f>
        <v>...</v>
      </c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2"/>
      <c r="BC298" s="2"/>
      <c r="BD298" s="2"/>
      <c r="BE298" s="2"/>
      <c r="BF298" s="2"/>
      <c r="BG298" s="2"/>
    </row>
    <row r="299" spans="1:59">
      <c r="A299" s="1" t="str">
        <f>IF($G$226="Y",'Population Definitions'!$A$6,"...")</f>
        <v>...</v>
      </c>
      <c r="B299" s="4" t="str">
        <f>IF($G$226="Y","---&gt;","...")</f>
        <v>...</v>
      </c>
      <c r="C299" s="1" t="str">
        <f>IF($G$226="Y",'Population Definitions'!$A$7,"...")</f>
        <v>...</v>
      </c>
      <c r="E299" s="2"/>
      <c r="F299" s="3"/>
      <c r="G299" s="2"/>
      <c r="H299" s="4" t="str">
        <f>IF($G$226="Y","OR","...")</f>
        <v>...</v>
      </c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2"/>
      <c r="BC299" s="2"/>
      <c r="BD299" s="2"/>
      <c r="BE299" s="2"/>
      <c r="BF299" s="2"/>
      <c r="BG299" s="2"/>
    </row>
    <row r="300" spans="1:59">
      <c r="A300" s="1" t="str">
        <f>IF($H$226="Y",'Population Definitions'!$A$6,"...")</f>
        <v>...</v>
      </c>
      <c r="B300" s="4" t="str">
        <f>IF($H$226="Y","---&gt;","...")</f>
        <v>...</v>
      </c>
      <c r="C300" s="1" t="str">
        <f>IF($H$226="Y",'Population Definitions'!$A$8,"...")</f>
        <v>...</v>
      </c>
      <c r="E300" s="2"/>
      <c r="F300" s="3"/>
      <c r="G300" s="2"/>
      <c r="H300" s="4" t="str">
        <f>IF($H$226="Y","OR","...")</f>
        <v>...</v>
      </c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  <c r="BB300" s="2"/>
      <c r="BC300" s="2"/>
      <c r="BD300" s="2"/>
      <c r="BE300" s="2"/>
      <c r="BF300" s="2"/>
      <c r="BG300" s="2"/>
    </row>
    <row r="301" spans="1:59">
      <c r="A301" s="1" t="str">
        <f>IF($I$226="Y",'Population Definitions'!$A$6,"...")</f>
        <v>...</v>
      </c>
      <c r="B301" s="4" t="str">
        <f>IF($I$226="Y","---&gt;","...")</f>
        <v>...</v>
      </c>
      <c r="C301" s="1" t="str">
        <f>IF($I$226="Y",'Population Definitions'!$A$9,"...")</f>
        <v>...</v>
      </c>
      <c r="E301" s="2"/>
      <c r="F301" s="3"/>
      <c r="G301" s="2"/>
      <c r="H301" s="4" t="str">
        <f>IF($I$226="Y","OR","...")</f>
        <v>...</v>
      </c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  <c r="BA301" s="2"/>
      <c r="BB301" s="2"/>
      <c r="BC301" s="2"/>
      <c r="BD301" s="2"/>
      <c r="BE301" s="2"/>
      <c r="BF301" s="2"/>
      <c r="BG301" s="2"/>
    </row>
    <row r="302" spans="1:59">
      <c r="A302" s="1" t="str">
        <f>IF($J$226="Y",'Population Definitions'!$A$6,"...")</f>
        <v>...</v>
      </c>
      <c r="B302" s="4" t="str">
        <f>IF($J$226="Y","---&gt;","...")</f>
        <v>...</v>
      </c>
      <c r="C302" s="1" t="str">
        <f>IF($J$226="Y",'Population Definitions'!$A$10,"...")</f>
        <v>...</v>
      </c>
      <c r="E302" s="2"/>
      <c r="F302" s="3"/>
      <c r="G302" s="2"/>
      <c r="H302" s="4" t="str">
        <f>IF($J$226="Y","OR","...")</f>
        <v>...</v>
      </c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  <c r="BA302" s="2"/>
      <c r="BB302" s="2"/>
      <c r="BC302" s="2"/>
      <c r="BD302" s="2"/>
      <c r="BE302" s="2"/>
      <c r="BF302" s="2"/>
      <c r="BG302" s="2"/>
    </row>
    <row r="303" spans="1:59">
      <c r="A303" s="1" t="str">
        <f>IF($K$226="Y",'Population Definitions'!$A$6,"...")</f>
        <v>...</v>
      </c>
      <c r="B303" s="4" t="str">
        <f>IF($K$226="Y","---&gt;","...")</f>
        <v>...</v>
      </c>
      <c r="C303" s="1" t="str">
        <f>IF($K$226="Y",'Population Definitions'!$A$11,"...")</f>
        <v>...</v>
      </c>
      <c r="E303" s="2"/>
      <c r="F303" s="3"/>
      <c r="G303" s="2"/>
      <c r="H303" s="4" t="str">
        <f>IF($K$226="Y","OR","...")</f>
        <v>...</v>
      </c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  <c r="BA303" s="2"/>
      <c r="BB303" s="2"/>
      <c r="BC303" s="2"/>
      <c r="BD303" s="2"/>
      <c r="BE303" s="2"/>
      <c r="BF303" s="2"/>
      <c r="BG303" s="2"/>
    </row>
    <row r="304" spans="1:59">
      <c r="A304" s="1" t="str">
        <f>IF($L$226="Y",'Population Definitions'!$A$6,"...")</f>
        <v>...</v>
      </c>
      <c r="B304" s="4" t="str">
        <f>IF($L$226="Y","---&gt;","...")</f>
        <v>...</v>
      </c>
      <c r="C304" s="1" t="str">
        <f>IF($L$226="Y",'Population Definitions'!$A$12,"...")</f>
        <v>...</v>
      </c>
      <c r="E304" s="2"/>
      <c r="F304" s="3"/>
      <c r="G304" s="2"/>
      <c r="H304" s="4" t="str">
        <f>IF($L$226="Y","OR","...")</f>
        <v>...</v>
      </c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  <c r="BA304" s="2"/>
      <c r="BB304" s="2"/>
      <c r="BC304" s="2"/>
      <c r="BD304" s="2"/>
      <c r="BE304" s="2"/>
      <c r="BF304" s="2"/>
      <c r="BG304" s="2"/>
    </row>
    <row r="305" spans="1:59">
      <c r="A305" s="1" t="str">
        <f>IF($M$226="Y",'Population Definitions'!$A$6,"...")</f>
        <v>...</v>
      </c>
      <c r="B305" s="4" t="str">
        <f>IF($M$226="Y","---&gt;","...")</f>
        <v>...</v>
      </c>
      <c r="C305" s="1" t="str">
        <f>IF($M$226="Y",'Population Definitions'!$A$13,"...")</f>
        <v>...</v>
      </c>
      <c r="E305" s="2"/>
      <c r="F305" s="3"/>
      <c r="G305" s="2"/>
      <c r="H305" s="4" t="str">
        <f>IF($M$226="Y","OR","...")</f>
        <v>...</v>
      </c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  <c r="AX305" s="2"/>
      <c r="AY305" s="2"/>
      <c r="AZ305" s="2"/>
      <c r="BA305" s="2"/>
      <c r="BB305" s="2"/>
      <c r="BC305" s="2"/>
      <c r="BD305" s="2"/>
      <c r="BE305" s="2"/>
      <c r="BF305" s="2"/>
      <c r="BG305" s="2"/>
    </row>
    <row r="306" spans="1:59">
      <c r="A306" s="1" t="str">
        <f>IF($N$226="Y",'Population Definitions'!$A$6,"...")</f>
        <v>...</v>
      </c>
      <c r="B306" s="4" t="str">
        <f>IF($N$226="Y","---&gt;","...")</f>
        <v>...</v>
      </c>
      <c r="C306" s="1" t="str">
        <f>IF($N$226="Y",'Population Definitions'!$A$14,"...")</f>
        <v>...</v>
      </c>
      <c r="E306" s="2"/>
      <c r="F306" s="3"/>
      <c r="G306" s="2"/>
      <c r="H306" s="4" t="str">
        <f>IF($N$226="Y","OR","...")</f>
        <v>...</v>
      </c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  <c r="BA306" s="2"/>
      <c r="BB306" s="2"/>
      <c r="BC306" s="2"/>
      <c r="BD306" s="2"/>
      <c r="BE306" s="2"/>
      <c r="BF306" s="2"/>
      <c r="BG306" s="2"/>
    </row>
    <row r="307" spans="1:59">
      <c r="A307" s="1" t="str">
        <f>IF($O$226="Y",'Population Definitions'!$A$6,"...")</f>
        <v>...</v>
      </c>
      <c r="B307" s="4" t="str">
        <f>IF($O$226="Y","---&gt;","...")</f>
        <v>...</v>
      </c>
      <c r="C307" s="1" t="str">
        <f>IF($O$226="Y",'Population Definitions'!$A$15,"...")</f>
        <v>...</v>
      </c>
      <c r="E307" s="2"/>
      <c r="F307" s="3"/>
      <c r="G307" s="2"/>
      <c r="H307" s="4" t="str">
        <f>IF($O$226="Y","OR","...")</f>
        <v>...</v>
      </c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  <c r="BA307" s="2"/>
      <c r="BB307" s="2"/>
      <c r="BC307" s="2"/>
      <c r="BD307" s="2"/>
      <c r="BE307" s="2"/>
      <c r="BF307" s="2"/>
      <c r="BG307" s="2"/>
    </row>
    <row r="308" spans="1:59">
      <c r="A308" s="1" t="str">
        <f>IF($B$227="Y",'Population Definitions'!$A$7,"...")</f>
        <v>...</v>
      </c>
      <c r="B308" s="4" t="str">
        <f>IF($B$227="Y","---&gt;","...")</f>
        <v>...</v>
      </c>
      <c r="C308" s="1" t="str">
        <f>IF($B$227="Y",'Population Definitions'!$A$2,"...")</f>
        <v>...</v>
      </c>
      <c r="E308" s="2"/>
      <c r="F308" s="3"/>
      <c r="G308" s="2"/>
      <c r="H308" s="4" t="str">
        <f>IF($B$227="Y","OR","...")</f>
        <v>...</v>
      </c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  <c r="AR308" s="2"/>
      <c r="AS308" s="2"/>
      <c r="AT308" s="2"/>
      <c r="AU308" s="2"/>
      <c r="AV308" s="2"/>
      <c r="AW308" s="2"/>
      <c r="AX308" s="2"/>
      <c r="AY308" s="2"/>
      <c r="AZ308" s="2"/>
      <c r="BA308" s="2"/>
      <c r="BB308" s="2"/>
      <c r="BC308" s="2"/>
      <c r="BD308" s="2"/>
      <c r="BE308" s="2"/>
      <c r="BF308" s="2"/>
      <c r="BG308" s="2"/>
    </row>
    <row r="309" spans="1:59">
      <c r="A309" s="1" t="str">
        <f>IF($C$227="Y",'Population Definitions'!$A$7,"...")</f>
        <v>...</v>
      </c>
      <c r="B309" s="4" t="str">
        <f>IF($C$227="Y","---&gt;","...")</f>
        <v>...</v>
      </c>
      <c r="C309" s="1" t="str">
        <f>IF($C$227="Y",'Population Definitions'!$A$3,"...")</f>
        <v>...</v>
      </c>
      <c r="E309" s="2"/>
      <c r="F309" s="3"/>
      <c r="G309" s="2"/>
      <c r="H309" s="4" t="str">
        <f>IF($C$227="Y","OR","...")</f>
        <v>...</v>
      </c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  <c r="BA309" s="2"/>
      <c r="BB309" s="2"/>
      <c r="BC309" s="2"/>
      <c r="BD309" s="2"/>
      <c r="BE309" s="2"/>
      <c r="BF309" s="2"/>
      <c r="BG309" s="2"/>
    </row>
    <row r="310" spans="1:59">
      <c r="A310" s="1" t="str">
        <f>IF($D$227="Y",'Population Definitions'!$A$7,"...")</f>
        <v>...</v>
      </c>
      <c r="B310" s="4" t="str">
        <f>IF($D$227="Y","---&gt;","...")</f>
        <v>...</v>
      </c>
      <c r="C310" s="1" t="str">
        <f>IF($D$227="Y",'Population Definitions'!$A$4,"...")</f>
        <v>...</v>
      </c>
      <c r="E310" s="2"/>
      <c r="F310" s="3"/>
      <c r="G310" s="2"/>
      <c r="H310" s="4" t="str">
        <f>IF($D$227="Y","OR","...")</f>
        <v>...</v>
      </c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  <c r="BA310" s="2"/>
      <c r="BB310" s="2"/>
      <c r="BC310" s="2"/>
      <c r="BD310" s="2"/>
      <c r="BE310" s="2"/>
      <c r="BF310" s="2"/>
      <c r="BG310" s="2"/>
    </row>
    <row r="311" spans="1:59">
      <c r="A311" s="1" t="str">
        <f>IF($E$227="Y",'Population Definitions'!$A$7,"...")</f>
        <v>...</v>
      </c>
      <c r="B311" s="4" t="str">
        <f>IF($E$227="Y","---&gt;","...")</f>
        <v>...</v>
      </c>
      <c r="C311" s="1" t="str">
        <f>IF($E$227="Y",'Population Definitions'!$A$5,"...")</f>
        <v>...</v>
      </c>
      <c r="E311" s="2"/>
      <c r="F311" s="3"/>
      <c r="G311" s="2"/>
      <c r="H311" s="4" t="str">
        <f>IF($E$227="Y","OR","...")</f>
        <v>...</v>
      </c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/>
      <c r="BA311" s="2"/>
      <c r="BB311" s="2"/>
      <c r="BC311" s="2"/>
      <c r="BD311" s="2"/>
      <c r="BE311" s="2"/>
      <c r="BF311" s="2"/>
      <c r="BG311" s="2"/>
    </row>
    <row r="312" spans="1:59">
      <c r="A312" s="1" t="str">
        <f>IF($F$227="Y",'Population Definitions'!$A$7,"...")</f>
        <v>...</v>
      </c>
      <c r="B312" s="4" t="str">
        <f>IF($F$227="Y","---&gt;","...")</f>
        <v>...</v>
      </c>
      <c r="C312" s="1" t="str">
        <f>IF($F$227="Y",'Population Definitions'!$A$6,"...")</f>
        <v>...</v>
      </c>
      <c r="E312" s="2"/>
      <c r="F312" s="3"/>
      <c r="G312" s="2"/>
      <c r="H312" s="4" t="str">
        <f>IF($F$227="Y","OR","...")</f>
        <v>...</v>
      </c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  <c r="AX312" s="2"/>
      <c r="AY312" s="2"/>
      <c r="AZ312" s="2"/>
      <c r="BA312" s="2"/>
      <c r="BB312" s="2"/>
      <c r="BC312" s="2"/>
      <c r="BD312" s="2"/>
      <c r="BE312" s="2"/>
      <c r="BF312" s="2"/>
      <c r="BG312" s="2"/>
    </row>
    <row r="313" spans="1:59">
      <c r="A313" s="1" t="str">
        <f>IF($G$227="Y",'Population Definitions'!$A$7,"...")</f>
        <v>...</v>
      </c>
      <c r="B313" s="4" t="str">
        <f>IF($G$227="Y","---&gt;","...")</f>
        <v>...</v>
      </c>
      <c r="C313" s="1" t="str">
        <f>IF($G$227="Y",'Population Definitions'!$A$7,"...")</f>
        <v>...</v>
      </c>
      <c r="E313" s="2"/>
      <c r="F313" s="3"/>
      <c r="G313" s="2"/>
      <c r="H313" s="4" t="str">
        <f>IF($G$227="Y","OR","...")</f>
        <v>...</v>
      </c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/>
      <c r="AZ313" s="2"/>
      <c r="BA313" s="2"/>
      <c r="BB313" s="2"/>
      <c r="BC313" s="2"/>
      <c r="BD313" s="2"/>
      <c r="BE313" s="2"/>
      <c r="BF313" s="2"/>
      <c r="BG313" s="2"/>
    </row>
    <row r="314" spans="1:59">
      <c r="A314" s="1" t="str">
        <f>IF($H$227="Y",'Population Definitions'!$A$7,"...")</f>
        <v>...</v>
      </c>
      <c r="B314" s="4" t="str">
        <f>IF($H$227="Y","---&gt;","...")</f>
        <v>...</v>
      </c>
      <c r="C314" s="1" t="str">
        <f>IF($H$227="Y",'Population Definitions'!$A$8,"...")</f>
        <v>...</v>
      </c>
      <c r="E314" s="2"/>
      <c r="F314" s="3"/>
      <c r="G314" s="2"/>
      <c r="H314" s="4" t="str">
        <f>IF($H$227="Y","OR","...")</f>
        <v>...</v>
      </c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  <c r="BA314" s="2"/>
      <c r="BB314" s="2"/>
      <c r="BC314" s="2"/>
      <c r="BD314" s="2"/>
      <c r="BE314" s="2"/>
      <c r="BF314" s="2"/>
      <c r="BG314" s="2"/>
    </row>
    <row r="315" spans="1:59">
      <c r="A315" s="1" t="str">
        <f>IF($I$227="Y",'Population Definitions'!$A$7,"...")</f>
        <v>...</v>
      </c>
      <c r="B315" s="4" t="str">
        <f>IF($I$227="Y","---&gt;","...")</f>
        <v>...</v>
      </c>
      <c r="C315" s="1" t="str">
        <f>IF($I$227="Y",'Population Definitions'!$A$9,"...")</f>
        <v>...</v>
      </c>
      <c r="E315" s="2"/>
      <c r="F315" s="3"/>
      <c r="G315" s="2"/>
      <c r="H315" s="4" t="str">
        <f>IF($I$227="Y","OR","...")</f>
        <v>...</v>
      </c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2"/>
      <c r="BA315" s="2"/>
      <c r="BB315" s="2"/>
      <c r="BC315" s="2"/>
      <c r="BD315" s="2"/>
      <c r="BE315" s="2"/>
      <c r="BF315" s="2"/>
      <c r="BG315" s="2"/>
    </row>
    <row r="316" spans="1:59">
      <c r="A316" s="1" t="str">
        <f>IF($J$227="Y",'Population Definitions'!$A$7,"...")</f>
        <v>...</v>
      </c>
      <c r="B316" s="4" t="str">
        <f>IF($J$227="Y","---&gt;","...")</f>
        <v>...</v>
      </c>
      <c r="C316" s="1" t="str">
        <f>IF($J$227="Y",'Population Definitions'!$A$10,"...")</f>
        <v>...</v>
      </c>
      <c r="E316" s="2"/>
      <c r="F316" s="3"/>
      <c r="G316" s="2"/>
      <c r="H316" s="4" t="str">
        <f>IF($J$227="Y","OR","...")</f>
        <v>...</v>
      </c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  <c r="BA316" s="2"/>
      <c r="BB316" s="2"/>
      <c r="BC316" s="2"/>
      <c r="BD316" s="2"/>
      <c r="BE316" s="2"/>
      <c r="BF316" s="2"/>
      <c r="BG316" s="2"/>
    </row>
    <row r="317" spans="1:59">
      <c r="A317" s="1" t="str">
        <f>IF($K$227="Y",'Population Definitions'!$A$7,"...")</f>
        <v>...</v>
      </c>
      <c r="B317" s="4" t="str">
        <f>IF($K$227="Y","---&gt;","...")</f>
        <v>...</v>
      </c>
      <c r="C317" s="1" t="str">
        <f>IF($K$227="Y",'Population Definitions'!$A$11,"...")</f>
        <v>...</v>
      </c>
      <c r="E317" s="2"/>
      <c r="F317" s="3"/>
      <c r="G317" s="2"/>
      <c r="H317" s="4" t="str">
        <f>IF($K$227="Y","OR","...")</f>
        <v>...</v>
      </c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X317" s="2"/>
      <c r="AY317" s="2"/>
      <c r="AZ317" s="2"/>
      <c r="BA317" s="2"/>
      <c r="BB317" s="2"/>
      <c r="BC317" s="2"/>
      <c r="BD317" s="2"/>
      <c r="BE317" s="2"/>
      <c r="BF317" s="2"/>
      <c r="BG317" s="2"/>
    </row>
    <row r="318" spans="1:59">
      <c r="A318" s="1" t="str">
        <f>IF($L$227="Y",'Population Definitions'!$A$7,"...")</f>
        <v>...</v>
      </c>
      <c r="B318" s="4" t="str">
        <f>IF($L$227="Y","---&gt;","...")</f>
        <v>...</v>
      </c>
      <c r="C318" s="1" t="str">
        <f>IF($L$227="Y",'Population Definitions'!$A$12,"...")</f>
        <v>...</v>
      </c>
      <c r="E318" s="2"/>
      <c r="F318" s="3"/>
      <c r="G318" s="2"/>
      <c r="H318" s="4" t="str">
        <f>IF($L$227="Y","OR","...")</f>
        <v>...</v>
      </c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  <c r="AQ318" s="2"/>
      <c r="AR318" s="2"/>
      <c r="AS318" s="2"/>
      <c r="AT318" s="2"/>
      <c r="AU318" s="2"/>
      <c r="AV318" s="2"/>
      <c r="AW318" s="2"/>
      <c r="AX318" s="2"/>
      <c r="AY318" s="2"/>
      <c r="AZ318" s="2"/>
      <c r="BA318" s="2"/>
      <c r="BB318" s="2"/>
      <c r="BC318" s="2"/>
      <c r="BD318" s="2"/>
      <c r="BE318" s="2"/>
      <c r="BF318" s="2"/>
      <c r="BG318" s="2"/>
    </row>
    <row r="319" spans="1:59">
      <c r="A319" s="1" t="str">
        <f>IF($M$227="Y",'Population Definitions'!$A$7,"...")</f>
        <v>...</v>
      </c>
      <c r="B319" s="4" t="str">
        <f>IF($M$227="Y","---&gt;","...")</f>
        <v>...</v>
      </c>
      <c r="C319" s="1" t="str">
        <f>IF($M$227="Y",'Population Definitions'!$A$13,"...")</f>
        <v>...</v>
      </c>
      <c r="E319" s="2"/>
      <c r="F319" s="3"/>
      <c r="G319" s="2"/>
      <c r="H319" s="4" t="str">
        <f>IF($M$227="Y","OR","...")</f>
        <v>...</v>
      </c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  <c r="AQ319" s="2"/>
      <c r="AR319" s="2"/>
      <c r="AS319" s="2"/>
      <c r="AT319" s="2"/>
      <c r="AU319" s="2"/>
      <c r="AV319" s="2"/>
      <c r="AW319" s="2"/>
      <c r="AX319" s="2"/>
      <c r="AY319" s="2"/>
      <c r="AZ319" s="2"/>
      <c r="BA319" s="2"/>
      <c r="BB319" s="2"/>
      <c r="BC319" s="2"/>
      <c r="BD319" s="2"/>
      <c r="BE319" s="2"/>
      <c r="BF319" s="2"/>
      <c r="BG319" s="2"/>
    </row>
    <row r="320" spans="1:59">
      <c r="A320" s="1" t="str">
        <f>IF($N$227="Y",'Population Definitions'!$A$7,"...")</f>
        <v>...</v>
      </c>
      <c r="B320" s="4" t="str">
        <f>IF($N$227="Y","---&gt;","...")</f>
        <v>...</v>
      </c>
      <c r="C320" s="1" t="str">
        <f>IF($N$227="Y",'Population Definitions'!$A$14,"...")</f>
        <v>...</v>
      </c>
      <c r="E320" s="2"/>
      <c r="F320" s="3"/>
      <c r="G320" s="2"/>
      <c r="H320" s="4" t="str">
        <f>IF($N$227="Y","OR","...")</f>
        <v>...</v>
      </c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  <c r="AQ320" s="2"/>
      <c r="AR320" s="2"/>
      <c r="AS320" s="2"/>
      <c r="AT320" s="2"/>
      <c r="AU320" s="2"/>
      <c r="AV320" s="2"/>
      <c r="AW320" s="2"/>
      <c r="AX320" s="2"/>
      <c r="AY320" s="2"/>
      <c r="AZ320" s="2"/>
      <c r="BA320" s="2"/>
      <c r="BB320" s="2"/>
      <c r="BC320" s="2"/>
      <c r="BD320" s="2"/>
      <c r="BE320" s="2"/>
      <c r="BF320" s="2"/>
      <c r="BG320" s="2"/>
    </row>
    <row r="321" spans="1:59">
      <c r="A321" s="1" t="str">
        <f>IF($O$227="Y",'Population Definitions'!$A$7,"...")</f>
        <v>...</v>
      </c>
      <c r="B321" s="4" t="str">
        <f>IF($O$227="Y","---&gt;","...")</f>
        <v>...</v>
      </c>
      <c r="C321" s="1" t="str">
        <f>IF($O$227="Y",'Population Definitions'!$A$15,"...")</f>
        <v>...</v>
      </c>
      <c r="E321" s="2"/>
      <c r="F321" s="3"/>
      <c r="G321" s="2"/>
      <c r="H321" s="4" t="str">
        <f>IF($O$227="Y","OR","...")</f>
        <v>...</v>
      </c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  <c r="AQ321" s="2"/>
      <c r="AR321" s="2"/>
      <c r="AS321" s="2"/>
      <c r="AT321" s="2"/>
      <c r="AU321" s="2"/>
      <c r="AV321" s="2"/>
      <c r="AW321" s="2"/>
      <c r="AX321" s="2"/>
      <c r="AY321" s="2"/>
      <c r="AZ321" s="2"/>
      <c r="BA321" s="2"/>
      <c r="BB321" s="2"/>
      <c r="BC321" s="2"/>
      <c r="BD321" s="2"/>
      <c r="BE321" s="2"/>
      <c r="BF321" s="2"/>
      <c r="BG321" s="2"/>
    </row>
    <row r="322" spans="1:59">
      <c r="A322" s="1" t="str">
        <f>IF($B$228="Y",'Population Definitions'!$A$8,"...")</f>
        <v>18-64_males</v>
      </c>
      <c r="B322" s="4" t="str">
        <f>IF($B$228="Y","---&gt;","...")</f>
        <v>---&gt;</v>
      </c>
      <c r="C322" s="1" t="str">
        <f>IF($B$228="Y",'Population Definitions'!$A$2,"...")</f>
        <v>PWID_males</v>
      </c>
      <c r="E322" s="3" t="s">
        <v>55</v>
      </c>
      <c r="F322" s="3"/>
      <c r="G322" s="3">
        <v>0.0005149377531614269</v>
      </c>
      <c r="H322" s="4" t="str">
        <f>IF($B$228="Y","OR","...")</f>
        <v>OR</v>
      </c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  <c r="AJ322" s="3"/>
      <c r="AK322" s="3"/>
      <c r="AL322" s="3"/>
      <c r="AM322" s="3"/>
      <c r="AN322" s="3"/>
      <c r="AO322" s="3"/>
      <c r="AP322" s="3"/>
      <c r="AQ322" s="3"/>
      <c r="AR322" s="3"/>
      <c r="AS322" s="3"/>
      <c r="AT322" s="3"/>
      <c r="AU322" s="3"/>
      <c r="AV322" s="3"/>
      <c r="AW322" s="3"/>
      <c r="AX322" s="3"/>
      <c r="AY322" s="3"/>
      <c r="AZ322" s="3"/>
      <c r="BA322" s="3"/>
      <c r="BB322" s="3"/>
      <c r="BC322" s="3"/>
      <c r="BD322" s="3"/>
      <c r="BE322" s="3"/>
      <c r="BF322" s="3"/>
      <c r="BG322" s="3"/>
    </row>
    <row r="323" spans="1:59">
      <c r="A323" s="1" t="str">
        <f>IF($C$228="Y",'Population Definitions'!$A$8,"...")</f>
        <v>...</v>
      </c>
      <c r="B323" s="4" t="str">
        <f>IF($C$228="Y","---&gt;","...")</f>
        <v>...</v>
      </c>
      <c r="C323" s="1" t="str">
        <f>IF($C$228="Y",'Population Definitions'!$A$3,"...")</f>
        <v>...</v>
      </c>
      <c r="E323" s="2"/>
      <c r="F323" s="3"/>
      <c r="G323" s="2"/>
      <c r="H323" s="4" t="str">
        <f>IF($C$228="Y","OR","...")</f>
        <v>...</v>
      </c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  <c r="AQ323" s="2"/>
      <c r="AR323" s="2"/>
      <c r="AS323" s="2"/>
      <c r="AT323" s="2"/>
      <c r="AU323" s="2"/>
      <c r="AV323" s="2"/>
      <c r="AW323" s="2"/>
      <c r="AX323" s="2"/>
      <c r="AY323" s="2"/>
      <c r="AZ323" s="2"/>
      <c r="BA323" s="2"/>
      <c r="BB323" s="2"/>
      <c r="BC323" s="2"/>
      <c r="BD323" s="2"/>
      <c r="BE323" s="2"/>
      <c r="BF323" s="2"/>
      <c r="BG323" s="2"/>
    </row>
    <row r="324" spans="1:59">
      <c r="A324" s="1" t="str">
        <f>IF($D$228="Y",'Population Definitions'!$A$8,"...")</f>
        <v>...</v>
      </c>
      <c r="B324" s="4" t="str">
        <f>IF($D$228="Y","---&gt;","...")</f>
        <v>...</v>
      </c>
      <c r="C324" s="1" t="str">
        <f>IF($D$228="Y",'Population Definitions'!$A$4,"...")</f>
        <v>...</v>
      </c>
      <c r="E324" s="2"/>
      <c r="F324" s="3"/>
      <c r="G324" s="2"/>
      <c r="H324" s="4" t="str">
        <f>IF($D$228="Y","OR","...")</f>
        <v>...</v>
      </c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  <c r="AQ324" s="2"/>
      <c r="AR324" s="2"/>
      <c r="AS324" s="2"/>
      <c r="AT324" s="2"/>
      <c r="AU324" s="2"/>
      <c r="AV324" s="2"/>
      <c r="AW324" s="2"/>
      <c r="AX324" s="2"/>
      <c r="AY324" s="2"/>
      <c r="AZ324" s="2"/>
      <c r="BA324" s="2"/>
      <c r="BB324" s="2"/>
      <c r="BC324" s="2"/>
      <c r="BD324" s="2"/>
      <c r="BE324" s="2"/>
      <c r="BF324" s="2"/>
      <c r="BG324" s="2"/>
    </row>
    <row r="325" spans="1:59">
      <c r="A325" s="1" t="str">
        <f>IF($E$228="Y",'Population Definitions'!$A$8,"...")</f>
        <v>...</v>
      </c>
      <c r="B325" s="4" t="str">
        <f>IF($E$228="Y","---&gt;","...")</f>
        <v>...</v>
      </c>
      <c r="C325" s="1" t="str">
        <f>IF($E$228="Y",'Population Definitions'!$A$5,"...")</f>
        <v>...</v>
      </c>
      <c r="E325" s="2"/>
      <c r="F325" s="3"/>
      <c r="G325" s="2"/>
      <c r="H325" s="4" t="str">
        <f>IF($E$228="Y","OR","...")</f>
        <v>...</v>
      </c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  <c r="AQ325" s="2"/>
      <c r="AR325" s="2"/>
      <c r="AS325" s="2"/>
      <c r="AT325" s="2"/>
      <c r="AU325" s="2"/>
      <c r="AV325" s="2"/>
      <c r="AW325" s="2"/>
      <c r="AX325" s="2"/>
      <c r="AY325" s="2"/>
      <c r="AZ325" s="2"/>
      <c r="BA325" s="2"/>
      <c r="BB325" s="2"/>
      <c r="BC325" s="2"/>
      <c r="BD325" s="2"/>
      <c r="BE325" s="2"/>
      <c r="BF325" s="2"/>
      <c r="BG325" s="2"/>
    </row>
    <row r="326" spans="1:59">
      <c r="A326" s="1" t="str">
        <f>IF($F$228="Y",'Population Definitions'!$A$8,"...")</f>
        <v>...</v>
      </c>
      <c r="B326" s="4" t="str">
        <f>IF($F$228="Y","---&gt;","...")</f>
        <v>...</v>
      </c>
      <c r="C326" s="1" t="str">
        <f>IF($F$228="Y",'Population Definitions'!$A$6,"...")</f>
        <v>...</v>
      </c>
      <c r="E326" s="2"/>
      <c r="F326" s="3"/>
      <c r="G326" s="2"/>
      <c r="H326" s="4" t="str">
        <f>IF($F$228="Y","OR","...")</f>
        <v>...</v>
      </c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  <c r="AP326" s="2"/>
      <c r="AQ326" s="2"/>
      <c r="AR326" s="2"/>
      <c r="AS326" s="2"/>
      <c r="AT326" s="2"/>
      <c r="AU326" s="2"/>
      <c r="AV326" s="2"/>
      <c r="AW326" s="2"/>
      <c r="AX326" s="2"/>
      <c r="AY326" s="2"/>
      <c r="AZ326" s="2"/>
      <c r="BA326" s="2"/>
      <c r="BB326" s="2"/>
      <c r="BC326" s="2"/>
      <c r="BD326" s="2"/>
      <c r="BE326" s="2"/>
      <c r="BF326" s="2"/>
      <c r="BG326" s="2"/>
    </row>
    <row r="327" spans="1:59">
      <c r="A327" s="1" t="str">
        <f>IF($G$228="Y",'Population Definitions'!$A$8,"...")</f>
        <v>...</v>
      </c>
      <c r="B327" s="4" t="str">
        <f>IF($G$228="Y","---&gt;","...")</f>
        <v>...</v>
      </c>
      <c r="C327" s="1" t="str">
        <f>IF($G$228="Y",'Population Definitions'!$A$7,"...")</f>
        <v>...</v>
      </c>
      <c r="E327" s="2"/>
      <c r="F327" s="3"/>
      <c r="G327" s="2"/>
      <c r="H327" s="4" t="str">
        <f>IF($G$228="Y","OR","...")</f>
        <v>...</v>
      </c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  <c r="AQ327" s="2"/>
      <c r="AR327" s="2"/>
      <c r="AS327" s="2"/>
      <c r="AT327" s="2"/>
      <c r="AU327" s="2"/>
      <c r="AV327" s="2"/>
      <c r="AW327" s="2"/>
      <c r="AX327" s="2"/>
      <c r="AY327" s="2"/>
      <c r="AZ327" s="2"/>
      <c r="BA327" s="2"/>
      <c r="BB327" s="2"/>
      <c r="BC327" s="2"/>
      <c r="BD327" s="2"/>
      <c r="BE327" s="2"/>
      <c r="BF327" s="2"/>
      <c r="BG327" s="2"/>
    </row>
    <row r="328" spans="1:59">
      <c r="A328" s="1" t="str">
        <f>IF($H$228="Y",'Population Definitions'!$A$8,"...")</f>
        <v>...</v>
      </c>
      <c r="B328" s="4" t="str">
        <f>IF($H$228="Y","---&gt;","...")</f>
        <v>...</v>
      </c>
      <c r="C328" s="1" t="str">
        <f>IF($H$228="Y",'Population Definitions'!$A$8,"...")</f>
        <v>...</v>
      </c>
      <c r="E328" s="2"/>
      <c r="F328" s="3"/>
      <c r="G328" s="2"/>
      <c r="H328" s="4" t="str">
        <f>IF($H$228="Y","OR","...")</f>
        <v>...</v>
      </c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  <c r="AN328" s="2"/>
      <c r="AO328" s="2"/>
      <c r="AP328" s="2"/>
      <c r="AQ328" s="2"/>
      <c r="AR328" s="2"/>
      <c r="AS328" s="2"/>
      <c r="AT328" s="2"/>
      <c r="AU328" s="2"/>
      <c r="AV328" s="2"/>
      <c r="AW328" s="2"/>
      <c r="AX328" s="2"/>
      <c r="AY328" s="2"/>
      <c r="AZ328" s="2"/>
      <c r="BA328" s="2"/>
      <c r="BB328" s="2"/>
      <c r="BC328" s="2"/>
      <c r="BD328" s="2"/>
      <c r="BE328" s="2"/>
      <c r="BF328" s="2"/>
      <c r="BG328" s="2"/>
    </row>
    <row r="329" spans="1:59">
      <c r="A329" s="1" t="str">
        <f>IF($I$228="Y",'Population Definitions'!$A$8,"...")</f>
        <v>...</v>
      </c>
      <c r="B329" s="4" t="str">
        <f>IF($I$228="Y","---&gt;","...")</f>
        <v>...</v>
      </c>
      <c r="C329" s="1" t="str">
        <f>IF($I$228="Y",'Population Definitions'!$A$9,"...")</f>
        <v>...</v>
      </c>
      <c r="E329" s="2"/>
      <c r="F329" s="3"/>
      <c r="G329" s="2"/>
      <c r="H329" s="4" t="str">
        <f>IF($I$228="Y","OR","...")</f>
        <v>...</v>
      </c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  <c r="AN329" s="2"/>
      <c r="AO329" s="2"/>
      <c r="AP329" s="2"/>
      <c r="AQ329" s="2"/>
      <c r="AR329" s="2"/>
      <c r="AS329" s="2"/>
      <c r="AT329" s="2"/>
      <c r="AU329" s="2"/>
      <c r="AV329" s="2"/>
      <c r="AW329" s="2"/>
      <c r="AX329" s="2"/>
      <c r="AY329" s="2"/>
      <c r="AZ329" s="2"/>
      <c r="BA329" s="2"/>
      <c r="BB329" s="2"/>
      <c r="BC329" s="2"/>
      <c r="BD329" s="2"/>
      <c r="BE329" s="2"/>
      <c r="BF329" s="2"/>
      <c r="BG329" s="2"/>
    </row>
    <row r="330" spans="1:59">
      <c r="A330" s="1" t="str">
        <f>IF($J$228="Y",'Population Definitions'!$A$8,"...")</f>
        <v>...</v>
      </c>
      <c r="B330" s="4" t="str">
        <f>IF($J$228="Y","---&gt;","...")</f>
        <v>...</v>
      </c>
      <c r="C330" s="1" t="str">
        <f>IF($J$228="Y",'Population Definitions'!$A$10,"...")</f>
        <v>...</v>
      </c>
      <c r="E330" s="2"/>
      <c r="F330" s="3"/>
      <c r="G330" s="2"/>
      <c r="H330" s="4" t="str">
        <f>IF($J$228="Y","OR","...")</f>
        <v>...</v>
      </c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  <c r="AN330" s="2"/>
      <c r="AO330" s="2"/>
      <c r="AP330" s="2"/>
      <c r="AQ330" s="2"/>
      <c r="AR330" s="2"/>
      <c r="AS330" s="2"/>
      <c r="AT330" s="2"/>
      <c r="AU330" s="2"/>
      <c r="AV330" s="2"/>
      <c r="AW330" s="2"/>
      <c r="AX330" s="2"/>
      <c r="AY330" s="2"/>
      <c r="AZ330" s="2"/>
      <c r="BA330" s="2"/>
      <c r="BB330" s="2"/>
      <c r="BC330" s="2"/>
      <c r="BD330" s="2"/>
      <c r="BE330" s="2"/>
      <c r="BF330" s="2"/>
      <c r="BG330" s="2"/>
    </row>
    <row r="331" spans="1:59">
      <c r="A331" s="1" t="str">
        <f>IF($K$228="Y",'Population Definitions'!$A$8,"...")</f>
        <v>...</v>
      </c>
      <c r="B331" s="4" t="str">
        <f>IF($K$228="Y","---&gt;","...")</f>
        <v>...</v>
      </c>
      <c r="C331" s="1" t="str">
        <f>IF($K$228="Y",'Population Definitions'!$A$11,"...")</f>
        <v>...</v>
      </c>
      <c r="E331" s="2"/>
      <c r="F331" s="3"/>
      <c r="G331" s="2"/>
      <c r="H331" s="4" t="str">
        <f>IF($K$228="Y","OR","...")</f>
        <v>...</v>
      </c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  <c r="AN331" s="2"/>
      <c r="AO331" s="2"/>
      <c r="AP331" s="2"/>
      <c r="AQ331" s="2"/>
      <c r="AR331" s="2"/>
      <c r="AS331" s="2"/>
      <c r="AT331" s="2"/>
      <c r="AU331" s="2"/>
      <c r="AV331" s="2"/>
      <c r="AW331" s="2"/>
      <c r="AX331" s="2"/>
      <c r="AY331" s="2"/>
      <c r="AZ331" s="2"/>
      <c r="BA331" s="2"/>
      <c r="BB331" s="2"/>
      <c r="BC331" s="2"/>
      <c r="BD331" s="2"/>
      <c r="BE331" s="2"/>
      <c r="BF331" s="2"/>
      <c r="BG331" s="2"/>
    </row>
    <row r="332" spans="1:59">
      <c r="A332" s="1" t="str">
        <f>IF($L$228="Y",'Population Definitions'!$A$8,"...")</f>
        <v>...</v>
      </c>
      <c r="B332" s="4" t="str">
        <f>IF($L$228="Y","---&gt;","...")</f>
        <v>...</v>
      </c>
      <c r="C332" s="1" t="str">
        <f>IF($L$228="Y",'Population Definitions'!$A$12,"...")</f>
        <v>...</v>
      </c>
      <c r="E332" s="2"/>
      <c r="F332" s="3"/>
      <c r="G332" s="2"/>
      <c r="H332" s="4" t="str">
        <f>IF($L$228="Y","OR","...")</f>
        <v>...</v>
      </c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  <c r="AP332" s="2"/>
      <c r="AQ332" s="2"/>
      <c r="AR332" s="2"/>
      <c r="AS332" s="2"/>
      <c r="AT332" s="2"/>
      <c r="AU332" s="2"/>
      <c r="AV332" s="2"/>
      <c r="AW332" s="2"/>
      <c r="AX332" s="2"/>
      <c r="AY332" s="2"/>
      <c r="AZ332" s="2"/>
      <c r="BA332" s="2"/>
      <c r="BB332" s="2"/>
      <c r="BC332" s="2"/>
      <c r="BD332" s="2"/>
      <c r="BE332" s="2"/>
      <c r="BF332" s="2"/>
      <c r="BG332" s="2"/>
    </row>
    <row r="333" spans="1:59">
      <c r="A333" s="1" t="str">
        <f>IF($M$228="Y",'Population Definitions'!$A$8,"...")</f>
        <v>...</v>
      </c>
      <c r="B333" s="4" t="str">
        <f>IF($M$228="Y","---&gt;","...")</f>
        <v>...</v>
      </c>
      <c r="C333" s="1" t="str">
        <f>IF($M$228="Y",'Population Definitions'!$A$13,"...")</f>
        <v>...</v>
      </c>
      <c r="E333" s="2"/>
      <c r="F333" s="3"/>
      <c r="G333" s="2"/>
      <c r="H333" s="4" t="str">
        <f>IF($M$228="Y","OR","...")</f>
        <v>...</v>
      </c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  <c r="AM333" s="2"/>
      <c r="AN333" s="2"/>
      <c r="AO333" s="2"/>
      <c r="AP333" s="2"/>
      <c r="AQ333" s="2"/>
      <c r="AR333" s="2"/>
      <c r="AS333" s="2"/>
      <c r="AT333" s="2"/>
      <c r="AU333" s="2"/>
      <c r="AV333" s="2"/>
      <c r="AW333" s="2"/>
      <c r="AX333" s="2"/>
      <c r="AY333" s="2"/>
      <c r="AZ333" s="2"/>
      <c r="BA333" s="2"/>
      <c r="BB333" s="2"/>
      <c r="BC333" s="2"/>
      <c r="BD333" s="2"/>
      <c r="BE333" s="2"/>
      <c r="BF333" s="2"/>
      <c r="BG333" s="2"/>
    </row>
    <row r="334" spans="1:59">
      <c r="A334" s="1" t="str">
        <f>IF($N$228="Y",'Population Definitions'!$A$8,"...")</f>
        <v>...</v>
      </c>
      <c r="B334" s="4" t="str">
        <f>IF($N$228="Y","---&gt;","...")</f>
        <v>...</v>
      </c>
      <c r="C334" s="1" t="str">
        <f>IF($N$228="Y",'Population Definitions'!$A$14,"...")</f>
        <v>...</v>
      </c>
      <c r="E334" s="2"/>
      <c r="F334" s="3"/>
      <c r="G334" s="2"/>
      <c r="H334" s="4" t="str">
        <f>IF($N$228="Y","OR","...")</f>
        <v>...</v>
      </c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  <c r="AP334" s="2"/>
      <c r="AQ334" s="2"/>
      <c r="AR334" s="2"/>
      <c r="AS334" s="2"/>
      <c r="AT334" s="2"/>
      <c r="AU334" s="2"/>
      <c r="AV334" s="2"/>
      <c r="AW334" s="2"/>
      <c r="AX334" s="2"/>
      <c r="AY334" s="2"/>
      <c r="AZ334" s="2"/>
      <c r="BA334" s="2"/>
      <c r="BB334" s="2"/>
      <c r="BC334" s="2"/>
      <c r="BD334" s="2"/>
      <c r="BE334" s="2"/>
      <c r="BF334" s="2"/>
      <c r="BG334" s="2"/>
    </row>
    <row r="335" spans="1:59">
      <c r="A335" s="1" t="str">
        <f>IF($O$228="Y",'Population Definitions'!$A$8,"...")</f>
        <v>...</v>
      </c>
      <c r="B335" s="4" t="str">
        <f>IF($O$228="Y","---&gt;","...")</f>
        <v>...</v>
      </c>
      <c r="C335" s="1" t="str">
        <f>IF($O$228="Y",'Population Definitions'!$A$15,"...")</f>
        <v>...</v>
      </c>
      <c r="E335" s="2"/>
      <c r="F335" s="3"/>
      <c r="G335" s="2"/>
      <c r="H335" s="4" t="str">
        <f>IF($O$228="Y","OR","...")</f>
        <v>...</v>
      </c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  <c r="AQ335" s="2"/>
      <c r="AR335" s="2"/>
      <c r="AS335" s="2"/>
      <c r="AT335" s="2"/>
      <c r="AU335" s="2"/>
      <c r="AV335" s="2"/>
      <c r="AW335" s="2"/>
      <c r="AX335" s="2"/>
      <c r="AY335" s="2"/>
      <c r="AZ335" s="2"/>
      <c r="BA335" s="2"/>
      <c r="BB335" s="2"/>
      <c r="BC335" s="2"/>
      <c r="BD335" s="2"/>
      <c r="BE335" s="2"/>
      <c r="BF335" s="2"/>
      <c r="BG335" s="2"/>
    </row>
    <row r="336" spans="1:59">
      <c r="A336" s="1" t="str">
        <f>IF($B$229="Y",'Population Definitions'!$A$9,"...")</f>
        <v>...</v>
      </c>
      <c r="B336" s="4" t="str">
        <f>IF($B$229="Y","---&gt;","...")</f>
        <v>...</v>
      </c>
      <c r="C336" s="1" t="str">
        <f>IF($B$229="Y",'Population Definitions'!$A$2,"...")</f>
        <v>...</v>
      </c>
      <c r="E336" s="2"/>
      <c r="F336" s="3"/>
      <c r="G336" s="2"/>
      <c r="H336" s="4" t="str">
        <f>IF($B$229="Y","OR","...")</f>
        <v>...</v>
      </c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2"/>
      <c r="AQ336" s="2"/>
      <c r="AR336" s="2"/>
      <c r="AS336" s="2"/>
      <c r="AT336" s="2"/>
      <c r="AU336" s="2"/>
      <c r="AV336" s="2"/>
      <c r="AW336" s="2"/>
      <c r="AX336" s="2"/>
      <c r="AY336" s="2"/>
      <c r="AZ336" s="2"/>
      <c r="BA336" s="2"/>
      <c r="BB336" s="2"/>
      <c r="BC336" s="2"/>
      <c r="BD336" s="2"/>
      <c r="BE336" s="2"/>
      <c r="BF336" s="2"/>
      <c r="BG336" s="2"/>
    </row>
    <row r="337" spans="1:59">
      <c r="A337" s="1" t="str">
        <f>IF($C$229="Y",'Population Definitions'!$A$9,"...")</f>
        <v>18-64_females</v>
      </c>
      <c r="B337" s="4" t="str">
        <f>IF($C$229="Y","---&gt;","...")</f>
        <v>---&gt;</v>
      </c>
      <c r="C337" s="1" t="str">
        <f>IF($C$229="Y",'Population Definitions'!$A$3,"...")</f>
        <v>PWID_females</v>
      </c>
      <c r="E337" s="3" t="s">
        <v>55</v>
      </c>
      <c r="F337" s="3"/>
      <c r="G337" s="3">
        <v>0.0001336080496044324</v>
      </c>
      <c r="H337" s="4" t="str">
        <f>IF($C$229="Y","OR","...")</f>
        <v>OR</v>
      </c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  <c r="AH337" s="3"/>
      <c r="AI337" s="3"/>
      <c r="AJ337" s="3"/>
      <c r="AK337" s="3"/>
      <c r="AL337" s="3"/>
      <c r="AM337" s="3"/>
      <c r="AN337" s="3"/>
      <c r="AO337" s="3"/>
      <c r="AP337" s="3"/>
      <c r="AQ337" s="3"/>
      <c r="AR337" s="3"/>
      <c r="AS337" s="3"/>
      <c r="AT337" s="3"/>
      <c r="AU337" s="3"/>
      <c r="AV337" s="3"/>
      <c r="AW337" s="3"/>
      <c r="AX337" s="3"/>
      <c r="AY337" s="3"/>
      <c r="AZ337" s="3"/>
      <c r="BA337" s="3"/>
      <c r="BB337" s="3"/>
      <c r="BC337" s="3"/>
      <c r="BD337" s="3"/>
      <c r="BE337" s="3"/>
      <c r="BF337" s="3"/>
      <c r="BG337" s="3"/>
    </row>
    <row r="338" spans="1:59">
      <c r="A338" s="1" t="str">
        <f>IF($D$229="Y",'Population Definitions'!$A$9,"...")</f>
        <v>...</v>
      </c>
      <c r="B338" s="4" t="str">
        <f>IF($D$229="Y","---&gt;","...")</f>
        <v>...</v>
      </c>
      <c r="C338" s="1" t="str">
        <f>IF($D$229="Y",'Population Definitions'!$A$4,"...")</f>
        <v>...</v>
      </c>
      <c r="E338" s="2"/>
      <c r="F338" s="3"/>
      <c r="G338" s="2"/>
      <c r="H338" s="4" t="str">
        <f>IF($D$229="Y","OR","...")</f>
        <v>...</v>
      </c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2"/>
      <c r="AQ338" s="2"/>
      <c r="AR338" s="2"/>
      <c r="AS338" s="2"/>
      <c r="AT338" s="2"/>
      <c r="AU338" s="2"/>
      <c r="AV338" s="2"/>
      <c r="AW338" s="2"/>
      <c r="AX338" s="2"/>
      <c r="AY338" s="2"/>
      <c r="AZ338" s="2"/>
      <c r="BA338" s="2"/>
      <c r="BB338" s="2"/>
      <c r="BC338" s="2"/>
      <c r="BD338" s="2"/>
      <c r="BE338" s="2"/>
      <c r="BF338" s="2"/>
      <c r="BG338" s="2"/>
    </row>
    <row r="339" spans="1:59">
      <c r="A339" s="1" t="str">
        <f>IF($E$229="Y",'Population Definitions'!$A$9,"...")</f>
        <v>...</v>
      </c>
      <c r="B339" s="4" t="str">
        <f>IF($E$229="Y","---&gt;","...")</f>
        <v>...</v>
      </c>
      <c r="C339" s="1" t="str">
        <f>IF($E$229="Y",'Population Definitions'!$A$5,"...")</f>
        <v>...</v>
      </c>
      <c r="E339" s="2"/>
      <c r="F339" s="3"/>
      <c r="G339" s="2"/>
      <c r="H339" s="4" t="str">
        <f>IF($E$229="Y","OR","...")</f>
        <v>...</v>
      </c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  <c r="AP339" s="2"/>
      <c r="AQ339" s="2"/>
      <c r="AR339" s="2"/>
      <c r="AS339" s="2"/>
      <c r="AT339" s="2"/>
      <c r="AU339" s="2"/>
      <c r="AV339" s="2"/>
      <c r="AW339" s="2"/>
      <c r="AX339" s="2"/>
      <c r="AY339" s="2"/>
      <c r="AZ339" s="2"/>
      <c r="BA339" s="2"/>
      <c r="BB339" s="2"/>
      <c r="BC339" s="2"/>
      <c r="BD339" s="2"/>
      <c r="BE339" s="2"/>
      <c r="BF339" s="2"/>
      <c r="BG339" s="2"/>
    </row>
    <row r="340" spans="1:59">
      <c r="A340" s="1" t="str">
        <f>IF($F$229="Y",'Population Definitions'!$A$9,"...")</f>
        <v>...</v>
      </c>
      <c r="B340" s="4" t="str">
        <f>IF($F$229="Y","---&gt;","...")</f>
        <v>...</v>
      </c>
      <c r="C340" s="1" t="str">
        <f>IF($F$229="Y",'Population Definitions'!$A$6,"...")</f>
        <v>...</v>
      </c>
      <c r="E340" s="2"/>
      <c r="F340" s="3"/>
      <c r="G340" s="2"/>
      <c r="H340" s="4" t="str">
        <f>IF($F$229="Y","OR","...")</f>
        <v>...</v>
      </c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  <c r="AQ340" s="2"/>
      <c r="AR340" s="2"/>
      <c r="AS340" s="2"/>
      <c r="AT340" s="2"/>
      <c r="AU340" s="2"/>
      <c r="AV340" s="2"/>
      <c r="AW340" s="2"/>
      <c r="AX340" s="2"/>
      <c r="AY340" s="2"/>
      <c r="AZ340" s="2"/>
      <c r="BA340" s="2"/>
      <c r="BB340" s="2"/>
      <c r="BC340" s="2"/>
      <c r="BD340" s="2"/>
      <c r="BE340" s="2"/>
      <c r="BF340" s="2"/>
      <c r="BG340" s="2"/>
    </row>
    <row r="341" spans="1:59">
      <c r="A341" s="1" t="str">
        <f>IF($G$229="Y",'Population Definitions'!$A$9,"...")</f>
        <v>...</v>
      </c>
      <c r="B341" s="4" t="str">
        <f>IF($G$229="Y","---&gt;","...")</f>
        <v>...</v>
      </c>
      <c r="C341" s="1" t="str">
        <f>IF($G$229="Y",'Population Definitions'!$A$7,"...")</f>
        <v>...</v>
      </c>
      <c r="E341" s="2"/>
      <c r="F341" s="3"/>
      <c r="G341" s="2"/>
      <c r="H341" s="4" t="str">
        <f>IF($G$229="Y","OR","...")</f>
        <v>...</v>
      </c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"/>
      <c r="AQ341" s="2"/>
      <c r="AR341" s="2"/>
      <c r="AS341" s="2"/>
      <c r="AT341" s="2"/>
      <c r="AU341" s="2"/>
      <c r="AV341" s="2"/>
      <c r="AW341" s="2"/>
      <c r="AX341" s="2"/>
      <c r="AY341" s="2"/>
      <c r="AZ341" s="2"/>
      <c r="BA341" s="2"/>
      <c r="BB341" s="2"/>
      <c r="BC341" s="2"/>
      <c r="BD341" s="2"/>
      <c r="BE341" s="2"/>
      <c r="BF341" s="2"/>
      <c r="BG341" s="2"/>
    </row>
    <row r="342" spans="1:59">
      <c r="A342" s="1" t="str">
        <f>IF($H$229="Y",'Population Definitions'!$A$9,"...")</f>
        <v>...</v>
      </c>
      <c r="B342" s="4" t="str">
        <f>IF($H$229="Y","---&gt;","...")</f>
        <v>...</v>
      </c>
      <c r="C342" s="1" t="str">
        <f>IF($H$229="Y",'Population Definitions'!$A$8,"...")</f>
        <v>...</v>
      </c>
      <c r="E342" s="2"/>
      <c r="F342" s="3"/>
      <c r="G342" s="2"/>
      <c r="H342" s="4" t="str">
        <f>IF($H$229="Y","OR","...")</f>
        <v>...</v>
      </c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  <c r="AN342" s="2"/>
      <c r="AO342" s="2"/>
      <c r="AP342" s="2"/>
      <c r="AQ342" s="2"/>
      <c r="AR342" s="2"/>
      <c r="AS342" s="2"/>
      <c r="AT342" s="2"/>
      <c r="AU342" s="2"/>
      <c r="AV342" s="2"/>
      <c r="AW342" s="2"/>
      <c r="AX342" s="2"/>
      <c r="AY342" s="2"/>
      <c r="AZ342" s="2"/>
      <c r="BA342" s="2"/>
      <c r="BB342" s="2"/>
      <c r="BC342" s="2"/>
      <c r="BD342" s="2"/>
      <c r="BE342" s="2"/>
      <c r="BF342" s="2"/>
      <c r="BG342" s="2"/>
    </row>
    <row r="343" spans="1:59">
      <c r="A343" s="1" t="str">
        <f>IF($I$229="Y",'Population Definitions'!$A$9,"...")</f>
        <v>...</v>
      </c>
      <c r="B343" s="4" t="str">
        <f>IF($I$229="Y","---&gt;","...")</f>
        <v>...</v>
      </c>
      <c r="C343" s="1" t="str">
        <f>IF($I$229="Y",'Population Definitions'!$A$9,"...")</f>
        <v>...</v>
      </c>
      <c r="E343" s="2"/>
      <c r="F343" s="3"/>
      <c r="G343" s="2"/>
      <c r="H343" s="4" t="str">
        <f>IF($I$229="Y","OR","...")</f>
        <v>...</v>
      </c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  <c r="AM343" s="2"/>
      <c r="AN343" s="2"/>
      <c r="AO343" s="2"/>
      <c r="AP343" s="2"/>
      <c r="AQ343" s="2"/>
      <c r="AR343" s="2"/>
      <c r="AS343" s="2"/>
      <c r="AT343" s="2"/>
      <c r="AU343" s="2"/>
      <c r="AV343" s="2"/>
      <c r="AW343" s="2"/>
      <c r="AX343" s="2"/>
      <c r="AY343" s="2"/>
      <c r="AZ343" s="2"/>
      <c r="BA343" s="2"/>
      <c r="BB343" s="2"/>
      <c r="BC343" s="2"/>
      <c r="BD343" s="2"/>
      <c r="BE343" s="2"/>
      <c r="BF343" s="2"/>
      <c r="BG343" s="2"/>
    </row>
    <row r="344" spans="1:59">
      <c r="A344" s="1" t="str">
        <f>IF($J$229="Y",'Population Definitions'!$A$9,"...")</f>
        <v>...</v>
      </c>
      <c r="B344" s="4" t="str">
        <f>IF($J$229="Y","---&gt;","...")</f>
        <v>...</v>
      </c>
      <c r="C344" s="1" t="str">
        <f>IF($J$229="Y",'Population Definitions'!$A$10,"...")</f>
        <v>...</v>
      </c>
      <c r="E344" s="2"/>
      <c r="F344" s="3"/>
      <c r="G344" s="2"/>
      <c r="H344" s="4" t="str">
        <f>IF($J$229="Y","OR","...")</f>
        <v>...</v>
      </c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  <c r="AM344" s="2"/>
      <c r="AN344" s="2"/>
      <c r="AO344" s="2"/>
      <c r="AP344" s="2"/>
      <c r="AQ344" s="2"/>
      <c r="AR344" s="2"/>
      <c r="AS344" s="2"/>
      <c r="AT344" s="2"/>
      <c r="AU344" s="2"/>
      <c r="AV344" s="2"/>
      <c r="AW344" s="2"/>
      <c r="AX344" s="2"/>
      <c r="AY344" s="2"/>
      <c r="AZ344" s="2"/>
      <c r="BA344" s="2"/>
      <c r="BB344" s="2"/>
      <c r="BC344" s="2"/>
      <c r="BD344" s="2"/>
      <c r="BE344" s="2"/>
      <c r="BF344" s="2"/>
      <c r="BG344" s="2"/>
    </row>
    <row r="345" spans="1:59">
      <c r="A345" s="1" t="str">
        <f>IF($K$229="Y",'Population Definitions'!$A$9,"...")</f>
        <v>...</v>
      </c>
      <c r="B345" s="4" t="str">
        <f>IF($K$229="Y","---&gt;","...")</f>
        <v>...</v>
      </c>
      <c r="C345" s="1" t="str">
        <f>IF($K$229="Y",'Population Definitions'!$A$11,"...")</f>
        <v>...</v>
      </c>
      <c r="E345" s="2"/>
      <c r="F345" s="3"/>
      <c r="G345" s="2"/>
      <c r="H345" s="4" t="str">
        <f>IF($K$229="Y","OR","...")</f>
        <v>...</v>
      </c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  <c r="AN345" s="2"/>
      <c r="AO345" s="2"/>
      <c r="AP345" s="2"/>
      <c r="AQ345" s="2"/>
      <c r="AR345" s="2"/>
      <c r="AS345" s="2"/>
      <c r="AT345" s="2"/>
      <c r="AU345" s="2"/>
      <c r="AV345" s="2"/>
      <c r="AW345" s="2"/>
      <c r="AX345" s="2"/>
      <c r="AY345" s="2"/>
      <c r="AZ345" s="2"/>
      <c r="BA345" s="2"/>
      <c r="BB345" s="2"/>
      <c r="BC345" s="2"/>
      <c r="BD345" s="2"/>
      <c r="BE345" s="2"/>
      <c r="BF345" s="2"/>
      <c r="BG345" s="2"/>
    </row>
    <row r="346" spans="1:59">
      <c r="A346" s="1" t="str">
        <f>IF($L$229="Y",'Population Definitions'!$A$9,"...")</f>
        <v>...</v>
      </c>
      <c r="B346" s="4" t="str">
        <f>IF($L$229="Y","---&gt;","...")</f>
        <v>...</v>
      </c>
      <c r="C346" s="1" t="str">
        <f>IF($L$229="Y",'Population Definitions'!$A$12,"...")</f>
        <v>...</v>
      </c>
      <c r="E346" s="2"/>
      <c r="F346" s="3"/>
      <c r="G346" s="2"/>
      <c r="H346" s="4" t="str">
        <f>IF($L$229="Y","OR","...")</f>
        <v>...</v>
      </c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  <c r="AQ346" s="2"/>
      <c r="AR346" s="2"/>
      <c r="AS346" s="2"/>
      <c r="AT346" s="2"/>
      <c r="AU346" s="2"/>
      <c r="AV346" s="2"/>
      <c r="AW346" s="2"/>
      <c r="AX346" s="2"/>
      <c r="AY346" s="2"/>
      <c r="AZ346" s="2"/>
      <c r="BA346" s="2"/>
      <c r="BB346" s="2"/>
      <c r="BC346" s="2"/>
      <c r="BD346" s="2"/>
      <c r="BE346" s="2"/>
      <c r="BF346" s="2"/>
      <c r="BG346" s="2"/>
    </row>
    <row r="347" spans="1:59">
      <c r="A347" s="1" t="str">
        <f>IF($M$229="Y",'Population Definitions'!$A$9,"...")</f>
        <v>...</v>
      </c>
      <c r="B347" s="4" t="str">
        <f>IF($M$229="Y","---&gt;","...")</f>
        <v>...</v>
      </c>
      <c r="C347" s="1" t="str">
        <f>IF($M$229="Y",'Population Definitions'!$A$13,"...")</f>
        <v>...</v>
      </c>
      <c r="E347" s="2"/>
      <c r="F347" s="3"/>
      <c r="G347" s="2"/>
      <c r="H347" s="4" t="str">
        <f>IF($M$229="Y","OR","...")</f>
        <v>...</v>
      </c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2"/>
      <c r="AQ347" s="2"/>
      <c r="AR347" s="2"/>
      <c r="AS347" s="2"/>
      <c r="AT347" s="2"/>
      <c r="AU347" s="2"/>
      <c r="AV347" s="2"/>
      <c r="AW347" s="2"/>
      <c r="AX347" s="2"/>
      <c r="AY347" s="2"/>
      <c r="AZ347" s="2"/>
      <c r="BA347" s="2"/>
      <c r="BB347" s="2"/>
      <c r="BC347" s="2"/>
      <c r="BD347" s="2"/>
      <c r="BE347" s="2"/>
      <c r="BF347" s="2"/>
      <c r="BG347" s="2"/>
    </row>
    <row r="348" spans="1:59">
      <c r="A348" s="1" t="str">
        <f>IF($N$229="Y",'Population Definitions'!$A$9,"...")</f>
        <v>...</v>
      </c>
      <c r="B348" s="4" t="str">
        <f>IF($N$229="Y","---&gt;","...")</f>
        <v>...</v>
      </c>
      <c r="C348" s="1" t="str">
        <f>IF($N$229="Y",'Population Definitions'!$A$14,"...")</f>
        <v>...</v>
      </c>
      <c r="E348" s="2"/>
      <c r="F348" s="3"/>
      <c r="G348" s="2"/>
      <c r="H348" s="4" t="str">
        <f>IF($N$229="Y","OR","...")</f>
        <v>...</v>
      </c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/>
      <c r="AQ348" s="2"/>
      <c r="AR348" s="2"/>
      <c r="AS348" s="2"/>
      <c r="AT348" s="2"/>
      <c r="AU348" s="2"/>
      <c r="AV348" s="2"/>
      <c r="AW348" s="2"/>
      <c r="AX348" s="2"/>
      <c r="AY348" s="2"/>
      <c r="AZ348" s="2"/>
      <c r="BA348" s="2"/>
      <c r="BB348" s="2"/>
      <c r="BC348" s="2"/>
      <c r="BD348" s="2"/>
      <c r="BE348" s="2"/>
      <c r="BF348" s="2"/>
      <c r="BG348" s="2"/>
    </row>
    <row r="349" spans="1:59">
      <c r="A349" s="1" t="str">
        <f>IF($O$229="Y",'Population Definitions'!$A$9,"...")</f>
        <v>...</v>
      </c>
      <c r="B349" s="4" t="str">
        <f>IF($O$229="Y","---&gt;","...")</f>
        <v>...</v>
      </c>
      <c r="C349" s="1" t="str">
        <f>IF($O$229="Y",'Population Definitions'!$A$15,"...")</f>
        <v>...</v>
      </c>
      <c r="E349" s="2"/>
      <c r="F349" s="3"/>
      <c r="G349" s="2"/>
      <c r="H349" s="4" t="str">
        <f>IF($O$229="Y","OR","...")</f>
        <v>...</v>
      </c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  <c r="AQ349" s="2"/>
      <c r="AR349" s="2"/>
      <c r="AS349" s="2"/>
      <c r="AT349" s="2"/>
      <c r="AU349" s="2"/>
      <c r="AV349" s="2"/>
      <c r="AW349" s="2"/>
      <c r="AX349" s="2"/>
      <c r="AY349" s="2"/>
      <c r="AZ349" s="2"/>
      <c r="BA349" s="2"/>
      <c r="BB349" s="2"/>
      <c r="BC349" s="2"/>
      <c r="BD349" s="2"/>
      <c r="BE349" s="2"/>
      <c r="BF349" s="2"/>
      <c r="BG349" s="2"/>
    </row>
    <row r="350" spans="1:59">
      <c r="A350" s="1" t="str">
        <f>IF($B$230="Y",'Population Definitions'!$A$10,"...")</f>
        <v>...</v>
      </c>
      <c r="B350" s="4" t="str">
        <f>IF($B$230="Y","---&gt;","...")</f>
        <v>...</v>
      </c>
      <c r="C350" s="1" t="str">
        <f>IF($B$230="Y",'Population Definitions'!$A$2,"...")</f>
        <v>...</v>
      </c>
      <c r="E350" s="2"/>
      <c r="F350" s="3"/>
      <c r="G350" s="2"/>
      <c r="H350" s="4" t="str">
        <f>IF($B$230="Y","OR","...")</f>
        <v>...</v>
      </c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  <c r="AQ350" s="2"/>
      <c r="AR350" s="2"/>
      <c r="AS350" s="2"/>
      <c r="AT350" s="2"/>
      <c r="AU350" s="2"/>
      <c r="AV350" s="2"/>
      <c r="AW350" s="2"/>
      <c r="AX350" s="2"/>
      <c r="AY350" s="2"/>
      <c r="AZ350" s="2"/>
      <c r="BA350" s="2"/>
      <c r="BB350" s="2"/>
      <c r="BC350" s="2"/>
      <c r="BD350" s="2"/>
      <c r="BE350" s="2"/>
      <c r="BF350" s="2"/>
      <c r="BG350" s="2"/>
    </row>
    <row r="351" spans="1:59">
      <c r="A351" s="1" t="str">
        <f>IF($C$230="Y",'Population Definitions'!$A$10,"...")</f>
        <v>...</v>
      </c>
      <c r="B351" s="4" t="str">
        <f>IF($C$230="Y","---&gt;","...")</f>
        <v>...</v>
      </c>
      <c r="C351" s="1" t="str">
        <f>IF($C$230="Y",'Population Definitions'!$A$3,"...")</f>
        <v>...</v>
      </c>
      <c r="E351" s="2"/>
      <c r="F351" s="3"/>
      <c r="G351" s="2"/>
      <c r="H351" s="4" t="str">
        <f>IF($C$230="Y","OR","...")</f>
        <v>...</v>
      </c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  <c r="AQ351" s="2"/>
      <c r="AR351" s="2"/>
      <c r="AS351" s="2"/>
      <c r="AT351" s="2"/>
      <c r="AU351" s="2"/>
      <c r="AV351" s="2"/>
      <c r="AW351" s="2"/>
      <c r="AX351" s="2"/>
      <c r="AY351" s="2"/>
      <c r="AZ351" s="2"/>
      <c r="BA351" s="2"/>
      <c r="BB351" s="2"/>
      <c r="BC351" s="2"/>
      <c r="BD351" s="2"/>
      <c r="BE351" s="2"/>
      <c r="BF351" s="2"/>
      <c r="BG351" s="2"/>
    </row>
    <row r="352" spans="1:59">
      <c r="A352" s="1" t="str">
        <f>IF($D$230="Y",'Population Definitions'!$A$10,"...")</f>
        <v>...</v>
      </c>
      <c r="B352" s="4" t="str">
        <f>IF($D$230="Y","---&gt;","...")</f>
        <v>...</v>
      </c>
      <c r="C352" s="1" t="str">
        <f>IF($D$230="Y",'Population Definitions'!$A$4,"...")</f>
        <v>...</v>
      </c>
      <c r="E352" s="2"/>
      <c r="F352" s="3"/>
      <c r="G352" s="2"/>
      <c r="H352" s="4" t="str">
        <f>IF($D$230="Y","OR","...")</f>
        <v>...</v>
      </c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  <c r="AQ352" s="2"/>
      <c r="AR352" s="2"/>
      <c r="AS352" s="2"/>
      <c r="AT352" s="2"/>
      <c r="AU352" s="2"/>
      <c r="AV352" s="2"/>
      <c r="AW352" s="2"/>
      <c r="AX352" s="2"/>
      <c r="AY352" s="2"/>
      <c r="AZ352" s="2"/>
      <c r="BA352" s="2"/>
      <c r="BB352" s="2"/>
      <c r="BC352" s="2"/>
      <c r="BD352" s="2"/>
      <c r="BE352" s="2"/>
      <c r="BF352" s="2"/>
      <c r="BG352" s="2"/>
    </row>
    <row r="353" spans="1:59">
      <c r="A353" s="1" t="str">
        <f>IF($E$230="Y",'Population Definitions'!$A$10,"...")</f>
        <v>...</v>
      </c>
      <c r="B353" s="4" t="str">
        <f>IF($E$230="Y","---&gt;","...")</f>
        <v>...</v>
      </c>
      <c r="C353" s="1" t="str">
        <f>IF($E$230="Y",'Population Definitions'!$A$5,"...")</f>
        <v>...</v>
      </c>
      <c r="E353" s="2"/>
      <c r="F353" s="3"/>
      <c r="G353" s="2"/>
      <c r="H353" s="4" t="str">
        <f>IF($E$230="Y","OR","...")</f>
        <v>...</v>
      </c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  <c r="AQ353" s="2"/>
      <c r="AR353" s="2"/>
      <c r="AS353" s="2"/>
      <c r="AT353" s="2"/>
      <c r="AU353" s="2"/>
      <c r="AV353" s="2"/>
      <c r="AW353" s="2"/>
      <c r="AX353" s="2"/>
      <c r="AY353" s="2"/>
      <c r="AZ353" s="2"/>
      <c r="BA353" s="2"/>
      <c r="BB353" s="2"/>
      <c r="BC353" s="2"/>
      <c r="BD353" s="2"/>
      <c r="BE353" s="2"/>
      <c r="BF353" s="2"/>
      <c r="BG353" s="2"/>
    </row>
    <row r="354" spans="1:59">
      <c r="A354" s="1" t="str">
        <f>IF($F$230="Y",'Population Definitions'!$A$10,"...")</f>
        <v>...</v>
      </c>
      <c r="B354" s="4" t="str">
        <f>IF($F$230="Y","---&gt;","...")</f>
        <v>...</v>
      </c>
      <c r="C354" s="1" t="str">
        <f>IF($F$230="Y",'Population Definitions'!$A$6,"...")</f>
        <v>...</v>
      </c>
      <c r="E354" s="2"/>
      <c r="F354" s="3"/>
      <c r="G354" s="2"/>
      <c r="H354" s="4" t="str">
        <f>IF($F$230="Y","OR","...")</f>
        <v>...</v>
      </c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2"/>
      <c r="AQ354" s="2"/>
      <c r="AR354" s="2"/>
      <c r="AS354" s="2"/>
      <c r="AT354" s="2"/>
      <c r="AU354" s="2"/>
      <c r="AV354" s="2"/>
      <c r="AW354" s="2"/>
      <c r="AX354" s="2"/>
      <c r="AY354" s="2"/>
      <c r="AZ354" s="2"/>
      <c r="BA354" s="2"/>
      <c r="BB354" s="2"/>
      <c r="BC354" s="2"/>
      <c r="BD354" s="2"/>
      <c r="BE354" s="2"/>
      <c r="BF354" s="2"/>
      <c r="BG354" s="2"/>
    </row>
    <row r="355" spans="1:59">
      <c r="A355" s="1" t="str">
        <f>IF($G$230="Y",'Population Definitions'!$A$10,"...")</f>
        <v>...</v>
      </c>
      <c r="B355" s="4" t="str">
        <f>IF($G$230="Y","---&gt;","...")</f>
        <v>...</v>
      </c>
      <c r="C355" s="1" t="str">
        <f>IF($G$230="Y",'Population Definitions'!$A$7,"...")</f>
        <v>...</v>
      </c>
      <c r="E355" s="2"/>
      <c r="F355" s="3"/>
      <c r="G355" s="2"/>
      <c r="H355" s="4" t="str">
        <f>IF($G$230="Y","OR","...")</f>
        <v>...</v>
      </c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  <c r="AP355" s="2"/>
      <c r="AQ355" s="2"/>
      <c r="AR355" s="2"/>
      <c r="AS355" s="2"/>
      <c r="AT355" s="2"/>
      <c r="AU355" s="2"/>
      <c r="AV355" s="2"/>
      <c r="AW355" s="2"/>
      <c r="AX355" s="2"/>
      <c r="AY355" s="2"/>
      <c r="AZ355" s="2"/>
      <c r="BA355" s="2"/>
      <c r="BB355" s="2"/>
      <c r="BC355" s="2"/>
      <c r="BD355" s="2"/>
      <c r="BE355" s="2"/>
      <c r="BF355" s="2"/>
      <c r="BG355" s="2"/>
    </row>
    <row r="356" spans="1:59">
      <c r="A356" s="1" t="str">
        <f>IF($H$230="Y",'Population Definitions'!$A$10,"...")</f>
        <v>...</v>
      </c>
      <c r="B356" s="4" t="str">
        <f>IF($H$230="Y","---&gt;","...")</f>
        <v>...</v>
      </c>
      <c r="C356" s="1" t="str">
        <f>IF($H$230="Y",'Population Definitions'!$A$8,"...")</f>
        <v>...</v>
      </c>
      <c r="E356" s="2"/>
      <c r="F356" s="3"/>
      <c r="G356" s="2"/>
      <c r="H356" s="4" t="str">
        <f>IF($H$230="Y","OR","...")</f>
        <v>...</v>
      </c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  <c r="AN356" s="2"/>
      <c r="AO356" s="2"/>
      <c r="AP356" s="2"/>
      <c r="AQ356" s="2"/>
      <c r="AR356" s="2"/>
      <c r="AS356" s="2"/>
      <c r="AT356" s="2"/>
      <c r="AU356" s="2"/>
      <c r="AV356" s="2"/>
      <c r="AW356" s="2"/>
      <c r="AX356" s="2"/>
      <c r="AY356" s="2"/>
      <c r="AZ356" s="2"/>
      <c r="BA356" s="2"/>
      <c r="BB356" s="2"/>
      <c r="BC356" s="2"/>
      <c r="BD356" s="2"/>
      <c r="BE356" s="2"/>
      <c r="BF356" s="2"/>
      <c r="BG356" s="2"/>
    </row>
    <row r="357" spans="1:59">
      <c r="A357" s="1" t="str">
        <f>IF($I$230="Y",'Population Definitions'!$A$10,"...")</f>
        <v>...</v>
      </c>
      <c r="B357" s="4" t="str">
        <f>IF($I$230="Y","---&gt;","...")</f>
        <v>...</v>
      </c>
      <c r="C357" s="1" t="str">
        <f>IF($I$230="Y",'Population Definitions'!$A$9,"...")</f>
        <v>...</v>
      </c>
      <c r="E357" s="2"/>
      <c r="F357" s="3"/>
      <c r="G357" s="2"/>
      <c r="H357" s="4" t="str">
        <f>IF($I$230="Y","OR","...")</f>
        <v>...</v>
      </c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  <c r="AN357" s="2"/>
      <c r="AO357" s="2"/>
      <c r="AP357" s="2"/>
      <c r="AQ357" s="2"/>
      <c r="AR357" s="2"/>
      <c r="AS357" s="2"/>
      <c r="AT357" s="2"/>
      <c r="AU357" s="2"/>
      <c r="AV357" s="2"/>
      <c r="AW357" s="2"/>
      <c r="AX357" s="2"/>
      <c r="AY357" s="2"/>
      <c r="AZ357" s="2"/>
      <c r="BA357" s="2"/>
      <c r="BB357" s="2"/>
      <c r="BC357" s="2"/>
      <c r="BD357" s="2"/>
      <c r="BE357" s="2"/>
      <c r="BF357" s="2"/>
      <c r="BG357" s="2"/>
    </row>
    <row r="358" spans="1:59">
      <c r="A358" s="1" t="str">
        <f>IF($J$230="Y",'Population Definitions'!$A$10,"...")</f>
        <v>...</v>
      </c>
      <c r="B358" s="4" t="str">
        <f>IF($J$230="Y","---&gt;","...")</f>
        <v>...</v>
      </c>
      <c r="C358" s="1" t="str">
        <f>IF($J$230="Y",'Population Definitions'!$A$10,"...")</f>
        <v>...</v>
      </c>
      <c r="E358" s="2"/>
      <c r="F358" s="3"/>
      <c r="G358" s="2"/>
      <c r="H358" s="4" t="str">
        <f>IF($J$230="Y","OR","...")</f>
        <v>...</v>
      </c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  <c r="AM358" s="2"/>
      <c r="AN358" s="2"/>
      <c r="AO358" s="2"/>
      <c r="AP358" s="2"/>
      <c r="AQ358" s="2"/>
      <c r="AR358" s="2"/>
      <c r="AS358" s="2"/>
      <c r="AT358" s="2"/>
      <c r="AU358" s="2"/>
      <c r="AV358" s="2"/>
      <c r="AW358" s="2"/>
      <c r="AX358" s="2"/>
      <c r="AY358" s="2"/>
      <c r="AZ358" s="2"/>
      <c r="BA358" s="2"/>
      <c r="BB358" s="2"/>
      <c r="BC358" s="2"/>
      <c r="BD358" s="2"/>
      <c r="BE358" s="2"/>
      <c r="BF358" s="2"/>
      <c r="BG358" s="2"/>
    </row>
    <row r="359" spans="1:59">
      <c r="A359" s="1" t="str">
        <f>IF($K$230="Y",'Population Definitions'!$A$10,"...")</f>
        <v>...</v>
      </c>
      <c r="B359" s="4" t="str">
        <f>IF($K$230="Y","---&gt;","...")</f>
        <v>...</v>
      </c>
      <c r="C359" s="1" t="str">
        <f>IF($K$230="Y",'Population Definitions'!$A$11,"...")</f>
        <v>...</v>
      </c>
      <c r="E359" s="2"/>
      <c r="F359" s="3"/>
      <c r="G359" s="2"/>
      <c r="H359" s="4" t="str">
        <f>IF($K$230="Y","OR","...")</f>
        <v>...</v>
      </c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  <c r="AN359" s="2"/>
      <c r="AO359" s="2"/>
      <c r="AP359" s="2"/>
      <c r="AQ359" s="2"/>
      <c r="AR359" s="2"/>
      <c r="AS359" s="2"/>
      <c r="AT359" s="2"/>
      <c r="AU359" s="2"/>
      <c r="AV359" s="2"/>
      <c r="AW359" s="2"/>
      <c r="AX359" s="2"/>
      <c r="AY359" s="2"/>
      <c r="AZ359" s="2"/>
      <c r="BA359" s="2"/>
      <c r="BB359" s="2"/>
      <c r="BC359" s="2"/>
      <c r="BD359" s="2"/>
      <c r="BE359" s="2"/>
      <c r="BF359" s="2"/>
      <c r="BG359" s="2"/>
    </row>
    <row r="360" spans="1:59">
      <c r="A360" s="1" t="str">
        <f>IF($L$230="Y",'Population Definitions'!$A$10,"...")</f>
        <v>...</v>
      </c>
      <c r="B360" s="4" t="str">
        <f>IF($L$230="Y","---&gt;","...")</f>
        <v>...</v>
      </c>
      <c r="C360" s="1" t="str">
        <f>IF($L$230="Y",'Population Definitions'!$A$12,"...")</f>
        <v>...</v>
      </c>
      <c r="E360" s="2"/>
      <c r="F360" s="3"/>
      <c r="G360" s="2"/>
      <c r="H360" s="4" t="str">
        <f>IF($L$230="Y","OR","...")</f>
        <v>...</v>
      </c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  <c r="AQ360" s="2"/>
      <c r="AR360" s="2"/>
      <c r="AS360" s="2"/>
      <c r="AT360" s="2"/>
      <c r="AU360" s="2"/>
      <c r="AV360" s="2"/>
      <c r="AW360" s="2"/>
      <c r="AX360" s="2"/>
      <c r="AY360" s="2"/>
      <c r="AZ360" s="2"/>
      <c r="BA360" s="2"/>
      <c r="BB360" s="2"/>
      <c r="BC360" s="2"/>
      <c r="BD360" s="2"/>
      <c r="BE360" s="2"/>
      <c r="BF360" s="2"/>
      <c r="BG360" s="2"/>
    </row>
    <row r="361" spans="1:59">
      <c r="A361" s="1" t="str">
        <f>IF($M$230="Y",'Population Definitions'!$A$10,"...")</f>
        <v>...</v>
      </c>
      <c r="B361" s="4" t="str">
        <f>IF($M$230="Y","---&gt;","...")</f>
        <v>...</v>
      </c>
      <c r="C361" s="1" t="str">
        <f>IF($M$230="Y",'Population Definitions'!$A$13,"...")</f>
        <v>...</v>
      </c>
      <c r="E361" s="2"/>
      <c r="F361" s="3"/>
      <c r="G361" s="2"/>
      <c r="H361" s="4" t="str">
        <f>IF($M$230="Y","OR","...")</f>
        <v>...</v>
      </c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  <c r="AQ361" s="2"/>
      <c r="AR361" s="2"/>
      <c r="AS361" s="2"/>
      <c r="AT361" s="2"/>
      <c r="AU361" s="2"/>
      <c r="AV361" s="2"/>
      <c r="AW361" s="2"/>
      <c r="AX361" s="2"/>
      <c r="AY361" s="2"/>
      <c r="AZ361" s="2"/>
      <c r="BA361" s="2"/>
      <c r="BB361" s="2"/>
      <c r="BC361" s="2"/>
      <c r="BD361" s="2"/>
      <c r="BE361" s="2"/>
      <c r="BF361" s="2"/>
      <c r="BG361" s="2"/>
    </row>
    <row r="362" spans="1:59">
      <c r="A362" s="1" t="str">
        <f>IF($N$230="Y",'Population Definitions'!$A$10,"...")</f>
        <v>...</v>
      </c>
      <c r="B362" s="4" t="str">
        <f>IF($N$230="Y","---&gt;","...")</f>
        <v>...</v>
      </c>
      <c r="C362" s="1" t="str">
        <f>IF($N$230="Y",'Population Definitions'!$A$14,"...")</f>
        <v>...</v>
      </c>
      <c r="E362" s="2"/>
      <c r="F362" s="3"/>
      <c r="G362" s="2"/>
      <c r="H362" s="4" t="str">
        <f>IF($N$230="Y","OR","...")</f>
        <v>...</v>
      </c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  <c r="AQ362" s="2"/>
      <c r="AR362" s="2"/>
      <c r="AS362" s="2"/>
      <c r="AT362" s="2"/>
      <c r="AU362" s="2"/>
      <c r="AV362" s="2"/>
      <c r="AW362" s="2"/>
      <c r="AX362" s="2"/>
      <c r="AY362" s="2"/>
      <c r="AZ362" s="2"/>
      <c r="BA362" s="2"/>
      <c r="BB362" s="2"/>
      <c r="BC362" s="2"/>
      <c r="BD362" s="2"/>
      <c r="BE362" s="2"/>
      <c r="BF362" s="2"/>
      <c r="BG362" s="2"/>
    </row>
    <row r="363" spans="1:59">
      <c r="A363" s="1" t="str">
        <f>IF($O$230="Y",'Population Definitions'!$A$10,"...")</f>
        <v>...</v>
      </c>
      <c r="B363" s="4" t="str">
        <f>IF($O$230="Y","---&gt;","...")</f>
        <v>...</v>
      </c>
      <c r="C363" s="1" t="str">
        <f>IF($O$230="Y",'Population Definitions'!$A$15,"...")</f>
        <v>...</v>
      </c>
      <c r="E363" s="2"/>
      <c r="F363" s="3"/>
      <c r="G363" s="2"/>
      <c r="H363" s="4" t="str">
        <f>IF($O$230="Y","OR","...")</f>
        <v>...</v>
      </c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  <c r="AQ363" s="2"/>
      <c r="AR363" s="2"/>
      <c r="AS363" s="2"/>
      <c r="AT363" s="2"/>
      <c r="AU363" s="2"/>
      <c r="AV363" s="2"/>
      <c r="AW363" s="2"/>
      <c r="AX363" s="2"/>
      <c r="AY363" s="2"/>
      <c r="AZ363" s="2"/>
      <c r="BA363" s="2"/>
      <c r="BB363" s="2"/>
      <c r="BC363" s="2"/>
      <c r="BD363" s="2"/>
      <c r="BE363" s="2"/>
      <c r="BF363" s="2"/>
      <c r="BG363" s="2"/>
    </row>
    <row r="364" spans="1:59">
      <c r="A364" s="1" t="str">
        <f>IF($B$231="Y",'Population Definitions'!$A$11,"...")</f>
        <v>...</v>
      </c>
      <c r="B364" s="4" t="str">
        <f>IF($B$231="Y","---&gt;","...")</f>
        <v>...</v>
      </c>
      <c r="C364" s="1" t="str">
        <f>IF($B$231="Y",'Population Definitions'!$A$2,"...")</f>
        <v>...</v>
      </c>
      <c r="E364" s="2"/>
      <c r="F364" s="3"/>
      <c r="G364" s="2"/>
      <c r="H364" s="4" t="str">
        <f>IF($B$231="Y","OR","...")</f>
        <v>...</v>
      </c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  <c r="AP364" s="2"/>
      <c r="AQ364" s="2"/>
      <c r="AR364" s="2"/>
      <c r="AS364" s="2"/>
      <c r="AT364" s="2"/>
      <c r="AU364" s="2"/>
      <c r="AV364" s="2"/>
      <c r="AW364" s="2"/>
      <c r="AX364" s="2"/>
      <c r="AY364" s="2"/>
      <c r="AZ364" s="2"/>
      <c r="BA364" s="2"/>
      <c r="BB364" s="2"/>
      <c r="BC364" s="2"/>
      <c r="BD364" s="2"/>
      <c r="BE364" s="2"/>
      <c r="BF364" s="2"/>
      <c r="BG364" s="2"/>
    </row>
    <row r="365" spans="1:59">
      <c r="A365" s="1" t="str">
        <f>IF($C$231="Y",'Population Definitions'!$A$11,"...")</f>
        <v>...</v>
      </c>
      <c r="B365" s="4" t="str">
        <f>IF($C$231="Y","---&gt;","...")</f>
        <v>...</v>
      </c>
      <c r="C365" s="1" t="str">
        <f>IF($C$231="Y",'Population Definitions'!$A$3,"...")</f>
        <v>...</v>
      </c>
      <c r="E365" s="2"/>
      <c r="F365" s="3"/>
      <c r="G365" s="2"/>
      <c r="H365" s="4" t="str">
        <f>IF($C$231="Y","OR","...")</f>
        <v>...</v>
      </c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2"/>
      <c r="AQ365" s="2"/>
      <c r="AR365" s="2"/>
      <c r="AS365" s="2"/>
      <c r="AT365" s="2"/>
      <c r="AU365" s="2"/>
      <c r="AV365" s="2"/>
      <c r="AW365" s="2"/>
      <c r="AX365" s="2"/>
      <c r="AY365" s="2"/>
      <c r="AZ365" s="2"/>
      <c r="BA365" s="2"/>
      <c r="BB365" s="2"/>
      <c r="BC365" s="2"/>
      <c r="BD365" s="2"/>
      <c r="BE365" s="2"/>
      <c r="BF365" s="2"/>
      <c r="BG365" s="2"/>
    </row>
    <row r="366" spans="1:59">
      <c r="A366" s="1" t="str">
        <f>IF($D$231="Y",'Population Definitions'!$A$11,"...")</f>
        <v>...</v>
      </c>
      <c r="B366" s="4" t="str">
        <f>IF($D$231="Y","---&gt;","...")</f>
        <v>...</v>
      </c>
      <c r="C366" s="1" t="str">
        <f>IF($D$231="Y",'Population Definitions'!$A$4,"...")</f>
        <v>...</v>
      </c>
      <c r="E366" s="2"/>
      <c r="F366" s="3"/>
      <c r="G366" s="2"/>
      <c r="H366" s="4" t="str">
        <f>IF($D$231="Y","OR","...")</f>
        <v>...</v>
      </c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2"/>
      <c r="AQ366" s="2"/>
      <c r="AR366" s="2"/>
      <c r="AS366" s="2"/>
      <c r="AT366" s="2"/>
      <c r="AU366" s="2"/>
      <c r="AV366" s="2"/>
      <c r="AW366" s="2"/>
      <c r="AX366" s="2"/>
      <c r="AY366" s="2"/>
      <c r="AZ366" s="2"/>
      <c r="BA366" s="2"/>
      <c r="BB366" s="2"/>
      <c r="BC366" s="2"/>
      <c r="BD366" s="2"/>
      <c r="BE366" s="2"/>
      <c r="BF366" s="2"/>
      <c r="BG366" s="2"/>
    </row>
    <row r="367" spans="1:59">
      <c r="A367" s="1" t="str">
        <f>IF($E$231="Y",'Population Definitions'!$A$11,"...")</f>
        <v>...</v>
      </c>
      <c r="B367" s="4" t="str">
        <f>IF($E$231="Y","---&gt;","...")</f>
        <v>...</v>
      </c>
      <c r="C367" s="1" t="str">
        <f>IF($E$231="Y",'Population Definitions'!$A$5,"...")</f>
        <v>...</v>
      </c>
      <c r="E367" s="2"/>
      <c r="F367" s="3"/>
      <c r="G367" s="2"/>
      <c r="H367" s="4" t="str">
        <f>IF($E$231="Y","OR","...")</f>
        <v>...</v>
      </c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  <c r="AQ367" s="2"/>
      <c r="AR367" s="2"/>
      <c r="AS367" s="2"/>
      <c r="AT367" s="2"/>
      <c r="AU367" s="2"/>
      <c r="AV367" s="2"/>
      <c r="AW367" s="2"/>
      <c r="AX367" s="2"/>
      <c r="AY367" s="2"/>
      <c r="AZ367" s="2"/>
      <c r="BA367" s="2"/>
      <c r="BB367" s="2"/>
      <c r="BC367" s="2"/>
      <c r="BD367" s="2"/>
      <c r="BE367" s="2"/>
      <c r="BF367" s="2"/>
      <c r="BG367" s="2"/>
    </row>
    <row r="368" spans="1:59">
      <c r="A368" s="1" t="str">
        <f>IF($F$231="Y",'Population Definitions'!$A$11,"...")</f>
        <v>...</v>
      </c>
      <c r="B368" s="4" t="str">
        <f>IF($F$231="Y","---&gt;","...")</f>
        <v>...</v>
      </c>
      <c r="C368" s="1" t="str">
        <f>IF($F$231="Y",'Population Definitions'!$A$6,"...")</f>
        <v>...</v>
      </c>
      <c r="E368" s="2"/>
      <c r="F368" s="3"/>
      <c r="G368" s="2"/>
      <c r="H368" s="4" t="str">
        <f>IF($F$231="Y","OR","...")</f>
        <v>...</v>
      </c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2"/>
      <c r="AQ368" s="2"/>
      <c r="AR368" s="2"/>
      <c r="AS368" s="2"/>
      <c r="AT368" s="2"/>
      <c r="AU368" s="2"/>
      <c r="AV368" s="2"/>
      <c r="AW368" s="2"/>
      <c r="AX368" s="2"/>
      <c r="AY368" s="2"/>
      <c r="AZ368" s="2"/>
      <c r="BA368" s="2"/>
      <c r="BB368" s="2"/>
      <c r="BC368" s="2"/>
      <c r="BD368" s="2"/>
      <c r="BE368" s="2"/>
      <c r="BF368" s="2"/>
      <c r="BG368" s="2"/>
    </row>
    <row r="369" spans="1:59">
      <c r="A369" s="1" t="str">
        <f>IF($G$231="Y",'Population Definitions'!$A$11,"...")</f>
        <v>...</v>
      </c>
      <c r="B369" s="4" t="str">
        <f>IF($G$231="Y","---&gt;","...")</f>
        <v>...</v>
      </c>
      <c r="C369" s="1" t="str">
        <f>IF($G$231="Y",'Population Definitions'!$A$7,"...")</f>
        <v>...</v>
      </c>
      <c r="E369" s="2"/>
      <c r="F369" s="3"/>
      <c r="G369" s="2"/>
      <c r="H369" s="4" t="str">
        <f>IF($G$231="Y","OR","...")</f>
        <v>...</v>
      </c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  <c r="AQ369" s="2"/>
      <c r="AR369" s="2"/>
      <c r="AS369" s="2"/>
      <c r="AT369" s="2"/>
      <c r="AU369" s="2"/>
      <c r="AV369" s="2"/>
      <c r="AW369" s="2"/>
      <c r="AX369" s="2"/>
      <c r="AY369" s="2"/>
      <c r="AZ369" s="2"/>
      <c r="BA369" s="2"/>
      <c r="BB369" s="2"/>
      <c r="BC369" s="2"/>
      <c r="BD369" s="2"/>
      <c r="BE369" s="2"/>
      <c r="BF369" s="2"/>
      <c r="BG369" s="2"/>
    </row>
    <row r="370" spans="1:59">
      <c r="A370" s="1" t="str">
        <f>IF($H$231="Y",'Population Definitions'!$A$11,"...")</f>
        <v>...</v>
      </c>
      <c r="B370" s="4" t="str">
        <f>IF($H$231="Y","---&gt;","...")</f>
        <v>...</v>
      </c>
      <c r="C370" s="1" t="str">
        <f>IF($H$231="Y",'Population Definitions'!$A$8,"...")</f>
        <v>...</v>
      </c>
      <c r="E370" s="2"/>
      <c r="F370" s="3"/>
      <c r="G370" s="2"/>
      <c r="H370" s="4" t="str">
        <f>IF($H$231="Y","OR","...")</f>
        <v>...</v>
      </c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/>
      <c r="AN370" s="2"/>
      <c r="AO370" s="2"/>
      <c r="AP370" s="2"/>
      <c r="AQ370" s="2"/>
      <c r="AR370" s="2"/>
      <c r="AS370" s="2"/>
      <c r="AT370" s="2"/>
      <c r="AU370" s="2"/>
      <c r="AV370" s="2"/>
      <c r="AW370" s="2"/>
      <c r="AX370" s="2"/>
      <c r="AY370" s="2"/>
      <c r="AZ370" s="2"/>
      <c r="BA370" s="2"/>
      <c r="BB370" s="2"/>
      <c r="BC370" s="2"/>
      <c r="BD370" s="2"/>
      <c r="BE370" s="2"/>
      <c r="BF370" s="2"/>
      <c r="BG370" s="2"/>
    </row>
    <row r="371" spans="1:59">
      <c r="A371" s="1" t="str">
        <f>IF($I$231="Y",'Population Definitions'!$A$11,"...")</f>
        <v>...</v>
      </c>
      <c r="B371" s="4" t="str">
        <f>IF($I$231="Y","---&gt;","...")</f>
        <v>...</v>
      </c>
      <c r="C371" s="1" t="str">
        <f>IF($I$231="Y",'Population Definitions'!$A$9,"...")</f>
        <v>...</v>
      </c>
      <c r="E371" s="2"/>
      <c r="F371" s="3"/>
      <c r="G371" s="2"/>
      <c r="H371" s="4" t="str">
        <f>IF($I$231="Y","OR","...")</f>
        <v>...</v>
      </c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  <c r="AN371" s="2"/>
      <c r="AO371" s="2"/>
      <c r="AP371" s="2"/>
      <c r="AQ371" s="2"/>
      <c r="AR371" s="2"/>
      <c r="AS371" s="2"/>
      <c r="AT371" s="2"/>
      <c r="AU371" s="2"/>
      <c r="AV371" s="2"/>
      <c r="AW371" s="2"/>
      <c r="AX371" s="2"/>
      <c r="AY371" s="2"/>
      <c r="AZ371" s="2"/>
      <c r="BA371" s="2"/>
      <c r="BB371" s="2"/>
      <c r="BC371" s="2"/>
      <c r="BD371" s="2"/>
      <c r="BE371" s="2"/>
      <c r="BF371" s="2"/>
      <c r="BG371" s="2"/>
    </row>
    <row r="372" spans="1:59">
      <c r="A372" s="1" t="str">
        <f>IF($J$231="Y",'Population Definitions'!$A$11,"...")</f>
        <v>...</v>
      </c>
      <c r="B372" s="4" t="str">
        <f>IF($J$231="Y","---&gt;","...")</f>
        <v>...</v>
      </c>
      <c r="C372" s="1" t="str">
        <f>IF($J$231="Y",'Population Definitions'!$A$10,"...")</f>
        <v>...</v>
      </c>
      <c r="E372" s="2"/>
      <c r="F372" s="3"/>
      <c r="G372" s="2"/>
      <c r="H372" s="4" t="str">
        <f>IF($J$231="Y","OR","...")</f>
        <v>...</v>
      </c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  <c r="AN372" s="2"/>
      <c r="AO372" s="2"/>
      <c r="AP372" s="2"/>
      <c r="AQ372" s="2"/>
      <c r="AR372" s="2"/>
      <c r="AS372" s="2"/>
      <c r="AT372" s="2"/>
      <c r="AU372" s="2"/>
      <c r="AV372" s="2"/>
      <c r="AW372" s="2"/>
      <c r="AX372" s="2"/>
      <c r="AY372" s="2"/>
      <c r="AZ372" s="2"/>
      <c r="BA372" s="2"/>
      <c r="BB372" s="2"/>
      <c r="BC372" s="2"/>
      <c r="BD372" s="2"/>
      <c r="BE372" s="2"/>
      <c r="BF372" s="2"/>
      <c r="BG372" s="2"/>
    </row>
    <row r="373" spans="1:59">
      <c r="A373" s="1" t="str">
        <f>IF($K$231="Y",'Population Definitions'!$A$11,"...")</f>
        <v>...</v>
      </c>
      <c r="B373" s="4" t="str">
        <f>IF($K$231="Y","---&gt;","...")</f>
        <v>...</v>
      </c>
      <c r="C373" s="1" t="str">
        <f>IF($K$231="Y",'Population Definitions'!$A$11,"...")</f>
        <v>...</v>
      </c>
      <c r="E373" s="2"/>
      <c r="F373" s="3"/>
      <c r="G373" s="2"/>
      <c r="H373" s="4" t="str">
        <f>IF($K$231="Y","OR","...")</f>
        <v>...</v>
      </c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  <c r="AM373" s="2"/>
      <c r="AN373" s="2"/>
      <c r="AO373" s="2"/>
      <c r="AP373" s="2"/>
      <c r="AQ373" s="2"/>
      <c r="AR373" s="2"/>
      <c r="AS373" s="2"/>
      <c r="AT373" s="2"/>
      <c r="AU373" s="2"/>
      <c r="AV373" s="2"/>
      <c r="AW373" s="2"/>
      <c r="AX373" s="2"/>
      <c r="AY373" s="2"/>
      <c r="AZ373" s="2"/>
      <c r="BA373" s="2"/>
      <c r="BB373" s="2"/>
      <c r="BC373" s="2"/>
      <c r="BD373" s="2"/>
      <c r="BE373" s="2"/>
      <c r="BF373" s="2"/>
      <c r="BG373" s="2"/>
    </row>
    <row r="374" spans="1:59">
      <c r="A374" s="1" t="str">
        <f>IF($L$231="Y",'Population Definitions'!$A$11,"...")</f>
        <v>...</v>
      </c>
      <c r="B374" s="4" t="str">
        <f>IF($L$231="Y","---&gt;","...")</f>
        <v>...</v>
      </c>
      <c r="C374" s="1" t="str">
        <f>IF($L$231="Y",'Population Definitions'!$A$12,"...")</f>
        <v>...</v>
      </c>
      <c r="E374" s="2"/>
      <c r="F374" s="3"/>
      <c r="G374" s="2"/>
      <c r="H374" s="4" t="str">
        <f>IF($L$231="Y","OR","...")</f>
        <v>...</v>
      </c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2"/>
      <c r="AQ374" s="2"/>
      <c r="AR374" s="2"/>
      <c r="AS374" s="2"/>
      <c r="AT374" s="2"/>
      <c r="AU374" s="2"/>
      <c r="AV374" s="2"/>
      <c r="AW374" s="2"/>
      <c r="AX374" s="2"/>
      <c r="AY374" s="2"/>
      <c r="AZ374" s="2"/>
      <c r="BA374" s="2"/>
      <c r="BB374" s="2"/>
      <c r="BC374" s="2"/>
      <c r="BD374" s="2"/>
      <c r="BE374" s="2"/>
      <c r="BF374" s="2"/>
      <c r="BG374" s="2"/>
    </row>
    <row r="375" spans="1:59">
      <c r="A375" s="1" t="str">
        <f>IF($M$231="Y",'Population Definitions'!$A$11,"...")</f>
        <v>...</v>
      </c>
      <c r="B375" s="4" t="str">
        <f>IF($M$231="Y","---&gt;","...")</f>
        <v>...</v>
      </c>
      <c r="C375" s="1" t="str">
        <f>IF($M$231="Y",'Population Definitions'!$A$13,"...")</f>
        <v>...</v>
      </c>
      <c r="E375" s="2"/>
      <c r="F375" s="3"/>
      <c r="G375" s="2"/>
      <c r="H375" s="4" t="str">
        <f>IF($M$231="Y","OR","...")</f>
        <v>...</v>
      </c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  <c r="AQ375" s="2"/>
      <c r="AR375" s="2"/>
      <c r="AS375" s="2"/>
      <c r="AT375" s="2"/>
      <c r="AU375" s="2"/>
      <c r="AV375" s="2"/>
      <c r="AW375" s="2"/>
      <c r="AX375" s="2"/>
      <c r="AY375" s="2"/>
      <c r="AZ375" s="2"/>
      <c r="BA375" s="2"/>
      <c r="BB375" s="2"/>
      <c r="BC375" s="2"/>
      <c r="BD375" s="2"/>
      <c r="BE375" s="2"/>
      <c r="BF375" s="2"/>
      <c r="BG375" s="2"/>
    </row>
    <row r="376" spans="1:59">
      <c r="A376" s="1" t="str">
        <f>IF($N$231="Y",'Population Definitions'!$A$11,"...")</f>
        <v>...</v>
      </c>
      <c r="B376" s="4" t="str">
        <f>IF($N$231="Y","---&gt;","...")</f>
        <v>...</v>
      </c>
      <c r="C376" s="1" t="str">
        <f>IF($N$231="Y",'Population Definitions'!$A$14,"...")</f>
        <v>...</v>
      </c>
      <c r="E376" s="2"/>
      <c r="F376" s="3"/>
      <c r="G376" s="2"/>
      <c r="H376" s="4" t="str">
        <f>IF($N$231="Y","OR","...")</f>
        <v>...</v>
      </c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2"/>
      <c r="AQ376" s="2"/>
      <c r="AR376" s="2"/>
      <c r="AS376" s="2"/>
      <c r="AT376" s="2"/>
      <c r="AU376" s="2"/>
      <c r="AV376" s="2"/>
      <c r="AW376" s="2"/>
      <c r="AX376" s="2"/>
      <c r="AY376" s="2"/>
      <c r="AZ376" s="2"/>
      <c r="BA376" s="2"/>
      <c r="BB376" s="2"/>
      <c r="BC376" s="2"/>
      <c r="BD376" s="2"/>
      <c r="BE376" s="2"/>
      <c r="BF376" s="2"/>
      <c r="BG376" s="2"/>
    </row>
    <row r="377" spans="1:59">
      <c r="A377" s="1" t="str">
        <f>IF($O$231="Y",'Population Definitions'!$A$11,"...")</f>
        <v>...</v>
      </c>
      <c r="B377" s="4" t="str">
        <f>IF($O$231="Y","---&gt;","...")</f>
        <v>...</v>
      </c>
      <c r="C377" s="1" t="str">
        <f>IF($O$231="Y",'Population Definitions'!$A$15,"...")</f>
        <v>...</v>
      </c>
      <c r="E377" s="2"/>
      <c r="F377" s="3"/>
      <c r="G377" s="2"/>
      <c r="H377" s="4" t="str">
        <f>IF($O$231="Y","OR","...")</f>
        <v>...</v>
      </c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  <c r="AP377" s="2"/>
      <c r="AQ377" s="2"/>
      <c r="AR377" s="2"/>
      <c r="AS377" s="2"/>
      <c r="AT377" s="2"/>
      <c r="AU377" s="2"/>
      <c r="AV377" s="2"/>
      <c r="AW377" s="2"/>
      <c r="AX377" s="2"/>
      <c r="AY377" s="2"/>
      <c r="AZ377" s="2"/>
      <c r="BA377" s="2"/>
      <c r="BB377" s="2"/>
      <c r="BC377" s="2"/>
      <c r="BD377" s="2"/>
      <c r="BE377" s="2"/>
      <c r="BF377" s="2"/>
      <c r="BG377" s="2"/>
    </row>
    <row r="378" spans="1:59">
      <c r="A378" s="1" t="str">
        <f>IF($B$232="Y",'Population Definitions'!$A$12,"...")</f>
        <v>...</v>
      </c>
      <c r="B378" s="4" t="str">
        <f>IF($B$232="Y","---&gt;","...")</f>
        <v>...</v>
      </c>
      <c r="C378" s="1" t="str">
        <f>IF($B$232="Y",'Population Definitions'!$A$2,"...")</f>
        <v>...</v>
      </c>
      <c r="E378" s="2"/>
      <c r="F378" s="3"/>
      <c r="G378" s="2"/>
      <c r="H378" s="4" t="str">
        <f>IF($B$232="Y","OR","...")</f>
        <v>...</v>
      </c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2"/>
      <c r="AQ378" s="2"/>
      <c r="AR378" s="2"/>
      <c r="AS378" s="2"/>
      <c r="AT378" s="2"/>
      <c r="AU378" s="2"/>
      <c r="AV378" s="2"/>
      <c r="AW378" s="2"/>
      <c r="AX378" s="2"/>
      <c r="AY378" s="2"/>
      <c r="AZ378" s="2"/>
      <c r="BA378" s="2"/>
      <c r="BB378" s="2"/>
      <c r="BC378" s="2"/>
      <c r="BD378" s="2"/>
      <c r="BE378" s="2"/>
      <c r="BF378" s="2"/>
      <c r="BG378" s="2"/>
    </row>
    <row r="379" spans="1:59">
      <c r="A379" s="1" t="str">
        <f>IF($C$232="Y",'Population Definitions'!$A$12,"...")</f>
        <v>...</v>
      </c>
      <c r="B379" s="4" t="str">
        <f>IF($C$232="Y","---&gt;","...")</f>
        <v>...</v>
      </c>
      <c r="C379" s="1" t="str">
        <f>IF($C$232="Y",'Population Definitions'!$A$3,"...")</f>
        <v>...</v>
      </c>
      <c r="E379" s="2"/>
      <c r="F379" s="3"/>
      <c r="G379" s="2"/>
      <c r="H379" s="4" t="str">
        <f>IF($C$232="Y","OR","...")</f>
        <v>...</v>
      </c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  <c r="AP379" s="2"/>
      <c r="AQ379" s="2"/>
      <c r="AR379" s="2"/>
      <c r="AS379" s="2"/>
      <c r="AT379" s="2"/>
      <c r="AU379" s="2"/>
      <c r="AV379" s="2"/>
      <c r="AW379" s="2"/>
      <c r="AX379" s="2"/>
      <c r="AY379" s="2"/>
      <c r="AZ379" s="2"/>
      <c r="BA379" s="2"/>
      <c r="BB379" s="2"/>
      <c r="BC379" s="2"/>
      <c r="BD379" s="2"/>
      <c r="BE379" s="2"/>
      <c r="BF379" s="2"/>
      <c r="BG379" s="2"/>
    </row>
    <row r="380" spans="1:59">
      <c r="A380" s="1" t="str">
        <f>IF($D$232="Y",'Population Definitions'!$A$12,"...")</f>
        <v>...</v>
      </c>
      <c r="B380" s="4" t="str">
        <f>IF($D$232="Y","---&gt;","...")</f>
        <v>...</v>
      </c>
      <c r="C380" s="1" t="str">
        <f>IF($D$232="Y",'Population Definitions'!$A$4,"...")</f>
        <v>...</v>
      </c>
      <c r="E380" s="2"/>
      <c r="F380" s="3"/>
      <c r="G380" s="2"/>
      <c r="H380" s="4" t="str">
        <f>IF($D$232="Y","OR","...")</f>
        <v>...</v>
      </c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  <c r="AP380" s="2"/>
      <c r="AQ380" s="2"/>
      <c r="AR380" s="2"/>
      <c r="AS380" s="2"/>
      <c r="AT380" s="2"/>
      <c r="AU380" s="2"/>
      <c r="AV380" s="2"/>
      <c r="AW380" s="2"/>
      <c r="AX380" s="2"/>
      <c r="AY380" s="2"/>
      <c r="AZ380" s="2"/>
      <c r="BA380" s="2"/>
      <c r="BB380" s="2"/>
      <c r="BC380" s="2"/>
      <c r="BD380" s="2"/>
      <c r="BE380" s="2"/>
      <c r="BF380" s="2"/>
      <c r="BG380" s="2"/>
    </row>
    <row r="381" spans="1:59">
      <c r="A381" s="1" t="str">
        <f>IF($E$232="Y",'Population Definitions'!$A$12,"...")</f>
        <v>...</v>
      </c>
      <c r="B381" s="4" t="str">
        <f>IF($E$232="Y","---&gt;","...")</f>
        <v>...</v>
      </c>
      <c r="C381" s="1" t="str">
        <f>IF($E$232="Y",'Population Definitions'!$A$5,"...")</f>
        <v>...</v>
      </c>
      <c r="E381" s="2"/>
      <c r="F381" s="3"/>
      <c r="G381" s="2"/>
      <c r="H381" s="4" t="str">
        <f>IF($E$232="Y","OR","...")</f>
        <v>...</v>
      </c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  <c r="AP381" s="2"/>
      <c r="AQ381" s="2"/>
      <c r="AR381" s="2"/>
      <c r="AS381" s="2"/>
      <c r="AT381" s="2"/>
      <c r="AU381" s="2"/>
      <c r="AV381" s="2"/>
      <c r="AW381" s="2"/>
      <c r="AX381" s="2"/>
      <c r="AY381" s="2"/>
      <c r="AZ381" s="2"/>
      <c r="BA381" s="2"/>
      <c r="BB381" s="2"/>
      <c r="BC381" s="2"/>
      <c r="BD381" s="2"/>
      <c r="BE381" s="2"/>
      <c r="BF381" s="2"/>
      <c r="BG381" s="2"/>
    </row>
    <row r="382" spans="1:59">
      <c r="A382" s="1" t="str">
        <f>IF($F$232="Y",'Population Definitions'!$A$12,"...")</f>
        <v>...</v>
      </c>
      <c r="B382" s="4" t="str">
        <f>IF($F$232="Y","---&gt;","...")</f>
        <v>...</v>
      </c>
      <c r="C382" s="1" t="str">
        <f>IF($F$232="Y",'Population Definitions'!$A$6,"...")</f>
        <v>...</v>
      </c>
      <c r="E382" s="2"/>
      <c r="F382" s="3"/>
      <c r="G382" s="2"/>
      <c r="H382" s="4" t="str">
        <f>IF($F$232="Y","OR","...")</f>
        <v>...</v>
      </c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/>
      <c r="AQ382" s="2"/>
      <c r="AR382" s="2"/>
      <c r="AS382" s="2"/>
      <c r="AT382" s="2"/>
      <c r="AU382" s="2"/>
      <c r="AV382" s="2"/>
      <c r="AW382" s="2"/>
      <c r="AX382" s="2"/>
      <c r="AY382" s="2"/>
      <c r="AZ382" s="2"/>
      <c r="BA382" s="2"/>
      <c r="BB382" s="2"/>
      <c r="BC382" s="2"/>
      <c r="BD382" s="2"/>
      <c r="BE382" s="2"/>
      <c r="BF382" s="2"/>
      <c r="BG382" s="2"/>
    </row>
    <row r="383" spans="1:59">
      <c r="A383" s="1" t="str">
        <f>IF($G$232="Y",'Population Definitions'!$A$12,"...")</f>
        <v>...</v>
      </c>
      <c r="B383" s="4" t="str">
        <f>IF($G$232="Y","---&gt;","...")</f>
        <v>...</v>
      </c>
      <c r="C383" s="1" t="str">
        <f>IF($G$232="Y",'Population Definitions'!$A$7,"...")</f>
        <v>...</v>
      </c>
      <c r="E383" s="2"/>
      <c r="F383" s="3"/>
      <c r="G383" s="2"/>
      <c r="H383" s="4" t="str">
        <f>IF($G$232="Y","OR","...")</f>
        <v>...</v>
      </c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  <c r="AM383" s="2"/>
      <c r="AN383" s="2"/>
      <c r="AO383" s="2"/>
      <c r="AP383" s="2"/>
      <c r="AQ383" s="2"/>
      <c r="AR383" s="2"/>
      <c r="AS383" s="2"/>
      <c r="AT383" s="2"/>
      <c r="AU383" s="2"/>
      <c r="AV383" s="2"/>
      <c r="AW383" s="2"/>
      <c r="AX383" s="2"/>
      <c r="AY383" s="2"/>
      <c r="AZ383" s="2"/>
      <c r="BA383" s="2"/>
      <c r="BB383" s="2"/>
      <c r="BC383" s="2"/>
      <c r="BD383" s="2"/>
      <c r="BE383" s="2"/>
      <c r="BF383" s="2"/>
      <c r="BG383" s="2"/>
    </row>
    <row r="384" spans="1:59">
      <c r="A384" s="1" t="str">
        <f>IF($H$232="Y",'Population Definitions'!$A$12,"...")</f>
        <v>...</v>
      </c>
      <c r="B384" s="4" t="str">
        <f>IF($H$232="Y","---&gt;","...")</f>
        <v>...</v>
      </c>
      <c r="C384" s="1" t="str">
        <f>IF($H$232="Y",'Population Definitions'!$A$8,"...")</f>
        <v>...</v>
      </c>
      <c r="E384" s="2"/>
      <c r="F384" s="3"/>
      <c r="G384" s="2"/>
      <c r="H384" s="4" t="str">
        <f>IF($H$232="Y","OR","...")</f>
        <v>...</v>
      </c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  <c r="AP384" s="2"/>
      <c r="AQ384" s="2"/>
      <c r="AR384" s="2"/>
      <c r="AS384" s="2"/>
      <c r="AT384" s="2"/>
      <c r="AU384" s="2"/>
      <c r="AV384" s="2"/>
      <c r="AW384" s="2"/>
      <c r="AX384" s="2"/>
      <c r="AY384" s="2"/>
      <c r="AZ384" s="2"/>
      <c r="BA384" s="2"/>
      <c r="BB384" s="2"/>
      <c r="BC384" s="2"/>
      <c r="BD384" s="2"/>
      <c r="BE384" s="2"/>
      <c r="BF384" s="2"/>
      <c r="BG384" s="2"/>
    </row>
    <row r="385" spans="1:59">
      <c r="A385" s="1" t="str">
        <f>IF($I$232="Y",'Population Definitions'!$A$12,"...")</f>
        <v>...</v>
      </c>
      <c r="B385" s="4" t="str">
        <f>IF($I$232="Y","---&gt;","...")</f>
        <v>...</v>
      </c>
      <c r="C385" s="1" t="str">
        <f>IF($I$232="Y",'Population Definitions'!$A$9,"...")</f>
        <v>...</v>
      </c>
      <c r="E385" s="2"/>
      <c r="F385" s="3"/>
      <c r="G385" s="2"/>
      <c r="H385" s="4" t="str">
        <f>IF($I$232="Y","OR","...")</f>
        <v>...</v>
      </c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  <c r="AP385" s="2"/>
      <c r="AQ385" s="2"/>
      <c r="AR385" s="2"/>
      <c r="AS385" s="2"/>
      <c r="AT385" s="2"/>
      <c r="AU385" s="2"/>
      <c r="AV385" s="2"/>
      <c r="AW385" s="2"/>
      <c r="AX385" s="2"/>
      <c r="AY385" s="2"/>
      <c r="AZ385" s="2"/>
      <c r="BA385" s="2"/>
      <c r="BB385" s="2"/>
      <c r="BC385" s="2"/>
      <c r="BD385" s="2"/>
      <c r="BE385" s="2"/>
      <c r="BF385" s="2"/>
      <c r="BG385" s="2"/>
    </row>
    <row r="386" spans="1:59">
      <c r="A386" s="1" t="str">
        <f>IF($J$232="Y",'Population Definitions'!$A$12,"...")</f>
        <v>...</v>
      </c>
      <c r="B386" s="4" t="str">
        <f>IF($J$232="Y","---&gt;","...")</f>
        <v>...</v>
      </c>
      <c r="C386" s="1" t="str">
        <f>IF($J$232="Y",'Population Definitions'!$A$10,"...")</f>
        <v>...</v>
      </c>
      <c r="E386" s="2"/>
      <c r="F386" s="3"/>
      <c r="G386" s="2"/>
      <c r="H386" s="4" t="str">
        <f>IF($J$232="Y","OR","...")</f>
        <v>...</v>
      </c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2"/>
      <c r="AQ386" s="2"/>
      <c r="AR386" s="2"/>
      <c r="AS386" s="2"/>
      <c r="AT386" s="2"/>
      <c r="AU386" s="2"/>
      <c r="AV386" s="2"/>
      <c r="AW386" s="2"/>
      <c r="AX386" s="2"/>
      <c r="AY386" s="2"/>
      <c r="AZ386" s="2"/>
      <c r="BA386" s="2"/>
      <c r="BB386" s="2"/>
      <c r="BC386" s="2"/>
      <c r="BD386" s="2"/>
      <c r="BE386" s="2"/>
      <c r="BF386" s="2"/>
      <c r="BG386" s="2"/>
    </row>
    <row r="387" spans="1:59">
      <c r="A387" s="1" t="str">
        <f>IF($K$232="Y",'Population Definitions'!$A$12,"...")</f>
        <v>...</v>
      </c>
      <c r="B387" s="4" t="str">
        <f>IF($K$232="Y","---&gt;","...")</f>
        <v>...</v>
      </c>
      <c r="C387" s="1" t="str">
        <f>IF($K$232="Y",'Population Definitions'!$A$11,"...")</f>
        <v>...</v>
      </c>
      <c r="E387" s="2"/>
      <c r="F387" s="3"/>
      <c r="G387" s="2"/>
      <c r="H387" s="4" t="str">
        <f>IF($K$232="Y","OR","...")</f>
        <v>...</v>
      </c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"/>
      <c r="AQ387" s="2"/>
      <c r="AR387" s="2"/>
      <c r="AS387" s="2"/>
      <c r="AT387" s="2"/>
      <c r="AU387" s="2"/>
      <c r="AV387" s="2"/>
      <c r="AW387" s="2"/>
      <c r="AX387" s="2"/>
      <c r="AY387" s="2"/>
      <c r="AZ387" s="2"/>
      <c r="BA387" s="2"/>
      <c r="BB387" s="2"/>
      <c r="BC387" s="2"/>
      <c r="BD387" s="2"/>
      <c r="BE387" s="2"/>
      <c r="BF387" s="2"/>
      <c r="BG387" s="2"/>
    </row>
    <row r="388" spans="1:59">
      <c r="A388" s="1" t="str">
        <f>IF($L$232="Y",'Population Definitions'!$A$12,"...")</f>
        <v>...</v>
      </c>
      <c r="B388" s="4" t="str">
        <f>IF($L$232="Y","---&gt;","...")</f>
        <v>...</v>
      </c>
      <c r="C388" s="1" t="str">
        <f>IF($L$232="Y",'Population Definitions'!$A$12,"...")</f>
        <v>...</v>
      </c>
      <c r="E388" s="2"/>
      <c r="F388" s="3"/>
      <c r="G388" s="2"/>
      <c r="H388" s="4" t="str">
        <f>IF($L$232="Y","OR","...")</f>
        <v>...</v>
      </c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  <c r="AP388" s="2"/>
      <c r="AQ388" s="2"/>
      <c r="AR388" s="2"/>
      <c r="AS388" s="2"/>
      <c r="AT388" s="2"/>
      <c r="AU388" s="2"/>
      <c r="AV388" s="2"/>
      <c r="AW388" s="2"/>
      <c r="AX388" s="2"/>
      <c r="AY388" s="2"/>
      <c r="AZ388" s="2"/>
      <c r="BA388" s="2"/>
      <c r="BB388" s="2"/>
      <c r="BC388" s="2"/>
      <c r="BD388" s="2"/>
      <c r="BE388" s="2"/>
      <c r="BF388" s="2"/>
      <c r="BG388" s="2"/>
    </row>
    <row r="389" spans="1:59">
      <c r="A389" s="1" t="str">
        <f>IF($M$232="Y",'Population Definitions'!$A$12,"...")</f>
        <v>...</v>
      </c>
      <c r="B389" s="4" t="str">
        <f>IF($M$232="Y","---&gt;","...")</f>
        <v>...</v>
      </c>
      <c r="C389" s="1" t="str">
        <f>IF($M$232="Y",'Population Definitions'!$A$13,"...")</f>
        <v>...</v>
      </c>
      <c r="E389" s="2"/>
      <c r="F389" s="3"/>
      <c r="G389" s="2"/>
      <c r="H389" s="4" t="str">
        <f>IF($M$232="Y","OR","...")</f>
        <v>...</v>
      </c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  <c r="AQ389" s="2"/>
      <c r="AR389" s="2"/>
      <c r="AS389" s="2"/>
      <c r="AT389" s="2"/>
      <c r="AU389" s="2"/>
      <c r="AV389" s="2"/>
      <c r="AW389" s="2"/>
      <c r="AX389" s="2"/>
      <c r="AY389" s="2"/>
      <c r="AZ389" s="2"/>
      <c r="BA389" s="2"/>
      <c r="BB389" s="2"/>
      <c r="BC389" s="2"/>
      <c r="BD389" s="2"/>
      <c r="BE389" s="2"/>
      <c r="BF389" s="2"/>
      <c r="BG389" s="2"/>
    </row>
    <row r="390" spans="1:59">
      <c r="A390" s="1" t="str">
        <f>IF($N$232="Y",'Population Definitions'!$A$12,"...")</f>
        <v>...</v>
      </c>
      <c r="B390" s="4" t="str">
        <f>IF($N$232="Y","---&gt;","...")</f>
        <v>...</v>
      </c>
      <c r="C390" s="1" t="str">
        <f>IF($N$232="Y",'Population Definitions'!$A$14,"...")</f>
        <v>...</v>
      </c>
      <c r="E390" s="2"/>
      <c r="F390" s="3"/>
      <c r="G390" s="2"/>
      <c r="H390" s="4" t="str">
        <f>IF($N$232="Y","OR","...")</f>
        <v>...</v>
      </c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  <c r="AP390" s="2"/>
      <c r="AQ390" s="2"/>
      <c r="AR390" s="2"/>
      <c r="AS390" s="2"/>
      <c r="AT390" s="2"/>
      <c r="AU390" s="2"/>
      <c r="AV390" s="2"/>
      <c r="AW390" s="2"/>
      <c r="AX390" s="2"/>
      <c r="AY390" s="2"/>
      <c r="AZ390" s="2"/>
      <c r="BA390" s="2"/>
      <c r="BB390" s="2"/>
      <c r="BC390" s="2"/>
      <c r="BD390" s="2"/>
      <c r="BE390" s="2"/>
      <c r="BF390" s="2"/>
      <c r="BG390" s="2"/>
    </row>
    <row r="391" spans="1:59">
      <c r="A391" s="1" t="str">
        <f>IF($O$232="Y",'Population Definitions'!$A$12,"...")</f>
        <v>...</v>
      </c>
      <c r="B391" s="4" t="str">
        <f>IF($O$232="Y","---&gt;","...")</f>
        <v>...</v>
      </c>
      <c r="C391" s="1" t="str">
        <f>IF($O$232="Y",'Population Definitions'!$A$15,"...")</f>
        <v>...</v>
      </c>
      <c r="E391" s="2"/>
      <c r="F391" s="3"/>
      <c r="G391" s="2"/>
      <c r="H391" s="4" t="str">
        <f>IF($O$232="Y","OR","...")</f>
        <v>...</v>
      </c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  <c r="AM391" s="2"/>
      <c r="AN391" s="2"/>
      <c r="AO391" s="2"/>
      <c r="AP391" s="2"/>
      <c r="AQ391" s="2"/>
      <c r="AR391" s="2"/>
      <c r="AS391" s="2"/>
      <c r="AT391" s="2"/>
      <c r="AU391" s="2"/>
      <c r="AV391" s="2"/>
      <c r="AW391" s="2"/>
      <c r="AX391" s="2"/>
      <c r="AY391" s="2"/>
      <c r="AZ391" s="2"/>
      <c r="BA391" s="2"/>
      <c r="BB391" s="2"/>
      <c r="BC391" s="2"/>
      <c r="BD391" s="2"/>
      <c r="BE391" s="2"/>
      <c r="BF391" s="2"/>
      <c r="BG391" s="2"/>
    </row>
    <row r="392" spans="1:59">
      <c r="A392" s="1" t="str">
        <f>IF($B$233="Y",'Population Definitions'!$A$13,"...")</f>
        <v>...</v>
      </c>
      <c r="B392" s="4" t="str">
        <f>IF($B$233="Y","---&gt;","...")</f>
        <v>...</v>
      </c>
      <c r="C392" s="1" t="str">
        <f>IF($B$233="Y",'Population Definitions'!$A$2,"...")</f>
        <v>...</v>
      </c>
      <c r="E392" s="2"/>
      <c r="F392" s="3"/>
      <c r="G392" s="2"/>
      <c r="H392" s="4" t="str">
        <f>IF($B$233="Y","OR","...")</f>
        <v>...</v>
      </c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  <c r="AM392" s="2"/>
      <c r="AN392" s="2"/>
      <c r="AO392" s="2"/>
      <c r="AP392" s="2"/>
      <c r="AQ392" s="2"/>
      <c r="AR392" s="2"/>
      <c r="AS392" s="2"/>
      <c r="AT392" s="2"/>
      <c r="AU392" s="2"/>
      <c r="AV392" s="2"/>
      <c r="AW392" s="2"/>
      <c r="AX392" s="2"/>
      <c r="AY392" s="2"/>
      <c r="AZ392" s="2"/>
      <c r="BA392" s="2"/>
      <c r="BB392" s="2"/>
      <c r="BC392" s="2"/>
      <c r="BD392" s="2"/>
      <c r="BE392" s="2"/>
      <c r="BF392" s="2"/>
      <c r="BG392" s="2"/>
    </row>
    <row r="393" spans="1:59">
      <c r="A393" s="1" t="str">
        <f>IF($C$233="Y",'Population Definitions'!$A$13,"...")</f>
        <v>...</v>
      </c>
      <c r="B393" s="4" t="str">
        <f>IF($C$233="Y","---&gt;","...")</f>
        <v>...</v>
      </c>
      <c r="C393" s="1" t="str">
        <f>IF($C$233="Y",'Population Definitions'!$A$3,"...")</f>
        <v>...</v>
      </c>
      <c r="E393" s="2"/>
      <c r="F393" s="3"/>
      <c r="G393" s="2"/>
      <c r="H393" s="4" t="str">
        <f>IF($C$233="Y","OR","...")</f>
        <v>...</v>
      </c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  <c r="AP393" s="2"/>
      <c r="AQ393" s="2"/>
      <c r="AR393" s="2"/>
      <c r="AS393" s="2"/>
      <c r="AT393" s="2"/>
      <c r="AU393" s="2"/>
      <c r="AV393" s="2"/>
      <c r="AW393" s="2"/>
      <c r="AX393" s="2"/>
      <c r="AY393" s="2"/>
      <c r="AZ393" s="2"/>
      <c r="BA393" s="2"/>
      <c r="BB393" s="2"/>
      <c r="BC393" s="2"/>
      <c r="BD393" s="2"/>
      <c r="BE393" s="2"/>
      <c r="BF393" s="2"/>
      <c r="BG393" s="2"/>
    </row>
    <row r="394" spans="1:59">
      <c r="A394" s="1" t="str">
        <f>IF($D$233="Y",'Population Definitions'!$A$13,"...")</f>
        <v>...</v>
      </c>
      <c r="B394" s="4" t="str">
        <f>IF($D$233="Y","---&gt;","...")</f>
        <v>...</v>
      </c>
      <c r="C394" s="1" t="str">
        <f>IF($D$233="Y",'Population Definitions'!$A$4,"...")</f>
        <v>...</v>
      </c>
      <c r="E394" s="2"/>
      <c r="F394" s="3"/>
      <c r="G394" s="2"/>
      <c r="H394" s="4" t="str">
        <f>IF($D$233="Y","OR","...")</f>
        <v>...</v>
      </c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  <c r="AP394" s="2"/>
      <c r="AQ394" s="2"/>
      <c r="AR394" s="2"/>
      <c r="AS394" s="2"/>
      <c r="AT394" s="2"/>
      <c r="AU394" s="2"/>
      <c r="AV394" s="2"/>
      <c r="AW394" s="2"/>
      <c r="AX394" s="2"/>
      <c r="AY394" s="2"/>
      <c r="AZ394" s="2"/>
      <c r="BA394" s="2"/>
      <c r="BB394" s="2"/>
      <c r="BC394" s="2"/>
      <c r="BD394" s="2"/>
      <c r="BE394" s="2"/>
      <c r="BF394" s="2"/>
      <c r="BG394" s="2"/>
    </row>
    <row r="395" spans="1:59">
      <c r="A395" s="1" t="str">
        <f>IF($E$233="Y",'Population Definitions'!$A$13,"...")</f>
        <v>...</v>
      </c>
      <c r="B395" s="4" t="str">
        <f>IF($E$233="Y","---&gt;","...")</f>
        <v>...</v>
      </c>
      <c r="C395" s="1" t="str">
        <f>IF($E$233="Y",'Population Definitions'!$A$5,"...")</f>
        <v>...</v>
      </c>
      <c r="E395" s="2"/>
      <c r="F395" s="3"/>
      <c r="G395" s="2"/>
      <c r="H395" s="4" t="str">
        <f>IF($E$233="Y","OR","...")</f>
        <v>...</v>
      </c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  <c r="AP395" s="2"/>
      <c r="AQ395" s="2"/>
      <c r="AR395" s="2"/>
      <c r="AS395" s="2"/>
      <c r="AT395" s="2"/>
      <c r="AU395" s="2"/>
      <c r="AV395" s="2"/>
      <c r="AW395" s="2"/>
      <c r="AX395" s="2"/>
      <c r="AY395" s="2"/>
      <c r="AZ395" s="2"/>
      <c r="BA395" s="2"/>
      <c r="BB395" s="2"/>
      <c r="BC395" s="2"/>
      <c r="BD395" s="2"/>
      <c r="BE395" s="2"/>
      <c r="BF395" s="2"/>
      <c r="BG395" s="2"/>
    </row>
    <row r="396" spans="1:59">
      <c r="A396" s="1" t="str">
        <f>IF($F$233="Y",'Population Definitions'!$A$13,"...")</f>
        <v>...</v>
      </c>
      <c r="B396" s="4" t="str">
        <f>IF($F$233="Y","---&gt;","...")</f>
        <v>...</v>
      </c>
      <c r="C396" s="1" t="str">
        <f>IF($F$233="Y",'Population Definitions'!$A$6,"...")</f>
        <v>...</v>
      </c>
      <c r="E396" s="2"/>
      <c r="F396" s="3"/>
      <c r="G396" s="2"/>
      <c r="H396" s="4" t="str">
        <f>IF($F$233="Y","OR","...")</f>
        <v>...</v>
      </c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  <c r="AP396" s="2"/>
      <c r="AQ396" s="2"/>
      <c r="AR396" s="2"/>
      <c r="AS396" s="2"/>
      <c r="AT396" s="2"/>
      <c r="AU396" s="2"/>
      <c r="AV396" s="2"/>
      <c r="AW396" s="2"/>
      <c r="AX396" s="2"/>
      <c r="AY396" s="2"/>
      <c r="AZ396" s="2"/>
      <c r="BA396" s="2"/>
      <c r="BB396" s="2"/>
      <c r="BC396" s="2"/>
      <c r="BD396" s="2"/>
      <c r="BE396" s="2"/>
      <c r="BF396" s="2"/>
      <c r="BG396" s="2"/>
    </row>
    <row r="397" spans="1:59">
      <c r="A397" s="1" t="str">
        <f>IF($G$233="Y",'Population Definitions'!$A$13,"...")</f>
        <v>...</v>
      </c>
      <c r="B397" s="4" t="str">
        <f>IF($G$233="Y","---&gt;","...")</f>
        <v>...</v>
      </c>
      <c r="C397" s="1" t="str">
        <f>IF($G$233="Y",'Population Definitions'!$A$7,"...")</f>
        <v>...</v>
      </c>
      <c r="E397" s="2"/>
      <c r="F397" s="3"/>
      <c r="G397" s="2"/>
      <c r="H397" s="4" t="str">
        <f>IF($G$233="Y","OR","...")</f>
        <v>...</v>
      </c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  <c r="AP397" s="2"/>
      <c r="AQ397" s="2"/>
      <c r="AR397" s="2"/>
      <c r="AS397" s="2"/>
      <c r="AT397" s="2"/>
      <c r="AU397" s="2"/>
      <c r="AV397" s="2"/>
      <c r="AW397" s="2"/>
      <c r="AX397" s="2"/>
      <c r="AY397" s="2"/>
      <c r="AZ397" s="2"/>
      <c r="BA397" s="2"/>
      <c r="BB397" s="2"/>
      <c r="BC397" s="2"/>
      <c r="BD397" s="2"/>
      <c r="BE397" s="2"/>
      <c r="BF397" s="2"/>
      <c r="BG397" s="2"/>
    </row>
    <row r="398" spans="1:59">
      <c r="A398" s="1" t="str">
        <f>IF($H$233="Y",'Population Definitions'!$A$13,"...")</f>
        <v>...</v>
      </c>
      <c r="B398" s="4" t="str">
        <f>IF($H$233="Y","---&gt;","...")</f>
        <v>...</v>
      </c>
      <c r="C398" s="1" t="str">
        <f>IF($H$233="Y",'Population Definitions'!$A$8,"...")</f>
        <v>...</v>
      </c>
      <c r="E398" s="2"/>
      <c r="F398" s="3"/>
      <c r="G398" s="2"/>
      <c r="H398" s="4" t="str">
        <f>IF($H$233="Y","OR","...")</f>
        <v>...</v>
      </c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  <c r="AP398" s="2"/>
      <c r="AQ398" s="2"/>
      <c r="AR398" s="2"/>
      <c r="AS398" s="2"/>
      <c r="AT398" s="2"/>
      <c r="AU398" s="2"/>
      <c r="AV398" s="2"/>
      <c r="AW398" s="2"/>
      <c r="AX398" s="2"/>
      <c r="AY398" s="2"/>
      <c r="AZ398" s="2"/>
      <c r="BA398" s="2"/>
      <c r="BB398" s="2"/>
      <c r="BC398" s="2"/>
      <c r="BD398" s="2"/>
      <c r="BE398" s="2"/>
      <c r="BF398" s="2"/>
      <c r="BG398" s="2"/>
    </row>
    <row r="399" spans="1:59">
      <c r="A399" s="1" t="str">
        <f>IF($I$233="Y",'Population Definitions'!$A$13,"...")</f>
        <v>...</v>
      </c>
      <c r="B399" s="4" t="str">
        <f>IF($I$233="Y","---&gt;","...")</f>
        <v>...</v>
      </c>
      <c r="C399" s="1" t="str">
        <f>IF($I$233="Y",'Population Definitions'!$A$9,"...")</f>
        <v>...</v>
      </c>
      <c r="E399" s="2"/>
      <c r="F399" s="3"/>
      <c r="G399" s="2"/>
      <c r="H399" s="4" t="str">
        <f>IF($I$233="Y","OR","...")</f>
        <v>...</v>
      </c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  <c r="AP399" s="2"/>
      <c r="AQ399" s="2"/>
      <c r="AR399" s="2"/>
      <c r="AS399" s="2"/>
      <c r="AT399" s="2"/>
      <c r="AU399" s="2"/>
      <c r="AV399" s="2"/>
      <c r="AW399" s="2"/>
      <c r="AX399" s="2"/>
      <c r="AY399" s="2"/>
      <c r="AZ399" s="2"/>
      <c r="BA399" s="2"/>
      <c r="BB399" s="2"/>
      <c r="BC399" s="2"/>
      <c r="BD399" s="2"/>
      <c r="BE399" s="2"/>
      <c r="BF399" s="2"/>
      <c r="BG399" s="2"/>
    </row>
    <row r="400" spans="1:59">
      <c r="A400" s="1" t="str">
        <f>IF($J$233="Y",'Population Definitions'!$A$13,"...")</f>
        <v>...</v>
      </c>
      <c r="B400" s="4" t="str">
        <f>IF($J$233="Y","---&gt;","...")</f>
        <v>...</v>
      </c>
      <c r="C400" s="1" t="str">
        <f>IF($J$233="Y",'Population Definitions'!$A$10,"...")</f>
        <v>...</v>
      </c>
      <c r="E400" s="2"/>
      <c r="F400" s="3"/>
      <c r="G400" s="2"/>
      <c r="H400" s="4" t="str">
        <f>IF($J$233="Y","OR","...")</f>
        <v>...</v>
      </c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  <c r="AP400" s="2"/>
      <c r="AQ400" s="2"/>
      <c r="AR400" s="2"/>
      <c r="AS400" s="2"/>
      <c r="AT400" s="2"/>
      <c r="AU400" s="2"/>
      <c r="AV400" s="2"/>
      <c r="AW400" s="2"/>
      <c r="AX400" s="2"/>
      <c r="AY400" s="2"/>
      <c r="AZ400" s="2"/>
      <c r="BA400" s="2"/>
      <c r="BB400" s="2"/>
      <c r="BC400" s="2"/>
      <c r="BD400" s="2"/>
      <c r="BE400" s="2"/>
      <c r="BF400" s="2"/>
      <c r="BG400" s="2"/>
    </row>
    <row r="401" spans="1:59">
      <c r="A401" s="1" t="str">
        <f>IF($K$233="Y",'Population Definitions'!$A$13,"...")</f>
        <v>...</v>
      </c>
      <c r="B401" s="4" t="str">
        <f>IF($K$233="Y","---&gt;","...")</f>
        <v>...</v>
      </c>
      <c r="C401" s="1" t="str">
        <f>IF($K$233="Y",'Population Definitions'!$A$11,"...")</f>
        <v>...</v>
      </c>
      <c r="E401" s="2"/>
      <c r="F401" s="3"/>
      <c r="G401" s="2"/>
      <c r="H401" s="4" t="str">
        <f>IF($K$233="Y","OR","...")</f>
        <v>...</v>
      </c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  <c r="AO401" s="2"/>
      <c r="AP401" s="2"/>
      <c r="AQ401" s="2"/>
      <c r="AR401" s="2"/>
      <c r="AS401" s="2"/>
      <c r="AT401" s="2"/>
      <c r="AU401" s="2"/>
      <c r="AV401" s="2"/>
      <c r="AW401" s="2"/>
      <c r="AX401" s="2"/>
      <c r="AY401" s="2"/>
      <c r="AZ401" s="2"/>
      <c r="BA401" s="2"/>
      <c r="BB401" s="2"/>
      <c r="BC401" s="2"/>
      <c r="BD401" s="2"/>
      <c r="BE401" s="2"/>
      <c r="BF401" s="2"/>
      <c r="BG401" s="2"/>
    </row>
    <row r="402" spans="1:59">
      <c r="A402" s="1" t="str">
        <f>IF($L$233="Y",'Population Definitions'!$A$13,"...")</f>
        <v>...</v>
      </c>
      <c r="B402" s="4" t="str">
        <f>IF($L$233="Y","---&gt;","...")</f>
        <v>...</v>
      </c>
      <c r="C402" s="1" t="str">
        <f>IF($L$233="Y",'Population Definitions'!$A$12,"...")</f>
        <v>...</v>
      </c>
      <c r="E402" s="2"/>
      <c r="F402" s="3"/>
      <c r="G402" s="2"/>
      <c r="H402" s="4" t="str">
        <f>IF($L$233="Y","OR","...")</f>
        <v>...</v>
      </c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  <c r="AO402" s="2"/>
      <c r="AP402" s="2"/>
      <c r="AQ402" s="2"/>
      <c r="AR402" s="2"/>
      <c r="AS402" s="2"/>
      <c r="AT402" s="2"/>
      <c r="AU402" s="2"/>
      <c r="AV402" s="2"/>
      <c r="AW402" s="2"/>
      <c r="AX402" s="2"/>
      <c r="AY402" s="2"/>
      <c r="AZ402" s="2"/>
      <c r="BA402" s="2"/>
      <c r="BB402" s="2"/>
      <c r="BC402" s="2"/>
      <c r="BD402" s="2"/>
      <c r="BE402" s="2"/>
      <c r="BF402" s="2"/>
      <c r="BG402" s="2"/>
    </row>
    <row r="403" spans="1:59">
      <c r="A403" s="1" t="str">
        <f>IF($M$233="Y",'Population Definitions'!$A$13,"...")</f>
        <v>...</v>
      </c>
      <c r="B403" s="4" t="str">
        <f>IF($M$233="Y","---&gt;","...")</f>
        <v>...</v>
      </c>
      <c r="C403" s="1" t="str">
        <f>IF($M$233="Y",'Population Definitions'!$A$13,"...")</f>
        <v>...</v>
      </c>
      <c r="E403" s="2"/>
      <c r="F403" s="3"/>
      <c r="G403" s="2"/>
      <c r="H403" s="4" t="str">
        <f>IF($M$233="Y","OR","...")</f>
        <v>...</v>
      </c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  <c r="AO403" s="2"/>
      <c r="AP403" s="2"/>
      <c r="AQ403" s="2"/>
      <c r="AR403" s="2"/>
      <c r="AS403" s="2"/>
      <c r="AT403" s="2"/>
      <c r="AU403" s="2"/>
      <c r="AV403" s="2"/>
      <c r="AW403" s="2"/>
      <c r="AX403" s="2"/>
      <c r="AY403" s="2"/>
      <c r="AZ403" s="2"/>
      <c r="BA403" s="2"/>
      <c r="BB403" s="2"/>
      <c r="BC403" s="2"/>
      <c r="BD403" s="2"/>
      <c r="BE403" s="2"/>
      <c r="BF403" s="2"/>
      <c r="BG403" s="2"/>
    </row>
    <row r="404" spans="1:59">
      <c r="A404" s="1" t="str">
        <f>IF($N$233="Y",'Population Definitions'!$A$13,"...")</f>
        <v>...</v>
      </c>
      <c r="B404" s="4" t="str">
        <f>IF($N$233="Y","---&gt;","...")</f>
        <v>...</v>
      </c>
      <c r="C404" s="1" t="str">
        <f>IF($N$233="Y",'Population Definitions'!$A$14,"...")</f>
        <v>...</v>
      </c>
      <c r="E404" s="2"/>
      <c r="F404" s="3"/>
      <c r="G404" s="2"/>
      <c r="H404" s="4" t="str">
        <f>IF($N$233="Y","OR","...")</f>
        <v>...</v>
      </c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  <c r="AO404" s="2"/>
      <c r="AP404" s="2"/>
      <c r="AQ404" s="2"/>
      <c r="AR404" s="2"/>
      <c r="AS404" s="2"/>
      <c r="AT404" s="2"/>
      <c r="AU404" s="2"/>
      <c r="AV404" s="2"/>
      <c r="AW404" s="2"/>
      <c r="AX404" s="2"/>
      <c r="AY404" s="2"/>
      <c r="AZ404" s="2"/>
      <c r="BA404" s="2"/>
      <c r="BB404" s="2"/>
      <c r="BC404" s="2"/>
      <c r="BD404" s="2"/>
      <c r="BE404" s="2"/>
      <c r="BF404" s="2"/>
      <c r="BG404" s="2"/>
    </row>
    <row r="405" spans="1:59">
      <c r="A405" s="1" t="str">
        <f>IF($O$233="Y",'Population Definitions'!$A$13,"...")</f>
        <v>...</v>
      </c>
      <c r="B405" s="4" t="str">
        <f>IF($O$233="Y","---&gt;","...")</f>
        <v>...</v>
      </c>
      <c r="C405" s="1" t="str">
        <f>IF($O$233="Y",'Population Definitions'!$A$15,"...")</f>
        <v>...</v>
      </c>
      <c r="E405" s="2"/>
      <c r="F405" s="3"/>
      <c r="G405" s="2"/>
      <c r="H405" s="4" t="str">
        <f>IF($O$233="Y","OR","...")</f>
        <v>...</v>
      </c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  <c r="AO405" s="2"/>
      <c r="AP405" s="2"/>
      <c r="AQ405" s="2"/>
      <c r="AR405" s="2"/>
      <c r="AS405" s="2"/>
      <c r="AT405" s="2"/>
      <c r="AU405" s="2"/>
      <c r="AV405" s="2"/>
      <c r="AW405" s="2"/>
      <c r="AX405" s="2"/>
      <c r="AY405" s="2"/>
      <c r="AZ405" s="2"/>
      <c r="BA405" s="2"/>
      <c r="BB405" s="2"/>
      <c r="BC405" s="2"/>
      <c r="BD405" s="2"/>
      <c r="BE405" s="2"/>
      <c r="BF405" s="2"/>
      <c r="BG405" s="2"/>
    </row>
    <row r="406" spans="1:59">
      <c r="A406" s="1" t="str">
        <f>IF($B$234="Y",'Population Definitions'!$A$14,"...")</f>
        <v>...</v>
      </c>
      <c r="B406" s="4" t="str">
        <f>IF($B$234="Y","---&gt;","...")</f>
        <v>...</v>
      </c>
      <c r="C406" s="1" t="str">
        <f>IF($B$234="Y",'Population Definitions'!$A$2,"...")</f>
        <v>...</v>
      </c>
      <c r="E406" s="2"/>
      <c r="F406" s="3"/>
      <c r="G406" s="2"/>
      <c r="H406" s="4" t="str">
        <f>IF($B$234="Y","OR","...")</f>
        <v>...</v>
      </c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  <c r="AO406" s="2"/>
      <c r="AP406" s="2"/>
      <c r="AQ406" s="2"/>
      <c r="AR406" s="2"/>
      <c r="AS406" s="2"/>
      <c r="AT406" s="2"/>
      <c r="AU406" s="2"/>
      <c r="AV406" s="2"/>
      <c r="AW406" s="2"/>
      <c r="AX406" s="2"/>
      <c r="AY406" s="2"/>
      <c r="AZ406" s="2"/>
      <c r="BA406" s="2"/>
      <c r="BB406" s="2"/>
      <c r="BC406" s="2"/>
      <c r="BD406" s="2"/>
      <c r="BE406" s="2"/>
      <c r="BF406" s="2"/>
      <c r="BG406" s="2"/>
    </row>
    <row r="407" spans="1:59">
      <c r="A407" s="1" t="str">
        <f>IF($C$234="Y",'Population Definitions'!$A$14,"...")</f>
        <v>...</v>
      </c>
      <c r="B407" s="4" t="str">
        <f>IF($C$234="Y","---&gt;","...")</f>
        <v>...</v>
      </c>
      <c r="C407" s="1" t="str">
        <f>IF($C$234="Y",'Population Definitions'!$A$3,"...")</f>
        <v>...</v>
      </c>
      <c r="E407" s="2"/>
      <c r="F407" s="3"/>
      <c r="G407" s="2"/>
      <c r="H407" s="4" t="str">
        <f>IF($C$234="Y","OR","...")</f>
        <v>...</v>
      </c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  <c r="AO407" s="2"/>
      <c r="AP407" s="2"/>
      <c r="AQ407" s="2"/>
      <c r="AR407" s="2"/>
      <c r="AS407" s="2"/>
      <c r="AT407" s="2"/>
      <c r="AU407" s="2"/>
      <c r="AV407" s="2"/>
      <c r="AW407" s="2"/>
      <c r="AX407" s="2"/>
      <c r="AY407" s="2"/>
      <c r="AZ407" s="2"/>
      <c r="BA407" s="2"/>
      <c r="BB407" s="2"/>
      <c r="BC407" s="2"/>
      <c r="BD407" s="2"/>
      <c r="BE407" s="2"/>
      <c r="BF407" s="2"/>
      <c r="BG407" s="2"/>
    </row>
    <row r="408" spans="1:59">
      <c r="A408" s="1" t="str">
        <f>IF($D$234="Y",'Population Definitions'!$A$14,"...")</f>
        <v>...</v>
      </c>
      <c r="B408" s="4" t="str">
        <f>IF($D$234="Y","---&gt;","...")</f>
        <v>...</v>
      </c>
      <c r="C408" s="1" t="str">
        <f>IF($D$234="Y",'Population Definitions'!$A$4,"...")</f>
        <v>...</v>
      </c>
      <c r="E408" s="2"/>
      <c r="F408" s="3"/>
      <c r="G408" s="2"/>
      <c r="H408" s="4" t="str">
        <f>IF($D$234="Y","OR","...")</f>
        <v>...</v>
      </c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  <c r="AM408" s="2"/>
      <c r="AN408" s="2"/>
      <c r="AO408" s="2"/>
      <c r="AP408" s="2"/>
      <c r="AQ408" s="2"/>
      <c r="AR408" s="2"/>
      <c r="AS408" s="2"/>
      <c r="AT408" s="2"/>
      <c r="AU408" s="2"/>
      <c r="AV408" s="2"/>
      <c r="AW408" s="2"/>
      <c r="AX408" s="2"/>
      <c r="AY408" s="2"/>
      <c r="AZ408" s="2"/>
      <c r="BA408" s="2"/>
      <c r="BB408" s="2"/>
      <c r="BC408" s="2"/>
      <c r="BD408" s="2"/>
      <c r="BE408" s="2"/>
      <c r="BF408" s="2"/>
      <c r="BG408" s="2"/>
    </row>
    <row r="409" spans="1:59">
      <c r="A409" s="1" t="str">
        <f>IF($E$234="Y",'Population Definitions'!$A$14,"...")</f>
        <v>...</v>
      </c>
      <c r="B409" s="4" t="str">
        <f>IF($E$234="Y","---&gt;","...")</f>
        <v>...</v>
      </c>
      <c r="C409" s="1" t="str">
        <f>IF($E$234="Y",'Population Definitions'!$A$5,"...")</f>
        <v>...</v>
      </c>
      <c r="E409" s="2"/>
      <c r="F409" s="3"/>
      <c r="G409" s="2"/>
      <c r="H409" s="4" t="str">
        <f>IF($E$234="Y","OR","...")</f>
        <v>...</v>
      </c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  <c r="AO409" s="2"/>
      <c r="AP409" s="2"/>
      <c r="AQ409" s="2"/>
      <c r="AR409" s="2"/>
      <c r="AS409" s="2"/>
      <c r="AT409" s="2"/>
      <c r="AU409" s="2"/>
      <c r="AV409" s="2"/>
      <c r="AW409" s="2"/>
      <c r="AX409" s="2"/>
      <c r="AY409" s="2"/>
      <c r="AZ409" s="2"/>
      <c r="BA409" s="2"/>
      <c r="BB409" s="2"/>
      <c r="BC409" s="2"/>
      <c r="BD409" s="2"/>
      <c r="BE409" s="2"/>
      <c r="BF409" s="2"/>
      <c r="BG409" s="2"/>
    </row>
    <row r="410" spans="1:59">
      <c r="A410" s="1" t="str">
        <f>IF($F$234="Y",'Population Definitions'!$A$14,"...")</f>
        <v>...</v>
      </c>
      <c r="B410" s="4" t="str">
        <f>IF($F$234="Y","---&gt;","...")</f>
        <v>...</v>
      </c>
      <c r="C410" s="1" t="str">
        <f>IF($F$234="Y",'Population Definitions'!$A$6,"...")</f>
        <v>...</v>
      </c>
      <c r="E410" s="2"/>
      <c r="F410" s="3"/>
      <c r="G410" s="2"/>
      <c r="H410" s="4" t="str">
        <f>IF($F$234="Y","OR","...")</f>
        <v>...</v>
      </c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  <c r="AO410" s="2"/>
      <c r="AP410" s="2"/>
      <c r="AQ410" s="2"/>
      <c r="AR410" s="2"/>
      <c r="AS410" s="2"/>
      <c r="AT410" s="2"/>
      <c r="AU410" s="2"/>
      <c r="AV410" s="2"/>
      <c r="AW410" s="2"/>
      <c r="AX410" s="2"/>
      <c r="AY410" s="2"/>
      <c r="AZ410" s="2"/>
      <c r="BA410" s="2"/>
      <c r="BB410" s="2"/>
      <c r="BC410" s="2"/>
      <c r="BD410" s="2"/>
      <c r="BE410" s="2"/>
      <c r="BF410" s="2"/>
      <c r="BG410" s="2"/>
    </row>
    <row r="411" spans="1:59">
      <c r="A411" s="1" t="str">
        <f>IF($G$234="Y",'Population Definitions'!$A$14,"...")</f>
        <v>...</v>
      </c>
      <c r="B411" s="4" t="str">
        <f>IF($G$234="Y","---&gt;","...")</f>
        <v>...</v>
      </c>
      <c r="C411" s="1" t="str">
        <f>IF($G$234="Y",'Population Definitions'!$A$7,"...")</f>
        <v>...</v>
      </c>
      <c r="E411" s="2"/>
      <c r="F411" s="3"/>
      <c r="G411" s="2"/>
      <c r="H411" s="4" t="str">
        <f>IF($G$234="Y","OR","...")</f>
        <v>...</v>
      </c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  <c r="AO411" s="2"/>
      <c r="AP411" s="2"/>
      <c r="AQ411" s="2"/>
      <c r="AR411" s="2"/>
      <c r="AS411" s="2"/>
      <c r="AT411" s="2"/>
      <c r="AU411" s="2"/>
      <c r="AV411" s="2"/>
      <c r="AW411" s="2"/>
      <c r="AX411" s="2"/>
      <c r="AY411" s="2"/>
      <c r="AZ411" s="2"/>
      <c r="BA411" s="2"/>
      <c r="BB411" s="2"/>
      <c r="BC411" s="2"/>
      <c r="BD411" s="2"/>
      <c r="BE411" s="2"/>
      <c r="BF411" s="2"/>
      <c r="BG411" s="2"/>
    </row>
    <row r="412" spans="1:59">
      <c r="A412" s="1" t="str">
        <f>IF($H$234="Y",'Population Definitions'!$A$14,"...")</f>
        <v>...</v>
      </c>
      <c r="B412" s="4" t="str">
        <f>IF($H$234="Y","---&gt;","...")</f>
        <v>...</v>
      </c>
      <c r="C412" s="1" t="str">
        <f>IF($H$234="Y",'Population Definitions'!$A$8,"...")</f>
        <v>...</v>
      </c>
      <c r="E412" s="2"/>
      <c r="F412" s="3"/>
      <c r="G412" s="2"/>
      <c r="H412" s="4" t="str">
        <f>IF($H$234="Y","OR","...")</f>
        <v>...</v>
      </c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  <c r="AO412" s="2"/>
      <c r="AP412" s="2"/>
      <c r="AQ412" s="2"/>
      <c r="AR412" s="2"/>
      <c r="AS412" s="2"/>
      <c r="AT412" s="2"/>
      <c r="AU412" s="2"/>
      <c r="AV412" s="2"/>
      <c r="AW412" s="2"/>
      <c r="AX412" s="2"/>
      <c r="AY412" s="2"/>
      <c r="AZ412" s="2"/>
      <c r="BA412" s="2"/>
      <c r="BB412" s="2"/>
      <c r="BC412" s="2"/>
      <c r="BD412" s="2"/>
      <c r="BE412" s="2"/>
      <c r="BF412" s="2"/>
      <c r="BG412" s="2"/>
    </row>
    <row r="413" spans="1:59">
      <c r="A413" s="1" t="str">
        <f>IF($I$234="Y",'Population Definitions'!$A$14,"...")</f>
        <v>...</v>
      </c>
      <c r="B413" s="4" t="str">
        <f>IF($I$234="Y","---&gt;","...")</f>
        <v>...</v>
      </c>
      <c r="C413" s="1" t="str">
        <f>IF($I$234="Y",'Population Definitions'!$A$9,"...")</f>
        <v>...</v>
      </c>
      <c r="E413" s="2"/>
      <c r="F413" s="3"/>
      <c r="G413" s="2"/>
      <c r="H413" s="4" t="str">
        <f>IF($I$234="Y","OR","...")</f>
        <v>...</v>
      </c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  <c r="AO413" s="2"/>
      <c r="AP413" s="2"/>
      <c r="AQ413" s="2"/>
      <c r="AR413" s="2"/>
      <c r="AS413" s="2"/>
      <c r="AT413" s="2"/>
      <c r="AU413" s="2"/>
      <c r="AV413" s="2"/>
      <c r="AW413" s="2"/>
      <c r="AX413" s="2"/>
      <c r="AY413" s="2"/>
      <c r="AZ413" s="2"/>
      <c r="BA413" s="2"/>
      <c r="BB413" s="2"/>
      <c r="BC413" s="2"/>
      <c r="BD413" s="2"/>
      <c r="BE413" s="2"/>
      <c r="BF413" s="2"/>
      <c r="BG413" s="2"/>
    </row>
    <row r="414" spans="1:59">
      <c r="A414" s="1" t="str">
        <f>IF($J$234="Y",'Population Definitions'!$A$14,"...")</f>
        <v>...</v>
      </c>
      <c r="B414" s="4" t="str">
        <f>IF($J$234="Y","---&gt;","...")</f>
        <v>...</v>
      </c>
      <c r="C414" s="1" t="str">
        <f>IF($J$234="Y",'Population Definitions'!$A$10,"...")</f>
        <v>...</v>
      </c>
      <c r="E414" s="2"/>
      <c r="F414" s="3"/>
      <c r="G414" s="2"/>
      <c r="H414" s="4" t="str">
        <f>IF($J$234="Y","OR","...")</f>
        <v>...</v>
      </c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  <c r="AO414" s="2"/>
      <c r="AP414" s="2"/>
      <c r="AQ414" s="2"/>
      <c r="AR414" s="2"/>
      <c r="AS414" s="2"/>
      <c r="AT414" s="2"/>
      <c r="AU414" s="2"/>
      <c r="AV414" s="2"/>
      <c r="AW414" s="2"/>
      <c r="AX414" s="2"/>
      <c r="AY414" s="2"/>
      <c r="AZ414" s="2"/>
      <c r="BA414" s="2"/>
      <c r="BB414" s="2"/>
      <c r="BC414" s="2"/>
      <c r="BD414" s="2"/>
      <c r="BE414" s="2"/>
      <c r="BF414" s="2"/>
      <c r="BG414" s="2"/>
    </row>
    <row r="415" spans="1:59">
      <c r="A415" s="1" t="str">
        <f>IF($K$234="Y",'Population Definitions'!$A$14,"...")</f>
        <v>...</v>
      </c>
      <c r="B415" s="4" t="str">
        <f>IF($K$234="Y","---&gt;","...")</f>
        <v>...</v>
      </c>
      <c r="C415" s="1" t="str">
        <f>IF($K$234="Y",'Population Definitions'!$A$11,"...")</f>
        <v>...</v>
      </c>
      <c r="E415" s="2"/>
      <c r="F415" s="3"/>
      <c r="G415" s="2"/>
      <c r="H415" s="4" t="str">
        <f>IF($K$234="Y","OR","...")</f>
        <v>...</v>
      </c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  <c r="AO415" s="2"/>
      <c r="AP415" s="2"/>
      <c r="AQ415" s="2"/>
      <c r="AR415" s="2"/>
      <c r="AS415" s="2"/>
      <c r="AT415" s="2"/>
      <c r="AU415" s="2"/>
      <c r="AV415" s="2"/>
      <c r="AW415" s="2"/>
      <c r="AX415" s="2"/>
      <c r="AY415" s="2"/>
      <c r="AZ415" s="2"/>
      <c r="BA415" s="2"/>
      <c r="BB415" s="2"/>
      <c r="BC415" s="2"/>
      <c r="BD415" s="2"/>
      <c r="BE415" s="2"/>
      <c r="BF415" s="2"/>
      <c r="BG415" s="2"/>
    </row>
    <row r="416" spans="1:59">
      <c r="A416" s="1" t="str">
        <f>IF($L$234="Y",'Population Definitions'!$A$14,"...")</f>
        <v>...</v>
      </c>
      <c r="B416" s="4" t="str">
        <f>IF($L$234="Y","---&gt;","...")</f>
        <v>...</v>
      </c>
      <c r="C416" s="1" t="str">
        <f>IF($L$234="Y",'Population Definitions'!$A$12,"...")</f>
        <v>...</v>
      </c>
      <c r="E416" s="2"/>
      <c r="F416" s="3"/>
      <c r="G416" s="2"/>
      <c r="H416" s="4" t="str">
        <f>IF($L$234="Y","OR","...")</f>
        <v>...</v>
      </c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  <c r="AO416" s="2"/>
      <c r="AP416" s="2"/>
      <c r="AQ416" s="2"/>
      <c r="AR416" s="2"/>
      <c r="AS416" s="2"/>
      <c r="AT416" s="2"/>
      <c r="AU416" s="2"/>
      <c r="AV416" s="2"/>
      <c r="AW416" s="2"/>
      <c r="AX416" s="2"/>
      <c r="AY416" s="2"/>
      <c r="AZ416" s="2"/>
      <c r="BA416" s="2"/>
      <c r="BB416" s="2"/>
      <c r="BC416" s="2"/>
      <c r="BD416" s="2"/>
      <c r="BE416" s="2"/>
      <c r="BF416" s="2"/>
      <c r="BG416" s="2"/>
    </row>
    <row r="417" spans="1:59">
      <c r="A417" s="1" t="str">
        <f>IF($M$234="Y",'Population Definitions'!$A$14,"...")</f>
        <v>...</v>
      </c>
      <c r="B417" s="4" t="str">
        <f>IF($M$234="Y","---&gt;","...")</f>
        <v>...</v>
      </c>
      <c r="C417" s="1" t="str">
        <f>IF($M$234="Y",'Population Definitions'!$A$13,"...")</f>
        <v>...</v>
      </c>
      <c r="E417" s="2"/>
      <c r="F417" s="3"/>
      <c r="G417" s="2"/>
      <c r="H417" s="4" t="str">
        <f>IF($M$234="Y","OR","...")</f>
        <v>...</v>
      </c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  <c r="AO417" s="2"/>
      <c r="AP417" s="2"/>
      <c r="AQ417" s="2"/>
      <c r="AR417" s="2"/>
      <c r="AS417" s="2"/>
      <c r="AT417" s="2"/>
      <c r="AU417" s="2"/>
      <c r="AV417" s="2"/>
      <c r="AW417" s="2"/>
      <c r="AX417" s="2"/>
      <c r="AY417" s="2"/>
      <c r="AZ417" s="2"/>
      <c r="BA417" s="2"/>
      <c r="BB417" s="2"/>
      <c r="BC417" s="2"/>
      <c r="BD417" s="2"/>
      <c r="BE417" s="2"/>
      <c r="BF417" s="2"/>
      <c r="BG417" s="2"/>
    </row>
    <row r="418" spans="1:59">
      <c r="A418" s="1" t="str">
        <f>IF($N$234="Y",'Population Definitions'!$A$14,"...")</f>
        <v>...</v>
      </c>
      <c r="B418" s="4" t="str">
        <f>IF($N$234="Y","---&gt;","...")</f>
        <v>...</v>
      </c>
      <c r="C418" s="1" t="str">
        <f>IF($N$234="Y",'Population Definitions'!$A$14,"...")</f>
        <v>...</v>
      </c>
      <c r="E418" s="2"/>
      <c r="F418" s="3"/>
      <c r="G418" s="2"/>
      <c r="H418" s="4" t="str">
        <f>IF($N$234="Y","OR","...")</f>
        <v>...</v>
      </c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  <c r="AO418" s="2"/>
      <c r="AP418" s="2"/>
      <c r="AQ418" s="2"/>
      <c r="AR418" s="2"/>
      <c r="AS418" s="2"/>
      <c r="AT418" s="2"/>
      <c r="AU418" s="2"/>
      <c r="AV418" s="2"/>
      <c r="AW418" s="2"/>
      <c r="AX418" s="2"/>
      <c r="AY418" s="2"/>
      <c r="AZ418" s="2"/>
      <c r="BA418" s="2"/>
      <c r="BB418" s="2"/>
      <c r="BC418" s="2"/>
      <c r="BD418" s="2"/>
      <c r="BE418" s="2"/>
      <c r="BF418" s="2"/>
      <c r="BG418" s="2"/>
    </row>
    <row r="419" spans="1:59">
      <c r="A419" s="1" t="str">
        <f>IF($O$234="Y",'Population Definitions'!$A$14,"...")</f>
        <v>...</v>
      </c>
      <c r="B419" s="4" t="str">
        <f>IF($O$234="Y","---&gt;","...")</f>
        <v>...</v>
      </c>
      <c r="C419" s="1" t="str">
        <f>IF($O$234="Y",'Population Definitions'!$A$15,"...")</f>
        <v>...</v>
      </c>
      <c r="E419" s="2"/>
      <c r="F419" s="3"/>
      <c r="G419" s="2"/>
      <c r="H419" s="4" t="str">
        <f>IF($O$234="Y","OR","...")</f>
        <v>...</v>
      </c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  <c r="AO419" s="2"/>
      <c r="AP419" s="2"/>
      <c r="AQ419" s="2"/>
      <c r="AR419" s="2"/>
      <c r="AS419" s="2"/>
      <c r="AT419" s="2"/>
      <c r="AU419" s="2"/>
      <c r="AV419" s="2"/>
      <c r="AW419" s="2"/>
      <c r="AX419" s="2"/>
      <c r="AY419" s="2"/>
      <c r="AZ419" s="2"/>
      <c r="BA419" s="2"/>
      <c r="BB419" s="2"/>
      <c r="BC419" s="2"/>
      <c r="BD419" s="2"/>
      <c r="BE419" s="2"/>
      <c r="BF419" s="2"/>
      <c r="BG419" s="2"/>
    </row>
    <row r="420" spans="1:59">
      <c r="A420" s="1" t="str">
        <f>IF($B$235="Y",'Population Definitions'!$A$15,"...")</f>
        <v>...</v>
      </c>
      <c r="B420" s="4" t="str">
        <f>IF($B$235="Y","---&gt;","...")</f>
        <v>...</v>
      </c>
      <c r="C420" s="1" t="str">
        <f>IF($B$235="Y",'Population Definitions'!$A$2,"...")</f>
        <v>...</v>
      </c>
      <c r="E420" s="2"/>
      <c r="F420" s="3"/>
      <c r="G420" s="2"/>
      <c r="H420" s="4" t="str">
        <f>IF($B$235="Y","OR","...")</f>
        <v>...</v>
      </c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  <c r="AO420" s="2"/>
      <c r="AP420" s="2"/>
      <c r="AQ420" s="2"/>
      <c r="AR420" s="2"/>
      <c r="AS420" s="2"/>
      <c r="AT420" s="2"/>
      <c r="AU420" s="2"/>
      <c r="AV420" s="2"/>
      <c r="AW420" s="2"/>
      <c r="AX420" s="2"/>
      <c r="AY420" s="2"/>
      <c r="AZ420" s="2"/>
      <c r="BA420" s="2"/>
      <c r="BB420" s="2"/>
      <c r="BC420" s="2"/>
      <c r="BD420" s="2"/>
      <c r="BE420" s="2"/>
      <c r="BF420" s="2"/>
      <c r="BG420" s="2"/>
    </row>
    <row r="421" spans="1:59">
      <c r="A421" s="1" t="str">
        <f>IF($C$235="Y",'Population Definitions'!$A$15,"...")</f>
        <v>...</v>
      </c>
      <c r="B421" s="4" t="str">
        <f>IF($C$235="Y","---&gt;","...")</f>
        <v>...</v>
      </c>
      <c r="C421" s="1" t="str">
        <f>IF($C$235="Y",'Population Definitions'!$A$3,"...")</f>
        <v>...</v>
      </c>
      <c r="E421" s="2"/>
      <c r="F421" s="3"/>
      <c r="G421" s="2"/>
      <c r="H421" s="4" t="str">
        <f>IF($C$235="Y","OR","...")</f>
        <v>...</v>
      </c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  <c r="AO421" s="2"/>
      <c r="AP421" s="2"/>
      <c r="AQ421" s="2"/>
      <c r="AR421" s="2"/>
      <c r="AS421" s="2"/>
      <c r="AT421" s="2"/>
      <c r="AU421" s="2"/>
      <c r="AV421" s="2"/>
      <c r="AW421" s="2"/>
      <c r="AX421" s="2"/>
      <c r="AY421" s="2"/>
      <c r="AZ421" s="2"/>
      <c r="BA421" s="2"/>
      <c r="BB421" s="2"/>
      <c r="BC421" s="2"/>
      <c r="BD421" s="2"/>
      <c r="BE421" s="2"/>
      <c r="BF421" s="2"/>
      <c r="BG421" s="2"/>
    </row>
    <row r="422" spans="1:59">
      <c r="A422" s="1" t="str">
        <f>IF($D$235="Y",'Population Definitions'!$A$15,"...")</f>
        <v>...</v>
      </c>
      <c r="B422" s="4" t="str">
        <f>IF($D$235="Y","---&gt;","...")</f>
        <v>...</v>
      </c>
      <c r="C422" s="1" t="str">
        <f>IF($D$235="Y",'Population Definitions'!$A$4,"...")</f>
        <v>...</v>
      </c>
      <c r="E422" s="2"/>
      <c r="F422" s="3"/>
      <c r="G422" s="2"/>
      <c r="H422" s="4" t="str">
        <f>IF($D$235="Y","OR","...")</f>
        <v>...</v>
      </c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  <c r="AO422" s="2"/>
      <c r="AP422" s="2"/>
      <c r="AQ422" s="2"/>
      <c r="AR422" s="2"/>
      <c r="AS422" s="2"/>
      <c r="AT422" s="2"/>
      <c r="AU422" s="2"/>
      <c r="AV422" s="2"/>
      <c r="AW422" s="2"/>
      <c r="AX422" s="2"/>
      <c r="AY422" s="2"/>
      <c r="AZ422" s="2"/>
      <c r="BA422" s="2"/>
      <c r="BB422" s="2"/>
      <c r="BC422" s="2"/>
      <c r="BD422" s="2"/>
      <c r="BE422" s="2"/>
      <c r="BF422" s="2"/>
      <c r="BG422" s="2"/>
    </row>
    <row r="423" spans="1:59">
      <c r="A423" s="1" t="str">
        <f>IF($E$235="Y",'Population Definitions'!$A$15,"...")</f>
        <v>...</v>
      </c>
      <c r="B423" s="4" t="str">
        <f>IF($E$235="Y","---&gt;","...")</f>
        <v>...</v>
      </c>
      <c r="C423" s="1" t="str">
        <f>IF($E$235="Y",'Population Definitions'!$A$5,"...")</f>
        <v>...</v>
      </c>
      <c r="E423" s="2"/>
      <c r="F423" s="3"/>
      <c r="G423" s="2"/>
      <c r="H423" s="4" t="str">
        <f>IF($E$235="Y","OR","...")</f>
        <v>...</v>
      </c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  <c r="AO423" s="2"/>
      <c r="AP423" s="2"/>
      <c r="AQ423" s="2"/>
      <c r="AR423" s="2"/>
      <c r="AS423" s="2"/>
      <c r="AT423" s="2"/>
      <c r="AU423" s="2"/>
      <c r="AV423" s="2"/>
      <c r="AW423" s="2"/>
      <c r="AX423" s="2"/>
      <c r="AY423" s="2"/>
      <c r="AZ423" s="2"/>
      <c r="BA423" s="2"/>
      <c r="BB423" s="2"/>
      <c r="BC423" s="2"/>
      <c r="BD423" s="2"/>
      <c r="BE423" s="2"/>
      <c r="BF423" s="2"/>
      <c r="BG423" s="2"/>
    </row>
    <row r="424" spans="1:59">
      <c r="A424" s="1" t="str">
        <f>IF($F$235="Y",'Population Definitions'!$A$15,"...")</f>
        <v>...</v>
      </c>
      <c r="B424" s="4" t="str">
        <f>IF($F$235="Y","---&gt;","...")</f>
        <v>...</v>
      </c>
      <c r="C424" s="1" t="str">
        <f>IF($F$235="Y",'Population Definitions'!$A$6,"...")</f>
        <v>...</v>
      </c>
      <c r="E424" s="2"/>
      <c r="F424" s="3"/>
      <c r="G424" s="2"/>
      <c r="H424" s="4" t="str">
        <f>IF($F$235="Y","OR","...")</f>
        <v>...</v>
      </c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  <c r="AO424" s="2"/>
      <c r="AP424" s="2"/>
      <c r="AQ424" s="2"/>
      <c r="AR424" s="2"/>
      <c r="AS424" s="2"/>
      <c r="AT424" s="2"/>
      <c r="AU424" s="2"/>
      <c r="AV424" s="2"/>
      <c r="AW424" s="2"/>
      <c r="AX424" s="2"/>
      <c r="AY424" s="2"/>
      <c r="AZ424" s="2"/>
      <c r="BA424" s="2"/>
      <c r="BB424" s="2"/>
      <c r="BC424" s="2"/>
      <c r="BD424" s="2"/>
      <c r="BE424" s="2"/>
      <c r="BF424" s="2"/>
      <c r="BG424" s="2"/>
    </row>
    <row r="425" spans="1:59">
      <c r="A425" s="1" t="str">
        <f>IF($G$235="Y",'Population Definitions'!$A$15,"...")</f>
        <v>...</v>
      </c>
      <c r="B425" s="4" t="str">
        <f>IF($G$235="Y","---&gt;","...")</f>
        <v>...</v>
      </c>
      <c r="C425" s="1" t="str">
        <f>IF($G$235="Y",'Population Definitions'!$A$7,"...")</f>
        <v>...</v>
      </c>
      <c r="E425" s="2"/>
      <c r="F425" s="3"/>
      <c r="G425" s="2"/>
      <c r="H425" s="4" t="str">
        <f>IF($G$235="Y","OR","...")</f>
        <v>...</v>
      </c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  <c r="AO425" s="2"/>
      <c r="AP425" s="2"/>
      <c r="AQ425" s="2"/>
      <c r="AR425" s="2"/>
      <c r="AS425" s="2"/>
      <c r="AT425" s="2"/>
      <c r="AU425" s="2"/>
      <c r="AV425" s="2"/>
      <c r="AW425" s="2"/>
      <c r="AX425" s="2"/>
      <c r="AY425" s="2"/>
      <c r="AZ425" s="2"/>
      <c r="BA425" s="2"/>
      <c r="BB425" s="2"/>
      <c r="BC425" s="2"/>
      <c r="BD425" s="2"/>
      <c r="BE425" s="2"/>
      <c r="BF425" s="2"/>
      <c r="BG425" s="2"/>
    </row>
    <row r="426" spans="1:59">
      <c r="A426" s="1" t="str">
        <f>IF($H$235="Y",'Population Definitions'!$A$15,"...")</f>
        <v>...</v>
      </c>
      <c r="B426" s="4" t="str">
        <f>IF($H$235="Y","---&gt;","...")</f>
        <v>...</v>
      </c>
      <c r="C426" s="1" t="str">
        <f>IF($H$235="Y",'Population Definitions'!$A$8,"...")</f>
        <v>...</v>
      </c>
      <c r="E426" s="2"/>
      <c r="F426" s="3"/>
      <c r="G426" s="2"/>
      <c r="H426" s="4" t="str">
        <f>IF($H$235="Y","OR","...")</f>
        <v>...</v>
      </c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  <c r="AO426" s="2"/>
      <c r="AP426" s="2"/>
      <c r="AQ426" s="2"/>
      <c r="AR426" s="2"/>
      <c r="AS426" s="2"/>
      <c r="AT426" s="2"/>
      <c r="AU426" s="2"/>
      <c r="AV426" s="2"/>
      <c r="AW426" s="2"/>
      <c r="AX426" s="2"/>
      <c r="AY426" s="2"/>
      <c r="AZ426" s="2"/>
      <c r="BA426" s="2"/>
      <c r="BB426" s="2"/>
      <c r="BC426" s="2"/>
      <c r="BD426" s="2"/>
      <c r="BE426" s="2"/>
      <c r="BF426" s="2"/>
      <c r="BG426" s="2"/>
    </row>
    <row r="427" spans="1:59">
      <c r="A427" s="1" t="str">
        <f>IF($I$235="Y",'Population Definitions'!$A$15,"...")</f>
        <v>...</v>
      </c>
      <c r="B427" s="4" t="str">
        <f>IF($I$235="Y","---&gt;","...")</f>
        <v>...</v>
      </c>
      <c r="C427" s="1" t="str">
        <f>IF($I$235="Y",'Population Definitions'!$A$9,"...")</f>
        <v>...</v>
      </c>
      <c r="E427" s="2"/>
      <c r="F427" s="3"/>
      <c r="G427" s="2"/>
      <c r="H427" s="4" t="str">
        <f>IF($I$235="Y","OR","...")</f>
        <v>...</v>
      </c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  <c r="AO427" s="2"/>
      <c r="AP427" s="2"/>
      <c r="AQ427" s="2"/>
      <c r="AR427" s="2"/>
      <c r="AS427" s="2"/>
      <c r="AT427" s="2"/>
      <c r="AU427" s="2"/>
      <c r="AV427" s="2"/>
      <c r="AW427" s="2"/>
      <c r="AX427" s="2"/>
      <c r="AY427" s="2"/>
      <c r="AZ427" s="2"/>
      <c r="BA427" s="2"/>
      <c r="BB427" s="2"/>
      <c r="BC427" s="2"/>
      <c r="BD427" s="2"/>
      <c r="BE427" s="2"/>
      <c r="BF427" s="2"/>
      <c r="BG427" s="2"/>
    </row>
    <row r="428" spans="1:59">
      <c r="A428" s="1" t="str">
        <f>IF($J$235="Y",'Population Definitions'!$A$15,"...")</f>
        <v>...</v>
      </c>
      <c r="B428" s="4" t="str">
        <f>IF($J$235="Y","---&gt;","...")</f>
        <v>...</v>
      </c>
      <c r="C428" s="1" t="str">
        <f>IF($J$235="Y",'Population Definitions'!$A$10,"...")</f>
        <v>...</v>
      </c>
      <c r="E428" s="2"/>
      <c r="F428" s="3"/>
      <c r="G428" s="2"/>
      <c r="H428" s="4" t="str">
        <f>IF($J$235="Y","OR","...")</f>
        <v>...</v>
      </c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  <c r="AO428" s="2"/>
      <c r="AP428" s="2"/>
      <c r="AQ428" s="2"/>
      <c r="AR428" s="2"/>
      <c r="AS428" s="2"/>
      <c r="AT428" s="2"/>
      <c r="AU428" s="2"/>
      <c r="AV428" s="2"/>
      <c r="AW428" s="2"/>
      <c r="AX428" s="2"/>
      <c r="AY428" s="2"/>
      <c r="AZ428" s="2"/>
      <c r="BA428" s="2"/>
      <c r="BB428" s="2"/>
      <c r="BC428" s="2"/>
      <c r="BD428" s="2"/>
      <c r="BE428" s="2"/>
      <c r="BF428" s="2"/>
      <c r="BG428" s="2"/>
    </row>
    <row r="429" spans="1:59">
      <c r="A429" s="1" t="str">
        <f>IF($K$235="Y",'Population Definitions'!$A$15,"...")</f>
        <v>...</v>
      </c>
      <c r="B429" s="4" t="str">
        <f>IF($K$235="Y","---&gt;","...")</f>
        <v>...</v>
      </c>
      <c r="C429" s="1" t="str">
        <f>IF($K$235="Y",'Population Definitions'!$A$11,"...")</f>
        <v>...</v>
      </c>
      <c r="E429" s="2"/>
      <c r="F429" s="3"/>
      <c r="G429" s="2"/>
      <c r="H429" s="4" t="str">
        <f>IF($K$235="Y","OR","...")</f>
        <v>...</v>
      </c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  <c r="AO429" s="2"/>
      <c r="AP429" s="2"/>
      <c r="AQ429" s="2"/>
      <c r="AR429" s="2"/>
      <c r="AS429" s="2"/>
      <c r="AT429" s="2"/>
      <c r="AU429" s="2"/>
      <c r="AV429" s="2"/>
      <c r="AW429" s="2"/>
      <c r="AX429" s="2"/>
      <c r="AY429" s="2"/>
      <c r="AZ429" s="2"/>
      <c r="BA429" s="2"/>
      <c r="BB429" s="2"/>
      <c r="BC429" s="2"/>
      <c r="BD429" s="2"/>
      <c r="BE429" s="2"/>
      <c r="BF429" s="2"/>
      <c r="BG429" s="2"/>
    </row>
    <row r="430" spans="1:59">
      <c r="A430" s="1" t="str">
        <f>IF($L$235="Y",'Population Definitions'!$A$15,"...")</f>
        <v>...</v>
      </c>
      <c r="B430" s="4" t="str">
        <f>IF($L$235="Y","---&gt;","...")</f>
        <v>...</v>
      </c>
      <c r="C430" s="1" t="str">
        <f>IF($L$235="Y",'Population Definitions'!$A$12,"...")</f>
        <v>...</v>
      </c>
      <c r="E430" s="2"/>
      <c r="F430" s="3"/>
      <c r="G430" s="2"/>
      <c r="H430" s="4" t="str">
        <f>IF($L$235="Y","OR","...")</f>
        <v>...</v>
      </c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  <c r="AO430" s="2"/>
      <c r="AP430" s="2"/>
      <c r="AQ430" s="2"/>
      <c r="AR430" s="2"/>
      <c r="AS430" s="2"/>
      <c r="AT430" s="2"/>
      <c r="AU430" s="2"/>
      <c r="AV430" s="2"/>
      <c r="AW430" s="2"/>
      <c r="AX430" s="2"/>
      <c r="AY430" s="2"/>
      <c r="AZ430" s="2"/>
      <c r="BA430" s="2"/>
      <c r="BB430" s="2"/>
      <c r="BC430" s="2"/>
      <c r="BD430" s="2"/>
      <c r="BE430" s="2"/>
      <c r="BF430" s="2"/>
      <c r="BG430" s="2"/>
    </row>
    <row r="431" spans="1:59">
      <c r="A431" s="1" t="str">
        <f>IF($M$235="Y",'Population Definitions'!$A$15,"...")</f>
        <v>...</v>
      </c>
      <c r="B431" s="4" t="str">
        <f>IF($M$235="Y","---&gt;","...")</f>
        <v>...</v>
      </c>
      <c r="C431" s="1" t="str">
        <f>IF($M$235="Y",'Population Definitions'!$A$13,"...")</f>
        <v>...</v>
      </c>
      <c r="E431" s="2"/>
      <c r="F431" s="3"/>
      <c r="G431" s="2"/>
      <c r="H431" s="4" t="str">
        <f>IF($M$235="Y","OR","...")</f>
        <v>...</v>
      </c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  <c r="AO431" s="2"/>
      <c r="AP431" s="2"/>
      <c r="AQ431" s="2"/>
      <c r="AR431" s="2"/>
      <c r="AS431" s="2"/>
      <c r="AT431" s="2"/>
      <c r="AU431" s="2"/>
      <c r="AV431" s="2"/>
      <c r="AW431" s="2"/>
      <c r="AX431" s="2"/>
      <c r="AY431" s="2"/>
      <c r="AZ431" s="2"/>
      <c r="BA431" s="2"/>
      <c r="BB431" s="2"/>
      <c r="BC431" s="2"/>
      <c r="BD431" s="2"/>
      <c r="BE431" s="2"/>
      <c r="BF431" s="2"/>
      <c r="BG431" s="2"/>
    </row>
    <row r="432" spans="1:59">
      <c r="A432" s="1" t="str">
        <f>IF($N$235="Y",'Population Definitions'!$A$15,"...")</f>
        <v>...</v>
      </c>
      <c r="B432" s="4" t="str">
        <f>IF($N$235="Y","---&gt;","...")</f>
        <v>...</v>
      </c>
      <c r="C432" s="1" t="str">
        <f>IF($N$235="Y",'Population Definitions'!$A$14,"...")</f>
        <v>...</v>
      </c>
      <c r="E432" s="2"/>
      <c r="F432" s="3"/>
      <c r="G432" s="2"/>
      <c r="H432" s="4" t="str">
        <f>IF($N$235="Y","OR","...")</f>
        <v>...</v>
      </c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  <c r="AO432" s="2"/>
      <c r="AP432" s="2"/>
      <c r="AQ432" s="2"/>
      <c r="AR432" s="2"/>
      <c r="AS432" s="2"/>
      <c r="AT432" s="2"/>
      <c r="AU432" s="2"/>
      <c r="AV432" s="2"/>
      <c r="AW432" s="2"/>
      <c r="AX432" s="2"/>
      <c r="AY432" s="2"/>
      <c r="AZ432" s="2"/>
      <c r="BA432" s="2"/>
      <c r="BB432" s="2"/>
      <c r="BC432" s="2"/>
      <c r="BD432" s="2"/>
      <c r="BE432" s="2"/>
      <c r="BF432" s="2"/>
      <c r="BG432" s="2"/>
    </row>
    <row r="433" spans="1:59">
      <c r="A433" s="1" t="str">
        <f>IF($O$235="Y",'Population Definitions'!$A$15,"...")</f>
        <v>...</v>
      </c>
      <c r="B433" s="4" t="str">
        <f>IF($O$235="Y","---&gt;","...")</f>
        <v>...</v>
      </c>
      <c r="C433" s="1" t="str">
        <f>IF($O$235="Y",'Population Definitions'!$A$15,"...")</f>
        <v>...</v>
      </c>
      <c r="E433" s="2"/>
      <c r="F433" s="3"/>
      <c r="G433" s="2"/>
      <c r="H433" s="4" t="str">
        <f>IF($O$235="Y","OR","...")</f>
        <v>...</v>
      </c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  <c r="AM433" s="2"/>
      <c r="AN433" s="2"/>
      <c r="AO433" s="2"/>
      <c r="AP433" s="2"/>
      <c r="AQ433" s="2"/>
      <c r="AR433" s="2"/>
      <c r="AS433" s="2"/>
      <c r="AT433" s="2"/>
      <c r="AU433" s="2"/>
      <c r="AV433" s="2"/>
      <c r="AW433" s="2"/>
      <c r="AX433" s="2"/>
      <c r="AY433" s="2"/>
      <c r="AZ433" s="2"/>
      <c r="BA433" s="2"/>
      <c r="BB433" s="2"/>
      <c r="BC433" s="2"/>
      <c r="BD433" s="2"/>
      <c r="BE433" s="2"/>
      <c r="BF433" s="2"/>
      <c r="BG433" s="2"/>
    </row>
    <row r="435" spans="1:59">
      <c r="A435" s="1" t="s">
        <v>0</v>
      </c>
      <c r="B435" s="1" t="s">
        <v>1</v>
      </c>
      <c r="C435" s="1" t="s">
        <v>226</v>
      </c>
      <c r="D435" s="1" t="s">
        <v>227</v>
      </c>
    </row>
    <row r="436" spans="1:59">
      <c r="A436" t="s">
        <v>995</v>
      </c>
      <c r="B436" t="s">
        <v>996</v>
      </c>
      <c r="C436" t="s">
        <v>5</v>
      </c>
      <c r="D436" t="s">
        <v>5</v>
      </c>
    </row>
    <row r="438" spans="1:59">
      <c r="B438" s="1" t="str">
        <f>'Population Definitions'!$A$2</f>
        <v>PWID_males</v>
      </c>
      <c r="C438" s="1" t="str">
        <f>'Population Definitions'!$A$3</f>
        <v>PWID_females</v>
      </c>
      <c r="D438" s="1" t="str">
        <f>'Population Definitions'!$A$4</f>
        <v>0-9_males</v>
      </c>
      <c r="E438" s="1" t="str">
        <f>'Population Definitions'!$A$5</f>
        <v>0-9_females</v>
      </c>
      <c r="F438" s="1" t="str">
        <f>'Population Definitions'!$A$6</f>
        <v>10-17_males</v>
      </c>
      <c r="G438" s="1" t="str">
        <f>'Population Definitions'!$A$7</f>
        <v>10-17_females</v>
      </c>
      <c r="H438" s="1" t="str">
        <f>'Population Definitions'!$A$8</f>
        <v>18-64_males</v>
      </c>
      <c r="I438" s="1" t="str">
        <f>'Population Definitions'!$A$9</f>
        <v>18-64_females</v>
      </c>
      <c r="J438" s="1" t="str">
        <f>'Population Definitions'!$A$10</f>
        <v>65+_males</v>
      </c>
      <c r="K438" s="1" t="str">
        <f>'Population Definitions'!$A$11</f>
        <v>65+_females</v>
      </c>
      <c r="L438" s="1" t="str">
        <f>'Population Definitions'!$A$12</f>
        <v>Prisoners_males</v>
      </c>
      <c r="M438" s="1" t="str">
        <f>'Population Definitions'!$A$13</f>
        <v>Prisoners_females</v>
      </c>
      <c r="N438" s="1" t="str">
        <f>'Population Definitions'!$A$14</f>
        <v>Prisoners_PWID_males</v>
      </c>
      <c r="O438" s="1" t="str">
        <f>'Population Definitions'!$A$15</f>
        <v>Prisoners_PWID_females</v>
      </c>
    </row>
    <row r="439" spans="1:59">
      <c r="A439" s="1" t="str">
        <f>'Population Definitions'!$A$2</f>
        <v>PWID_males</v>
      </c>
      <c r="B439" s="4" t="s">
        <v>58</v>
      </c>
      <c r="C439" s="5" t="s">
        <v>229</v>
      </c>
      <c r="D439" s="5" t="s">
        <v>229</v>
      </c>
      <c r="E439" s="5" t="s">
        <v>229</v>
      </c>
      <c r="F439" s="5" t="s">
        <v>229</v>
      </c>
      <c r="G439" s="5" t="s">
        <v>229</v>
      </c>
      <c r="H439" s="5" t="s">
        <v>229</v>
      </c>
      <c r="I439" s="5" t="s">
        <v>229</v>
      </c>
      <c r="J439" s="5" t="s">
        <v>229</v>
      </c>
      <c r="K439" s="5" t="s">
        <v>229</v>
      </c>
      <c r="L439" s="5" t="s">
        <v>229</v>
      </c>
      <c r="M439" s="5" t="s">
        <v>229</v>
      </c>
      <c r="N439" s="5" t="s">
        <v>228</v>
      </c>
      <c r="O439" s="5" t="s">
        <v>229</v>
      </c>
    </row>
    <row r="440" spans="1:59">
      <c r="A440" s="1" t="str">
        <f>'Population Definitions'!$A$3</f>
        <v>PWID_females</v>
      </c>
      <c r="B440" s="5" t="s">
        <v>229</v>
      </c>
      <c r="C440" s="4" t="s">
        <v>58</v>
      </c>
      <c r="D440" s="5" t="s">
        <v>229</v>
      </c>
      <c r="E440" s="5" t="s">
        <v>229</v>
      </c>
      <c r="F440" s="5" t="s">
        <v>229</v>
      </c>
      <c r="G440" s="5" t="s">
        <v>229</v>
      </c>
      <c r="H440" s="5" t="s">
        <v>229</v>
      </c>
      <c r="I440" s="5" t="s">
        <v>229</v>
      </c>
      <c r="J440" s="5" t="s">
        <v>229</v>
      </c>
      <c r="K440" s="5" t="s">
        <v>229</v>
      </c>
      <c r="L440" s="5" t="s">
        <v>229</v>
      </c>
      <c r="M440" s="5" t="s">
        <v>229</v>
      </c>
      <c r="N440" s="5" t="s">
        <v>229</v>
      </c>
      <c r="O440" s="5" t="s">
        <v>228</v>
      </c>
    </row>
    <row r="441" spans="1:59">
      <c r="A441" s="1" t="str">
        <f>'Population Definitions'!$A$4</f>
        <v>0-9_males</v>
      </c>
      <c r="B441" s="5" t="s">
        <v>229</v>
      </c>
      <c r="C441" s="5" t="s">
        <v>229</v>
      </c>
      <c r="D441" s="4" t="s">
        <v>58</v>
      </c>
      <c r="E441" s="5" t="s">
        <v>229</v>
      </c>
      <c r="F441" s="5" t="s">
        <v>229</v>
      </c>
      <c r="G441" s="5" t="s">
        <v>229</v>
      </c>
      <c r="H441" s="5" t="s">
        <v>229</v>
      </c>
      <c r="I441" s="5" t="s">
        <v>229</v>
      </c>
      <c r="J441" s="5" t="s">
        <v>229</v>
      </c>
      <c r="K441" s="5" t="s">
        <v>229</v>
      </c>
      <c r="L441" s="5" t="s">
        <v>229</v>
      </c>
      <c r="M441" s="5" t="s">
        <v>229</v>
      </c>
      <c r="N441" s="5" t="s">
        <v>229</v>
      </c>
      <c r="O441" s="5" t="s">
        <v>229</v>
      </c>
    </row>
    <row r="442" spans="1:59">
      <c r="A442" s="1" t="str">
        <f>'Population Definitions'!$A$5</f>
        <v>0-9_females</v>
      </c>
      <c r="B442" s="5" t="s">
        <v>229</v>
      </c>
      <c r="C442" s="5" t="s">
        <v>229</v>
      </c>
      <c r="D442" s="5" t="s">
        <v>229</v>
      </c>
      <c r="E442" s="4" t="s">
        <v>58</v>
      </c>
      <c r="F442" s="5" t="s">
        <v>229</v>
      </c>
      <c r="G442" s="5" t="s">
        <v>229</v>
      </c>
      <c r="H442" s="5" t="s">
        <v>229</v>
      </c>
      <c r="I442" s="5" t="s">
        <v>229</v>
      </c>
      <c r="J442" s="5" t="s">
        <v>229</v>
      </c>
      <c r="K442" s="5" t="s">
        <v>229</v>
      </c>
      <c r="L442" s="5" t="s">
        <v>229</v>
      </c>
      <c r="M442" s="5" t="s">
        <v>229</v>
      </c>
      <c r="N442" s="5" t="s">
        <v>229</v>
      </c>
      <c r="O442" s="5" t="s">
        <v>229</v>
      </c>
    </row>
    <row r="443" spans="1:59">
      <c r="A443" s="1" t="str">
        <f>'Population Definitions'!$A$6</f>
        <v>10-17_males</v>
      </c>
      <c r="B443" s="5" t="s">
        <v>229</v>
      </c>
      <c r="C443" s="5" t="s">
        <v>229</v>
      </c>
      <c r="D443" s="5" t="s">
        <v>229</v>
      </c>
      <c r="E443" s="5" t="s">
        <v>229</v>
      </c>
      <c r="F443" s="4" t="s">
        <v>58</v>
      </c>
      <c r="G443" s="5" t="s">
        <v>229</v>
      </c>
      <c r="H443" s="5" t="s">
        <v>229</v>
      </c>
      <c r="I443" s="5" t="s">
        <v>229</v>
      </c>
      <c r="J443" s="5" t="s">
        <v>229</v>
      </c>
      <c r="K443" s="5" t="s">
        <v>229</v>
      </c>
      <c r="L443" s="5" t="s">
        <v>229</v>
      </c>
      <c r="M443" s="5" t="s">
        <v>229</v>
      </c>
      <c r="N443" s="5" t="s">
        <v>229</v>
      </c>
      <c r="O443" s="5" t="s">
        <v>229</v>
      </c>
    </row>
    <row r="444" spans="1:59">
      <c r="A444" s="1" t="str">
        <f>'Population Definitions'!$A$7</f>
        <v>10-17_females</v>
      </c>
      <c r="B444" s="5" t="s">
        <v>229</v>
      </c>
      <c r="C444" s="5" t="s">
        <v>229</v>
      </c>
      <c r="D444" s="5" t="s">
        <v>229</v>
      </c>
      <c r="E444" s="5" t="s">
        <v>229</v>
      </c>
      <c r="F444" s="5" t="s">
        <v>229</v>
      </c>
      <c r="G444" s="4" t="s">
        <v>58</v>
      </c>
      <c r="H444" s="5" t="s">
        <v>229</v>
      </c>
      <c r="I444" s="5" t="s">
        <v>229</v>
      </c>
      <c r="J444" s="5" t="s">
        <v>229</v>
      </c>
      <c r="K444" s="5" t="s">
        <v>229</v>
      </c>
      <c r="L444" s="5" t="s">
        <v>229</v>
      </c>
      <c r="M444" s="5" t="s">
        <v>229</v>
      </c>
      <c r="N444" s="5" t="s">
        <v>229</v>
      </c>
      <c r="O444" s="5" t="s">
        <v>229</v>
      </c>
    </row>
    <row r="445" spans="1:59">
      <c r="A445" s="1" t="str">
        <f>'Population Definitions'!$A$8</f>
        <v>18-64_males</v>
      </c>
      <c r="B445" s="5" t="s">
        <v>229</v>
      </c>
      <c r="C445" s="5" t="s">
        <v>229</v>
      </c>
      <c r="D445" s="5" t="s">
        <v>229</v>
      </c>
      <c r="E445" s="5" t="s">
        <v>229</v>
      </c>
      <c r="F445" s="5" t="s">
        <v>229</v>
      </c>
      <c r="G445" s="5" t="s">
        <v>229</v>
      </c>
      <c r="H445" s="4" t="s">
        <v>58</v>
      </c>
      <c r="I445" s="5" t="s">
        <v>229</v>
      </c>
      <c r="J445" s="5" t="s">
        <v>229</v>
      </c>
      <c r="K445" s="5" t="s">
        <v>229</v>
      </c>
      <c r="L445" s="5" t="s">
        <v>228</v>
      </c>
      <c r="M445" s="5" t="s">
        <v>229</v>
      </c>
      <c r="N445" s="5" t="s">
        <v>229</v>
      </c>
      <c r="O445" s="5" t="s">
        <v>229</v>
      </c>
    </row>
    <row r="446" spans="1:59">
      <c r="A446" s="1" t="str">
        <f>'Population Definitions'!$A$9</f>
        <v>18-64_females</v>
      </c>
      <c r="B446" s="5" t="s">
        <v>229</v>
      </c>
      <c r="C446" s="5" t="s">
        <v>229</v>
      </c>
      <c r="D446" s="5" t="s">
        <v>229</v>
      </c>
      <c r="E446" s="5" t="s">
        <v>229</v>
      </c>
      <c r="F446" s="5" t="s">
        <v>229</v>
      </c>
      <c r="G446" s="5" t="s">
        <v>229</v>
      </c>
      <c r="H446" s="5" t="s">
        <v>229</v>
      </c>
      <c r="I446" s="4" t="s">
        <v>58</v>
      </c>
      <c r="J446" s="5" t="s">
        <v>229</v>
      </c>
      <c r="K446" s="5" t="s">
        <v>229</v>
      </c>
      <c r="L446" s="5" t="s">
        <v>229</v>
      </c>
      <c r="M446" s="5" t="s">
        <v>228</v>
      </c>
      <c r="N446" s="5" t="s">
        <v>229</v>
      </c>
      <c r="O446" s="5" t="s">
        <v>229</v>
      </c>
    </row>
    <row r="447" spans="1:59">
      <c r="A447" s="1" t="str">
        <f>'Population Definitions'!$A$10</f>
        <v>65+_males</v>
      </c>
      <c r="B447" s="5" t="s">
        <v>229</v>
      </c>
      <c r="C447" s="5" t="s">
        <v>229</v>
      </c>
      <c r="D447" s="5" t="s">
        <v>229</v>
      </c>
      <c r="E447" s="5" t="s">
        <v>229</v>
      </c>
      <c r="F447" s="5" t="s">
        <v>229</v>
      </c>
      <c r="G447" s="5" t="s">
        <v>229</v>
      </c>
      <c r="H447" s="5" t="s">
        <v>229</v>
      </c>
      <c r="I447" s="5" t="s">
        <v>229</v>
      </c>
      <c r="J447" s="4" t="s">
        <v>58</v>
      </c>
      <c r="K447" s="5" t="s">
        <v>229</v>
      </c>
      <c r="L447" s="5" t="s">
        <v>229</v>
      </c>
      <c r="M447" s="5" t="s">
        <v>229</v>
      </c>
      <c r="N447" s="5" t="s">
        <v>229</v>
      </c>
      <c r="O447" s="5" t="s">
        <v>229</v>
      </c>
    </row>
    <row r="448" spans="1:59">
      <c r="A448" s="1" t="str">
        <f>'Population Definitions'!$A$11</f>
        <v>65+_females</v>
      </c>
      <c r="B448" s="5" t="s">
        <v>229</v>
      </c>
      <c r="C448" s="5" t="s">
        <v>229</v>
      </c>
      <c r="D448" s="5" t="s">
        <v>229</v>
      </c>
      <c r="E448" s="5" t="s">
        <v>229</v>
      </c>
      <c r="F448" s="5" t="s">
        <v>229</v>
      </c>
      <c r="G448" s="5" t="s">
        <v>229</v>
      </c>
      <c r="H448" s="5" t="s">
        <v>229</v>
      </c>
      <c r="I448" s="5" t="s">
        <v>229</v>
      </c>
      <c r="J448" s="5" t="s">
        <v>229</v>
      </c>
      <c r="K448" s="4" t="s">
        <v>58</v>
      </c>
      <c r="L448" s="5" t="s">
        <v>229</v>
      </c>
      <c r="M448" s="5" t="s">
        <v>229</v>
      </c>
      <c r="N448" s="5" t="s">
        <v>229</v>
      </c>
      <c r="O448" s="5" t="s">
        <v>229</v>
      </c>
    </row>
    <row r="449" spans="1:59">
      <c r="A449" s="1" t="str">
        <f>'Population Definitions'!$A$12</f>
        <v>Prisoners_males</v>
      </c>
      <c r="B449" s="5" t="s">
        <v>229</v>
      </c>
      <c r="C449" s="5" t="s">
        <v>229</v>
      </c>
      <c r="D449" s="5" t="s">
        <v>229</v>
      </c>
      <c r="E449" s="5" t="s">
        <v>229</v>
      </c>
      <c r="F449" s="5" t="s">
        <v>229</v>
      </c>
      <c r="G449" s="5" t="s">
        <v>229</v>
      </c>
      <c r="H449" s="5" t="s">
        <v>228</v>
      </c>
      <c r="I449" s="5" t="s">
        <v>229</v>
      </c>
      <c r="J449" s="5" t="s">
        <v>229</v>
      </c>
      <c r="K449" s="5" t="s">
        <v>229</v>
      </c>
      <c r="L449" s="4" t="s">
        <v>58</v>
      </c>
      <c r="M449" s="5" t="s">
        <v>229</v>
      </c>
      <c r="N449" s="5" t="s">
        <v>229</v>
      </c>
      <c r="O449" s="5" t="s">
        <v>229</v>
      </c>
    </row>
    <row r="450" spans="1:59">
      <c r="A450" s="1" t="str">
        <f>'Population Definitions'!$A$13</f>
        <v>Prisoners_females</v>
      </c>
      <c r="B450" s="5" t="s">
        <v>229</v>
      </c>
      <c r="C450" s="5" t="s">
        <v>229</v>
      </c>
      <c r="D450" s="5" t="s">
        <v>229</v>
      </c>
      <c r="E450" s="5" t="s">
        <v>229</v>
      </c>
      <c r="F450" s="5" t="s">
        <v>229</v>
      </c>
      <c r="G450" s="5" t="s">
        <v>229</v>
      </c>
      <c r="H450" s="5" t="s">
        <v>229</v>
      </c>
      <c r="I450" s="5" t="s">
        <v>228</v>
      </c>
      <c r="J450" s="5" t="s">
        <v>229</v>
      </c>
      <c r="K450" s="5" t="s">
        <v>229</v>
      </c>
      <c r="L450" s="5" t="s">
        <v>229</v>
      </c>
      <c r="M450" s="4" t="s">
        <v>58</v>
      </c>
      <c r="N450" s="5" t="s">
        <v>229</v>
      </c>
      <c r="O450" s="5" t="s">
        <v>229</v>
      </c>
    </row>
    <row r="451" spans="1:59">
      <c r="A451" s="1" t="str">
        <f>'Population Definitions'!$A$14</f>
        <v>Prisoners_PWID_males</v>
      </c>
      <c r="B451" s="5" t="s">
        <v>228</v>
      </c>
      <c r="C451" s="5" t="s">
        <v>229</v>
      </c>
      <c r="D451" s="5" t="s">
        <v>229</v>
      </c>
      <c r="E451" s="5" t="s">
        <v>229</v>
      </c>
      <c r="F451" s="5" t="s">
        <v>229</v>
      </c>
      <c r="G451" s="5" t="s">
        <v>229</v>
      </c>
      <c r="H451" s="5" t="s">
        <v>229</v>
      </c>
      <c r="I451" s="5" t="s">
        <v>229</v>
      </c>
      <c r="J451" s="5" t="s">
        <v>229</v>
      </c>
      <c r="K451" s="5" t="s">
        <v>229</v>
      </c>
      <c r="L451" s="5" t="s">
        <v>229</v>
      </c>
      <c r="M451" s="5" t="s">
        <v>229</v>
      </c>
      <c r="N451" s="4" t="s">
        <v>58</v>
      </c>
      <c r="O451" s="5" t="s">
        <v>229</v>
      </c>
    </row>
    <row r="452" spans="1:59">
      <c r="A452" s="1" t="str">
        <f>'Population Definitions'!$A$15</f>
        <v>Prisoners_PWID_females</v>
      </c>
      <c r="B452" s="5" t="s">
        <v>229</v>
      </c>
      <c r="C452" s="5" t="s">
        <v>228</v>
      </c>
      <c r="D452" s="5" t="s">
        <v>229</v>
      </c>
      <c r="E452" s="5" t="s">
        <v>229</v>
      </c>
      <c r="F452" s="5" t="s">
        <v>229</v>
      </c>
      <c r="G452" s="5" t="s">
        <v>229</v>
      </c>
      <c r="H452" s="5" t="s">
        <v>229</v>
      </c>
      <c r="I452" s="5" t="s">
        <v>229</v>
      </c>
      <c r="J452" s="5" t="s">
        <v>229</v>
      </c>
      <c r="K452" s="5" t="s">
        <v>229</v>
      </c>
      <c r="L452" s="5" t="s">
        <v>229</v>
      </c>
      <c r="M452" s="5" t="s">
        <v>229</v>
      </c>
      <c r="N452" s="5" t="s">
        <v>229</v>
      </c>
      <c r="O452" s="4" t="s">
        <v>58</v>
      </c>
    </row>
    <row r="454" spans="1:59">
      <c r="A454" s="1" t="s">
        <v>230</v>
      </c>
      <c r="B454" s="1"/>
      <c r="C454" s="1" t="s">
        <v>231</v>
      </c>
      <c r="D454" s="1" t="s">
        <v>31</v>
      </c>
      <c r="E454" s="1" t="s">
        <v>32</v>
      </c>
      <c r="F454" s="1" t="s">
        <v>33</v>
      </c>
      <c r="G454" s="1" t="s">
        <v>38</v>
      </c>
      <c r="H454" s="1"/>
      <c r="I454" s="1">
        <v>2000</v>
      </c>
      <c r="J454" s="1">
        <v>2001</v>
      </c>
      <c r="K454" s="1">
        <v>2002</v>
      </c>
      <c r="L454" s="1">
        <v>2003</v>
      </c>
      <c r="M454" s="1">
        <v>2004</v>
      </c>
      <c r="N454" s="1">
        <v>2005</v>
      </c>
      <c r="O454" s="1">
        <v>2006</v>
      </c>
      <c r="P454" s="1">
        <v>2007</v>
      </c>
      <c r="Q454" s="1">
        <v>2008</v>
      </c>
      <c r="R454" s="1">
        <v>2009</v>
      </c>
      <c r="S454" s="1">
        <v>2010</v>
      </c>
      <c r="T454" s="1">
        <v>2011</v>
      </c>
      <c r="U454" s="1">
        <v>2012</v>
      </c>
      <c r="V454" s="1">
        <v>2013</v>
      </c>
      <c r="W454" s="1">
        <v>2014</v>
      </c>
      <c r="X454" s="1">
        <v>2015</v>
      </c>
      <c r="Y454" s="1">
        <v>2016</v>
      </c>
      <c r="Z454" s="1">
        <v>2017</v>
      </c>
      <c r="AA454" s="1">
        <v>2018</v>
      </c>
      <c r="AB454" s="1">
        <v>2019</v>
      </c>
      <c r="AC454" s="1">
        <v>2020</v>
      </c>
      <c r="AD454" s="1">
        <v>2021</v>
      </c>
      <c r="AE454" s="1">
        <v>2022</v>
      </c>
      <c r="AF454" s="1">
        <v>2023</v>
      </c>
      <c r="AG454" s="1">
        <v>2024</v>
      </c>
      <c r="AH454" s="1">
        <v>2025</v>
      </c>
      <c r="AI454" s="1">
        <v>2026</v>
      </c>
      <c r="AJ454" s="1">
        <v>2027</v>
      </c>
      <c r="AK454" s="1">
        <v>2028</v>
      </c>
      <c r="AL454" s="1">
        <v>2029</v>
      </c>
      <c r="AM454" s="1">
        <v>2030</v>
      </c>
      <c r="AN454" s="1">
        <v>2031</v>
      </c>
      <c r="AO454" s="1">
        <v>2032</v>
      </c>
      <c r="AP454" s="1">
        <v>2033</v>
      </c>
      <c r="AQ454" s="1">
        <v>2034</v>
      </c>
      <c r="AR454" s="1">
        <v>2035</v>
      </c>
      <c r="AS454" s="1">
        <v>2036</v>
      </c>
      <c r="AT454" s="1">
        <v>2037</v>
      </c>
      <c r="AU454" s="1">
        <v>2038</v>
      </c>
      <c r="AV454" s="1">
        <v>2039</v>
      </c>
      <c r="AW454" s="1">
        <v>2040</v>
      </c>
      <c r="AX454" s="1">
        <v>2041</v>
      </c>
      <c r="AY454" s="1">
        <v>2042</v>
      </c>
      <c r="AZ454" s="1">
        <v>2043</v>
      </c>
      <c r="BA454" s="1">
        <v>2044</v>
      </c>
      <c r="BB454" s="1">
        <v>2045</v>
      </c>
      <c r="BC454" s="1">
        <v>2046</v>
      </c>
      <c r="BD454" s="1">
        <v>2047</v>
      </c>
      <c r="BE454" s="1">
        <v>2048</v>
      </c>
      <c r="BF454" s="1">
        <v>2049</v>
      </c>
      <c r="BG454" s="1">
        <v>2050</v>
      </c>
    </row>
    <row r="455" spans="1:59">
      <c r="A455" s="1" t="str">
        <f>IF($B$439="Y",'Population Definitions'!$A$2,"...")</f>
        <v>...</v>
      </c>
      <c r="B455" s="4" t="str">
        <f>IF($B$439="Y","---&gt;","...")</f>
        <v>...</v>
      </c>
      <c r="C455" s="1" t="str">
        <f>IF($B$439="Y",'Population Definitions'!$A$2,"...")</f>
        <v>...</v>
      </c>
      <c r="E455" s="2"/>
      <c r="F455" s="3"/>
      <c r="G455" s="2"/>
      <c r="H455" s="4" t="str">
        <f>IF($B$439="Y","OR","...")</f>
        <v>...</v>
      </c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  <c r="AM455" s="2"/>
      <c r="AN455" s="2"/>
      <c r="AO455" s="2"/>
      <c r="AP455" s="2"/>
      <c r="AQ455" s="2"/>
      <c r="AR455" s="2"/>
      <c r="AS455" s="2"/>
      <c r="AT455" s="2"/>
      <c r="AU455" s="2"/>
      <c r="AV455" s="2"/>
      <c r="AW455" s="2"/>
      <c r="AX455" s="2"/>
      <c r="AY455" s="2"/>
      <c r="AZ455" s="2"/>
      <c r="BA455" s="2"/>
      <c r="BB455" s="2"/>
      <c r="BC455" s="2"/>
      <c r="BD455" s="2"/>
      <c r="BE455" s="2"/>
      <c r="BF455" s="2"/>
      <c r="BG455" s="2"/>
    </row>
    <row r="456" spans="1:59">
      <c r="A456" s="1" t="str">
        <f>IF($C$439="Y",'Population Definitions'!$A$2,"...")</f>
        <v>...</v>
      </c>
      <c r="B456" s="4" t="str">
        <f>IF($C$439="Y","---&gt;","...")</f>
        <v>...</v>
      </c>
      <c r="C456" s="1" t="str">
        <f>IF($C$439="Y",'Population Definitions'!$A$3,"...")</f>
        <v>...</v>
      </c>
      <c r="E456" s="2"/>
      <c r="F456" s="3"/>
      <c r="G456" s="2"/>
      <c r="H456" s="4" t="str">
        <f>IF($C$439="Y","OR","...")</f>
        <v>...</v>
      </c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  <c r="AM456" s="2"/>
      <c r="AN456" s="2"/>
      <c r="AO456" s="2"/>
      <c r="AP456" s="2"/>
      <c r="AQ456" s="2"/>
      <c r="AR456" s="2"/>
      <c r="AS456" s="2"/>
      <c r="AT456" s="2"/>
      <c r="AU456" s="2"/>
      <c r="AV456" s="2"/>
      <c r="AW456" s="2"/>
      <c r="AX456" s="2"/>
      <c r="AY456" s="2"/>
      <c r="AZ456" s="2"/>
      <c r="BA456" s="2"/>
      <c r="BB456" s="2"/>
      <c r="BC456" s="2"/>
      <c r="BD456" s="2"/>
      <c r="BE456" s="2"/>
      <c r="BF456" s="2"/>
      <c r="BG456" s="2"/>
    </row>
    <row r="457" spans="1:59">
      <c r="A457" s="1" t="str">
        <f>IF($D$439="Y",'Population Definitions'!$A$2,"...")</f>
        <v>...</v>
      </c>
      <c r="B457" s="4" t="str">
        <f>IF($D$439="Y","---&gt;","...")</f>
        <v>...</v>
      </c>
      <c r="C457" s="1" t="str">
        <f>IF($D$439="Y",'Population Definitions'!$A$4,"...")</f>
        <v>...</v>
      </c>
      <c r="E457" s="2"/>
      <c r="F457" s="3"/>
      <c r="G457" s="2"/>
      <c r="H457" s="4" t="str">
        <f>IF($D$439="Y","OR","...")</f>
        <v>...</v>
      </c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  <c r="AM457" s="2"/>
      <c r="AN457" s="2"/>
      <c r="AO457" s="2"/>
      <c r="AP457" s="2"/>
      <c r="AQ457" s="2"/>
      <c r="AR457" s="2"/>
      <c r="AS457" s="2"/>
      <c r="AT457" s="2"/>
      <c r="AU457" s="2"/>
      <c r="AV457" s="2"/>
      <c r="AW457" s="2"/>
      <c r="AX457" s="2"/>
      <c r="AY457" s="2"/>
      <c r="AZ457" s="2"/>
      <c r="BA457" s="2"/>
      <c r="BB457" s="2"/>
      <c r="BC457" s="2"/>
      <c r="BD457" s="2"/>
      <c r="BE457" s="2"/>
      <c r="BF457" s="2"/>
      <c r="BG457" s="2"/>
    </row>
    <row r="458" spans="1:59">
      <c r="A458" s="1" t="str">
        <f>IF($E$439="Y",'Population Definitions'!$A$2,"...")</f>
        <v>...</v>
      </c>
      <c r="B458" s="4" t="str">
        <f>IF($E$439="Y","---&gt;","...")</f>
        <v>...</v>
      </c>
      <c r="C458" s="1" t="str">
        <f>IF($E$439="Y",'Population Definitions'!$A$5,"...")</f>
        <v>...</v>
      </c>
      <c r="E458" s="2"/>
      <c r="F458" s="3"/>
      <c r="G458" s="2"/>
      <c r="H458" s="4" t="str">
        <f>IF($E$439="Y","OR","...")</f>
        <v>...</v>
      </c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  <c r="AM458" s="2"/>
      <c r="AN458" s="2"/>
      <c r="AO458" s="2"/>
      <c r="AP458" s="2"/>
      <c r="AQ458" s="2"/>
      <c r="AR458" s="2"/>
      <c r="AS458" s="2"/>
      <c r="AT458" s="2"/>
      <c r="AU458" s="2"/>
      <c r="AV458" s="2"/>
      <c r="AW458" s="2"/>
      <c r="AX458" s="2"/>
      <c r="AY458" s="2"/>
      <c r="AZ458" s="2"/>
      <c r="BA458" s="2"/>
      <c r="BB458" s="2"/>
      <c r="BC458" s="2"/>
      <c r="BD458" s="2"/>
      <c r="BE458" s="2"/>
      <c r="BF458" s="2"/>
      <c r="BG458" s="2"/>
    </row>
    <row r="459" spans="1:59">
      <c r="A459" s="1" t="str">
        <f>IF($F$439="Y",'Population Definitions'!$A$2,"...")</f>
        <v>...</v>
      </c>
      <c r="B459" s="4" t="str">
        <f>IF($F$439="Y","---&gt;","...")</f>
        <v>...</v>
      </c>
      <c r="C459" s="1" t="str">
        <f>IF($F$439="Y",'Population Definitions'!$A$6,"...")</f>
        <v>...</v>
      </c>
      <c r="E459" s="2"/>
      <c r="F459" s="3"/>
      <c r="G459" s="2"/>
      <c r="H459" s="4" t="str">
        <f>IF($F$439="Y","OR","...")</f>
        <v>...</v>
      </c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  <c r="AM459" s="2"/>
      <c r="AN459" s="2"/>
      <c r="AO459" s="2"/>
      <c r="AP459" s="2"/>
      <c r="AQ459" s="2"/>
      <c r="AR459" s="2"/>
      <c r="AS459" s="2"/>
      <c r="AT459" s="2"/>
      <c r="AU459" s="2"/>
      <c r="AV459" s="2"/>
      <c r="AW459" s="2"/>
      <c r="AX459" s="2"/>
      <c r="AY459" s="2"/>
      <c r="AZ459" s="2"/>
      <c r="BA459" s="2"/>
      <c r="BB459" s="2"/>
      <c r="BC459" s="2"/>
      <c r="BD459" s="2"/>
      <c r="BE459" s="2"/>
      <c r="BF459" s="2"/>
      <c r="BG459" s="2"/>
    </row>
    <row r="460" spans="1:59">
      <c r="A460" s="1" t="str">
        <f>IF($G$439="Y",'Population Definitions'!$A$2,"...")</f>
        <v>...</v>
      </c>
      <c r="B460" s="4" t="str">
        <f>IF($G$439="Y","---&gt;","...")</f>
        <v>...</v>
      </c>
      <c r="C460" s="1" t="str">
        <f>IF($G$439="Y",'Population Definitions'!$A$7,"...")</f>
        <v>...</v>
      </c>
      <c r="E460" s="2"/>
      <c r="F460" s="3"/>
      <c r="G460" s="2"/>
      <c r="H460" s="4" t="str">
        <f>IF($G$439="Y","OR","...")</f>
        <v>...</v>
      </c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  <c r="AM460" s="2"/>
      <c r="AN460" s="2"/>
      <c r="AO460" s="2"/>
      <c r="AP460" s="2"/>
      <c r="AQ460" s="2"/>
      <c r="AR460" s="2"/>
      <c r="AS460" s="2"/>
      <c r="AT460" s="2"/>
      <c r="AU460" s="2"/>
      <c r="AV460" s="2"/>
      <c r="AW460" s="2"/>
      <c r="AX460" s="2"/>
      <c r="AY460" s="2"/>
      <c r="AZ460" s="2"/>
      <c r="BA460" s="2"/>
      <c r="BB460" s="2"/>
      <c r="BC460" s="2"/>
      <c r="BD460" s="2"/>
      <c r="BE460" s="2"/>
      <c r="BF460" s="2"/>
      <c r="BG460" s="2"/>
    </row>
    <row r="461" spans="1:59">
      <c r="A461" s="1" t="str">
        <f>IF($H$439="Y",'Population Definitions'!$A$2,"...")</f>
        <v>...</v>
      </c>
      <c r="B461" s="4" t="str">
        <f>IF($H$439="Y","---&gt;","...")</f>
        <v>...</v>
      </c>
      <c r="C461" s="1" t="str">
        <f>IF($H$439="Y",'Population Definitions'!$A$8,"...")</f>
        <v>...</v>
      </c>
      <c r="E461" s="2"/>
      <c r="F461" s="3"/>
      <c r="G461" s="2"/>
      <c r="H461" s="4" t="str">
        <f>IF($H$439="Y","OR","...")</f>
        <v>...</v>
      </c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  <c r="AM461" s="2"/>
      <c r="AN461" s="2"/>
      <c r="AO461" s="2"/>
      <c r="AP461" s="2"/>
      <c r="AQ461" s="2"/>
      <c r="AR461" s="2"/>
      <c r="AS461" s="2"/>
      <c r="AT461" s="2"/>
      <c r="AU461" s="2"/>
      <c r="AV461" s="2"/>
      <c r="AW461" s="2"/>
      <c r="AX461" s="2"/>
      <c r="AY461" s="2"/>
      <c r="AZ461" s="2"/>
      <c r="BA461" s="2"/>
      <c r="BB461" s="2"/>
      <c r="BC461" s="2"/>
      <c r="BD461" s="2"/>
      <c r="BE461" s="2"/>
      <c r="BF461" s="2"/>
      <c r="BG461" s="2"/>
    </row>
    <row r="462" spans="1:59">
      <c r="A462" s="1" t="str">
        <f>IF($I$439="Y",'Population Definitions'!$A$2,"...")</f>
        <v>...</v>
      </c>
      <c r="B462" s="4" t="str">
        <f>IF($I$439="Y","---&gt;","...")</f>
        <v>...</v>
      </c>
      <c r="C462" s="1" t="str">
        <f>IF($I$439="Y",'Population Definitions'!$A$9,"...")</f>
        <v>...</v>
      </c>
      <c r="E462" s="2"/>
      <c r="F462" s="3"/>
      <c r="G462" s="2"/>
      <c r="H462" s="4" t="str">
        <f>IF($I$439="Y","OR","...")</f>
        <v>...</v>
      </c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  <c r="AM462" s="2"/>
      <c r="AN462" s="2"/>
      <c r="AO462" s="2"/>
      <c r="AP462" s="2"/>
      <c r="AQ462" s="2"/>
      <c r="AR462" s="2"/>
      <c r="AS462" s="2"/>
      <c r="AT462" s="2"/>
      <c r="AU462" s="2"/>
      <c r="AV462" s="2"/>
      <c r="AW462" s="2"/>
      <c r="AX462" s="2"/>
      <c r="AY462" s="2"/>
      <c r="AZ462" s="2"/>
      <c r="BA462" s="2"/>
      <c r="BB462" s="2"/>
      <c r="BC462" s="2"/>
      <c r="BD462" s="2"/>
      <c r="BE462" s="2"/>
      <c r="BF462" s="2"/>
      <c r="BG462" s="2"/>
    </row>
    <row r="463" spans="1:59">
      <c r="A463" s="1" t="str">
        <f>IF($J$439="Y",'Population Definitions'!$A$2,"...")</f>
        <v>...</v>
      </c>
      <c r="B463" s="4" t="str">
        <f>IF($J$439="Y","---&gt;","...")</f>
        <v>...</v>
      </c>
      <c r="C463" s="1" t="str">
        <f>IF($J$439="Y",'Population Definitions'!$A$10,"...")</f>
        <v>...</v>
      </c>
      <c r="E463" s="2"/>
      <c r="F463" s="3"/>
      <c r="G463" s="2"/>
      <c r="H463" s="4" t="str">
        <f>IF($J$439="Y","OR","...")</f>
        <v>...</v>
      </c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  <c r="AM463" s="2"/>
      <c r="AN463" s="2"/>
      <c r="AO463" s="2"/>
      <c r="AP463" s="2"/>
      <c r="AQ463" s="2"/>
      <c r="AR463" s="2"/>
      <c r="AS463" s="2"/>
      <c r="AT463" s="2"/>
      <c r="AU463" s="2"/>
      <c r="AV463" s="2"/>
      <c r="AW463" s="2"/>
      <c r="AX463" s="2"/>
      <c r="AY463" s="2"/>
      <c r="AZ463" s="2"/>
      <c r="BA463" s="2"/>
      <c r="BB463" s="2"/>
      <c r="BC463" s="2"/>
      <c r="BD463" s="2"/>
      <c r="BE463" s="2"/>
      <c r="BF463" s="2"/>
      <c r="BG463" s="2"/>
    </row>
    <row r="464" spans="1:59">
      <c r="A464" s="1" t="str">
        <f>IF($K$439="Y",'Population Definitions'!$A$2,"...")</f>
        <v>...</v>
      </c>
      <c r="B464" s="4" t="str">
        <f>IF($K$439="Y","---&gt;","...")</f>
        <v>...</v>
      </c>
      <c r="C464" s="1" t="str">
        <f>IF($K$439="Y",'Population Definitions'!$A$11,"...")</f>
        <v>...</v>
      </c>
      <c r="E464" s="2"/>
      <c r="F464" s="3"/>
      <c r="G464" s="2"/>
      <c r="H464" s="4" t="str">
        <f>IF($K$439="Y","OR","...")</f>
        <v>...</v>
      </c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  <c r="AM464" s="2"/>
      <c r="AN464" s="2"/>
      <c r="AO464" s="2"/>
      <c r="AP464" s="2"/>
      <c r="AQ464" s="2"/>
      <c r="AR464" s="2"/>
      <c r="AS464" s="2"/>
      <c r="AT464" s="2"/>
      <c r="AU464" s="2"/>
      <c r="AV464" s="2"/>
      <c r="AW464" s="2"/>
      <c r="AX464" s="2"/>
      <c r="AY464" s="2"/>
      <c r="AZ464" s="2"/>
      <c r="BA464" s="2"/>
      <c r="BB464" s="2"/>
      <c r="BC464" s="2"/>
      <c r="BD464" s="2"/>
      <c r="BE464" s="2"/>
      <c r="BF464" s="2"/>
      <c r="BG464" s="2"/>
    </row>
    <row r="465" spans="1:59">
      <c r="A465" s="1" t="str">
        <f>IF($L$439="Y",'Population Definitions'!$A$2,"...")</f>
        <v>...</v>
      </c>
      <c r="B465" s="4" t="str">
        <f>IF($L$439="Y","---&gt;","...")</f>
        <v>...</v>
      </c>
      <c r="C465" s="1" t="str">
        <f>IF($L$439="Y",'Population Definitions'!$A$12,"...")</f>
        <v>...</v>
      </c>
      <c r="E465" s="2"/>
      <c r="F465" s="3"/>
      <c r="G465" s="2"/>
      <c r="H465" s="4" t="str">
        <f>IF($L$439="Y","OR","...")</f>
        <v>...</v>
      </c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  <c r="AM465" s="2"/>
      <c r="AN465" s="2"/>
      <c r="AO465" s="2"/>
      <c r="AP465" s="2"/>
      <c r="AQ465" s="2"/>
      <c r="AR465" s="2"/>
      <c r="AS465" s="2"/>
      <c r="AT465" s="2"/>
      <c r="AU465" s="2"/>
      <c r="AV465" s="2"/>
      <c r="AW465" s="2"/>
      <c r="AX465" s="2"/>
      <c r="AY465" s="2"/>
      <c r="AZ465" s="2"/>
      <c r="BA465" s="2"/>
      <c r="BB465" s="2"/>
      <c r="BC465" s="2"/>
      <c r="BD465" s="2"/>
      <c r="BE465" s="2"/>
      <c r="BF465" s="2"/>
      <c r="BG465" s="2"/>
    </row>
    <row r="466" spans="1:59">
      <c r="A466" s="1" t="str">
        <f>IF($M$439="Y",'Population Definitions'!$A$2,"...")</f>
        <v>...</v>
      </c>
      <c r="B466" s="4" t="str">
        <f>IF($M$439="Y","---&gt;","...")</f>
        <v>...</v>
      </c>
      <c r="C466" s="1" t="str">
        <f>IF($M$439="Y",'Population Definitions'!$A$13,"...")</f>
        <v>...</v>
      </c>
      <c r="E466" s="2"/>
      <c r="F466" s="3"/>
      <c r="G466" s="2"/>
      <c r="H466" s="4" t="str">
        <f>IF($M$439="Y","OR","...")</f>
        <v>...</v>
      </c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  <c r="AM466" s="2"/>
      <c r="AN466" s="2"/>
      <c r="AO466" s="2"/>
      <c r="AP466" s="2"/>
      <c r="AQ466" s="2"/>
      <c r="AR466" s="2"/>
      <c r="AS466" s="2"/>
      <c r="AT466" s="2"/>
      <c r="AU466" s="2"/>
      <c r="AV466" s="2"/>
      <c r="AW466" s="2"/>
      <c r="AX466" s="2"/>
      <c r="AY466" s="2"/>
      <c r="AZ466" s="2"/>
      <c r="BA466" s="2"/>
      <c r="BB466" s="2"/>
      <c r="BC466" s="2"/>
      <c r="BD466" s="2"/>
      <c r="BE466" s="2"/>
      <c r="BF466" s="2"/>
      <c r="BG466" s="2"/>
    </row>
    <row r="467" spans="1:59">
      <c r="A467" s="1" t="str">
        <f>IF($N$439="Y",'Population Definitions'!$A$2,"...")</f>
        <v>PWID_males</v>
      </c>
      <c r="B467" s="4" t="str">
        <f>IF($N$439="Y","---&gt;","...")</f>
        <v>---&gt;</v>
      </c>
      <c r="C467" s="1" t="str">
        <f>IF($N$439="Y",'Population Definitions'!$A$14,"...")</f>
        <v>Prisoners_PWID_males</v>
      </c>
      <c r="E467" s="3" t="s">
        <v>55</v>
      </c>
      <c r="F467" s="3"/>
      <c r="G467" s="3">
        <v>0.9461930030334825</v>
      </c>
      <c r="H467" s="4" t="str">
        <f>IF($N$439="Y","OR","...")</f>
        <v>OR</v>
      </c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  <c r="AH467" s="3"/>
      <c r="AI467" s="3"/>
      <c r="AJ467" s="3"/>
      <c r="AK467" s="3"/>
      <c r="AL467" s="3"/>
      <c r="AM467" s="3"/>
      <c r="AN467" s="3"/>
      <c r="AO467" s="3"/>
      <c r="AP467" s="3"/>
      <c r="AQ467" s="3"/>
      <c r="AR467" s="3"/>
      <c r="AS467" s="3"/>
      <c r="AT467" s="3"/>
      <c r="AU467" s="3"/>
      <c r="AV467" s="3"/>
      <c r="AW467" s="3"/>
      <c r="AX467" s="3"/>
      <c r="AY467" s="3"/>
      <c r="AZ467" s="3"/>
      <c r="BA467" s="3"/>
      <c r="BB467" s="3"/>
      <c r="BC467" s="3"/>
      <c r="BD467" s="3"/>
      <c r="BE467" s="3"/>
      <c r="BF467" s="3"/>
      <c r="BG467" s="3"/>
    </row>
    <row r="468" spans="1:59">
      <c r="A468" s="1" t="str">
        <f>IF($O$439="Y",'Population Definitions'!$A$2,"...")</f>
        <v>...</v>
      </c>
      <c r="B468" s="4" t="str">
        <f>IF($O$439="Y","---&gt;","...")</f>
        <v>...</v>
      </c>
      <c r="C468" s="1" t="str">
        <f>IF($O$439="Y",'Population Definitions'!$A$15,"...")</f>
        <v>...</v>
      </c>
      <c r="E468" s="2"/>
      <c r="F468" s="3"/>
      <c r="G468" s="2"/>
      <c r="H468" s="4" t="str">
        <f>IF($O$439="Y","OR","...")</f>
        <v>...</v>
      </c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  <c r="AM468" s="2"/>
      <c r="AN468" s="2"/>
      <c r="AO468" s="2"/>
      <c r="AP468" s="2"/>
      <c r="AQ468" s="2"/>
      <c r="AR468" s="2"/>
      <c r="AS468" s="2"/>
      <c r="AT468" s="2"/>
      <c r="AU468" s="2"/>
      <c r="AV468" s="2"/>
      <c r="AW468" s="2"/>
      <c r="AX468" s="2"/>
      <c r="AY468" s="2"/>
      <c r="AZ468" s="2"/>
      <c r="BA468" s="2"/>
      <c r="BB468" s="2"/>
      <c r="BC468" s="2"/>
      <c r="BD468" s="2"/>
      <c r="BE468" s="2"/>
      <c r="BF468" s="2"/>
      <c r="BG468" s="2"/>
    </row>
    <row r="469" spans="1:59">
      <c r="A469" s="1" t="str">
        <f>IF($B$440="Y",'Population Definitions'!$A$3,"...")</f>
        <v>...</v>
      </c>
      <c r="B469" s="4" t="str">
        <f>IF($B$440="Y","---&gt;","...")</f>
        <v>...</v>
      </c>
      <c r="C469" s="1" t="str">
        <f>IF($B$440="Y",'Population Definitions'!$A$2,"...")</f>
        <v>...</v>
      </c>
      <c r="E469" s="2"/>
      <c r="F469" s="3"/>
      <c r="G469" s="2"/>
      <c r="H469" s="4" t="str">
        <f>IF($B$440="Y","OR","...")</f>
        <v>...</v>
      </c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  <c r="AM469" s="2"/>
      <c r="AN469" s="2"/>
      <c r="AO469" s="2"/>
      <c r="AP469" s="2"/>
      <c r="AQ469" s="2"/>
      <c r="AR469" s="2"/>
      <c r="AS469" s="2"/>
      <c r="AT469" s="2"/>
      <c r="AU469" s="2"/>
      <c r="AV469" s="2"/>
      <c r="AW469" s="2"/>
      <c r="AX469" s="2"/>
      <c r="AY469" s="2"/>
      <c r="AZ469" s="2"/>
      <c r="BA469" s="2"/>
      <c r="BB469" s="2"/>
      <c r="BC469" s="2"/>
      <c r="BD469" s="2"/>
      <c r="BE469" s="2"/>
      <c r="BF469" s="2"/>
      <c r="BG469" s="2"/>
    </row>
    <row r="470" spans="1:59">
      <c r="A470" s="1" t="str">
        <f>IF($C$440="Y",'Population Definitions'!$A$3,"...")</f>
        <v>...</v>
      </c>
      <c r="B470" s="4" t="str">
        <f>IF($C$440="Y","---&gt;","...")</f>
        <v>...</v>
      </c>
      <c r="C470" s="1" t="str">
        <f>IF($C$440="Y",'Population Definitions'!$A$3,"...")</f>
        <v>...</v>
      </c>
      <c r="E470" s="2"/>
      <c r="F470" s="3"/>
      <c r="G470" s="2"/>
      <c r="H470" s="4" t="str">
        <f>IF($C$440="Y","OR","...")</f>
        <v>...</v>
      </c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  <c r="AM470" s="2"/>
      <c r="AN470" s="2"/>
      <c r="AO470" s="2"/>
      <c r="AP470" s="2"/>
      <c r="AQ470" s="2"/>
      <c r="AR470" s="2"/>
      <c r="AS470" s="2"/>
      <c r="AT470" s="2"/>
      <c r="AU470" s="2"/>
      <c r="AV470" s="2"/>
      <c r="AW470" s="2"/>
      <c r="AX470" s="2"/>
      <c r="AY470" s="2"/>
      <c r="AZ470" s="2"/>
      <c r="BA470" s="2"/>
      <c r="BB470" s="2"/>
      <c r="BC470" s="2"/>
      <c r="BD470" s="2"/>
      <c r="BE470" s="2"/>
      <c r="BF470" s="2"/>
      <c r="BG470" s="2"/>
    </row>
    <row r="471" spans="1:59">
      <c r="A471" s="1" t="str">
        <f>IF($D$440="Y",'Population Definitions'!$A$3,"...")</f>
        <v>...</v>
      </c>
      <c r="B471" s="4" t="str">
        <f>IF($D$440="Y","---&gt;","...")</f>
        <v>...</v>
      </c>
      <c r="C471" s="1" t="str">
        <f>IF($D$440="Y",'Population Definitions'!$A$4,"...")</f>
        <v>...</v>
      </c>
      <c r="E471" s="2"/>
      <c r="F471" s="3"/>
      <c r="G471" s="2"/>
      <c r="H471" s="4" t="str">
        <f>IF($D$440="Y","OR","...")</f>
        <v>...</v>
      </c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  <c r="AM471" s="2"/>
      <c r="AN471" s="2"/>
      <c r="AO471" s="2"/>
      <c r="AP471" s="2"/>
      <c r="AQ471" s="2"/>
      <c r="AR471" s="2"/>
      <c r="AS471" s="2"/>
      <c r="AT471" s="2"/>
      <c r="AU471" s="2"/>
      <c r="AV471" s="2"/>
      <c r="AW471" s="2"/>
      <c r="AX471" s="2"/>
      <c r="AY471" s="2"/>
      <c r="AZ471" s="2"/>
      <c r="BA471" s="2"/>
      <c r="BB471" s="2"/>
      <c r="BC471" s="2"/>
      <c r="BD471" s="2"/>
      <c r="BE471" s="2"/>
      <c r="BF471" s="2"/>
      <c r="BG471" s="2"/>
    </row>
    <row r="472" spans="1:59">
      <c r="A472" s="1" t="str">
        <f>IF($E$440="Y",'Population Definitions'!$A$3,"...")</f>
        <v>...</v>
      </c>
      <c r="B472" s="4" t="str">
        <f>IF($E$440="Y","---&gt;","...")</f>
        <v>...</v>
      </c>
      <c r="C472" s="1" t="str">
        <f>IF($E$440="Y",'Population Definitions'!$A$5,"...")</f>
        <v>...</v>
      </c>
      <c r="E472" s="2"/>
      <c r="F472" s="3"/>
      <c r="G472" s="2"/>
      <c r="H472" s="4" t="str">
        <f>IF($E$440="Y","OR","...")</f>
        <v>...</v>
      </c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  <c r="AM472" s="2"/>
      <c r="AN472" s="2"/>
      <c r="AO472" s="2"/>
      <c r="AP472" s="2"/>
      <c r="AQ472" s="2"/>
      <c r="AR472" s="2"/>
      <c r="AS472" s="2"/>
      <c r="AT472" s="2"/>
      <c r="AU472" s="2"/>
      <c r="AV472" s="2"/>
      <c r="AW472" s="2"/>
      <c r="AX472" s="2"/>
      <c r="AY472" s="2"/>
      <c r="AZ472" s="2"/>
      <c r="BA472" s="2"/>
      <c r="BB472" s="2"/>
      <c r="BC472" s="2"/>
      <c r="BD472" s="2"/>
      <c r="BE472" s="2"/>
      <c r="BF472" s="2"/>
      <c r="BG472" s="2"/>
    </row>
    <row r="473" spans="1:59">
      <c r="A473" s="1" t="str">
        <f>IF($F$440="Y",'Population Definitions'!$A$3,"...")</f>
        <v>...</v>
      </c>
      <c r="B473" s="4" t="str">
        <f>IF($F$440="Y","---&gt;","...")</f>
        <v>...</v>
      </c>
      <c r="C473" s="1" t="str">
        <f>IF($F$440="Y",'Population Definitions'!$A$6,"...")</f>
        <v>...</v>
      </c>
      <c r="E473" s="2"/>
      <c r="F473" s="3"/>
      <c r="G473" s="2"/>
      <c r="H473" s="4" t="str">
        <f>IF($F$440="Y","OR","...")</f>
        <v>...</v>
      </c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  <c r="AM473" s="2"/>
      <c r="AN473" s="2"/>
      <c r="AO473" s="2"/>
      <c r="AP473" s="2"/>
      <c r="AQ473" s="2"/>
      <c r="AR473" s="2"/>
      <c r="AS473" s="2"/>
      <c r="AT473" s="2"/>
      <c r="AU473" s="2"/>
      <c r="AV473" s="2"/>
      <c r="AW473" s="2"/>
      <c r="AX473" s="2"/>
      <c r="AY473" s="2"/>
      <c r="AZ473" s="2"/>
      <c r="BA473" s="2"/>
      <c r="BB473" s="2"/>
      <c r="BC473" s="2"/>
      <c r="BD473" s="2"/>
      <c r="BE473" s="2"/>
      <c r="BF473" s="2"/>
      <c r="BG473" s="2"/>
    </row>
    <row r="474" spans="1:59">
      <c r="A474" s="1" t="str">
        <f>IF($G$440="Y",'Population Definitions'!$A$3,"...")</f>
        <v>...</v>
      </c>
      <c r="B474" s="4" t="str">
        <f>IF($G$440="Y","---&gt;","...")</f>
        <v>...</v>
      </c>
      <c r="C474" s="1" t="str">
        <f>IF($G$440="Y",'Population Definitions'!$A$7,"...")</f>
        <v>...</v>
      </c>
      <c r="E474" s="2"/>
      <c r="F474" s="3"/>
      <c r="G474" s="2"/>
      <c r="H474" s="4" t="str">
        <f>IF($G$440="Y","OR","...")</f>
        <v>...</v>
      </c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  <c r="AM474" s="2"/>
      <c r="AN474" s="2"/>
      <c r="AO474" s="2"/>
      <c r="AP474" s="2"/>
      <c r="AQ474" s="2"/>
      <c r="AR474" s="2"/>
      <c r="AS474" s="2"/>
      <c r="AT474" s="2"/>
      <c r="AU474" s="2"/>
      <c r="AV474" s="2"/>
      <c r="AW474" s="2"/>
      <c r="AX474" s="2"/>
      <c r="AY474" s="2"/>
      <c r="AZ474" s="2"/>
      <c r="BA474" s="2"/>
      <c r="BB474" s="2"/>
      <c r="BC474" s="2"/>
      <c r="BD474" s="2"/>
      <c r="BE474" s="2"/>
      <c r="BF474" s="2"/>
      <c r="BG474" s="2"/>
    </row>
    <row r="475" spans="1:59">
      <c r="A475" s="1" t="str">
        <f>IF($H$440="Y",'Population Definitions'!$A$3,"...")</f>
        <v>...</v>
      </c>
      <c r="B475" s="4" t="str">
        <f>IF($H$440="Y","---&gt;","...")</f>
        <v>...</v>
      </c>
      <c r="C475" s="1" t="str">
        <f>IF($H$440="Y",'Population Definitions'!$A$8,"...")</f>
        <v>...</v>
      </c>
      <c r="E475" s="2"/>
      <c r="F475" s="3"/>
      <c r="G475" s="2"/>
      <c r="H475" s="4" t="str">
        <f>IF($H$440="Y","OR","...")</f>
        <v>...</v>
      </c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  <c r="AM475" s="2"/>
      <c r="AN475" s="2"/>
      <c r="AO475" s="2"/>
      <c r="AP475" s="2"/>
      <c r="AQ475" s="2"/>
      <c r="AR475" s="2"/>
      <c r="AS475" s="2"/>
      <c r="AT475" s="2"/>
      <c r="AU475" s="2"/>
      <c r="AV475" s="2"/>
      <c r="AW475" s="2"/>
      <c r="AX475" s="2"/>
      <c r="AY475" s="2"/>
      <c r="AZ475" s="2"/>
      <c r="BA475" s="2"/>
      <c r="BB475" s="2"/>
      <c r="BC475" s="2"/>
      <c r="BD475" s="2"/>
      <c r="BE475" s="2"/>
      <c r="BF475" s="2"/>
      <c r="BG475" s="2"/>
    </row>
    <row r="476" spans="1:59">
      <c r="A476" s="1" t="str">
        <f>IF($I$440="Y",'Population Definitions'!$A$3,"...")</f>
        <v>...</v>
      </c>
      <c r="B476" s="4" t="str">
        <f>IF($I$440="Y","---&gt;","...")</f>
        <v>...</v>
      </c>
      <c r="C476" s="1" t="str">
        <f>IF($I$440="Y",'Population Definitions'!$A$9,"...")</f>
        <v>...</v>
      </c>
      <c r="E476" s="2"/>
      <c r="F476" s="3"/>
      <c r="G476" s="2"/>
      <c r="H476" s="4" t="str">
        <f>IF($I$440="Y","OR","...")</f>
        <v>...</v>
      </c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  <c r="AM476" s="2"/>
      <c r="AN476" s="2"/>
      <c r="AO476" s="2"/>
      <c r="AP476" s="2"/>
      <c r="AQ476" s="2"/>
      <c r="AR476" s="2"/>
      <c r="AS476" s="2"/>
      <c r="AT476" s="2"/>
      <c r="AU476" s="2"/>
      <c r="AV476" s="2"/>
      <c r="AW476" s="2"/>
      <c r="AX476" s="2"/>
      <c r="AY476" s="2"/>
      <c r="AZ476" s="2"/>
      <c r="BA476" s="2"/>
      <c r="BB476" s="2"/>
      <c r="BC476" s="2"/>
      <c r="BD476" s="2"/>
      <c r="BE476" s="2"/>
      <c r="BF476" s="2"/>
      <c r="BG476" s="2"/>
    </row>
    <row r="477" spans="1:59">
      <c r="A477" s="1" t="str">
        <f>IF($J$440="Y",'Population Definitions'!$A$3,"...")</f>
        <v>...</v>
      </c>
      <c r="B477" s="4" t="str">
        <f>IF($J$440="Y","---&gt;","...")</f>
        <v>...</v>
      </c>
      <c r="C477" s="1" t="str">
        <f>IF($J$440="Y",'Population Definitions'!$A$10,"...")</f>
        <v>...</v>
      </c>
      <c r="E477" s="2"/>
      <c r="F477" s="3"/>
      <c r="G477" s="2"/>
      <c r="H477" s="4" t="str">
        <f>IF($J$440="Y","OR","...")</f>
        <v>...</v>
      </c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  <c r="AM477" s="2"/>
      <c r="AN477" s="2"/>
      <c r="AO477" s="2"/>
      <c r="AP477" s="2"/>
      <c r="AQ477" s="2"/>
      <c r="AR477" s="2"/>
      <c r="AS477" s="2"/>
      <c r="AT477" s="2"/>
      <c r="AU477" s="2"/>
      <c r="AV477" s="2"/>
      <c r="AW477" s="2"/>
      <c r="AX477" s="2"/>
      <c r="AY477" s="2"/>
      <c r="AZ477" s="2"/>
      <c r="BA477" s="2"/>
      <c r="BB477" s="2"/>
      <c r="BC477" s="2"/>
      <c r="BD477" s="2"/>
      <c r="BE477" s="2"/>
      <c r="BF477" s="2"/>
      <c r="BG477" s="2"/>
    </row>
    <row r="478" spans="1:59">
      <c r="A478" s="1" t="str">
        <f>IF($K$440="Y",'Population Definitions'!$A$3,"...")</f>
        <v>...</v>
      </c>
      <c r="B478" s="4" t="str">
        <f>IF($K$440="Y","---&gt;","...")</f>
        <v>...</v>
      </c>
      <c r="C478" s="1" t="str">
        <f>IF($K$440="Y",'Population Definitions'!$A$11,"...")</f>
        <v>...</v>
      </c>
      <c r="E478" s="2"/>
      <c r="F478" s="3"/>
      <c r="G478" s="2"/>
      <c r="H478" s="4" t="str">
        <f>IF($K$440="Y","OR","...")</f>
        <v>...</v>
      </c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  <c r="AM478" s="2"/>
      <c r="AN478" s="2"/>
      <c r="AO478" s="2"/>
      <c r="AP478" s="2"/>
      <c r="AQ478" s="2"/>
      <c r="AR478" s="2"/>
      <c r="AS478" s="2"/>
      <c r="AT478" s="2"/>
      <c r="AU478" s="2"/>
      <c r="AV478" s="2"/>
      <c r="AW478" s="2"/>
      <c r="AX478" s="2"/>
      <c r="AY478" s="2"/>
      <c r="AZ478" s="2"/>
      <c r="BA478" s="2"/>
      <c r="BB478" s="2"/>
      <c r="BC478" s="2"/>
      <c r="BD478" s="2"/>
      <c r="BE478" s="2"/>
      <c r="BF478" s="2"/>
      <c r="BG478" s="2"/>
    </row>
    <row r="479" spans="1:59">
      <c r="A479" s="1" t="str">
        <f>IF($L$440="Y",'Population Definitions'!$A$3,"...")</f>
        <v>...</v>
      </c>
      <c r="B479" s="4" t="str">
        <f>IF($L$440="Y","---&gt;","...")</f>
        <v>...</v>
      </c>
      <c r="C479" s="1" t="str">
        <f>IF($L$440="Y",'Population Definitions'!$A$12,"...")</f>
        <v>...</v>
      </c>
      <c r="E479" s="2"/>
      <c r="F479" s="3"/>
      <c r="G479" s="2"/>
      <c r="H479" s="4" t="str">
        <f>IF($L$440="Y","OR","...")</f>
        <v>...</v>
      </c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  <c r="AM479" s="2"/>
      <c r="AN479" s="2"/>
      <c r="AO479" s="2"/>
      <c r="AP479" s="2"/>
      <c r="AQ479" s="2"/>
      <c r="AR479" s="2"/>
      <c r="AS479" s="2"/>
      <c r="AT479" s="2"/>
      <c r="AU479" s="2"/>
      <c r="AV479" s="2"/>
      <c r="AW479" s="2"/>
      <c r="AX479" s="2"/>
      <c r="AY479" s="2"/>
      <c r="AZ479" s="2"/>
      <c r="BA479" s="2"/>
      <c r="BB479" s="2"/>
      <c r="BC479" s="2"/>
      <c r="BD479" s="2"/>
      <c r="BE479" s="2"/>
      <c r="BF479" s="2"/>
      <c r="BG479" s="2"/>
    </row>
    <row r="480" spans="1:59">
      <c r="A480" s="1" t="str">
        <f>IF($M$440="Y",'Population Definitions'!$A$3,"...")</f>
        <v>...</v>
      </c>
      <c r="B480" s="4" t="str">
        <f>IF($M$440="Y","---&gt;","...")</f>
        <v>...</v>
      </c>
      <c r="C480" s="1" t="str">
        <f>IF($M$440="Y",'Population Definitions'!$A$13,"...")</f>
        <v>...</v>
      </c>
      <c r="E480" s="2"/>
      <c r="F480" s="3"/>
      <c r="G480" s="2"/>
      <c r="H480" s="4" t="str">
        <f>IF($M$440="Y","OR","...")</f>
        <v>...</v>
      </c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  <c r="AM480" s="2"/>
      <c r="AN480" s="2"/>
      <c r="AO480" s="2"/>
      <c r="AP480" s="2"/>
      <c r="AQ480" s="2"/>
      <c r="AR480" s="2"/>
      <c r="AS480" s="2"/>
      <c r="AT480" s="2"/>
      <c r="AU480" s="2"/>
      <c r="AV480" s="2"/>
      <c r="AW480" s="2"/>
      <c r="AX480" s="2"/>
      <c r="AY480" s="2"/>
      <c r="AZ480" s="2"/>
      <c r="BA480" s="2"/>
      <c r="BB480" s="2"/>
      <c r="BC480" s="2"/>
      <c r="BD480" s="2"/>
      <c r="BE480" s="2"/>
      <c r="BF480" s="2"/>
      <c r="BG480" s="2"/>
    </row>
    <row r="481" spans="1:59">
      <c r="A481" s="1" t="str">
        <f>IF($N$440="Y",'Population Definitions'!$A$3,"...")</f>
        <v>...</v>
      </c>
      <c r="B481" s="4" t="str">
        <f>IF($N$440="Y","---&gt;","...")</f>
        <v>...</v>
      </c>
      <c r="C481" s="1" t="str">
        <f>IF($N$440="Y",'Population Definitions'!$A$14,"...")</f>
        <v>...</v>
      </c>
      <c r="E481" s="2"/>
      <c r="F481" s="3"/>
      <c r="G481" s="2"/>
      <c r="H481" s="4" t="str">
        <f>IF($N$440="Y","OR","...")</f>
        <v>...</v>
      </c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  <c r="AM481" s="2"/>
      <c r="AN481" s="2"/>
      <c r="AO481" s="2"/>
      <c r="AP481" s="2"/>
      <c r="AQ481" s="2"/>
      <c r="AR481" s="2"/>
      <c r="AS481" s="2"/>
      <c r="AT481" s="2"/>
      <c r="AU481" s="2"/>
      <c r="AV481" s="2"/>
      <c r="AW481" s="2"/>
      <c r="AX481" s="2"/>
      <c r="AY481" s="2"/>
      <c r="AZ481" s="2"/>
      <c r="BA481" s="2"/>
      <c r="BB481" s="2"/>
      <c r="BC481" s="2"/>
      <c r="BD481" s="2"/>
      <c r="BE481" s="2"/>
      <c r="BF481" s="2"/>
      <c r="BG481" s="2"/>
    </row>
    <row r="482" spans="1:59">
      <c r="A482" s="1" t="str">
        <f>IF($O$440="Y",'Population Definitions'!$A$3,"...")</f>
        <v>PWID_females</v>
      </c>
      <c r="B482" s="4" t="str">
        <f>IF($O$440="Y","---&gt;","...")</f>
        <v>---&gt;</v>
      </c>
      <c r="C482" s="1" t="str">
        <f>IF($O$440="Y",'Population Definitions'!$A$15,"...")</f>
        <v>Prisoners_PWID_females</v>
      </c>
      <c r="E482" s="3" t="s">
        <v>55</v>
      </c>
      <c r="F482" s="3"/>
      <c r="G482" s="3">
        <v>0.1180129148898357</v>
      </c>
      <c r="H482" s="4" t="str">
        <f>IF($O$440="Y","OR","...")</f>
        <v>OR</v>
      </c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  <c r="AH482" s="3"/>
      <c r="AI482" s="3"/>
      <c r="AJ482" s="3"/>
      <c r="AK482" s="3"/>
      <c r="AL482" s="3"/>
      <c r="AM482" s="3"/>
      <c r="AN482" s="3"/>
      <c r="AO482" s="3"/>
      <c r="AP482" s="3"/>
      <c r="AQ482" s="3"/>
      <c r="AR482" s="3"/>
      <c r="AS482" s="3"/>
      <c r="AT482" s="3"/>
      <c r="AU482" s="3"/>
      <c r="AV482" s="3"/>
      <c r="AW482" s="3"/>
      <c r="AX482" s="3"/>
      <c r="AY482" s="3"/>
      <c r="AZ482" s="3"/>
      <c r="BA482" s="3"/>
      <c r="BB482" s="3"/>
      <c r="BC482" s="3"/>
      <c r="BD482" s="3"/>
      <c r="BE482" s="3"/>
      <c r="BF482" s="3"/>
      <c r="BG482" s="3"/>
    </row>
    <row r="483" spans="1:59">
      <c r="A483" s="1" t="str">
        <f>IF($B$441="Y",'Population Definitions'!$A$4,"...")</f>
        <v>...</v>
      </c>
      <c r="B483" s="4" t="str">
        <f>IF($B$441="Y","---&gt;","...")</f>
        <v>...</v>
      </c>
      <c r="C483" s="1" t="str">
        <f>IF($B$441="Y",'Population Definitions'!$A$2,"...")</f>
        <v>...</v>
      </c>
      <c r="E483" s="2"/>
      <c r="F483" s="3"/>
      <c r="G483" s="2"/>
      <c r="H483" s="4" t="str">
        <f>IF($B$441="Y","OR","...")</f>
        <v>...</v>
      </c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  <c r="AM483" s="2"/>
      <c r="AN483" s="2"/>
      <c r="AO483" s="2"/>
      <c r="AP483" s="2"/>
      <c r="AQ483" s="2"/>
      <c r="AR483" s="2"/>
      <c r="AS483" s="2"/>
      <c r="AT483" s="2"/>
      <c r="AU483" s="2"/>
      <c r="AV483" s="2"/>
      <c r="AW483" s="2"/>
      <c r="AX483" s="2"/>
      <c r="AY483" s="2"/>
      <c r="AZ483" s="2"/>
      <c r="BA483" s="2"/>
      <c r="BB483" s="2"/>
      <c r="BC483" s="2"/>
      <c r="BD483" s="2"/>
      <c r="BE483" s="2"/>
      <c r="BF483" s="2"/>
      <c r="BG483" s="2"/>
    </row>
    <row r="484" spans="1:59">
      <c r="A484" s="1" t="str">
        <f>IF($C$441="Y",'Population Definitions'!$A$4,"...")</f>
        <v>...</v>
      </c>
      <c r="B484" s="4" t="str">
        <f>IF($C$441="Y","---&gt;","...")</f>
        <v>...</v>
      </c>
      <c r="C484" s="1" t="str">
        <f>IF($C$441="Y",'Population Definitions'!$A$3,"...")</f>
        <v>...</v>
      </c>
      <c r="E484" s="2"/>
      <c r="F484" s="3"/>
      <c r="G484" s="2"/>
      <c r="H484" s="4" t="str">
        <f>IF($C$441="Y","OR","...")</f>
        <v>...</v>
      </c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  <c r="AM484" s="2"/>
      <c r="AN484" s="2"/>
      <c r="AO484" s="2"/>
      <c r="AP484" s="2"/>
      <c r="AQ484" s="2"/>
      <c r="AR484" s="2"/>
      <c r="AS484" s="2"/>
      <c r="AT484" s="2"/>
      <c r="AU484" s="2"/>
      <c r="AV484" s="2"/>
      <c r="AW484" s="2"/>
      <c r="AX484" s="2"/>
      <c r="AY484" s="2"/>
      <c r="AZ484" s="2"/>
      <c r="BA484" s="2"/>
      <c r="BB484" s="2"/>
      <c r="BC484" s="2"/>
      <c r="BD484" s="2"/>
      <c r="BE484" s="2"/>
      <c r="BF484" s="2"/>
      <c r="BG484" s="2"/>
    </row>
    <row r="485" spans="1:59">
      <c r="A485" s="1" t="str">
        <f>IF($D$441="Y",'Population Definitions'!$A$4,"...")</f>
        <v>...</v>
      </c>
      <c r="B485" s="4" t="str">
        <f>IF($D$441="Y","---&gt;","...")</f>
        <v>...</v>
      </c>
      <c r="C485" s="1" t="str">
        <f>IF($D$441="Y",'Population Definitions'!$A$4,"...")</f>
        <v>...</v>
      </c>
      <c r="E485" s="2"/>
      <c r="F485" s="3"/>
      <c r="G485" s="2"/>
      <c r="H485" s="4" t="str">
        <f>IF($D$441="Y","OR","...")</f>
        <v>...</v>
      </c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  <c r="AM485" s="2"/>
      <c r="AN485" s="2"/>
      <c r="AO485" s="2"/>
      <c r="AP485" s="2"/>
      <c r="AQ485" s="2"/>
      <c r="AR485" s="2"/>
      <c r="AS485" s="2"/>
      <c r="AT485" s="2"/>
      <c r="AU485" s="2"/>
      <c r="AV485" s="2"/>
      <c r="AW485" s="2"/>
      <c r="AX485" s="2"/>
      <c r="AY485" s="2"/>
      <c r="AZ485" s="2"/>
      <c r="BA485" s="2"/>
      <c r="BB485" s="2"/>
      <c r="BC485" s="2"/>
      <c r="BD485" s="2"/>
      <c r="BE485" s="2"/>
      <c r="BF485" s="2"/>
      <c r="BG485" s="2"/>
    </row>
    <row r="486" spans="1:59">
      <c r="A486" s="1" t="str">
        <f>IF($E$441="Y",'Population Definitions'!$A$4,"...")</f>
        <v>...</v>
      </c>
      <c r="B486" s="4" t="str">
        <f>IF($E$441="Y","---&gt;","...")</f>
        <v>...</v>
      </c>
      <c r="C486" s="1" t="str">
        <f>IF($E$441="Y",'Population Definitions'!$A$5,"...")</f>
        <v>...</v>
      </c>
      <c r="E486" s="2"/>
      <c r="F486" s="3"/>
      <c r="G486" s="2"/>
      <c r="H486" s="4" t="str">
        <f>IF($E$441="Y","OR","...")</f>
        <v>...</v>
      </c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  <c r="AM486" s="2"/>
      <c r="AN486" s="2"/>
      <c r="AO486" s="2"/>
      <c r="AP486" s="2"/>
      <c r="AQ486" s="2"/>
      <c r="AR486" s="2"/>
      <c r="AS486" s="2"/>
      <c r="AT486" s="2"/>
      <c r="AU486" s="2"/>
      <c r="AV486" s="2"/>
      <c r="AW486" s="2"/>
      <c r="AX486" s="2"/>
      <c r="AY486" s="2"/>
      <c r="AZ486" s="2"/>
      <c r="BA486" s="2"/>
      <c r="BB486" s="2"/>
      <c r="BC486" s="2"/>
      <c r="BD486" s="2"/>
      <c r="BE486" s="2"/>
      <c r="BF486" s="2"/>
      <c r="BG486" s="2"/>
    </row>
    <row r="487" spans="1:59">
      <c r="A487" s="1" t="str">
        <f>IF($F$441="Y",'Population Definitions'!$A$4,"...")</f>
        <v>...</v>
      </c>
      <c r="B487" s="4" t="str">
        <f>IF($F$441="Y","---&gt;","...")</f>
        <v>...</v>
      </c>
      <c r="C487" s="1" t="str">
        <f>IF($F$441="Y",'Population Definitions'!$A$6,"...")</f>
        <v>...</v>
      </c>
      <c r="E487" s="2"/>
      <c r="F487" s="3"/>
      <c r="G487" s="2"/>
      <c r="H487" s="4" t="str">
        <f>IF($F$441="Y","OR","...")</f>
        <v>...</v>
      </c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  <c r="AM487" s="2"/>
      <c r="AN487" s="2"/>
      <c r="AO487" s="2"/>
      <c r="AP487" s="2"/>
      <c r="AQ487" s="2"/>
      <c r="AR487" s="2"/>
      <c r="AS487" s="2"/>
      <c r="AT487" s="2"/>
      <c r="AU487" s="2"/>
      <c r="AV487" s="2"/>
      <c r="AW487" s="2"/>
      <c r="AX487" s="2"/>
      <c r="AY487" s="2"/>
      <c r="AZ487" s="2"/>
      <c r="BA487" s="2"/>
      <c r="BB487" s="2"/>
      <c r="BC487" s="2"/>
      <c r="BD487" s="2"/>
      <c r="BE487" s="2"/>
      <c r="BF487" s="2"/>
      <c r="BG487" s="2"/>
    </row>
    <row r="488" spans="1:59">
      <c r="A488" s="1" t="str">
        <f>IF($G$441="Y",'Population Definitions'!$A$4,"...")</f>
        <v>...</v>
      </c>
      <c r="B488" s="4" t="str">
        <f>IF($G$441="Y","---&gt;","...")</f>
        <v>...</v>
      </c>
      <c r="C488" s="1" t="str">
        <f>IF($G$441="Y",'Population Definitions'!$A$7,"...")</f>
        <v>...</v>
      </c>
      <c r="E488" s="2"/>
      <c r="F488" s="3"/>
      <c r="G488" s="2"/>
      <c r="H488" s="4" t="str">
        <f>IF($G$441="Y","OR","...")</f>
        <v>...</v>
      </c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  <c r="AM488" s="2"/>
      <c r="AN488" s="2"/>
      <c r="AO488" s="2"/>
      <c r="AP488" s="2"/>
      <c r="AQ488" s="2"/>
      <c r="AR488" s="2"/>
      <c r="AS488" s="2"/>
      <c r="AT488" s="2"/>
      <c r="AU488" s="2"/>
      <c r="AV488" s="2"/>
      <c r="AW488" s="2"/>
      <c r="AX488" s="2"/>
      <c r="AY488" s="2"/>
      <c r="AZ488" s="2"/>
      <c r="BA488" s="2"/>
      <c r="BB488" s="2"/>
      <c r="BC488" s="2"/>
      <c r="BD488" s="2"/>
      <c r="BE488" s="2"/>
      <c r="BF488" s="2"/>
      <c r="BG488" s="2"/>
    </row>
    <row r="489" spans="1:59">
      <c r="A489" s="1" t="str">
        <f>IF($H$441="Y",'Population Definitions'!$A$4,"...")</f>
        <v>...</v>
      </c>
      <c r="B489" s="4" t="str">
        <f>IF($H$441="Y","---&gt;","...")</f>
        <v>...</v>
      </c>
      <c r="C489" s="1" t="str">
        <f>IF($H$441="Y",'Population Definitions'!$A$8,"...")</f>
        <v>...</v>
      </c>
      <c r="E489" s="2"/>
      <c r="F489" s="3"/>
      <c r="G489" s="2"/>
      <c r="H489" s="4" t="str">
        <f>IF($H$441="Y","OR","...")</f>
        <v>...</v>
      </c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  <c r="AM489" s="2"/>
      <c r="AN489" s="2"/>
      <c r="AO489" s="2"/>
      <c r="AP489" s="2"/>
      <c r="AQ489" s="2"/>
      <c r="AR489" s="2"/>
      <c r="AS489" s="2"/>
      <c r="AT489" s="2"/>
      <c r="AU489" s="2"/>
      <c r="AV489" s="2"/>
      <c r="AW489" s="2"/>
      <c r="AX489" s="2"/>
      <c r="AY489" s="2"/>
      <c r="AZ489" s="2"/>
      <c r="BA489" s="2"/>
      <c r="BB489" s="2"/>
      <c r="BC489" s="2"/>
      <c r="BD489" s="2"/>
      <c r="BE489" s="2"/>
      <c r="BF489" s="2"/>
      <c r="BG489" s="2"/>
    </row>
    <row r="490" spans="1:59">
      <c r="A490" s="1" t="str">
        <f>IF($I$441="Y",'Population Definitions'!$A$4,"...")</f>
        <v>...</v>
      </c>
      <c r="B490" s="4" t="str">
        <f>IF($I$441="Y","---&gt;","...")</f>
        <v>...</v>
      </c>
      <c r="C490" s="1" t="str">
        <f>IF($I$441="Y",'Population Definitions'!$A$9,"...")</f>
        <v>...</v>
      </c>
      <c r="E490" s="2"/>
      <c r="F490" s="3"/>
      <c r="G490" s="2"/>
      <c r="H490" s="4" t="str">
        <f>IF($I$441="Y","OR","...")</f>
        <v>...</v>
      </c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  <c r="AM490" s="2"/>
      <c r="AN490" s="2"/>
      <c r="AO490" s="2"/>
      <c r="AP490" s="2"/>
      <c r="AQ490" s="2"/>
      <c r="AR490" s="2"/>
      <c r="AS490" s="2"/>
      <c r="AT490" s="2"/>
      <c r="AU490" s="2"/>
      <c r="AV490" s="2"/>
      <c r="AW490" s="2"/>
      <c r="AX490" s="2"/>
      <c r="AY490" s="2"/>
      <c r="AZ490" s="2"/>
      <c r="BA490" s="2"/>
      <c r="BB490" s="2"/>
      <c r="BC490" s="2"/>
      <c r="BD490" s="2"/>
      <c r="BE490" s="2"/>
      <c r="BF490" s="2"/>
      <c r="BG490" s="2"/>
    </row>
    <row r="491" spans="1:59">
      <c r="A491" s="1" t="str">
        <f>IF($J$441="Y",'Population Definitions'!$A$4,"...")</f>
        <v>...</v>
      </c>
      <c r="B491" s="4" t="str">
        <f>IF($J$441="Y","---&gt;","...")</f>
        <v>...</v>
      </c>
      <c r="C491" s="1" t="str">
        <f>IF($J$441="Y",'Population Definitions'!$A$10,"...")</f>
        <v>...</v>
      </c>
      <c r="E491" s="2"/>
      <c r="F491" s="3"/>
      <c r="G491" s="2"/>
      <c r="H491" s="4" t="str">
        <f>IF($J$441="Y","OR","...")</f>
        <v>...</v>
      </c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  <c r="AM491" s="2"/>
      <c r="AN491" s="2"/>
      <c r="AO491" s="2"/>
      <c r="AP491" s="2"/>
      <c r="AQ491" s="2"/>
      <c r="AR491" s="2"/>
      <c r="AS491" s="2"/>
      <c r="AT491" s="2"/>
      <c r="AU491" s="2"/>
      <c r="AV491" s="2"/>
      <c r="AW491" s="2"/>
      <c r="AX491" s="2"/>
      <c r="AY491" s="2"/>
      <c r="AZ491" s="2"/>
      <c r="BA491" s="2"/>
      <c r="BB491" s="2"/>
      <c r="BC491" s="2"/>
      <c r="BD491" s="2"/>
      <c r="BE491" s="2"/>
      <c r="BF491" s="2"/>
      <c r="BG491" s="2"/>
    </row>
    <row r="492" spans="1:59">
      <c r="A492" s="1" t="str">
        <f>IF($K$441="Y",'Population Definitions'!$A$4,"...")</f>
        <v>...</v>
      </c>
      <c r="B492" s="4" t="str">
        <f>IF($K$441="Y","---&gt;","...")</f>
        <v>...</v>
      </c>
      <c r="C492" s="1" t="str">
        <f>IF($K$441="Y",'Population Definitions'!$A$11,"...")</f>
        <v>...</v>
      </c>
      <c r="E492" s="2"/>
      <c r="F492" s="3"/>
      <c r="G492" s="2"/>
      <c r="H492" s="4" t="str">
        <f>IF($K$441="Y","OR","...")</f>
        <v>...</v>
      </c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  <c r="AM492" s="2"/>
      <c r="AN492" s="2"/>
      <c r="AO492" s="2"/>
      <c r="AP492" s="2"/>
      <c r="AQ492" s="2"/>
      <c r="AR492" s="2"/>
      <c r="AS492" s="2"/>
      <c r="AT492" s="2"/>
      <c r="AU492" s="2"/>
      <c r="AV492" s="2"/>
      <c r="AW492" s="2"/>
      <c r="AX492" s="2"/>
      <c r="AY492" s="2"/>
      <c r="AZ492" s="2"/>
      <c r="BA492" s="2"/>
      <c r="BB492" s="2"/>
      <c r="BC492" s="2"/>
      <c r="BD492" s="2"/>
      <c r="BE492" s="2"/>
      <c r="BF492" s="2"/>
      <c r="BG492" s="2"/>
    </row>
    <row r="493" spans="1:59">
      <c r="A493" s="1" t="str">
        <f>IF($L$441="Y",'Population Definitions'!$A$4,"...")</f>
        <v>...</v>
      </c>
      <c r="B493" s="4" t="str">
        <f>IF($L$441="Y","---&gt;","...")</f>
        <v>...</v>
      </c>
      <c r="C493" s="1" t="str">
        <f>IF($L$441="Y",'Population Definitions'!$A$12,"...")</f>
        <v>...</v>
      </c>
      <c r="E493" s="2"/>
      <c r="F493" s="3"/>
      <c r="G493" s="2"/>
      <c r="H493" s="4" t="str">
        <f>IF($L$441="Y","OR","...")</f>
        <v>...</v>
      </c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  <c r="AM493" s="2"/>
      <c r="AN493" s="2"/>
      <c r="AO493" s="2"/>
      <c r="AP493" s="2"/>
      <c r="AQ493" s="2"/>
      <c r="AR493" s="2"/>
      <c r="AS493" s="2"/>
      <c r="AT493" s="2"/>
      <c r="AU493" s="2"/>
      <c r="AV493" s="2"/>
      <c r="AW493" s="2"/>
      <c r="AX493" s="2"/>
      <c r="AY493" s="2"/>
      <c r="AZ493" s="2"/>
      <c r="BA493" s="2"/>
      <c r="BB493" s="2"/>
      <c r="BC493" s="2"/>
      <c r="BD493" s="2"/>
      <c r="BE493" s="2"/>
      <c r="BF493" s="2"/>
      <c r="BG493" s="2"/>
    </row>
    <row r="494" spans="1:59">
      <c r="A494" s="1" t="str">
        <f>IF($M$441="Y",'Population Definitions'!$A$4,"...")</f>
        <v>...</v>
      </c>
      <c r="B494" s="4" t="str">
        <f>IF($M$441="Y","---&gt;","...")</f>
        <v>...</v>
      </c>
      <c r="C494" s="1" t="str">
        <f>IF($M$441="Y",'Population Definitions'!$A$13,"...")</f>
        <v>...</v>
      </c>
      <c r="E494" s="2"/>
      <c r="F494" s="3"/>
      <c r="G494" s="2"/>
      <c r="H494" s="4" t="str">
        <f>IF($M$441="Y","OR","...")</f>
        <v>...</v>
      </c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  <c r="AM494" s="2"/>
      <c r="AN494" s="2"/>
      <c r="AO494" s="2"/>
      <c r="AP494" s="2"/>
      <c r="AQ494" s="2"/>
      <c r="AR494" s="2"/>
      <c r="AS494" s="2"/>
      <c r="AT494" s="2"/>
      <c r="AU494" s="2"/>
      <c r="AV494" s="2"/>
      <c r="AW494" s="2"/>
      <c r="AX494" s="2"/>
      <c r="AY494" s="2"/>
      <c r="AZ494" s="2"/>
      <c r="BA494" s="2"/>
      <c r="BB494" s="2"/>
      <c r="BC494" s="2"/>
      <c r="BD494" s="2"/>
      <c r="BE494" s="2"/>
      <c r="BF494" s="2"/>
      <c r="BG494" s="2"/>
    </row>
    <row r="495" spans="1:59">
      <c r="A495" s="1" t="str">
        <f>IF($N$441="Y",'Population Definitions'!$A$4,"...")</f>
        <v>...</v>
      </c>
      <c r="B495" s="4" t="str">
        <f>IF($N$441="Y","---&gt;","...")</f>
        <v>...</v>
      </c>
      <c r="C495" s="1" t="str">
        <f>IF($N$441="Y",'Population Definitions'!$A$14,"...")</f>
        <v>...</v>
      </c>
      <c r="E495" s="2"/>
      <c r="F495" s="3"/>
      <c r="G495" s="2"/>
      <c r="H495" s="4" t="str">
        <f>IF($N$441="Y","OR","...")</f>
        <v>...</v>
      </c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  <c r="AM495" s="2"/>
      <c r="AN495" s="2"/>
      <c r="AO495" s="2"/>
      <c r="AP495" s="2"/>
      <c r="AQ495" s="2"/>
      <c r="AR495" s="2"/>
      <c r="AS495" s="2"/>
      <c r="AT495" s="2"/>
      <c r="AU495" s="2"/>
      <c r="AV495" s="2"/>
      <c r="AW495" s="2"/>
      <c r="AX495" s="2"/>
      <c r="AY495" s="2"/>
      <c r="AZ495" s="2"/>
      <c r="BA495" s="2"/>
      <c r="BB495" s="2"/>
      <c r="BC495" s="2"/>
      <c r="BD495" s="2"/>
      <c r="BE495" s="2"/>
      <c r="BF495" s="2"/>
      <c r="BG495" s="2"/>
    </row>
    <row r="496" spans="1:59">
      <c r="A496" s="1" t="str">
        <f>IF($O$441="Y",'Population Definitions'!$A$4,"...")</f>
        <v>...</v>
      </c>
      <c r="B496" s="4" t="str">
        <f>IF($O$441="Y","---&gt;","...")</f>
        <v>...</v>
      </c>
      <c r="C496" s="1" t="str">
        <f>IF($O$441="Y",'Population Definitions'!$A$15,"...")</f>
        <v>...</v>
      </c>
      <c r="E496" s="2"/>
      <c r="F496" s="3"/>
      <c r="G496" s="2"/>
      <c r="H496" s="4" t="str">
        <f>IF($O$441="Y","OR","...")</f>
        <v>...</v>
      </c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  <c r="AM496" s="2"/>
      <c r="AN496" s="2"/>
      <c r="AO496" s="2"/>
      <c r="AP496" s="2"/>
      <c r="AQ496" s="2"/>
      <c r="AR496" s="2"/>
      <c r="AS496" s="2"/>
      <c r="AT496" s="2"/>
      <c r="AU496" s="2"/>
      <c r="AV496" s="2"/>
      <c r="AW496" s="2"/>
      <c r="AX496" s="2"/>
      <c r="AY496" s="2"/>
      <c r="AZ496" s="2"/>
      <c r="BA496" s="2"/>
      <c r="BB496" s="2"/>
      <c r="BC496" s="2"/>
      <c r="BD496" s="2"/>
      <c r="BE496" s="2"/>
      <c r="BF496" s="2"/>
      <c r="BG496" s="2"/>
    </row>
    <row r="497" spans="1:59">
      <c r="A497" s="1" t="str">
        <f>IF($B$442="Y",'Population Definitions'!$A$5,"...")</f>
        <v>...</v>
      </c>
      <c r="B497" s="4" t="str">
        <f>IF($B$442="Y","---&gt;","...")</f>
        <v>...</v>
      </c>
      <c r="C497" s="1" t="str">
        <f>IF($B$442="Y",'Population Definitions'!$A$2,"...")</f>
        <v>...</v>
      </c>
      <c r="E497" s="2"/>
      <c r="F497" s="3"/>
      <c r="G497" s="2"/>
      <c r="H497" s="4" t="str">
        <f>IF($B$442="Y","OR","...")</f>
        <v>...</v>
      </c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  <c r="AM497" s="2"/>
      <c r="AN497" s="2"/>
      <c r="AO497" s="2"/>
      <c r="AP497" s="2"/>
      <c r="AQ497" s="2"/>
      <c r="AR497" s="2"/>
      <c r="AS497" s="2"/>
      <c r="AT497" s="2"/>
      <c r="AU497" s="2"/>
      <c r="AV497" s="2"/>
      <c r="AW497" s="2"/>
      <c r="AX497" s="2"/>
      <c r="AY497" s="2"/>
      <c r="AZ497" s="2"/>
      <c r="BA497" s="2"/>
      <c r="BB497" s="2"/>
      <c r="BC497" s="2"/>
      <c r="BD497" s="2"/>
      <c r="BE497" s="2"/>
      <c r="BF497" s="2"/>
      <c r="BG497" s="2"/>
    </row>
    <row r="498" spans="1:59">
      <c r="A498" s="1" t="str">
        <f>IF($C$442="Y",'Population Definitions'!$A$5,"...")</f>
        <v>...</v>
      </c>
      <c r="B498" s="4" t="str">
        <f>IF($C$442="Y","---&gt;","...")</f>
        <v>...</v>
      </c>
      <c r="C498" s="1" t="str">
        <f>IF($C$442="Y",'Population Definitions'!$A$3,"...")</f>
        <v>...</v>
      </c>
      <c r="E498" s="2"/>
      <c r="F498" s="3"/>
      <c r="G498" s="2"/>
      <c r="H498" s="4" t="str">
        <f>IF($C$442="Y","OR","...")</f>
        <v>...</v>
      </c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  <c r="AM498" s="2"/>
      <c r="AN498" s="2"/>
      <c r="AO498" s="2"/>
      <c r="AP498" s="2"/>
      <c r="AQ498" s="2"/>
      <c r="AR498" s="2"/>
      <c r="AS498" s="2"/>
      <c r="AT498" s="2"/>
      <c r="AU498" s="2"/>
      <c r="AV498" s="2"/>
      <c r="AW498" s="2"/>
      <c r="AX498" s="2"/>
      <c r="AY498" s="2"/>
      <c r="AZ498" s="2"/>
      <c r="BA498" s="2"/>
      <c r="BB498" s="2"/>
      <c r="BC498" s="2"/>
      <c r="BD498" s="2"/>
      <c r="BE498" s="2"/>
      <c r="BF498" s="2"/>
      <c r="BG498" s="2"/>
    </row>
    <row r="499" spans="1:59">
      <c r="A499" s="1" t="str">
        <f>IF($D$442="Y",'Population Definitions'!$A$5,"...")</f>
        <v>...</v>
      </c>
      <c r="B499" s="4" t="str">
        <f>IF($D$442="Y","---&gt;","...")</f>
        <v>...</v>
      </c>
      <c r="C499" s="1" t="str">
        <f>IF($D$442="Y",'Population Definitions'!$A$4,"...")</f>
        <v>...</v>
      </c>
      <c r="E499" s="2"/>
      <c r="F499" s="3"/>
      <c r="G499" s="2"/>
      <c r="H499" s="4" t="str">
        <f>IF($D$442="Y","OR","...")</f>
        <v>...</v>
      </c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  <c r="AM499" s="2"/>
      <c r="AN499" s="2"/>
      <c r="AO499" s="2"/>
      <c r="AP499" s="2"/>
      <c r="AQ499" s="2"/>
      <c r="AR499" s="2"/>
      <c r="AS499" s="2"/>
      <c r="AT499" s="2"/>
      <c r="AU499" s="2"/>
      <c r="AV499" s="2"/>
      <c r="AW499" s="2"/>
      <c r="AX499" s="2"/>
      <c r="AY499" s="2"/>
      <c r="AZ499" s="2"/>
      <c r="BA499" s="2"/>
      <c r="BB499" s="2"/>
      <c r="BC499" s="2"/>
      <c r="BD499" s="2"/>
      <c r="BE499" s="2"/>
      <c r="BF499" s="2"/>
      <c r="BG499" s="2"/>
    </row>
    <row r="500" spans="1:59">
      <c r="A500" s="1" t="str">
        <f>IF($E$442="Y",'Population Definitions'!$A$5,"...")</f>
        <v>...</v>
      </c>
      <c r="B500" s="4" t="str">
        <f>IF($E$442="Y","---&gt;","...")</f>
        <v>...</v>
      </c>
      <c r="C500" s="1" t="str">
        <f>IF($E$442="Y",'Population Definitions'!$A$5,"...")</f>
        <v>...</v>
      </c>
      <c r="E500" s="2"/>
      <c r="F500" s="3"/>
      <c r="G500" s="2"/>
      <c r="H500" s="4" t="str">
        <f>IF($E$442="Y","OR","...")</f>
        <v>...</v>
      </c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  <c r="AM500" s="2"/>
      <c r="AN500" s="2"/>
      <c r="AO500" s="2"/>
      <c r="AP500" s="2"/>
      <c r="AQ500" s="2"/>
      <c r="AR500" s="2"/>
      <c r="AS500" s="2"/>
      <c r="AT500" s="2"/>
      <c r="AU500" s="2"/>
      <c r="AV500" s="2"/>
      <c r="AW500" s="2"/>
      <c r="AX500" s="2"/>
      <c r="AY500" s="2"/>
      <c r="AZ500" s="2"/>
      <c r="BA500" s="2"/>
      <c r="BB500" s="2"/>
      <c r="BC500" s="2"/>
      <c r="BD500" s="2"/>
      <c r="BE500" s="2"/>
      <c r="BF500" s="2"/>
      <c r="BG500" s="2"/>
    </row>
    <row r="501" spans="1:59">
      <c r="A501" s="1" t="str">
        <f>IF($F$442="Y",'Population Definitions'!$A$5,"...")</f>
        <v>...</v>
      </c>
      <c r="B501" s="4" t="str">
        <f>IF($F$442="Y","---&gt;","...")</f>
        <v>...</v>
      </c>
      <c r="C501" s="1" t="str">
        <f>IF($F$442="Y",'Population Definitions'!$A$6,"...")</f>
        <v>...</v>
      </c>
      <c r="E501" s="2"/>
      <c r="F501" s="3"/>
      <c r="G501" s="2"/>
      <c r="H501" s="4" t="str">
        <f>IF($F$442="Y","OR","...")</f>
        <v>...</v>
      </c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  <c r="AM501" s="2"/>
      <c r="AN501" s="2"/>
      <c r="AO501" s="2"/>
      <c r="AP501" s="2"/>
      <c r="AQ501" s="2"/>
      <c r="AR501" s="2"/>
      <c r="AS501" s="2"/>
      <c r="AT501" s="2"/>
      <c r="AU501" s="2"/>
      <c r="AV501" s="2"/>
      <c r="AW501" s="2"/>
      <c r="AX501" s="2"/>
      <c r="AY501" s="2"/>
      <c r="AZ501" s="2"/>
      <c r="BA501" s="2"/>
      <c r="BB501" s="2"/>
      <c r="BC501" s="2"/>
      <c r="BD501" s="2"/>
      <c r="BE501" s="2"/>
      <c r="BF501" s="2"/>
      <c r="BG501" s="2"/>
    </row>
    <row r="502" spans="1:59">
      <c r="A502" s="1" t="str">
        <f>IF($G$442="Y",'Population Definitions'!$A$5,"...")</f>
        <v>...</v>
      </c>
      <c r="B502" s="4" t="str">
        <f>IF($G$442="Y","---&gt;","...")</f>
        <v>...</v>
      </c>
      <c r="C502" s="1" t="str">
        <f>IF($G$442="Y",'Population Definitions'!$A$7,"...")</f>
        <v>...</v>
      </c>
      <c r="E502" s="2"/>
      <c r="F502" s="3"/>
      <c r="G502" s="2"/>
      <c r="H502" s="4" t="str">
        <f>IF($G$442="Y","OR","...")</f>
        <v>...</v>
      </c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  <c r="AM502" s="2"/>
      <c r="AN502" s="2"/>
      <c r="AO502" s="2"/>
      <c r="AP502" s="2"/>
      <c r="AQ502" s="2"/>
      <c r="AR502" s="2"/>
      <c r="AS502" s="2"/>
      <c r="AT502" s="2"/>
      <c r="AU502" s="2"/>
      <c r="AV502" s="2"/>
      <c r="AW502" s="2"/>
      <c r="AX502" s="2"/>
      <c r="AY502" s="2"/>
      <c r="AZ502" s="2"/>
      <c r="BA502" s="2"/>
      <c r="BB502" s="2"/>
      <c r="BC502" s="2"/>
      <c r="BD502" s="2"/>
      <c r="BE502" s="2"/>
      <c r="BF502" s="2"/>
      <c r="BG502" s="2"/>
    </row>
    <row r="503" spans="1:59">
      <c r="A503" s="1" t="str">
        <f>IF($H$442="Y",'Population Definitions'!$A$5,"...")</f>
        <v>...</v>
      </c>
      <c r="B503" s="4" t="str">
        <f>IF($H$442="Y","---&gt;","...")</f>
        <v>...</v>
      </c>
      <c r="C503" s="1" t="str">
        <f>IF($H$442="Y",'Population Definitions'!$A$8,"...")</f>
        <v>...</v>
      </c>
      <c r="E503" s="2"/>
      <c r="F503" s="3"/>
      <c r="G503" s="2"/>
      <c r="H503" s="4" t="str">
        <f>IF($H$442="Y","OR","...")</f>
        <v>...</v>
      </c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  <c r="AM503" s="2"/>
      <c r="AN503" s="2"/>
      <c r="AO503" s="2"/>
      <c r="AP503" s="2"/>
      <c r="AQ503" s="2"/>
      <c r="AR503" s="2"/>
      <c r="AS503" s="2"/>
      <c r="AT503" s="2"/>
      <c r="AU503" s="2"/>
      <c r="AV503" s="2"/>
      <c r="AW503" s="2"/>
      <c r="AX503" s="2"/>
      <c r="AY503" s="2"/>
      <c r="AZ503" s="2"/>
      <c r="BA503" s="2"/>
      <c r="BB503" s="2"/>
      <c r="BC503" s="2"/>
      <c r="BD503" s="2"/>
      <c r="BE503" s="2"/>
      <c r="BF503" s="2"/>
      <c r="BG503" s="2"/>
    </row>
    <row r="504" spans="1:59">
      <c r="A504" s="1" t="str">
        <f>IF($I$442="Y",'Population Definitions'!$A$5,"...")</f>
        <v>...</v>
      </c>
      <c r="B504" s="4" t="str">
        <f>IF($I$442="Y","---&gt;","...")</f>
        <v>...</v>
      </c>
      <c r="C504" s="1" t="str">
        <f>IF($I$442="Y",'Population Definitions'!$A$9,"...")</f>
        <v>...</v>
      </c>
      <c r="E504" s="2"/>
      <c r="F504" s="3"/>
      <c r="G504" s="2"/>
      <c r="H504" s="4" t="str">
        <f>IF($I$442="Y","OR","...")</f>
        <v>...</v>
      </c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  <c r="AM504" s="2"/>
      <c r="AN504" s="2"/>
      <c r="AO504" s="2"/>
      <c r="AP504" s="2"/>
      <c r="AQ504" s="2"/>
      <c r="AR504" s="2"/>
      <c r="AS504" s="2"/>
      <c r="AT504" s="2"/>
      <c r="AU504" s="2"/>
      <c r="AV504" s="2"/>
      <c r="AW504" s="2"/>
      <c r="AX504" s="2"/>
      <c r="AY504" s="2"/>
      <c r="AZ504" s="2"/>
      <c r="BA504" s="2"/>
      <c r="BB504" s="2"/>
      <c r="BC504" s="2"/>
      <c r="BD504" s="2"/>
      <c r="BE504" s="2"/>
      <c r="BF504" s="2"/>
      <c r="BG504" s="2"/>
    </row>
    <row r="505" spans="1:59">
      <c r="A505" s="1" t="str">
        <f>IF($J$442="Y",'Population Definitions'!$A$5,"...")</f>
        <v>...</v>
      </c>
      <c r="B505" s="4" t="str">
        <f>IF($J$442="Y","---&gt;","...")</f>
        <v>...</v>
      </c>
      <c r="C505" s="1" t="str">
        <f>IF($J$442="Y",'Population Definitions'!$A$10,"...")</f>
        <v>...</v>
      </c>
      <c r="E505" s="2"/>
      <c r="F505" s="3"/>
      <c r="G505" s="2"/>
      <c r="H505" s="4" t="str">
        <f>IF($J$442="Y","OR","...")</f>
        <v>...</v>
      </c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  <c r="AM505" s="2"/>
      <c r="AN505" s="2"/>
      <c r="AO505" s="2"/>
      <c r="AP505" s="2"/>
      <c r="AQ505" s="2"/>
      <c r="AR505" s="2"/>
      <c r="AS505" s="2"/>
      <c r="AT505" s="2"/>
      <c r="AU505" s="2"/>
      <c r="AV505" s="2"/>
      <c r="AW505" s="2"/>
      <c r="AX505" s="2"/>
      <c r="AY505" s="2"/>
      <c r="AZ505" s="2"/>
      <c r="BA505" s="2"/>
      <c r="BB505" s="2"/>
      <c r="BC505" s="2"/>
      <c r="BD505" s="2"/>
      <c r="BE505" s="2"/>
      <c r="BF505" s="2"/>
      <c r="BG505" s="2"/>
    </row>
    <row r="506" spans="1:59">
      <c r="A506" s="1" t="str">
        <f>IF($K$442="Y",'Population Definitions'!$A$5,"...")</f>
        <v>...</v>
      </c>
      <c r="B506" s="4" t="str">
        <f>IF($K$442="Y","---&gt;","...")</f>
        <v>...</v>
      </c>
      <c r="C506" s="1" t="str">
        <f>IF($K$442="Y",'Population Definitions'!$A$11,"...")</f>
        <v>...</v>
      </c>
      <c r="E506" s="2"/>
      <c r="F506" s="3"/>
      <c r="G506" s="2"/>
      <c r="H506" s="4" t="str">
        <f>IF($K$442="Y","OR","...")</f>
        <v>...</v>
      </c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  <c r="AM506" s="2"/>
      <c r="AN506" s="2"/>
      <c r="AO506" s="2"/>
      <c r="AP506" s="2"/>
      <c r="AQ506" s="2"/>
      <c r="AR506" s="2"/>
      <c r="AS506" s="2"/>
      <c r="AT506" s="2"/>
      <c r="AU506" s="2"/>
      <c r="AV506" s="2"/>
      <c r="AW506" s="2"/>
      <c r="AX506" s="2"/>
      <c r="AY506" s="2"/>
      <c r="AZ506" s="2"/>
      <c r="BA506" s="2"/>
      <c r="BB506" s="2"/>
      <c r="BC506" s="2"/>
      <c r="BD506" s="2"/>
      <c r="BE506" s="2"/>
      <c r="BF506" s="2"/>
      <c r="BG506" s="2"/>
    </row>
    <row r="507" spans="1:59">
      <c r="A507" s="1" t="str">
        <f>IF($L$442="Y",'Population Definitions'!$A$5,"...")</f>
        <v>...</v>
      </c>
      <c r="B507" s="4" t="str">
        <f>IF($L$442="Y","---&gt;","...")</f>
        <v>...</v>
      </c>
      <c r="C507" s="1" t="str">
        <f>IF($L$442="Y",'Population Definitions'!$A$12,"...")</f>
        <v>...</v>
      </c>
      <c r="E507" s="2"/>
      <c r="F507" s="3"/>
      <c r="G507" s="2"/>
      <c r="H507" s="4" t="str">
        <f>IF($L$442="Y","OR","...")</f>
        <v>...</v>
      </c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  <c r="AM507" s="2"/>
      <c r="AN507" s="2"/>
      <c r="AO507" s="2"/>
      <c r="AP507" s="2"/>
      <c r="AQ507" s="2"/>
      <c r="AR507" s="2"/>
      <c r="AS507" s="2"/>
      <c r="AT507" s="2"/>
      <c r="AU507" s="2"/>
      <c r="AV507" s="2"/>
      <c r="AW507" s="2"/>
      <c r="AX507" s="2"/>
      <c r="AY507" s="2"/>
      <c r="AZ507" s="2"/>
      <c r="BA507" s="2"/>
      <c r="BB507" s="2"/>
      <c r="BC507" s="2"/>
      <c r="BD507" s="2"/>
      <c r="BE507" s="2"/>
      <c r="BF507" s="2"/>
      <c r="BG507" s="2"/>
    </row>
    <row r="508" spans="1:59">
      <c r="A508" s="1" t="str">
        <f>IF($M$442="Y",'Population Definitions'!$A$5,"...")</f>
        <v>...</v>
      </c>
      <c r="B508" s="4" t="str">
        <f>IF($M$442="Y","---&gt;","...")</f>
        <v>...</v>
      </c>
      <c r="C508" s="1" t="str">
        <f>IF($M$442="Y",'Population Definitions'!$A$13,"...")</f>
        <v>...</v>
      </c>
      <c r="E508" s="2"/>
      <c r="F508" s="3"/>
      <c r="G508" s="2"/>
      <c r="H508" s="4" t="str">
        <f>IF($M$442="Y","OR","...")</f>
        <v>...</v>
      </c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  <c r="AM508" s="2"/>
      <c r="AN508" s="2"/>
      <c r="AO508" s="2"/>
      <c r="AP508" s="2"/>
      <c r="AQ508" s="2"/>
      <c r="AR508" s="2"/>
      <c r="AS508" s="2"/>
      <c r="AT508" s="2"/>
      <c r="AU508" s="2"/>
      <c r="AV508" s="2"/>
      <c r="AW508" s="2"/>
      <c r="AX508" s="2"/>
      <c r="AY508" s="2"/>
      <c r="AZ508" s="2"/>
      <c r="BA508" s="2"/>
      <c r="BB508" s="2"/>
      <c r="BC508" s="2"/>
      <c r="BD508" s="2"/>
      <c r="BE508" s="2"/>
      <c r="BF508" s="2"/>
      <c r="BG508" s="2"/>
    </row>
    <row r="509" spans="1:59">
      <c r="A509" s="1" t="str">
        <f>IF($N$442="Y",'Population Definitions'!$A$5,"...")</f>
        <v>...</v>
      </c>
      <c r="B509" s="4" t="str">
        <f>IF($N$442="Y","---&gt;","...")</f>
        <v>...</v>
      </c>
      <c r="C509" s="1" t="str">
        <f>IF($N$442="Y",'Population Definitions'!$A$14,"...")</f>
        <v>...</v>
      </c>
      <c r="E509" s="2"/>
      <c r="F509" s="3"/>
      <c r="G509" s="2"/>
      <c r="H509" s="4" t="str">
        <f>IF($N$442="Y","OR","...")</f>
        <v>...</v>
      </c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  <c r="AM509" s="2"/>
      <c r="AN509" s="2"/>
      <c r="AO509" s="2"/>
      <c r="AP509" s="2"/>
      <c r="AQ509" s="2"/>
      <c r="AR509" s="2"/>
      <c r="AS509" s="2"/>
      <c r="AT509" s="2"/>
      <c r="AU509" s="2"/>
      <c r="AV509" s="2"/>
      <c r="AW509" s="2"/>
      <c r="AX509" s="2"/>
      <c r="AY509" s="2"/>
      <c r="AZ509" s="2"/>
      <c r="BA509" s="2"/>
      <c r="BB509" s="2"/>
      <c r="BC509" s="2"/>
      <c r="BD509" s="2"/>
      <c r="BE509" s="2"/>
      <c r="BF509" s="2"/>
      <c r="BG509" s="2"/>
    </row>
    <row r="510" spans="1:59">
      <c r="A510" s="1" t="str">
        <f>IF($O$442="Y",'Population Definitions'!$A$5,"...")</f>
        <v>...</v>
      </c>
      <c r="B510" s="4" t="str">
        <f>IF($O$442="Y","---&gt;","...")</f>
        <v>...</v>
      </c>
      <c r="C510" s="1" t="str">
        <f>IF($O$442="Y",'Population Definitions'!$A$15,"...")</f>
        <v>...</v>
      </c>
      <c r="E510" s="2"/>
      <c r="F510" s="3"/>
      <c r="G510" s="2"/>
      <c r="H510" s="4" t="str">
        <f>IF($O$442="Y","OR","...")</f>
        <v>...</v>
      </c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  <c r="AM510" s="2"/>
      <c r="AN510" s="2"/>
      <c r="AO510" s="2"/>
      <c r="AP510" s="2"/>
      <c r="AQ510" s="2"/>
      <c r="AR510" s="2"/>
      <c r="AS510" s="2"/>
      <c r="AT510" s="2"/>
      <c r="AU510" s="2"/>
      <c r="AV510" s="2"/>
      <c r="AW510" s="2"/>
      <c r="AX510" s="2"/>
      <c r="AY510" s="2"/>
      <c r="AZ510" s="2"/>
      <c r="BA510" s="2"/>
      <c r="BB510" s="2"/>
      <c r="BC510" s="2"/>
      <c r="BD510" s="2"/>
      <c r="BE510" s="2"/>
      <c r="BF510" s="2"/>
      <c r="BG510" s="2"/>
    </row>
    <row r="511" spans="1:59">
      <c r="A511" s="1" t="str">
        <f>IF($B$443="Y",'Population Definitions'!$A$6,"...")</f>
        <v>...</v>
      </c>
      <c r="B511" s="4" t="str">
        <f>IF($B$443="Y","---&gt;","...")</f>
        <v>...</v>
      </c>
      <c r="C511" s="1" t="str">
        <f>IF($B$443="Y",'Population Definitions'!$A$2,"...")</f>
        <v>...</v>
      </c>
      <c r="E511" s="2"/>
      <c r="F511" s="3"/>
      <c r="G511" s="2"/>
      <c r="H511" s="4" t="str">
        <f>IF($B$443="Y","OR","...")</f>
        <v>...</v>
      </c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  <c r="AM511" s="2"/>
      <c r="AN511" s="2"/>
      <c r="AO511" s="2"/>
      <c r="AP511" s="2"/>
      <c r="AQ511" s="2"/>
      <c r="AR511" s="2"/>
      <c r="AS511" s="2"/>
      <c r="AT511" s="2"/>
      <c r="AU511" s="2"/>
      <c r="AV511" s="2"/>
      <c r="AW511" s="2"/>
      <c r="AX511" s="2"/>
      <c r="AY511" s="2"/>
      <c r="AZ511" s="2"/>
      <c r="BA511" s="2"/>
      <c r="BB511" s="2"/>
      <c r="BC511" s="2"/>
      <c r="BD511" s="2"/>
      <c r="BE511" s="2"/>
      <c r="BF511" s="2"/>
      <c r="BG511" s="2"/>
    </row>
    <row r="512" spans="1:59">
      <c r="A512" s="1" t="str">
        <f>IF($C$443="Y",'Population Definitions'!$A$6,"...")</f>
        <v>...</v>
      </c>
      <c r="B512" s="4" t="str">
        <f>IF($C$443="Y","---&gt;","...")</f>
        <v>...</v>
      </c>
      <c r="C512" s="1" t="str">
        <f>IF($C$443="Y",'Population Definitions'!$A$3,"...")</f>
        <v>...</v>
      </c>
      <c r="E512" s="2"/>
      <c r="F512" s="3"/>
      <c r="G512" s="2"/>
      <c r="H512" s="4" t="str">
        <f>IF($C$443="Y","OR","...")</f>
        <v>...</v>
      </c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  <c r="AM512" s="2"/>
      <c r="AN512" s="2"/>
      <c r="AO512" s="2"/>
      <c r="AP512" s="2"/>
      <c r="AQ512" s="2"/>
      <c r="AR512" s="2"/>
      <c r="AS512" s="2"/>
      <c r="AT512" s="2"/>
      <c r="AU512" s="2"/>
      <c r="AV512" s="2"/>
      <c r="AW512" s="2"/>
      <c r="AX512" s="2"/>
      <c r="AY512" s="2"/>
      <c r="AZ512" s="2"/>
      <c r="BA512" s="2"/>
      <c r="BB512" s="2"/>
      <c r="BC512" s="2"/>
      <c r="BD512" s="2"/>
      <c r="BE512" s="2"/>
      <c r="BF512" s="2"/>
      <c r="BG512" s="2"/>
    </row>
    <row r="513" spans="1:59">
      <c r="A513" s="1" t="str">
        <f>IF($D$443="Y",'Population Definitions'!$A$6,"...")</f>
        <v>...</v>
      </c>
      <c r="B513" s="4" t="str">
        <f>IF($D$443="Y","---&gt;","...")</f>
        <v>...</v>
      </c>
      <c r="C513" s="1" t="str">
        <f>IF($D$443="Y",'Population Definitions'!$A$4,"...")</f>
        <v>...</v>
      </c>
      <c r="E513" s="2"/>
      <c r="F513" s="3"/>
      <c r="G513" s="2"/>
      <c r="H513" s="4" t="str">
        <f>IF($D$443="Y","OR","...")</f>
        <v>...</v>
      </c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  <c r="AM513" s="2"/>
      <c r="AN513" s="2"/>
      <c r="AO513" s="2"/>
      <c r="AP513" s="2"/>
      <c r="AQ513" s="2"/>
      <c r="AR513" s="2"/>
      <c r="AS513" s="2"/>
      <c r="AT513" s="2"/>
      <c r="AU513" s="2"/>
      <c r="AV513" s="2"/>
      <c r="AW513" s="2"/>
      <c r="AX513" s="2"/>
      <c r="AY513" s="2"/>
      <c r="AZ513" s="2"/>
      <c r="BA513" s="2"/>
      <c r="BB513" s="2"/>
      <c r="BC513" s="2"/>
      <c r="BD513" s="2"/>
      <c r="BE513" s="2"/>
      <c r="BF513" s="2"/>
      <c r="BG513" s="2"/>
    </row>
    <row r="514" spans="1:59">
      <c r="A514" s="1" t="str">
        <f>IF($E$443="Y",'Population Definitions'!$A$6,"...")</f>
        <v>...</v>
      </c>
      <c r="B514" s="4" t="str">
        <f>IF($E$443="Y","---&gt;","...")</f>
        <v>...</v>
      </c>
      <c r="C514" s="1" t="str">
        <f>IF($E$443="Y",'Population Definitions'!$A$5,"...")</f>
        <v>...</v>
      </c>
      <c r="E514" s="2"/>
      <c r="F514" s="3"/>
      <c r="G514" s="2"/>
      <c r="H514" s="4" t="str">
        <f>IF($E$443="Y","OR","...")</f>
        <v>...</v>
      </c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  <c r="AM514" s="2"/>
      <c r="AN514" s="2"/>
      <c r="AO514" s="2"/>
      <c r="AP514" s="2"/>
      <c r="AQ514" s="2"/>
      <c r="AR514" s="2"/>
      <c r="AS514" s="2"/>
      <c r="AT514" s="2"/>
      <c r="AU514" s="2"/>
      <c r="AV514" s="2"/>
      <c r="AW514" s="2"/>
      <c r="AX514" s="2"/>
      <c r="AY514" s="2"/>
      <c r="AZ514" s="2"/>
      <c r="BA514" s="2"/>
      <c r="BB514" s="2"/>
      <c r="BC514" s="2"/>
      <c r="BD514" s="2"/>
      <c r="BE514" s="2"/>
      <c r="BF514" s="2"/>
      <c r="BG514" s="2"/>
    </row>
    <row r="515" spans="1:59">
      <c r="A515" s="1" t="str">
        <f>IF($F$443="Y",'Population Definitions'!$A$6,"...")</f>
        <v>...</v>
      </c>
      <c r="B515" s="4" t="str">
        <f>IF($F$443="Y","---&gt;","...")</f>
        <v>...</v>
      </c>
      <c r="C515" s="1" t="str">
        <f>IF($F$443="Y",'Population Definitions'!$A$6,"...")</f>
        <v>...</v>
      </c>
      <c r="E515" s="2"/>
      <c r="F515" s="3"/>
      <c r="G515" s="2"/>
      <c r="H515" s="4" t="str">
        <f>IF($F$443="Y","OR","...")</f>
        <v>...</v>
      </c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  <c r="AM515" s="2"/>
      <c r="AN515" s="2"/>
      <c r="AO515" s="2"/>
      <c r="AP515" s="2"/>
      <c r="AQ515" s="2"/>
      <c r="AR515" s="2"/>
      <c r="AS515" s="2"/>
      <c r="AT515" s="2"/>
      <c r="AU515" s="2"/>
      <c r="AV515" s="2"/>
      <c r="AW515" s="2"/>
      <c r="AX515" s="2"/>
      <c r="AY515" s="2"/>
      <c r="AZ515" s="2"/>
      <c r="BA515" s="2"/>
      <c r="BB515" s="2"/>
      <c r="BC515" s="2"/>
      <c r="BD515" s="2"/>
      <c r="BE515" s="2"/>
      <c r="BF515" s="2"/>
      <c r="BG515" s="2"/>
    </row>
    <row r="516" spans="1:59">
      <c r="A516" s="1" t="str">
        <f>IF($G$443="Y",'Population Definitions'!$A$6,"...")</f>
        <v>...</v>
      </c>
      <c r="B516" s="4" t="str">
        <f>IF($G$443="Y","---&gt;","...")</f>
        <v>...</v>
      </c>
      <c r="C516" s="1" t="str">
        <f>IF($G$443="Y",'Population Definitions'!$A$7,"...")</f>
        <v>...</v>
      </c>
      <c r="E516" s="2"/>
      <c r="F516" s="3"/>
      <c r="G516" s="2"/>
      <c r="H516" s="4" t="str">
        <f>IF($G$443="Y","OR","...")</f>
        <v>...</v>
      </c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  <c r="AM516" s="2"/>
      <c r="AN516" s="2"/>
      <c r="AO516" s="2"/>
      <c r="AP516" s="2"/>
      <c r="AQ516" s="2"/>
      <c r="AR516" s="2"/>
      <c r="AS516" s="2"/>
      <c r="AT516" s="2"/>
      <c r="AU516" s="2"/>
      <c r="AV516" s="2"/>
      <c r="AW516" s="2"/>
      <c r="AX516" s="2"/>
      <c r="AY516" s="2"/>
      <c r="AZ516" s="2"/>
      <c r="BA516" s="2"/>
      <c r="BB516" s="2"/>
      <c r="BC516" s="2"/>
      <c r="BD516" s="2"/>
      <c r="BE516" s="2"/>
      <c r="BF516" s="2"/>
      <c r="BG516" s="2"/>
    </row>
    <row r="517" spans="1:59">
      <c r="A517" s="1" t="str">
        <f>IF($H$443="Y",'Population Definitions'!$A$6,"...")</f>
        <v>...</v>
      </c>
      <c r="B517" s="4" t="str">
        <f>IF($H$443="Y","---&gt;","...")</f>
        <v>...</v>
      </c>
      <c r="C517" s="1" t="str">
        <f>IF($H$443="Y",'Population Definitions'!$A$8,"...")</f>
        <v>...</v>
      </c>
      <c r="E517" s="2"/>
      <c r="F517" s="3"/>
      <c r="G517" s="2"/>
      <c r="H517" s="4" t="str">
        <f>IF($H$443="Y","OR","...")</f>
        <v>...</v>
      </c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  <c r="AM517" s="2"/>
      <c r="AN517" s="2"/>
      <c r="AO517" s="2"/>
      <c r="AP517" s="2"/>
      <c r="AQ517" s="2"/>
      <c r="AR517" s="2"/>
      <c r="AS517" s="2"/>
      <c r="AT517" s="2"/>
      <c r="AU517" s="2"/>
      <c r="AV517" s="2"/>
      <c r="AW517" s="2"/>
      <c r="AX517" s="2"/>
      <c r="AY517" s="2"/>
      <c r="AZ517" s="2"/>
      <c r="BA517" s="2"/>
      <c r="BB517" s="2"/>
      <c r="BC517" s="2"/>
      <c r="BD517" s="2"/>
      <c r="BE517" s="2"/>
      <c r="BF517" s="2"/>
      <c r="BG517" s="2"/>
    </row>
    <row r="518" spans="1:59">
      <c r="A518" s="1" t="str">
        <f>IF($I$443="Y",'Population Definitions'!$A$6,"...")</f>
        <v>...</v>
      </c>
      <c r="B518" s="4" t="str">
        <f>IF($I$443="Y","---&gt;","...")</f>
        <v>...</v>
      </c>
      <c r="C518" s="1" t="str">
        <f>IF($I$443="Y",'Population Definitions'!$A$9,"...")</f>
        <v>...</v>
      </c>
      <c r="E518" s="2"/>
      <c r="F518" s="3"/>
      <c r="G518" s="2"/>
      <c r="H518" s="4" t="str">
        <f>IF($I$443="Y","OR","...")</f>
        <v>...</v>
      </c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  <c r="AM518" s="2"/>
      <c r="AN518" s="2"/>
      <c r="AO518" s="2"/>
      <c r="AP518" s="2"/>
      <c r="AQ518" s="2"/>
      <c r="AR518" s="2"/>
      <c r="AS518" s="2"/>
      <c r="AT518" s="2"/>
      <c r="AU518" s="2"/>
      <c r="AV518" s="2"/>
      <c r="AW518" s="2"/>
      <c r="AX518" s="2"/>
      <c r="AY518" s="2"/>
      <c r="AZ518" s="2"/>
      <c r="BA518" s="2"/>
      <c r="BB518" s="2"/>
      <c r="BC518" s="2"/>
      <c r="BD518" s="2"/>
      <c r="BE518" s="2"/>
      <c r="BF518" s="2"/>
      <c r="BG518" s="2"/>
    </row>
    <row r="519" spans="1:59">
      <c r="A519" s="1" t="str">
        <f>IF($J$443="Y",'Population Definitions'!$A$6,"...")</f>
        <v>...</v>
      </c>
      <c r="B519" s="4" t="str">
        <f>IF($J$443="Y","---&gt;","...")</f>
        <v>...</v>
      </c>
      <c r="C519" s="1" t="str">
        <f>IF($J$443="Y",'Population Definitions'!$A$10,"...")</f>
        <v>...</v>
      </c>
      <c r="E519" s="2"/>
      <c r="F519" s="3"/>
      <c r="G519" s="2"/>
      <c r="H519" s="4" t="str">
        <f>IF($J$443="Y","OR","...")</f>
        <v>...</v>
      </c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  <c r="AM519" s="2"/>
      <c r="AN519" s="2"/>
      <c r="AO519" s="2"/>
      <c r="AP519" s="2"/>
      <c r="AQ519" s="2"/>
      <c r="AR519" s="2"/>
      <c r="AS519" s="2"/>
      <c r="AT519" s="2"/>
      <c r="AU519" s="2"/>
      <c r="AV519" s="2"/>
      <c r="AW519" s="2"/>
      <c r="AX519" s="2"/>
      <c r="AY519" s="2"/>
      <c r="AZ519" s="2"/>
      <c r="BA519" s="2"/>
      <c r="BB519" s="2"/>
      <c r="BC519" s="2"/>
      <c r="BD519" s="2"/>
      <c r="BE519" s="2"/>
      <c r="BF519" s="2"/>
      <c r="BG519" s="2"/>
    </row>
    <row r="520" spans="1:59">
      <c r="A520" s="1" t="str">
        <f>IF($K$443="Y",'Population Definitions'!$A$6,"...")</f>
        <v>...</v>
      </c>
      <c r="B520" s="4" t="str">
        <f>IF($K$443="Y","---&gt;","...")</f>
        <v>...</v>
      </c>
      <c r="C520" s="1" t="str">
        <f>IF($K$443="Y",'Population Definitions'!$A$11,"...")</f>
        <v>...</v>
      </c>
      <c r="E520" s="2"/>
      <c r="F520" s="3"/>
      <c r="G520" s="2"/>
      <c r="H520" s="4" t="str">
        <f>IF($K$443="Y","OR","...")</f>
        <v>...</v>
      </c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  <c r="AM520" s="2"/>
      <c r="AN520" s="2"/>
      <c r="AO520" s="2"/>
      <c r="AP520" s="2"/>
      <c r="AQ520" s="2"/>
      <c r="AR520" s="2"/>
      <c r="AS520" s="2"/>
      <c r="AT520" s="2"/>
      <c r="AU520" s="2"/>
      <c r="AV520" s="2"/>
      <c r="AW520" s="2"/>
      <c r="AX520" s="2"/>
      <c r="AY520" s="2"/>
      <c r="AZ520" s="2"/>
      <c r="BA520" s="2"/>
      <c r="BB520" s="2"/>
      <c r="BC520" s="2"/>
      <c r="BD520" s="2"/>
      <c r="BE520" s="2"/>
      <c r="BF520" s="2"/>
      <c r="BG520" s="2"/>
    </row>
    <row r="521" spans="1:59">
      <c r="A521" s="1" t="str">
        <f>IF($L$443="Y",'Population Definitions'!$A$6,"...")</f>
        <v>...</v>
      </c>
      <c r="B521" s="4" t="str">
        <f>IF($L$443="Y","---&gt;","...")</f>
        <v>...</v>
      </c>
      <c r="C521" s="1" t="str">
        <f>IF($L$443="Y",'Population Definitions'!$A$12,"...")</f>
        <v>...</v>
      </c>
      <c r="E521" s="2"/>
      <c r="F521" s="3"/>
      <c r="G521" s="2"/>
      <c r="H521" s="4" t="str">
        <f>IF($L$443="Y","OR","...")</f>
        <v>...</v>
      </c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  <c r="AM521" s="2"/>
      <c r="AN521" s="2"/>
      <c r="AO521" s="2"/>
      <c r="AP521" s="2"/>
      <c r="AQ521" s="2"/>
      <c r="AR521" s="2"/>
      <c r="AS521" s="2"/>
      <c r="AT521" s="2"/>
      <c r="AU521" s="2"/>
      <c r="AV521" s="2"/>
      <c r="AW521" s="2"/>
      <c r="AX521" s="2"/>
      <c r="AY521" s="2"/>
      <c r="AZ521" s="2"/>
      <c r="BA521" s="2"/>
      <c r="BB521" s="2"/>
      <c r="BC521" s="2"/>
      <c r="BD521" s="2"/>
      <c r="BE521" s="2"/>
      <c r="BF521" s="2"/>
      <c r="BG521" s="2"/>
    </row>
    <row r="522" spans="1:59">
      <c r="A522" s="1" t="str">
        <f>IF($M$443="Y",'Population Definitions'!$A$6,"...")</f>
        <v>...</v>
      </c>
      <c r="B522" s="4" t="str">
        <f>IF($M$443="Y","---&gt;","...")</f>
        <v>...</v>
      </c>
      <c r="C522" s="1" t="str">
        <f>IF($M$443="Y",'Population Definitions'!$A$13,"...")</f>
        <v>...</v>
      </c>
      <c r="E522" s="2"/>
      <c r="F522" s="3"/>
      <c r="G522" s="2"/>
      <c r="H522" s="4" t="str">
        <f>IF($M$443="Y","OR","...")</f>
        <v>...</v>
      </c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  <c r="AM522" s="2"/>
      <c r="AN522" s="2"/>
      <c r="AO522" s="2"/>
      <c r="AP522" s="2"/>
      <c r="AQ522" s="2"/>
      <c r="AR522" s="2"/>
      <c r="AS522" s="2"/>
      <c r="AT522" s="2"/>
      <c r="AU522" s="2"/>
      <c r="AV522" s="2"/>
      <c r="AW522" s="2"/>
      <c r="AX522" s="2"/>
      <c r="AY522" s="2"/>
      <c r="AZ522" s="2"/>
      <c r="BA522" s="2"/>
      <c r="BB522" s="2"/>
      <c r="BC522" s="2"/>
      <c r="BD522" s="2"/>
      <c r="BE522" s="2"/>
      <c r="BF522" s="2"/>
      <c r="BG522" s="2"/>
    </row>
    <row r="523" spans="1:59">
      <c r="A523" s="1" t="str">
        <f>IF($N$443="Y",'Population Definitions'!$A$6,"...")</f>
        <v>...</v>
      </c>
      <c r="B523" s="4" t="str">
        <f>IF($N$443="Y","---&gt;","...")</f>
        <v>...</v>
      </c>
      <c r="C523" s="1" t="str">
        <f>IF($N$443="Y",'Population Definitions'!$A$14,"...")</f>
        <v>...</v>
      </c>
      <c r="E523" s="2"/>
      <c r="F523" s="3"/>
      <c r="G523" s="2"/>
      <c r="H523" s="4" t="str">
        <f>IF($N$443="Y","OR","...")</f>
        <v>...</v>
      </c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  <c r="AM523" s="2"/>
      <c r="AN523" s="2"/>
      <c r="AO523" s="2"/>
      <c r="AP523" s="2"/>
      <c r="AQ523" s="2"/>
      <c r="AR523" s="2"/>
      <c r="AS523" s="2"/>
      <c r="AT523" s="2"/>
      <c r="AU523" s="2"/>
      <c r="AV523" s="2"/>
      <c r="AW523" s="2"/>
      <c r="AX523" s="2"/>
      <c r="AY523" s="2"/>
      <c r="AZ523" s="2"/>
      <c r="BA523" s="2"/>
      <c r="BB523" s="2"/>
      <c r="BC523" s="2"/>
      <c r="BD523" s="2"/>
      <c r="BE523" s="2"/>
      <c r="BF523" s="2"/>
      <c r="BG523" s="2"/>
    </row>
    <row r="524" spans="1:59">
      <c r="A524" s="1" t="str">
        <f>IF($O$443="Y",'Population Definitions'!$A$6,"...")</f>
        <v>...</v>
      </c>
      <c r="B524" s="4" t="str">
        <f>IF($O$443="Y","---&gt;","...")</f>
        <v>...</v>
      </c>
      <c r="C524" s="1" t="str">
        <f>IF($O$443="Y",'Population Definitions'!$A$15,"...")</f>
        <v>...</v>
      </c>
      <c r="E524" s="2"/>
      <c r="F524" s="3"/>
      <c r="G524" s="2"/>
      <c r="H524" s="4" t="str">
        <f>IF($O$443="Y","OR","...")</f>
        <v>...</v>
      </c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  <c r="AM524" s="2"/>
      <c r="AN524" s="2"/>
      <c r="AO524" s="2"/>
      <c r="AP524" s="2"/>
      <c r="AQ524" s="2"/>
      <c r="AR524" s="2"/>
      <c r="AS524" s="2"/>
      <c r="AT524" s="2"/>
      <c r="AU524" s="2"/>
      <c r="AV524" s="2"/>
      <c r="AW524" s="2"/>
      <c r="AX524" s="2"/>
      <c r="AY524" s="2"/>
      <c r="AZ524" s="2"/>
      <c r="BA524" s="2"/>
      <c r="BB524" s="2"/>
      <c r="BC524" s="2"/>
      <c r="BD524" s="2"/>
      <c r="BE524" s="2"/>
      <c r="BF524" s="2"/>
      <c r="BG524" s="2"/>
    </row>
    <row r="525" spans="1:59">
      <c r="A525" s="1" t="str">
        <f>IF($B$444="Y",'Population Definitions'!$A$7,"...")</f>
        <v>...</v>
      </c>
      <c r="B525" s="4" t="str">
        <f>IF($B$444="Y","---&gt;","...")</f>
        <v>...</v>
      </c>
      <c r="C525" s="1" t="str">
        <f>IF($B$444="Y",'Population Definitions'!$A$2,"...")</f>
        <v>...</v>
      </c>
      <c r="E525" s="2"/>
      <c r="F525" s="3"/>
      <c r="G525" s="2"/>
      <c r="H525" s="4" t="str">
        <f>IF($B$444="Y","OR","...")</f>
        <v>...</v>
      </c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  <c r="AM525" s="2"/>
      <c r="AN525" s="2"/>
      <c r="AO525" s="2"/>
      <c r="AP525" s="2"/>
      <c r="AQ525" s="2"/>
      <c r="AR525" s="2"/>
      <c r="AS525" s="2"/>
      <c r="AT525" s="2"/>
      <c r="AU525" s="2"/>
      <c r="AV525" s="2"/>
      <c r="AW525" s="2"/>
      <c r="AX525" s="2"/>
      <c r="AY525" s="2"/>
      <c r="AZ525" s="2"/>
      <c r="BA525" s="2"/>
      <c r="BB525" s="2"/>
      <c r="BC525" s="2"/>
      <c r="BD525" s="2"/>
      <c r="BE525" s="2"/>
      <c r="BF525" s="2"/>
      <c r="BG525" s="2"/>
    </row>
    <row r="526" spans="1:59">
      <c r="A526" s="1" t="str">
        <f>IF($C$444="Y",'Population Definitions'!$A$7,"...")</f>
        <v>...</v>
      </c>
      <c r="B526" s="4" t="str">
        <f>IF($C$444="Y","---&gt;","...")</f>
        <v>...</v>
      </c>
      <c r="C526" s="1" t="str">
        <f>IF($C$444="Y",'Population Definitions'!$A$3,"...")</f>
        <v>...</v>
      </c>
      <c r="E526" s="2"/>
      <c r="F526" s="3"/>
      <c r="G526" s="2"/>
      <c r="H526" s="4" t="str">
        <f>IF($C$444="Y","OR","...")</f>
        <v>...</v>
      </c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  <c r="AM526" s="2"/>
      <c r="AN526" s="2"/>
      <c r="AO526" s="2"/>
      <c r="AP526" s="2"/>
      <c r="AQ526" s="2"/>
      <c r="AR526" s="2"/>
      <c r="AS526" s="2"/>
      <c r="AT526" s="2"/>
      <c r="AU526" s="2"/>
      <c r="AV526" s="2"/>
      <c r="AW526" s="2"/>
      <c r="AX526" s="2"/>
      <c r="AY526" s="2"/>
      <c r="AZ526" s="2"/>
      <c r="BA526" s="2"/>
      <c r="BB526" s="2"/>
      <c r="BC526" s="2"/>
      <c r="BD526" s="2"/>
      <c r="BE526" s="2"/>
      <c r="BF526" s="2"/>
      <c r="BG526" s="2"/>
    </row>
    <row r="527" spans="1:59">
      <c r="A527" s="1" t="str">
        <f>IF($D$444="Y",'Population Definitions'!$A$7,"...")</f>
        <v>...</v>
      </c>
      <c r="B527" s="4" t="str">
        <f>IF($D$444="Y","---&gt;","...")</f>
        <v>...</v>
      </c>
      <c r="C527" s="1" t="str">
        <f>IF($D$444="Y",'Population Definitions'!$A$4,"...")</f>
        <v>...</v>
      </c>
      <c r="E527" s="2"/>
      <c r="F527" s="3"/>
      <c r="G527" s="2"/>
      <c r="H527" s="4" t="str">
        <f>IF($D$444="Y","OR","...")</f>
        <v>...</v>
      </c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  <c r="AM527" s="2"/>
      <c r="AN527" s="2"/>
      <c r="AO527" s="2"/>
      <c r="AP527" s="2"/>
      <c r="AQ527" s="2"/>
      <c r="AR527" s="2"/>
      <c r="AS527" s="2"/>
      <c r="AT527" s="2"/>
      <c r="AU527" s="2"/>
      <c r="AV527" s="2"/>
      <c r="AW527" s="2"/>
      <c r="AX527" s="2"/>
      <c r="AY527" s="2"/>
      <c r="AZ527" s="2"/>
      <c r="BA527" s="2"/>
      <c r="BB527" s="2"/>
      <c r="BC527" s="2"/>
      <c r="BD527" s="2"/>
      <c r="BE527" s="2"/>
      <c r="BF527" s="2"/>
      <c r="BG527" s="2"/>
    </row>
    <row r="528" spans="1:59">
      <c r="A528" s="1" t="str">
        <f>IF($E$444="Y",'Population Definitions'!$A$7,"...")</f>
        <v>...</v>
      </c>
      <c r="B528" s="4" t="str">
        <f>IF($E$444="Y","---&gt;","...")</f>
        <v>...</v>
      </c>
      <c r="C528" s="1" t="str">
        <f>IF($E$444="Y",'Population Definitions'!$A$5,"...")</f>
        <v>...</v>
      </c>
      <c r="E528" s="2"/>
      <c r="F528" s="3"/>
      <c r="G528" s="2"/>
      <c r="H528" s="4" t="str">
        <f>IF($E$444="Y","OR","...")</f>
        <v>...</v>
      </c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  <c r="AM528" s="2"/>
      <c r="AN528" s="2"/>
      <c r="AO528" s="2"/>
      <c r="AP528" s="2"/>
      <c r="AQ528" s="2"/>
      <c r="AR528" s="2"/>
      <c r="AS528" s="2"/>
      <c r="AT528" s="2"/>
      <c r="AU528" s="2"/>
      <c r="AV528" s="2"/>
      <c r="AW528" s="2"/>
      <c r="AX528" s="2"/>
      <c r="AY528" s="2"/>
      <c r="AZ528" s="2"/>
      <c r="BA528" s="2"/>
      <c r="BB528" s="2"/>
      <c r="BC528" s="2"/>
      <c r="BD528" s="2"/>
      <c r="BE528" s="2"/>
      <c r="BF528" s="2"/>
      <c r="BG528" s="2"/>
    </row>
    <row r="529" spans="1:59">
      <c r="A529" s="1" t="str">
        <f>IF($F$444="Y",'Population Definitions'!$A$7,"...")</f>
        <v>...</v>
      </c>
      <c r="B529" s="4" t="str">
        <f>IF($F$444="Y","---&gt;","...")</f>
        <v>...</v>
      </c>
      <c r="C529" s="1" t="str">
        <f>IF($F$444="Y",'Population Definitions'!$A$6,"...")</f>
        <v>...</v>
      </c>
      <c r="E529" s="2"/>
      <c r="F529" s="3"/>
      <c r="G529" s="2"/>
      <c r="H529" s="4" t="str">
        <f>IF($F$444="Y","OR","...")</f>
        <v>...</v>
      </c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  <c r="AM529" s="2"/>
      <c r="AN529" s="2"/>
      <c r="AO529" s="2"/>
      <c r="AP529" s="2"/>
      <c r="AQ529" s="2"/>
      <c r="AR529" s="2"/>
      <c r="AS529" s="2"/>
      <c r="AT529" s="2"/>
      <c r="AU529" s="2"/>
      <c r="AV529" s="2"/>
      <c r="AW529" s="2"/>
      <c r="AX529" s="2"/>
      <c r="AY529" s="2"/>
      <c r="AZ529" s="2"/>
      <c r="BA529" s="2"/>
      <c r="BB529" s="2"/>
      <c r="BC529" s="2"/>
      <c r="BD529" s="2"/>
      <c r="BE529" s="2"/>
      <c r="BF529" s="2"/>
      <c r="BG529" s="2"/>
    </row>
    <row r="530" spans="1:59">
      <c r="A530" s="1" t="str">
        <f>IF($G$444="Y",'Population Definitions'!$A$7,"...")</f>
        <v>...</v>
      </c>
      <c r="B530" s="4" t="str">
        <f>IF($G$444="Y","---&gt;","...")</f>
        <v>...</v>
      </c>
      <c r="C530" s="1" t="str">
        <f>IF($G$444="Y",'Population Definitions'!$A$7,"...")</f>
        <v>...</v>
      </c>
      <c r="E530" s="2"/>
      <c r="F530" s="3"/>
      <c r="G530" s="2"/>
      <c r="H530" s="4" t="str">
        <f>IF($G$444="Y","OR","...")</f>
        <v>...</v>
      </c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  <c r="AM530" s="2"/>
      <c r="AN530" s="2"/>
      <c r="AO530" s="2"/>
      <c r="AP530" s="2"/>
      <c r="AQ530" s="2"/>
      <c r="AR530" s="2"/>
      <c r="AS530" s="2"/>
      <c r="AT530" s="2"/>
      <c r="AU530" s="2"/>
      <c r="AV530" s="2"/>
      <c r="AW530" s="2"/>
      <c r="AX530" s="2"/>
      <c r="AY530" s="2"/>
      <c r="AZ530" s="2"/>
      <c r="BA530" s="2"/>
      <c r="BB530" s="2"/>
      <c r="BC530" s="2"/>
      <c r="BD530" s="2"/>
      <c r="BE530" s="2"/>
      <c r="BF530" s="2"/>
      <c r="BG530" s="2"/>
    </row>
    <row r="531" spans="1:59">
      <c r="A531" s="1" t="str">
        <f>IF($H$444="Y",'Population Definitions'!$A$7,"...")</f>
        <v>...</v>
      </c>
      <c r="B531" s="4" t="str">
        <f>IF($H$444="Y","---&gt;","...")</f>
        <v>...</v>
      </c>
      <c r="C531" s="1" t="str">
        <f>IF($H$444="Y",'Population Definitions'!$A$8,"...")</f>
        <v>...</v>
      </c>
      <c r="E531" s="2"/>
      <c r="F531" s="3"/>
      <c r="G531" s="2"/>
      <c r="H531" s="4" t="str">
        <f>IF($H$444="Y","OR","...")</f>
        <v>...</v>
      </c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  <c r="AM531" s="2"/>
      <c r="AN531" s="2"/>
      <c r="AO531" s="2"/>
      <c r="AP531" s="2"/>
      <c r="AQ531" s="2"/>
      <c r="AR531" s="2"/>
      <c r="AS531" s="2"/>
      <c r="AT531" s="2"/>
      <c r="AU531" s="2"/>
      <c r="AV531" s="2"/>
      <c r="AW531" s="2"/>
      <c r="AX531" s="2"/>
      <c r="AY531" s="2"/>
      <c r="AZ531" s="2"/>
      <c r="BA531" s="2"/>
      <c r="BB531" s="2"/>
      <c r="BC531" s="2"/>
      <c r="BD531" s="2"/>
      <c r="BE531" s="2"/>
      <c r="BF531" s="2"/>
      <c r="BG531" s="2"/>
    </row>
    <row r="532" spans="1:59">
      <c r="A532" s="1" t="str">
        <f>IF($I$444="Y",'Population Definitions'!$A$7,"...")</f>
        <v>...</v>
      </c>
      <c r="B532" s="4" t="str">
        <f>IF($I$444="Y","---&gt;","...")</f>
        <v>...</v>
      </c>
      <c r="C532" s="1" t="str">
        <f>IF($I$444="Y",'Population Definitions'!$A$9,"...")</f>
        <v>...</v>
      </c>
      <c r="E532" s="2"/>
      <c r="F532" s="3"/>
      <c r="G532" s="2"/>
      <c r="H532" s="4" t="str">
        <f>IF($I$444="Y","OR","...")</f>
        <v>...</v>
      </c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  <c r="AM532" s="2"/>
      <c r="AN532" s="2"/>
      <c r="AO532" s="2"/>
      <c r="AP532" s="2"/>
      <c r="AQ532" s="2"/>
      <c r="AR532" s="2"/>
      <c r="AS532" s="2"/>
      <c r="AT532" s="2"/>
      <c r="AU532" s="2"/>
      <c r="AV532" s="2"/>
      <c r="AW532" s="2"/>
      <c r="AX532" s="2"/>
      <c r="AY532" s="2"/>
      <c r="AZ532" s="2"/>
      <c r="BA532" s="2"/>
      <c r="BB532" s="2"/>
      <c r="BC532" s="2"/>
      <c r="BD532" s="2"/>
      <c r="BE532" s="2"/>
      <c r="BF532" s="2"/>
      <c r="BG532" s="2"/>
    </row>
    <row r="533" spans="1:59">
      <c r="A533" s="1" t="str">
        <f>IF($J$444="Y",'Population Definitions'!$A$7,"...")</f>
        <v>...</v>
      </c>
      <c r="B533" s="4" t="str">
        <f>IF($J$444="Y","---&gt;","...")</f>
        <v>...</v>
      </c>
      <c r="C533" s="1" t="str">
        <f>IF($J$444="Y",'Population Definitions'!$A$10,"...")</f>
        <v>...</v>
      </c>
      <c r="E533" s="2"/>
      <c r="F533" s="3"/>
      <c r="G533" s="2"/>
      <c r="H533" s="4" t="str">
        <f>IF($J$444="Y","OR","...")</f>
        <v>...</v>
      </c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2"/>
      <c r="AM533" s="2"/>
      <c r="AN533" s="2"/>
      <c r="AO533" s="2"/>
      <c r="AP533" s="2"/>
      <c r="AQ533" s="2"/>
      <c r="AR533" s="2"/>
      <c r="AS533" s="2"/>
      <c r="AT533" s="2"/>
      <c r="AU533" s="2"/>
      <c r="AV533" s="2"/>
      <c r="AW533" s="2"/>
      <c r="AX533" s="2"/>
      <c r="AY533" s="2"/>
      <c r="AZ533" s="2"/>
      <c r="BA533" s="2"/>
      <c r="BB533" s="2"/>
      <c r="BC533" s="2"/>
      <c r="BD533" s="2"/>
      <c r="BE533" s="2"/>
      <c r="BF533" s="2"/>
      <c r="BG533" s="2"/>
    </row>
    <row r="534" spans="1:59">
      <c r="A534" s="1" t="str">
        <f>IF($K$444="Y",'Population Definitions'!$A$7,"...")</f>
        <v>...</v>
      </c>
      <c r="B534" s="4" t="str">
        <f>IF($K$444="Y","---&gt;","...")</f>
        <v>...</v>
      </c>
      <c r="C534" s="1" t="str">
        <f>IF($K$444="Y",'Population Definitions'!$A$11,"...")</f>
        <v>...</v>
      </c>
      <c r="E534" s="2"/>
      <c r="F534" s="3"/>
      <c r="G534" s="2"/>
      <c r="H534" s="4" t="str">
        <f>IF($K$444="Y","OR","...")</f>
        <v>...</v>
      </c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  <c r="AM534" s="2"/>
      <c r="AN534" s="2"/>
      <c r="AO534" s="2"/>
      <c r="AP534" s="2"/>
      <c r="AQ534" s="2"/>
      <c r="AR534" s="2"/>
      <c r="AS534" s="2"/>
      <c r="AT534" s="2"/>
      <c r="AU534" s="2"/>
      <c r="AV534" s="2"/>
      <c r="AW534" s="2"/>
      <c r="AX534" s="2"/>
      <c r="AY534" s="2"/>
      <c r="AZ534" s="2"/>
      <c r="BA534" s="2"/>
      <c r="BB534" s="2"/>
      <c r="BC534" s="2"/>
      <c r="BD534" s="2"/>
      <c r="BE534" s="2"/>
      <c r="BF534" s="2"/>
      <c r="BG534" s="2"/>
    </row>
    <row r="535" spans="1:59">
      <c r="A535" s="1" t="str">
        <f>IF($L$444="Y",'Population Definitions'!$A$7,"...")</f>
        <v>...</v>
      </c>
      <c r="B535" s="4" t="str">
        <f>IF($L$444="Y","---&gt;","...")</f>
        <v>...</v>
      </c>
      <c r="C535" s="1" t="str">
        <f>IF($L$444="Y",'Population Definitions'!$A$12,"...")</f>
        <v>...</v>
      </c>
      <c r="E535" s="2"/>
      <c r="F535" s="3"/>
      <c r="G535" s="2"/>
      <c r="H535" s="4" t="str">
        <f>IF($L$444="Y","OR","...")</f>
        <v>...</v>
      </c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  <c r="AM535" s="2"/>
      <c r="AN535" s="2"/>
      <c r="AO535" s="2"/>
      <c r="AP535" s="2"/>
      <c r="AQ535" s="2"/>
      <c r="AR535" s="2"/>
      <c r="AS535" s="2"/>
      <c r="AT535" s="2"/>
      <c r="AU535" s="2"/>
      <c r="AV535" s="2"/>
      <c r="AW535" s="2"/>
      <c r="AX535" s="2"/>
      <c r="AY535" s="2"/>
      <c r="AZ535" s="2"/>
      <c r="BA535" s="2"/>
      <c r="BB535" s="2"/>
      <c r="BC535" s="2"/>
      <c r="BD535" s="2"/>
      <c r="BE535" s="2"/>
      <c r="BF535" s="2"/>
      <c r="BG535" s="2"/>
    </row>
    <row r="536" spans="1:59">
      <c r="A536" s="1" t="str">
        <f>IF($M$444="Y",'Population Definitions'!$A$7,"...")</f>
        <v>...</v>
      </c>
      <c r="B536" s="4" t="str">
        <f>IF($M$444="Y","---&gt;","...")</f>
        <v>...</v>
      </c>
      <c r="C536" s="1" t="str">
        <f>IF($M$444="Y",'Population Definitions'!$A$13,"...")</f>
        <v>...</v>
      </c>
      <c r="E536" s="2"/>
      <c r="F536" s="3"/>
      <c r="G536" s="2"/>
      <c r="H536" s="4" t="str">
        <f>IF($M$444="Y","OR","...")</f>
        <v>...</v>
      </c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  <c r="AM536" s="2"/>
      <c r="AN536" s="2"/>
      <c r="AO536" s="2"/>
      <c r="AP536" s="2"/>
      <c r="AQ536" s="2"/>
      <c r="AR536" s="2"/>
      <c r="AS536" s="2"/>
      <c r="AT536" s="2"/>
      <c r="AU536" s="2"/>
      <c r="AV536" s="2"/>
      <c r="AW536" s="2"/>
      <c r="AX536" s="2"/>
      <c r="AY536" s="2"/>
      <c r="AZ536" s="2"/>
      <c r="BA536" s="2"/>
      <c r="BB536" s="2"/>
      <c r="BC536" s="2"/>
      <c r="BD536" s="2"/>
      <c r="BE536" s="2"/>
      <c r="BF536" s="2"/>
      <c r="BG536" s="2"/>
    </row>
    <row r="537" spans="1:59">
      <c r="A537" s="1" t="str">
        <f>IF($N$444="Y",'Population Definitions'!$A$7,"...")</f>
        <v>...</v>
      </c>
      <c r="B537" s="4" t="str">
        <f>IF($N$444="Y","---&gt;","...")</f>
        <v>...</v>
      </c>
      <c r="C537" s="1" t="str">
        <f>IF($N$444="Y",'Population Definitions'!$A$14,"...")</f>
        <v>...</v>
      </c>
      <c r="E537" s="2"/>
      <c r="F537" s="3"/>
      <c r="G537" s="2"/>
      <c r="H537" s="4" t="str">
        <f>IF($N$444="Y","OR","...")</f>
        <v>...</v>
      </c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  <c r="AM537" s="2"/>
      <c r="AN537" s="2"/>
      <c r="AO537" s="2"/>
      <c r="AP537" s="2"/>
      <c r="AQ537" s="2"/>
      <c r="AR537" s="2"/>
      <c r="AS537" s="2"/>
      <c r="AT537" s="2"/>
      <c r="AU537" s="2"/>
      <c r="AV537" s="2"/>
      <c r="AW537" s="2"/>
      <c r="AX537" s="2"/>
      <c r="AY537" s="2"/>
      <c r="AZ537" s="2"/>
      <c r="BA537" s="2"/>
      <c r="BB537" s="2"/>
      <c r="BC537" s="2"/>
      <c r="BD537" s="2"/>
      <c r="BE537" s="2"/>
      <c r="BF537" s="2"/>
      <c r="BG537" s="2"/>
    </row>
    <row r="538" spans="1:59">
      <c r="A538" s="1" t="str">
        <f>IF($O$444="Y",'Population Definitions'!$A$7,"...")</f>
        <v>...</v>
      </c>
      <c r="B538" s="4" t="str">
        <f>IF($O$444="Y","---&gt;","...")</f>
        <v>...</v>
      </c>
      <c r="C538" s="1" t="str">
        <f>IF($O$444="Y",'Population Definitions'!$A$15,"...")</f>
        <v>...</v>
      </c>
      <c r="E538" s="2"/>
      <c r="F538" s="3"/>
      <c r="G538" s="2"/>
      <c r="H538" s="4" t="str">
        <f>IF($O$444="Y","OR","...")</f>
        <v>...</v>
      </c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  <c r="AM538" s="2"/>
      <c r="AN538" s="2"/>
      <c r="AO538" s="2"/>
      <c r="AP538" s="2"/>
      <c r="AQ538" s="2"/>
      <c r="AR538" s="2"/>
      <c r="AS538" s="2"/>
      <c r="AT538" s="2"/>
      <c r="AU538" s="2"/>
      <c r="AV538" s="2"/>
      <c r="AW538" s="2"/>
      <c r="AX538" s="2"/>
      <c r="AY538" s="2"/>
      <c r="AZ538" s="2"/>
      <c r="BA538" s="2"/>
      <c r="BB538" s="2"/>
      <c r="BC538" s="2"/>
      <c r="BD538" s="2"/>
      <c r="BE538" s="2"/>
      <c r="BF538" s="2"/>
      <c r="BG538" s="2"/>
    </row>
    <row r="539" spans="1:59">
      <c r="A539" s="1" t="str">
        <f>IF($B$445="Y",'Population Definitions'!$A$8,"...")</f>
        <v>...</v>
      </c>
      <c r="B539" s="4" t="str">
        <f>IF($B$445="Y","---&gt;","...")</f>
        <v>...</v>
      </c>
      <c r="C539" s="1" t="str">
        <f>IF($B$445="Y",'Population Definitions'!$A$2,"...")</f>
        <v>...</v>
      </c>
      <c r="E539" s="2"/>
      <c r="F539" s="3"/>
      <c r="G539" s="2"/>
      <c r="H539" s="4" t="str">
        <f>IF($B$445="Y","OR","...")</f>
        <v>...</v>
      </c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  <c r="AM539" s="2"/>
      <c r="AN539" s="2"/>
      <c r="AO539" s="2"/>
      <c r="AP539" s="2"/>
      <c r="AQ539" s="2"/>
      <c r="AR539" s="2"/>
      <c r="AS539" s="2"/>
      <c r="AT539" s="2"/>
      <c r="AU539" s="2"/>
      <c r="AV539" s="2"/>
      <c r="AW539" s="2"/>
      <c r="AX539" s="2"/>
      <c r="AY539" s="2"/>
      <c r="AZ539" s="2"/>
      <c r="BA539" s="2"/>
      <c r="BB539" s="2"/>
      <c r="BC539" s="2"/>
      <c r="BD539" s="2"/>
      <c r="BE539" s="2"/>
      <c r="BF539" s="2"/>
      <c r="BG539" s="2"/>
    </row>
    <row r="540" spans="1:59">
      <c r="A540" s="1" t="str">
        <f>IF($C$445="Y",'Population Definitions'!$A$8,"...")</f>
        <v>...</v>
      </c>
      <c r="B540" s="4" t="str">
        <f>IF($C$445="Y","---&gt;","...")</f>
        <v>...</v>
      </c>
      <c r="C540" s="1" t="str">
        <f>IF($C$445="Y",'Population Definitions'!$A$3,"...")</f>
        <v>...</v>
      </c>
      <c r="E540" s="2"/>
      <c r="F540" s="3"/>
      <c r="G540" s="2"/>
      <c r="H540" s="4" t="str">
        <f>IF($C$445="Y","OR","...")</f>
        <v>...</v>
      </c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  <c r="AM540" s="2"/>
      <c r="AN540" s="2"/>
      <c r="AO540" s="2"/>
      <c r="AP540" s="2"/>
      <c r="AQ540" s="2"/>
      <c r="AR540" s="2"/>
      <c r="AS540" s="2"/>
      <c r="AT540" s="2"/>
      <c r="AU540" s="2"/>
      <c r="AV540" s="2"/>
      <c r="AW540" s="2"/>
      <c r="AX540" s="2"/>
      <c r="AY540" s="2"/>
      <c r="AZ540" s="2"/>
      <c r="BA540" s="2"/>
      <c r="BB540" s="2"/>
      <c r="BC540" s="2"/>
      <c r="BD540" s="2"/>
      <c r="BE540" s="2"/>
      <c r="BF540" s="2"/>
      <c r="BG540" s="2"/>
    </row>
    <row r="541" spans="1:59">
      <c r="A541" s="1" t="str">
        <f>IF($D$445="Y",'Population Definitions'!$A$8,"...")</f>
        <v>...</v>
      </c>
      <c r="B541" s="4" t="str">
        <f>IF($D$445="Y","---&gt;","...")</f>
        <v>...</v>
      </c>
      <c r="C541" s="1" t="str">
        <f>IF($D$445="Y",'Population Definitions'!$A$4,"...")</f>
        <v>...</v>
      </c>
      <c r="E541" s="2"/>
      <c r="F541" s="3"/>
      <c r="G541" s="2"/>
      <c r="H541" s="4" t="str">
        <f>IF($D$445="Y","OR","...")</f>
        <v>...</v>
      </c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  <c r="AM541" s="2"/>
      <c r="AN541" s="2"/>
      <c r="AO541" s="2"/>
      <c r="AP541" s="2"/>
      <c r="AQ541" s="2"/>
      <c r="AR541" s="2"/>
      <c r="AS541" s="2"/>
      <c r="AT541" s="2"/>
      <c r="AU541" s="2"/>
      <c r="AV541" s="2"/>
      <c r="AW541" s="2"/>
      <c r="AX541" s="2"/>
      <c r="AY541" s="2"/>
      <c r="AZ541" s="2"/>
      <c r="BA541" s="2"/>
      <c r="BB541" s="2"/>
      <c r="BC541" s="2"/>
      <c r="BD541" s="2"/>
      <c r="BE541" s="2"/>
      <c r="BF541" s="2"/>
      <c r="BG541" s="2"/>
    </row>
    <row r="542" spans="1:59">
      <c r="A542" s="1" t="str">
        <f>IF($E$445="Y",'Population Definitions'!$A$8,"...")</f>
        <v>...</v>
      </c>
      <c r="B542" s="4" t="str">
        <f>IF($E$445="Y","---&gt;","...")</f>
        <v>...</v>
      </c>
      <c r="C542" s="1" t="str">
        <f>IF($E$445="Y",'Population Definitions'!$A$5,"...")</f>
        <v>...</v>
      </c>
      <c r="E542" s="2"/>
      <c r="F542" s="3"/>
      <c r="G542" s="2"/>
      <c r="H542" s="4" t="str">
        <f>IF($E$445="Y","OR","...")</f>
        <v>...</v>
      </c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  <c r="AM542" s="2"/>
      <c r="AN542" s="2"/>
      <c r="AO542" s="2"/>
      <c r="AP542" s="2"/>
      <c r="AQ542" s="2"/>
      <c r="AR542" s="2"/>
      <c r="AS542" s="2"/>
      <c r="AT542" s="2"/>
      <c r="AU542" s="2"/>
      <c r="AV542" s="2"/>
      <c r="AW542" s="2"/>
      <c r="AX542" s="2"/>
      <c r="AY542" s="2"/>
      <c r="AZ542" s="2"/>
      <c r="BA542" s="2"/>
      <c r="BB542" s="2"/>
      <c r="BC542" s="2"/>
      <c r="BD542" s="2"/>
      <c r="BE542" s="2"/>
      <c r="BF542" s="2"/>
      <c r="BG542" s="2"/>
    </row>
    <row r="543" spans="1:59">
      <c r="A543" s="1" t="str">
        <f>IF($F$445="Y",'Population Definitions'!$A$8,"...")</f>
        <v>...</v>
      </c>
      <c r="B543" s="4" t="str">
        <f>IF($F$445="Y","---&gt;","...")</f>
        <v>...</v>
      </c>
      <c r="C543" s="1" t="str">
        <f>IF($F$445="Y",'Population Definitions'!$A$6,"...")</f>
        <v>...</v>
      </c>
      <c r="E543" s="2"/>
      <c r="F543" s="3"/>
      <c r="G543" s="2"/>
      <c r="H543" s="4" t="str">
        <f>IF($F$445="Y","OR","...")</f>
        <v>...</v>
      </c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  <c r="AM543" s="2"/>
      <c r="AN543" s="2"/>
      <c r="AO543" s="2"/>
      <c r="AP543" s="2"/>
      <c r="AQ543" s="2"/>
      <c r="AR543" s="2"/>
      <c r="AS543" s="2"/>
      <c r="AT543" s="2"/>
      <c r="AU543" s="2"/>
      <c r="AV543" s="2"/>
      <c r="AW543" s="2"/>
      <c r="AX543" s="2"/>
      <c r="AY543" s="2"/>
      <c r="AZ543" s="2"/>
      <c r="BA543" s="2"/>
      <c r="BB543" s="2"/>
      <c r="BC543" s="2"/>
      <c r="BD543" s="2"/>
      <c r="BE543" s="2"/>
      <c r="BF543" s="2"/>
      <c r="BG543" s="2"/>
    </row>
    <row r="544" spans="1:59">
      <c r="A544" s="1" t="str">
        <f>IF($G$445="Y",'Population Definitions'!$A$8,"...")</f>
        <v>...</v>
      </c>
      <c r="B544" s="4" t="str">
        <f>IF($G$445="Y","---&gt;","...")</f>
        <v>...</v>
      </c>
      <c r="C544" s="1" t="str">
        <f>IF($G$445="Y",'Population Definitions'!$A$7,"...")</f>
        <v>...</v>
      </c>
      <c r="E544" s="2"/>
      <c r="F544" s="3"/>
      <c r="G544" s="2"/>
      <c r="H544" s="4" t="str">
        <f>IF($G$445="Y","OR","...")</f>
        <v>...</v>
      </c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  <c r="AM544" s="2"/>
      <c r="AN544" s="2"/>
      <c r="AO544" s="2"/>
      <c r="AP544" s="2"/>
      <c r="AQ544" s="2"/>
      <c r="AR544" s="2"/>
      <c r="AS544" s="2"/>
      <c r="AT544" s="2"/>
      <c r="AU544" s="2"/>
      <c r="AV544" s="2"/>
      <c r="AW544" s="2"/>
      <c r="AX544" s="2"/>
      <c r="AY544" s="2"/>
      <c r="AZ544" s="2"/>
      <c r="BA544" s="2"/>
      <c r="BB544" s="2"/>
      <c r="BC544" s="2"/>
      <c r="BD544" s="2"/>
      <c r="BE544" s="2"/>
      <c r="BF544" s="2"/>
      <c r="BG544" s="2"/>
    </row>
    <row r="545" spans="1:59">
      <c r="A545" s="1" t="str">
        <f>IF($H$445="Y",'Population Definitions'!$A$8,"...")</f>
        <v>...</v>
      </c>
      <c r="B545" s="4" t="str">
        <f>IF($H$445="Y","---&gt;","...")</f>
        <v>...</v>
      </c>
      <c r="C545" s="1" t="str">
        <f>IF($H$445="Y",'Population Definitions'!$A$8,"...")</f>
        <v>...</v>
      </c>
      <c r="E545" s="2"/>
      <c r="F545" s="3"/>
      <c r="G545" s="2"/>
      <c r="H545" s="4" t="str">
        <f>IF($H$445="Y","OR","...")</f>
        <v>...</v>
      </c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  <c r="AM545" s="2"/>
      <c r="AN545" s="2"/>
      <c r="AO545" s="2"/>
      <c r="AP545" s="2"/>
      <c r="AQ545" s="2"/>
      <c r="AR545" s="2"/>
      <c r="AS545" s="2"/>
      <c r="AT545" s="2"/>
      <c r="AU545" s="2"/>
      <c r="AV545" s="2"/>
      <c r="AW545" s="2"/>
      <c r="AX545" s="2"/>
      <c r="AY545" s="2"/>
      <c r="AZ545" s="2"/>
      <c r="BA545" s="2"/>
      <c r="BB545" s="2"/>
      <c r="BC545" s="2"/>
      <c r="BD545" s="2"/>
      <c r="BE545" s="2"/>
      <c r="BF545" s="2"/>
      <c r="BG545" s="2"/>
    </row>
    <row r="546" spans="1:59">
      <c r="A546" s="1" t="str">
        <f>IF($I$445="Y",'Population Definitions'!$A$8,"...")</f>
        <v>...</v>
      </c>
      <c r="B546" s="4" t="str">
        <f>IF($I$445="Y","---&gt;","...")</f>
        <v>...</v>
      </c>
      <c r="C546" s="1" t="str">
        <f>IF($I$445="Y",'Population Definitions'!$A$9,"...")</f>
        <v>...</v>
      </c>
      <c r="E546" s="2"/>
      <c r="F546" s="3"/>
      <c r="G546" s="2"/>
      <c r="H546" s="4" t="str">
        <f>IF($I$445="Y","OR","...")</f>
        <v>...</v>
      </c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  <c r="AM546" s="2"/>
      <c r="AN546" s="2"/>
      <c r="AO546" s="2"/>
      <c r="AP546" s="2"/>
      <c r="AQ546" s="2"/>
      <c r="AR546" s="2"/>
      <c r="AS546" s="2"/>
      <c r="AT546" s="2"/>
      <c r="AU546" s="2"/>
      <c r="AV546" s="2"/>
      <c r="AW546" s="2"/>
      <c r="AX546" s="2"/>
      <c r="AY546" s="2"/>
      <c r="AZ546" s="2"/>
      <c r="BA546" s="2"/>
      <c r="BB546" s="2"/>
      <c r="BC546" s="2"/>
      <c r="BD546" s="2"/>
      <c r="BE546" s="2"/>
      <c r="BF546" s="2"/>
      <c r="BG546" s="2"/>
    </row>
    <row r="547" spans="1:59">
      <c r="A547" s="1" t="str">
        <f>IF($J$445="Y",'Population Definitions'!$A$8,"...")</f>
        <v>...</v>
      </c>
      <c r="B547" s="4" t="str">
        <f>IF($J$445="Y","---&gt;","...")</f>
        <v>...</v>
      </c>
      <c r="C547" s="1" t="str">
        <f>IF($J$445="Y",'Population Definitions'!$A$10,"...")</f>
        <v>...</v>
      </c>
      <c r="E547" s="2"/>
      <c r="F547" s="3"/>
      <c r="G547" s="2"/>
      <c r="H547" s="4" t="str">
        <f>IF($J$445="Y","OR","...")</f>
        <v>...</v>
      </c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  <c r="AM547" s="2"/>
      <c r="AN547" s="2"/>
      <c r="AO547" s="2"/>
      <c r="AP547" s="2"/>
      <c r="AQ547" s="2"/>
      <c r="AR547" s="2"/>
      <c r="AS547" s="2"/>
      <c r="AT547" s="2"/>
      <c r="AU547" s="2"/>
      <c r="AV547" s="2"/>
      <c r="AW547" s="2"/>
      <c r="AX547" s="2"/>
      <c r="AY547" s="2"/>
      <c r="AZ547" s="2"/>
      <c r="BA547" s="2"/>
      <c r="BB547" s="2"/>
      <c r="BC547" s="2"/>
      <c r="BD547" s="2"/>
      <c r="BE547" s="2"/>
      <c r="BF547" s="2"/>
      <c r="BG547" s="2"/>
    </row>
    <row r="548" spans="1:59">
      <c r="A548" s="1" t="str">
        <f>IF($K$445="Y",'Population Definitions'!$A$8,"...")</f>
        <v>...</v>
      </c>
      <c r="B548" s="4" t="str">
        <f>IF($K$445="Y","---&gt;","...")</f>
        <v>...</v>
      </c>
      <c r="C548" s="1" t="str">
        <f>IF($K$445="Y",'Population Definitions'!$A$11,"...")</f>
        <v>...</v>
      </c>
      <c r="E548" s="2"/>
      <c r="F548" s="3"/>
      <c r="G548" s="2"/>
      <c r="H548" s="4" t="str">
        <f>IF($K$445="Y","OR","...")</f>
        <v>...</v>
      </c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  <c r="AM548" s="2"/>
      <c r="AN548" s="2"/>
      <c r="AO548" s="2"/>
      <c r="AP548" s="2"/>
      <c r="AQ548" s="2"/>
      <c r="AR548" s="2"/>
      <c r="AS548" s="2"/>
      <c r="AT548" s="2"/>
      <c r="AU548" s="2"/>
      <c r="AV548" s="2"/>
      <c r="AW548" s="2"/>
      <c r="AX548" s="2"/>
      <c r="AY548" s="2"/>
      <c r="AZ548" s="2"/>
      <c r="BA548" s="2"/>
      <c r="BB548" s="2"/>
      <c r="BC548" s="2"/>
      <c r="BD548" s="2"/>
      <c r="BE548" s="2"/>
      <c r="BF548" s="2"/>
      <c r="BG548" s="2"/>
    </row>
    <row r="549" spans="1:59">
      <c r="A549" s="1" t="str">
        <f>IF($L$445="Y",'Population Definitions'!$A$8,"...")</f>
        <v>18-64_males</v>
      </c>
      <c r="B549" s="4" t="str">
        <f>IF($L$445="Y","---&gt;","...")</f>
        <v>---&gt;</v>
      </c>
      <c r="C549" s="1" t="str">
        <f>IF($L$445="Y",'Population Definitions'!$A$12,"...")</f>
        <v>Prisoners_males</v>
      </c>
      <c r="E549" s="3" t="s">
        <v>55</v>
      </c>
      <c r="F549" s="3"/>
      <c r="G549" s="3">
        <v>0.001894149511601756</v>
      </c>
      <c r="H549" s="4" t="str">
        <f>IF($L$445="Y","OR","...")</f>
        <v>OR</v>
      </c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  <c r="AG549" s="3"/>
      <c r="AH549" s="3"/>
      <c r="AI549" s="3"/>
      <c r="AJ549" s="3"/>
      <c r="AK549" s="3"/>
      <c r="AL549" s="3"/>
      <c r="AM549" s="3"/>
      <c r="AN549" s="3"/>
      <c r="AO549" s="3"/>
      <c r="AP549" s="3"/>
      <c r="AQ549" s="3"/>
      <c r="AR549" s="3"/>
      <c r="AS549" s="3"/>
      <c r="AT549" s="3"/>
      <c r="AU549" s="3"/>
      <c r="AV549" s="3"/>
      <c r="AW549" s="3"/>
      <c r="AX549" s="3"/>
      <c r="AY549" s="3"/>
      <c r="AZ549" s="3"/>
      <c r="BA549" s="3"/>
      <c r="BB549" s="3"/>
      <c r="BC549" s="3"/>
      <c r="BD549" s="3"/>
      <c r="BE549" s="3"/>
      <c r="BF549" s="3"/>
      <c r="BG549" s="3"/>
    </row>
    <row r="550" spans="1:59">
      <c r="A550" s="1" t="str">
        <f>IF($M$445="Y",'Population Definitions'!$A$8,"...")</f>
        <v>...</v>
      </c>
      <c r="B550" s="4" t="str">
        <f>IF($M$445="Y","---&gt;","...")</f>
        <v>...</v>
      </c>
      <c r="C550" s="1" t="str">
        <f>IF($M$445="Y",'Population Definitions'!$A$13,"...")</f>
        <v>...</v>
      </c>
      <c r="E550" s="2"/>
      <c r="F550" s="3"/>
      <c r="G550" s="2"/>
      <c r="H550" s="4" t="str">
        <f>IF($M$445="Y","OR","...")</f>
        <v>...</v>
      </c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  <c r="AM550" s="2"/>
      <c r="AN550" s="2"/>
      <c r="AO550" s="2"/>
      <c r="AP550" s="2"/>
      <c r="AQ550" s="2"/>
      <c r="AR550" s="2"/>
      <c r="AS550" s="2"/>
      <c r="AT550" s="2"/>
      <c r="AU550" s="2"/>
      <c r="AV550" s="2"/>
      <c r="AW550" s="2"/>
      <c r="AX550" s="2"/>
      <c r="AY550" s="2"/>
      <c r="AZ550" s="2"/>
      <c r="BA550" s="2"/>
      <c r="BB550" s="2"/>
      <c r="BC550" s="2"/>
      <c r="BD550" s="2"/>
      <c r="BE550" s="2"/>
      <c r="BF550" s="2"/>
      <c r="BG550" s="2"/>
    </row>
    <row r="551" spans="1:59">
      <c r="A551" s="1" t="str">
        <f>IF($N$445="Y",'Population Definitions'!$A$8,"...")</f>
        <v>...</v>
      </c>
      <c r="B551" s="4" t="str">
        <f>IF($N$445="Y","---&gt;","...")</f>
        <v>...</v>
      </c>
      <c r="C551" s="1" t="str">
        <f>IF($N$445="Y",'Population Definitions'!$A$14,"...")</f>
        <v>...</v>
      </c>
      <c r="E551" s="2"/>
      <c r="F551" s="3"/>
      <c r="G551" s="2"/>
      <c r="H551" s="4" t="str">
        <f>IF($N$445="Y","OR","...")</f>
        <v>...</v>
      </c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  <c r="AM551" s="2"/>
      <c r="AN551" s="2"/>
      <c r="AO551" s="2"/>
      <c r="AP551" s="2"/>
      <c r="AQ551" s="2"/>
      <c r="AR551" s="2"/>
      <c r="AS551" s="2"/>
      <c r="AT551" s="2"/>
      <c r="AU551" s="2"/>
      <c r="AV551" s="2"/>
      <c r="AW551" s="2"/>
      <c r="AX551" s="2"/>
      <c r="AY551" s="2"/>
      <c r="AZ551" s="2"/>
      <c r="BA551" s="2"/>
      <c r="BB551" s="2"/>
      <c r="BC551" s="2"/>
      <c r="BD551" s="2"/>
      <c r="BE551" s="2"/>
      <c r="BF551" s="2"/>
      <c r="BG551" s="2"/>
    </row>
    <row r="552" spans="1:59">
      <c r="A552" s="1" t="str">
        <f>IF($O$445="Y",'Population Definitions'!$A$8,"...")</f>
        <v>...</v>
      </c>
      <c r="B552" s="4" t="str">
        <f>IF($O$445="Y","---&gt;","...")</f>
        <v>...</v>
      </c>
      <c r="C552" s="1" t="str">
        <f>IF($O$445="Y",'Population Definitions'!$A$15,"...")</f>
        <v>...</v>
      </c>
      <c r="E552" s="2"/>
      <c r="F552" s="3"/>
      <c r="G552" s="2"/>
      <c r="H552" s="4" t="str">
        <f>IF($O$445="Y","OR","...")</f>
        <v>...</v>
      </c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  <c r="AM552" s="2"/>
      <c r="AN552" s="2"/>
      <c r="AO552" s="2"/>
      <c r="AP552" s="2"/>
      <c r="AQ552" s="2"/>
      <c r="AR552" s="2"/>
      <c r="AS552" s="2"/>
      <c r="AT552" s="2"/>
      <c r="AU552" s="2"/>
      <c r="AV552" s="2"/>
      <c r="AW552" s="2"/>
      <c r="AX552" s="2"/>
      <c r="AY552" s="2"/>
      <c r="AZ552" s="2"/>
      <c r="BA552" s="2"/>
      <c r="BB552" s="2"/>
      <c r="BC552" s="2"/>
      <c r="BD552" s="2"/>
      <c r="BE552" s="2"/>
      <c r="BF552" s="2"/>
      <c r="BG552" s="2"/>
    </row>
    <row r="553" spans="1:59">
      <c r="A553" s="1" t="str">
        <f>IF($B$446="Y",'Population Definitions'!$A$9,"...")</f>
        <v>...</v>
      </c>
      <c r="B553" s="4" t="str">
        <f>IF($B$446="Y","---&gt;","...")</f>
        <v>...</v>
      </c>
      <c r="C553" s="1" t="str">
        <f>IF($B$446="Y",'Population Definitions'!$A$2,"...")</f>
        <v>...</v>
      </c>
      <c r="E553" s="2"/>
      <c r="F553" s="3"/>
      <c r="G553" s="2"/>
      <c r="H553" s="4" t="str">
        <f>IF($B$446="Y","OR","...")</f>
        <v>...</v>
      </c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  <c r="AM553" s="2"/>
      <c r="AN553" s="2"/>
      <c r="AO553" s="2"/>
      <c r="AP553" s="2"/>
      <c r="AQ553" s="2"/>
      <c r="AR553" s="2"/>
      <c r="AS553" s="2"/>
      <c r="AT553" s="2"/>
      <c r="AU553" s="2"/>
      <c r="AV553" s="2"/>
      <c r="AW553" s="2"/>
      <c r="AX553" s="2"/>
      <c r="AY553" s="2"/>
      <c r="AZ553" s="2"/>
      <c r="BA553" s="2"/>
      <c r="BB553" s="2"/>
      <c r="BC553" s="2"/>
      <c r="BD553" s="2"/>
      <c r="BE553" s="2"/>
      <c r="BF553" s="2"/>
      <c r="BG553" s="2"/>
    </row>
    <row r="554" spans="1:59">
      <c r="A554" s="1" t="str">
        <f>IF($C$446="Y",'Population Definitions'!$A$9,"...")</f>
        <v>...</v>
      </c>
      <c r="B554" s="4" t="str">
        <f>IF($C$446="Y","---&gt;","...")</f>
        <v>...</v>
      </c>
      <c r="C554" s="1" t="str">
        <f>IF($C$446="Y",'Population Definitions'!$A$3,"...")</f>
        <v>...</v>
      </c>
      <c r="E554" s="2"/>
      <c r="F554" s="3"/>
      <c r="G554" s="2"/>
      <c r="H554" s="4" t="str">
        <f>IF($C$446="Y","OR","...")</f>
        <v>...</v>
      </c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  <c r="AM554" s="2"/>
      <c r="AN554" s="2"/>
      <c r="AO554" s="2"/>
      <c r="AP554" s="2"/>
      <c r="AQ554" s="2"/>
      <c r="AR554" s="2"/>
      <c r="AS554" s="2"/>
      <c r="AT554" s="2"/>
      <c r="AU554" s="2"/>
      <c r="AV554" s="2"/>
      <c r="AW554" s="2"/>
      <c r="AX554" s="2"/>
      <c r="AY554" s="2"/>
      <c r="AZ554" s="2"/>
      <c r="BA554" s="2"/>
      <c r="BB554" s="2"/>
      <c r="BC554" s="2"/>
      <c r="BD554" s="2"/>
      <c r="BE554" s="2"/>
      <c r="BF554" s="2"/>
      <c r="BG554" s="2"/>
    </row>
    <row r="555" spans="1:59">
      <c r="A555" s="1" t="str">
        <f>IF($D$446="Y",'Population Definitions'!$A$9,"...")</f>
        <v>...</v>
      </c>
      <c r="B555" s="4" t="str">
        <f>IF($D$446="Y","---&gt;","...")</f>
        <v>...</v>
      </c>
      <c r="C555" s="1" t="str">
        <f>IF($D$446="Y",'Population Definitions'!$A$4,"...")</f>
        <v>...</v>
      </c>
      <c r="E555" s="2"/>
      <c r="F555" s="3"/>
      <c r="G555" s="2"/>
      <c r="H555" s="4" t="str">
        <f>IF($D$446="Y","OR","...")</f>
        <v>...</v>
      </c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  <c r="AM555" s="2"/>
      <c r="AN555" s="2"/>
      <c r="AO555" s="2"/>
      <c r="AP555" s="2"/>
      <c r="AQ555" s="2"/>
      <c r="AR555" s="2"/>
      <c r="AS555" s="2"/>
      <c r="AT555" s="2"/>
      <c r="AU555" s="2"/>
      <c r="AV555" s="2"/>
      <c r="AW555" s="2"/>
      <c r="AX555" s="2"/>
      <c r="AY555" s="2"/>
      <c r="AZ555" s="2"/>
      <c r="BA555" s="2"/>
      <c r="BB555" s="2"/>
      <c r="BC555" s="2"/>
      <c r="BD555" s="2"/>
      <c r="BE555" s="2"/>
      <c r="BF555" s="2"/>
      <c r="BG555" s="2"/>
    </row>
    <row r="556" spans="1:59">
      <c r="A556" s="1" t="str">
        <f>IF($E$446="Y",'Population Definitions'!$A$9,"...")</f>
        <v>...</v>
      </c>
      <c r="B556" s="4" t="str">
        <f>IF($E$446="Y","---&gt;","...")</f>
        <v>...</v>
      </c>
      <c r="C556" s="1" t="str">
        <f>IF($E$446="Y",'Population Definitions'!$A$5,"...")</f>
        <v>...</v>
      </c>
      <c r="E556" s="2"/>
      <c r="F556" s="3"/>
      <c r="G556" s="2"/>
      <c r="H556" s="4" t="str">
        <f>IF($E$446="Y","OR","...")</f>
        <v>...</v>
      </c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  <c r="AM556" s="2"/>
      <c r="AN556" s="2"/>
      <c r="AO556" s="2"/>
      <c r="AP556" s="2"/>
      <c r="AQ556" s="2"/>
      <c r="AR556" s="2"/>
      <c r="AS556" s="2"/>
      <c r="AT556" s="2"/>
      <c r="AU556" s="2"/>
      <c r="AV556" s="2"/>
      <c r="AW556" s="2"/>
      <c r="AX556" s="2"/>
      <c r="AY556" s="2"/>
      <c r="AZ556" s="2"/>
      <c r="BA556" s="2"/>
      <c r="BB556" s="2"/>
      <c r="BC556" s="2"/>
      <c r="BD556" s="2"/>
      <c r="BE556" s="2"/>
      <c r="BF556" s="2"/>
      <c r="BG556" s="2"/>
    </row>
    <row r="557" spans="1:59">
      <c r="A557" s="1" t="str">
        <f>IF($F$446="Y",'Population Definitions'!$A$9,"...")</f>
        <v>...</v>
      </c>
      <c r="B557" s="4" t="str">
        <f>IF($F$446="Y","---&gt;","...")</f>
        <v>...</v>
      </c>
      <c r="C557" s="1" t="str">
        <f>IF($F$446="Y",'Population Definitions'!$A$6,"...")</f>
        <v>...</v>
      </c>
      <c r="E557" s="2"/>
      <c r="F557" s="3"/>
      <c r="G557" s="2"/>
      <c r="H557" s="4" t="str">
        <f>IF($F$446="Y","OR","...")</f>
        <v>...</v>
      </c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  <c r="AM557" s="2"/>
      <c r="AN557" s="2"/>
      <c r="AO557" s="2"/>
      <c r="AP557" s="2"/>
      <c r="AQ557" s="2"/>
      <c r="AR557" s="2"/>
      <c r="AS557" s="2"/>
      <c r="AT557" s="2"/>
      <c r="AU557" s="2"/>
      <c r="AV557" s="2"/>
      <c r="AW557" s="2"/>
      <c r="AX557" s="2"/>
      <c r="AY557" s="2"/>
      <c r="AZ557" s="2"/>
      <c r="BA557" s="2"/>
      <c r="BB557" s="2"/>
      <c r="BC557" s="2"/>
      <c r="BD557" s="2"/>
      <c r="BE557" s="2"/>
      <c r="BF557" s="2"/>
      <c r="BG557" s="2"/>
    </row>
    <row r="558" spans="1:59">
      <c r="A558" s="1" t="str">
        <f>IF($G$446="Y",'Population Definitions'!$A$9,"...")</f>
        <v>...</v>
      </c>
      <c r="B558" s="4" t="str">
        <f>IF($G$446="Y","---&gt;","...")</f>
        <v>...</v>
      </c>
      <c r="C558" s="1" t="str">
        <f>IF($G$446="Y",'Population Definitions'!$A$7,"...")</f>
        <v>...</v>
      </c>
      <c r="E558" s="2"/>
      <c r="F558" s="3"/>
      <c r="G558" s="2"/>
      <c r="H558" s="4" t="str">
        <f>IF($G$446="Y","OR","...")</f>
        <v>...</v>
      </c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/>
      <c r="AM558" s="2"/>
      <c r="AN558" s="2"/>
      <c r="AO558" s="2"/>
      <c r="AP558" s="2"/>
      <c r="AQ558" s="2"/>
      <c r="AR558" s="2"/>
      <c r="AS558" s="2"/>
      <c r="AT558" s="2"/>
      <c r="AU558" s="2"/>
      <c r="AV558" s="2"/>
      <c r="AW558" s="2"/>
      <c r="AX558" s="2"/>
      <c r="AY558" s="2"/>
      <c r="AZ558" s="2"/>
      <c r="BA558" s="2"/>
      <c r="BB558" s="2"/>
      <c r="BC558" s="2"/>
      <c r="BD558" s="2"/>
      <c r="BE558" s="2"/>
      <c r="BF558" s="2"/>
      <c r="BG558" s="2"/>
    </row>
    <row r="559" spans="1:59">
      <c r="A559" s="1" t="str">
        <f>IF($H$446="Y",'Population Definitions'!$A$9,"...")</f>
        <v>...</v>
      </c>
      <c r="B559" s="4" t="str">
        <f>IF($H$446="Y","---&gt;","...")</f>
        <v>...</v>
      </c>
      <c r="C559" s="1" t="str">
        <f>IF($H$446="Y",'Population Definitions'!$A$8,"...")</f>
        <v>...</v>
      </c>
      <c r="E559" s="2"/>
      <c r="F559" s="3"/>
      <c r="G559" s="2"/>
      <c r="H559" s="4" t="str">
        <f>IF($H$446="Y","OR","...")</f>
        <v>...</v>
      </c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  <c r="AM559" s="2"/>
      <c r="AN559" s="2"/>
      <c r="AO559" s="2"/>
      <c r="AP559" s="2"/>
      <c r="AQ559" s="2"/>
      <c r="AR559" s="2"/>
      <c r="AS559" s="2"/>
      <c r="AT559" s="2"/>
      <c r="AU559" s="2"/>
      <c r="AV559" s="2"/>
      <c r="AW559" s="2"/>
      <c r="AX559" s="2"/>
      <c r="AY559" s="2"/>
      <c r="AZ559" s="2"/>
      <c r="BA559" s="2"/>
      <c r="BB559" s="2"/>
      <c r="BC559" s="2"/>
      <c r="BD559" s="2"/>
      <c r="BE559" s="2"/>
      <c r="BF559" s="2"/>
      <c r="BG559" s="2"/>
    </row>
    <row r="560" spans="1:59">
      <c r="A560" s="1" t="str">
        <f>IF($I$446="Y",'Population Definitions'!$A$9,"...")</f>
        <v>...</v>
      </c>
      <c r="B560" s="4" t="str">
        <f>IF($I$446="Y","---&gt;","...")</f>
        <v>...</v>
      </c>
      <c r="C560" s="1" t="str">
        <f>IF($I$446="Y",'Population Definitions'!$A$9,"...")</f>
        <v>...</v>
      </c>
      <c r="E560" s="2"/>
      <c r="F560" s="3"/>
      <c r="G560" s="2"/>
      <c r="H560" s="4" t="str">
        <f>IF($I$446="Y","OR","...")</f>
        <v>...</v>
      </c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  <c r="AM560" s="2"/>
      <c r="AN560" s="2"/>
      <c r="AO560" s="2"/>
      <c r="AP560" s="2"/>
      <c r="AQ560" s="2"/>
      <c r="AR560" s="2"/>
      <c r="AS560" s="2"/>
      <c r="AT560" s="2"/>
      <c r="AU560" s="2"/>
      <c r="AV560" s="2"/>
      <c r="AW560" s="2"/>
      <c r="AX560" s="2"/>
      <c r="AY560" s="2"/>
      <c r="AZ560" s="2"/>
      <c r="BA560" s="2"/>
      <c r="BB560" s="2"/>
      <c r="BC560" s="2"/>
      <c r="BD560" s="2"/>
      <c r="BE560" s="2"/>
      <c r="BF560" s="2"/>
      <c r="BG560" s="2"/>
    </row>
    <row r="561" spans="1:59">
      <c r="A561" s="1" t="str">
        <f>IF($J$446="Y",'Population Definitions'!$A$9,"...")</f>
        <v>...</v>
      </c>
      <c r="B561" s="4" t="str">
        <f>IF($J$446="Y","---&gt;","...")</f>
        <v>...</v>
      </c>
      <c r="C561" s="1" t="str">
        <f>IF($J$446="Y",'Population Definitions'!$A$10,"...")</f>
        <v>...</v>
      </c>
      <c r="E561" s="2"/>
      <c r="F561" s="3"/>
      <c r="G561" s="2"/>
      <c r="H561" s="4" t="str">
        <f>IF($J$446="Y","OR","...")</f>
        <v>...</v>
      </c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  <c r="AM561" s="2"/>
      <c r="AN561" s="2"/>
      <c r="AO561" s="2"/>
      <c r="AP561" s="2"/>
      <c r="AQ561" s="2"/>
      <c r="AR561" s="2"/>
      <c r="AS561" s="2"/>
      <c r="AT561" s="2"/>
      <c r="AU561" s="2"/>
      <c r="AV561" s="2"/>
      <c r="AW561" s="2"/>
      <c r="AX561" s="2"/>
      <c r="AY561" s="2"/>
      <c r="AZ561" s="2"/>
      <c r="BA561" s="2"/>
      <c r="BB561" s="2"/>
      <c r="BC561" s="2"/>
      <c r="BD561" s="2"/>
      <c r="BE561" s="2"/>
      <c r="BF561" s="2"/>
      <c r="BG561" s="2"/>
    </row>
    <row r="562" spans="1:59">
      <c r="A562" s="1" t="str">
        <f>IF($K$446="Y",'Population Definitions'!$A$9,"...")</f>
        <v>...</v>
      </c>
      <c r="B562" s="4" t="str">
        <f>IF($K$446="Y","---&gt;","...")</f>
        <v>...</v>
      </c>
      <c r="C562" s="1" t="str">
        <f>IF($K$446="Y",'Population Definitions'!$A$11,"...")</f>
        <v>...</v>
      </c>
      <c r="E562" s="2"/>
      <c r="F562" s="3"/>
      <c r="G562" s="2"/>
      <c r="H562" s="4" t="str">
        <f>IF($K$446="Y","OR","...")</f>
        <v>...</v>
      </c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  <c r="AM562" s="2"/>
      <c r="AN562" s="2"/>
      <c r="AO562" s="2"/>
      <c r="AP562" s="2"/>
      <c r="AQ562" s="2"/>
      <c r="AR562" s="2"/>
      <c r="AS562" s="2"/>
      <c r="AT562" s="2"/>
      <c r="AU562" s="2"/>
      <c r="AV562" s="2"/>
      <c r="AW562" s="2"/>
      <c r="AX562" s="2"/>
      <c r="AY562" s="2"/>
      <c r="AZ562" s="2"/>
      <c r="BA562" s="2"/>
      <c r="BB562" s="2"/>
      <c r="BC562" s="2"/>
      <c r="BD562" s="2"/>
      <c r="BE562" s="2"/>
      <c r="BF562" s="2"/>
      <c r="BG562" s="2"/>
    </row>
    <row r="563" spans="1:59">
      <c r="A563" s="1" t="str">
        <f>IF($L$446="Y",'Population Definitions'!$A$9,"...")</f>
        <v>...</v>
      </c>
      <c r="B563" s="4" t="str">
        <f>IF($L$446="Y","---&gt;","...")</f>
        <v>...</v>
      </c>
      <c r="C563" s="1" t="str">
        <f>IF($L$446="Y",'Population Definitions'!$A$12,"...")</f>
        <v>...</v>
      </c>
      <c r="E563" s="2"/>
      <c r="F563" s="3"/>
      <c r="G563" s="2"/>
      <c r="H563" s="4" t="str">
        <f>IF($L$446="Y","OR","...")</f>
        <v>...</v>
      </c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  <c r="AM563" s="2"/>
      <c r="AN563" s="2"/>
      <c r="AO563" s="2"/>
      <c r="AP563" s="2"/>
      <c r="AQ563" s="2"/>
      <c r="AR563" s="2"/>
      <c r="AS563" s="2"/>
      <c r="AT563" s="2"/>
      <c r="AU563" s="2"/>
      <c r="AV563" s="2"/>
      <c r="AW563" s="2"/>
      <c r="AX563" s="2"/>
      <c r="AY563" s="2"/>
      <c r="AZ563" s="2"/>
      <c r="BA563" s="2"/>
      <c r="BB563" s="2"/>
      <c r="BC563" s="2"/>
      <c r="BD563" s="2"/>
      <c r="BE563" s="2"/>
      <c r="BF563" s="2"/>
      <c r="BG563" s="2"/>
    </row>
    <row r="564" spans="1:59">
      <c r="A564" s="1" t="str">
        <f>IF($M$446="Y",'Population Definitions'!$A$9,"...")</f>
        <v>18-64_females</v>
      </c>
      <c r="B564" s="4" t="str">
        <f>IF($M$446="Y","---&gt;","...")</f>
        <v>---&gt;</v>
      </c>
      <c r="C564" s="1" t="str">
        <f>IF($M$446="Y",'Population Definitions'!$A$13,"...")</f>
        <v>Prisoners_females</v>
      </c>
      <c r="E564" s="3" t="s">
        <v>55</v>
      </c>
      <c r="F564" s="3"/>
      <c r="G564" s="3">
        <v>6.362972260507361E-05</v>
      </c>
      <c r="H564" s="4" t="str">
        <f>IF($M$446="Y","OR","...")</f>
        <v>OR</v>
      </c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  <c r="AG564" s="3"/>
      <c r="AH564" s="3"/>
      <c r="AI564" s="3"/>
      <c r="AJ564" s="3"/>
      <c r="AK564" s="3"/>
      <c r="AL564" s="3"/>
      <c r="AM564" s="3"/>
      <c r="AN564" s="3"/>
      <c r="AO564" s="3"/>
      <c r="AP564" s="3"/>
      <c r="AQ564" s="3"/>
      <c r="AR564" s="3"/>
      <c r="AS564" s="3"/>
      <c r="AT564" s="3"/>
      <c r="AU564" s="3"/>
      <c r="AV564" s="3"/>
      <c r="AW564" s="3"/>
      <c r="AX564" s="3"/>
      <c r="AY564" s="3"/>
      <c r="AZ564" s="3"/>
      <c r="BA564" s="3"/>
      <c r="BB564" s="3"/>
      <c r="BC564" s="3"/>
      <c r="BD564" s="3"/>
      <c r="BE564" s="3"/>
      <c r="BF564" s="3"/>
      <c r="BG564" s="3"/>
    </row>
    <row r="565" spans="1:59">
      <c r="A565" s="1" t="str">
        <f>IF($N$446="Y",'Population Definitions'!$A$9,"...")</f>
        <v>...</v>
      </c>
      <c r="B565" s="4" t="str">
        <f>IF($N$446="Y","---&gt;","...")</f>
        <v>...</v>
      </c>
      <c r="C565" s="1" t="str">
        <f>IF($N$446="Y",'Population Definitions'!$A$14,"...")</f>
        <v>...</v>
      </c>
      <c r="E565" s="2"/>
      <c r="F565" s="3"/>
      <c r="G565" s="2"/>
      <c r="H565" s="4" t="str">
        <f>IF($N$446="Y","OR","...")</f>
        <v>...</v>
      </c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  <c r="AM565" s="2"/>
      <c r="AN565" s="2"/>
      <c r="AO565" s="2"/>
      <c r="AP565" s="2"/>
      <c r="AQ565" s="2"/>
      <c r="AR565" s="2"/>
      <c r="AS565" s="2"/>
      <c r="AT565" s="2"/>
      <c r="AU565" s="2"/>
      <c r="AV565" s="2"/>
      <c r="AW565" s="2"/>
      <c r="AX565" s="2"/>
      <c r="AY565" s="2"/>
      <c r="AZ565" s="2"/>
      <c r="BA565" s="2"/>
      <c r="BB565" s="2"/>
      <c r="BC565" s="2"/>
      <c r="BD565" s="2"/>
      <c r="BE565" s="2"/>
      <c r="BF565" s="2"/>
      <c r="BG565" s="2"/>
    </row>
    <row r="566" spans="1:59">
      <c r="A566" s="1" t="str">
        <f>IF($O$446="Y",'Population Definitions'!$A$9,"...")</f>
        <v>...</v>
      </c>
      <c r="B566" s="4" t="str">
        <f>IF($O$446="Y","---&gt;","...")</f>
        <v>...</v>
      </c>
      <c r="C566" s="1" t="str">
        <f>IF($O$446="Y",'Population Definitions'!$A$15,"...")</f>
        <v>...</v>
      </c>
      <c r="E566" s="2"/>
      <c r="F566" s="3"/>
      <c r="G566" s="2"/>
      <c r="H566" s="4" t="str">
        <f>IF($O$446="Y","OR","...")</f>
        <v>...</v>
      </c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  <c r="AM566" s="2"/>
      <c r="AN566" s="2"/>
      <c r="AO566" s="2"/>
      <c r="AP566" s="2"/>
      <c r="AQ566" s="2"/>
      <c r="AR566" s="2"/>
      <c r="AS566" s="2"/>
      <c r="AT566" s="2"/>
      <c r="AU566" s="2"/>
      <c r="AV566" s="2"/>
      <c r="AW566" s="2"/>
      <c r="AX566" s="2"/>
      <c r="AY566" s="2"/>
      <c r="AZ566" s="2"/>
      <c r="BA566" s="2"/>
      <c r="BB566" s="2"/>
      <c r="BC566" s="2"/>
      <c r="BD566" s="2"/>
      <c r="BE566" s="2"/>
      <c r="BF566" s="2"/>
      <c r="BG566" s="2"/>
    </row>
    <row r="567" spans="1:59">
      <c r="A567" s="1" t="str">
        <f>IF($B$447="Y",'Population Definitions'!$A$10,"...")</f>
        <v>...</v>
      </c>
      <c r="B567" s="4" t="str">
        <f>IF($B$447="Y","---&gt;","...")</f>
        <v>...</v>
      </c>
      <c r="C567" s="1" t="str">
        <f>IF($B$447="Y",'Population Definitions'!$A$2,"...")</f>
        <v>...</v>
      </c>
      <c r="E567" s="2"/>
      <c r="F567" s="3"/>
      <c r="G567" s="2"/>
      <c r="H567" s="4" t="str">
        <f>IF($B$447="Y","OR","...")</f>
        <v>...</v>
      </c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  <c r="AM567" s="2"/>
      <c r="AN567" s="2"/>
      <c r="AO567" s="2"/>
      <c r="AP567" s="2"/>
      <c r="AQ567" s="2"/>
      <c r="AR567" s="2"/>
      <c r="AS567" s="2"/>
      <c r="AT567" s="2"/>
      <c r="AU567" s="2"/>
      <c r="AV567" s="2"/>
      <c r="AW567" s="2"/>
      <c r="AX567" s="2"/>
      <c r="AY567" s="2"/>
      <c r="AZ567" s="2"/>
      <c r="BA567" s="2"/>
      <c r="BB567" s="2"/>
      <c r="BC567" s="2"/>
      <c r="BD567" s="2"/>
      <c r="BE567" s="2"/>
      <c r="BF567" s="2"/>
      <c r="BG567" s="2"/>
    </row>
    <row r="568" spans="1:59">
      <c r="A568" s="1" t="str">
        <f>IF($C$447="Y",'Population Definitions'!$A$10,"...")</f>
        <v>...</v>
      </c>
      <c r="B568" s="4" t="str">
        <f>IF($C$447="Y","---&gt;","...")</f>
        <v>...</v>
      </c>
      <c r="C568" s="1" t="str">
        <f>IF($C$447="Y",'Population Definitions'!$A$3,"...")</f>
        <v>...</v>
      </c>
      <c r="E568" s="2"/>
      <c r="F568" s="3"/>
      <c r="G568" s="2"/>
      <c r="H568" s="4" t="str">
        <f>IF($C$447="Y","OR","...")</f>
        <v>...</v>
      </c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  <c r="AM568" s="2"/>
      <c r="AN568" s="2"/>
      <c r="AO568" s="2"/>
      <c r="AP568" s="2"/>
      <c r="AQ568" s="2"/>
      <c r="AR568" s="2"/>
      <c r="AS568" s="2"/>
      <c r="AT568" s="2"/>
      <c r="AU568" s="2"/>
      <c r="AV568" s="2"/>
      <c r="AW568" s="2"/>
      <c r="AX568" s="2"/>
      <c r="AY568" s="2"/>
      <c r="AZ568" s="2"/>
      <c r="BA568" s="2"/>
      <c r="BB568" s="2"/>
      <c r="BC568" s="2"/>
      <c r="BD568" s="2"/>
      <c r="BE568" s="2"/>
      <c r="BF568" s="2"/>
      <c r="BG568" s="2"/>
    </row>
    <row r="569" spans="1:59">
      <c r="A569" s="1" t="str">
        <f>IF($D$447="Y",'Population Definitions'!$A$10,"...")</f>
        <v>...</v>
      </c>
      <c r="B569" s="4" t="str">
        <f>IF($D$447="Y","---&gt;","...")</f>
        <v>...</v>
      </c>
      <c r="C569" s="1" t="str">
        <f>IF($D$447="Y",'Population Definitions'!$A$4,"...")</f>
        <v>...</v>
      </c>
      <c r="E569" s="2"/>
      <c r="F569" s="3"/>
      <c r="G569" s="2"/>
      <c r="H569" s="4" t="str">
        <f>IF($D$447="Y","OR","...")</f>
        <v>...</v>
      </c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  <c r="AM569" s="2"/>
      <c r="AN569" s="2"/>
      <c r="AO569" s="2"/>
      <c r="AP569" s="2"/>
      <c r="AQ569" s="2"/>
      <c r="AR569" s="2"/>
      <c r="AS569" s="2"/>
      <c r="AT569" s="2"/>
      <c r="AU569" s="2"/>
      <c r="AV569" s="2"/>
      <c r="AW569" s="2"/>
      <c r="AX569" s="2"/>
      <c r="AY569" s="2"/>
      <c r="AZ569" s="2"/>
      <c r="BA569" s="2"/>
      <c r="BB569" s="2"/>
      <c r="BC569" s="2"/>
      <c r="BD569" s="2"/>
      <c r="BE569" s="2"/>
      <c r="BF569" s="2"/>
      <c r="BG569" s="2"/>
    </row>
    <row r="570" spans="1:59">
      <c r="A570" s="1" t="str">
        <f>IF($E$447="Y",'Population Definitions'!$A$10,"...")</f>
        <v>...</v>
      </c>
      <c r="B570" s="4" t="str">
        <f>IF($E$447="Y","---&gt;","...")</f>
        <v>...</v>
      </c>
      <c r="C570" s="1" t="str">
        <f>IF($E$447="Y",'Population Definitions'!$A$5,"...")</f>
        <v>...</v>
      </c>
      <c r="E570" s="2"/>
      <c r="F570" s="3"/>
      <c r="G570" s="2"/>
      <c r="H570" s="4" t="str">
        <f>IF($E$447="Y","OR","...")</f>
        <v>...</v>
      </c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  <c r="AM570" s="2"/>
      <c r="AN570" s="2"/>
      <c r="AO570" s="2"/>
      <c r="AP570" s="2"/>
      <c r="AQ570" s="2"/>
      <c r="AR570" s="2"/>
      <c r="AS570" s="2"/>
      <c r="AT570" s="2"/>
      <c r="AU570" s="2"/>
      <c r="AV570" s="2"/>
      <c r="AW570" s="2"/>
      <c r="AX570" s="2"/>
      <c r="AY570" s="2"/>
      <c r="AZ570" s="2"/>
      <c r="BA570" s="2"/>
      <c r="BB570" s="2"/>
      <c r="BC570" s="2"/>
      <c r="BD570" s="2"/>
      <c r="BE570" s="2"/>
      <c r="BF570" s="2"/>
      <c r="BG570" s="2"/>
    </row>
    <row r="571" spans="1:59">
      <c r="A571" s="1" t="str">
        <f>IF($F$447="Y",'Population Definitions'!$A$10,"...")</f>
        <v>...</v>
      </c>
      <c r="B571" s="4" t="str">
        <f>IF($F$447="Y","---&gt;","...")</f>
        <v>...</v>
      </c>
      <c r="C571" s="1" t="str">
        <f>IF($F$447="Y",'Population Definitions'!$A$6,"...")</f>
        <v>...</v>
      </c>
      <c r="E571" s="2"/>
      <c r="F571" s="3"/>
      <c r="G571" s="2"/>
      <c r="H571" s="4" t="str">
        <f>IF($F$447="Y","OR","...")</f>
        <v>...</v>
      </c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  <c r="AM571" s="2"/>
      <c r="AN571" s="2"/>
      <c r="AO571" s="2"/>
      <c r="AP571" s="2"/>
      <c r="AQ571" s="2"/>
      <c r="AR571" s="2"/>
      <c r="AS571" s="2"/>
      <c r="AT571" s="2"/>
      <c r="AU571" s="2"/>
      <c r="AV571" s="2"/>
      <c r="AW571" s="2"/>
      <c r="AX571" s="2"/>
      <c r="AY571" s="2"/>
      <c r="AZ571" s="2"/>
      <c r="BA571" s="2"/>
      <c r="BB571" s="2"/>
      <c r="BC571" s="2"/>
      <c r="BD571" s="2"/>
      <c r="BE571" s="2"/>
      <c r="BF571" s="2"/>
      <c r="BG571" s="2"/>
    </row>
    <row r="572" spans="1:59">
      <c r="A572" s="1" t="str">
        <f>IF($G$447="Y",'Population Definitions'!$A$10,"...")</f>
        <v>...</v>
      </c>
      <c r="B572" s="4" t="str">
        <f>IF($G$447="Y","---&gt;","...")</f>
        <v>...</v>
      </c>
      <c r="C572" s="1" t="str">
        <f>IF($G$447="Y",'Population Definitions'!$A$7,"...")</f>
        <v>...</v>
      </c>
      <c r="E572" s="2"/>
      <c r="F572" s="3"/>
      <c r="G572" s="2"/>
      <c r="H572" s="4" t="str">
        <f>IF($G$447="Y","OR","...")</f>
        <v>...</v>
      </c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  <c r="AM572" s="2"/>
      <c r="AN572" s="2"/>
      <c r="AO572" s="2"/>
      <c r="AP572" s="2"/>
      <c r="AQ572" s="2"/>
      <c r="AR572" s="2"/>
      <c r="AS572" s="2"/>
      <c r="AT572" s="2"/>
      <c r="AU572" s="2"/>
      <c r="AV572" s="2"/>
      <c r="AW572" s="2"/>
      <c r="AX572" s="2"/>
      <c r="AY572" s="2"/>
      <c r="AZ572" s="2"/>
      <c r="BA572" s="2"/>
      <c r="BB572" s="2"/>
      <c r="BC572" s="2"/>
      <c r="BD572" s="2"/>
      <c r="BE572" s="2"/>
      <c r="BF572" s="2"/>
      <c r="BG572" s="2"/>
    </row>
    <row r="573" spans="1:59">
      <c r="A573" s="1" t="str">
        <f>IF($H$447="Y",'Population Definitions'!$A$10,"...")</f>
        <v>...</v>
      </c>
      <c r="B573" s="4" t="str">
        <f>IF($H$447="Y","---&gt;","...")</f>
        <v>...</v>
      </c>
      <c r="C573" s="1" t="str">
        <f>IF($H$447="Y",'Population Definitions'!$A$8,"...")</f>
        <v>...</v>
      </c>
      <c r="E573" s="2"/>
      <c r="F573" s="3"/>
      <c r="G573" s="2"/>
      <c r="H573" s="4" t="str">
        <f>IF($H$447="Y","OR","...")</f>
        <v>...</v>
      </c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  <c r="AM573" s="2"/>
      <c r="AN573" s="2"/>
      <c r="AO573" s="2"/>
      <c r="AP573" s="2"/>
      <c r="AQ573" s="2"/>
      <c r="AR573" s="2"/>
      <c r="AS573" s="2"/>
      <c r="AT573" s="2"/>
      <c r="AU573" s="2"/>
      <c r="AV573" s="2"/>
      <c r="AW573" s="2"/>
      <c r="AX573" s="2"/>
      <c r="AY573" s="2"/>
      <c r="AZ573" s="2"/>
      <c r="BA573" s="2"/>
      <c r="BB573" s="2"/>
      <c r="BC573" s="2"/>
      <c r="BD573" s="2"/>
      <c r="BE573" s="2"/>
      <c r="BF573" s="2"/>
      <c r="BG573" s="2"/>
    </row>
    <row r="574" spans="1:59">
      <c r="A574" s="1" t="str">
        <f>IF($I$447="Y",'Population Definitions'!$A$10,"...")</f>
        <v>...</v>
      </c>
      <c r="B574" s="4" t="str">
        <f>IF($I$447="Y","---&gt;","...")</f>
        <v>...</v>
      </c>
      <c r="C574" s="1" t="str">
        <f>IF($I$447="Y",'Population Definitions'!$A$9,"...")</f>
        <v>...</v>
      </c>
      <c r="E574" s="2"/>
      <c r="F574" s="3"/>
      <c r="G574" s="2"/>
      <c r="H574" s="4" t="str">
        <f>IF($I$447="Y","OR","...")</f>
        <v>...</v>
      </c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  <c r="AM574" s="2"/>
      <c r="AN574" s="2"/>
      <c r="AO574" s="2"/>
      <c r="AP574" s="2"/>
      <c r="AQ574" s="2"/>
      <c r="AR574" s="2"/>
      <c r="AS574" s="2"/>
      <c r="AT574" s="2"/>
      <c r="AU574" s="2"/>
      <c r="AV574" s="2"/>
      <c r="AW574" s="2"/>
      <c r="AX574" s="2"/>
      <c r="AY574" s="2"/>
      <c r="AZ574" s="2"/>
      <c r="BA574" s="2"/>
      <c r="BB574" s="2"/>
      <c r="BC574" s="2"/>
      <c r="BD574" s="2"/>
      <c r="BE574" s="2"/>
      <c r="BF574" s="2"/>
      <c r="BG574" s="2"/>
    </row>
    <row r="575" spans="1:59">
      <c r="A575" s="1" t="str">
        <f>IF($J$447="Y",'Population Definitions'!$A$10,"...")</f>
        <v>...</v>
      </c>
      <c r="B575" s="4" t="str">
        <f>IF($J$447="Y","---&gt;","...")</f>
        <v>...</v>
      </c>
      <c r="C575" s="1" t="str">
        <f>IF($J$447="Y",'Population Definitions'!$A$10,"...")</f>
        <v>...</v>
      </c>
      <c r="E575" s="2"/>
      <c r="F575" s="3"/>
      <c r="G575" s="2"/>
      <c r="H575" s="4" t="str">
        <f>IF($J$447="Y","OR","...")</f>
        <v>...</v>
      </c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  <c r="AM575" s="2"/>
      <c r="AN575" s="2"/>
      <c r="AO575" s="2"/>
      <c r="AP575" s="2"/>
      <c r="AQ575" s="2"/>
      <c r="AR575" s="2"/>
      <c r="AS575" s="2"/>
      <c r="AT575" s="2"/>
      <c r="AU575" s="2"/>
      <c r="AV575" s="2"/>
      <c r="AW575" s="2"/>
      <c r="AX575" s="2"/>
      <c r="AY575" s="2"/>
      <c r="AZ575" s="2"/>
      <c r="BA575" s="2"/>
      <c r="BB575" s="2"/>
      <c r="BC575" s="2"/>
      <c r="BD575" s="2"/>
      <c r="BE575" s="2"/>
      <c r="BF575" s="2"/>
      <c r="BG575" s="2"/>
    </row>
    <row r="576" spans="1:59">
      <c r="A576" s="1" t="str">
        <f>IF($K$447="Y",'Population Definitions'!$A$10,"...")</f>
        <v>...</v>
      </c>
      <c r="B576" s="4" t="str">
        <f>IF($K$447="Y","---&gt;","...")</f>
        <v>...</v>
      </c>
      <c r="C576" s="1" t="str">
        <f>IF($K$447="Y",'Population Definitions'!$A$11,"...")</f>
        <v>...</v>
      </c>
      <c r="E576" s="2"/>
      <c r="F576" s="3"/>
      <c r="G576" s="2"/>
      <c r="H576" s="4" t="str">
        <f>IF($K$447="Y","OR","...")</f>
        <v>...</v>
      </c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  <c r="AM576" s="2"/>
      <c r="AN576" s="2"/>
      <c r="AO576" s="2"/>
      <c r="AP576" s="2"/>
      <c r="AQ576" s="2"/>
      <c r="AR576" s="2"/>
      <c r="AS576" s="2"/>
      <c r="AT576" s="2"/>
      <c r="AU576" s="2"/>
      <c r="AV576" s="2"/>
      <c r="AW576" s="2"/>
      <c r="AX576" s="2"/>
      <c r="AY576" s="2"/>
      <c r="AZ576" s="2"/>
      <c r="BA576" s="2"/>
      <c r="BB576" s="2"/>
      <c r="BC576" s="2"/>
      <c r="BD576" s="2"/>
      <c r="BE576" s="2"/>
      <c r="BF576" s="2"/>
      <c r="BG576" s="2"/>
    </row>
    <row r="577" spans="1:59">
      <c r="A577" s="1" t="str">
        <f>IF($L$447="Y",'Population Definitions'!$A$10,"...")</f>
        <v>...</v>
      </c>
      <c r="B577" s="4" t="str">
        <f>IF($L$447="Y","---&gt;","...")</f>
        <v>...</v>
      </c>
      <c r="C577" s="1" t="str">
        <f>IF($L$447="Y",'Population Definitions'!$A$12,"...")</f>
        <v>...</v>
      </c>
      <c r="E577" s="2"/>
      <c r="F577" s="3"/>
      <c r="G577" s="2"/>
      <c r="H577" s="4" t="str">
        <f>IF($L$447="Y","OR","...")</f>
        <v>...</v>
      </c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  <c r="AM577" s="2"/>
      <c r="AN577" s="2"/>
      <c r="AO577" s="2"/>
      <c r="AP577" s="2"/>
      <c r="AQ577" s="2"/>
      <c r="AR577" s="2"/>
      <c r="AS577" s="2"/>
      <c r="AT577" s="2"/>
      <c r="AU577" s="2"/>
      <c r="AV577" s="2"/>
      <c r="AW577" s="2"/>
      <c r="AX577" s="2"/>
      <c r="AY577" s="2"/>
      <c r="AZ577" s="2"/>
      <c r="BA577" s="2"/>
      <c r="BB577" s="2"/>
      <c r="BC577" s="2"/>
      <c r="BD577" s="2"/>
      <c r="BE577" s="2"/>
      <c r="BF577" s="2"/>
      <c r="BG577" s="2"/>
    </row>
    <row r="578" spans="1:59">
      <c r="A578" s="1" t="str">
        <f>IF($M$447="Y",'Population Definitions'!$A$10,"...")</f>
        <v>...</v>
      </c>
      <c r="B578" s="4" t="str">
        <f>IF($M$447="Y","---&gt;","...")</f>
        <v>...</v>
      </c>
      <c r="C578" s="1" t="str">
        <f>IF($M$447="Y",'Population Definitions'!$A$13,"...")</f>
        <v>...</v>
      </c>
      <c r="E578" s="2"/>
      <c r="F578" s="3"/>
      <c r="G578" s="2"/>
      <c r="H578" s="4" t="str">
        <f>IF($M$447="Y","OR","...")</f>
        <v>...</v>
      </c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  <c r="AM578" s="2"/>
      <c r="AN578" s="2"/>
      <c r="AO578" s="2"/>
      <c r="AP578" s="2"/>
      <c r="AQ578" s="2"/>
      <c r="AR578" s="2"/>
      <c r="AS578" s="2"/>
      <c r="AT578" s="2"/>
      <c r="AU578" s="2"/>
      <c r="AV578" s="2"/>
      <c r="AW578" s="2"/>
      <c r="AX578" s="2"/>
      <c r="AY578" s="2"/>
      <c r="AZ578" s="2"/>
      <c r="BA578" s="2"/>
      <c r="BB578" s="2"/>
      <c r="BC578" s="2"/>
      <c r="BD578" s="2"/>
      <c r="BE578" s="2"/>
      <c r="BF578" s="2"/>
      <c r="BG578" s="2"/>
    </row>
    <row r="579" spans="1:59">
      <c r="A579" s="1" t="str">
        <f>IF($N$447="Y",'Population Definitions'!$A$10,"...")</f>
        <v>...</v>
      </c>
      <c r="B579" s="4" t="str">
        <f>IF($N$447="Y","---&gt;","...")</f>
        <v>...</v>
      </c>
      <c r="C579" s="1" t="str">
        <f>IF($N$447="Y",'Population Definitions'!$A$14,"...")</f>
        <v>...</v>
      </c>
      <c r="E579" s="2"/>
      <c r="F579" s="3"/>
      <c r="G579" s="2"/>
      <c r="H579" s="4" t="str">
        <f>IF($N$447="Y","OR","...")</f>
        <v>...</v>
      </c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  <c r="AM579" s="2"/>
      <c r="AN579" s="2"/>
      <c r="AO579" s="2"/>
      <c r="AP579" s="2"/>
      <c r="AQ579" s="2"/>
      <c r="AR579" s="2"/>
      <c r="AS579" s="2"/>
      <c r="AT579" s="2"/>
      <c r="AU579" s="2"/>
      <c r="AV579" s="2"/>
      <c r="AW579" s="2"/>
      <c r="AX579" s="2"/>
      <c r="AY579" s="2"/>
      <c r="AZ579" s="2"/>
      <c r="BA579" s="2"/>
      <c r="BB579" s="2"/>
      <c r="BC579" s="2"/>
      <c r="BD579" s="2"/>
      <c r="BE579" s="2"/>
      <c r="BF579" s="2"/>
      <c r="BG579" s="2"/>
    </row>
    <row r="580" spans="1:59">
      <c r="A580" s="1" t="str">
        <f>IF($O$447="Y",'Population Definitions'!$A$10,"...")</f>
        <v>...</v>
      </c>
      <c r="B580" s="4" t="str">
        <f>IF($O$447="Y","---&gt;","...")</f>
        <v>...</v>
      </c>
      <c r="C580" s="1" t="str">
        <f>IF($O$447="Y",'Population Definitions'!$A$15,"...")</f>
        <v>...</v>
      </c>
      <c r="E580" s="2"/>
      <c r="F580" s="3"/>
      <c r="G580" s="2"/>
      <c r="H580" s="4" t="str">
        <f>IF($O$447="Y","OR","...")</f>
        <v>...</v>
      </c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  <c r="AM580" s="2"/>
      <c r="AN580" s="2"/>
      <c r="AO580" s="2"/>
      <c r="AP580" s="2"/>
      <c r="AQ580" s="2"/>
      <c r="AR580" s="2"/>
      <c r="AS580" s="2"/>
      <c r="AT580" s="2"/>
      <c r="AU580" s="2"/>
      <c r="AV580" s="2"/>
      <c r="AW580" s="2"/>
      <c r="AX580" s="2"/>
      <c r="AY580" s="2"/>
      <c r="AZ580" s="2"/>
      <c r="BA580" s="2"/>
      <c r="BB580" s="2"/>
      <c r="BC580" s="2"/>
      <c r="BD580" s="2"/>
      <c r="BE580" s="2"/>
      <c r="BF580" s="2"/>
      <c r="BG580" s="2"/>
    </row>
    <row r="581" spans="1:59">
      <c r="A581" s="1" t="str">
        <f>IF($B$448="Y",'Population Definitions'!$A$11,"...")</f>
        <v>...</v>
      </c>
      <c r="B581" s="4" t="str">
        <f>IF($B$448="Y","---&gt;","...")</f>
        <v>...</v>
      </c>
      <c r="C581" s="1" t="str">
        <f>IF($B$448="Y",'Population Definitions'!$A$2,"...")</f>
        <v>...</v>
      </c>
      <c r="E581" s="2"/>
      <c r="F581" s="3"/>
      <c r="G581" s="2"/>
      <c r="H581" s="4" t="str">
        <f>IF($B$448="Y","OR","...")</f>
        <v>...</v>
      </c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  <c r="AM581" s="2"/>
      <c r="AN581" s="2"/>
      <c r="AO581" s="2"/>
      <c r="AP581" s="2"/>
      <c r="AQ581" s="2"/>
      <c r="AR581" s="2"/>
      <c r="AS581" s="2"/>
      <c r="AT581" s="2"/>
      <c r="AU581" s="2"/>
      <c r="AV581" s="2"/>
      <c r="AW581" s="2"/>
      <c r="AX581" s="2"/>
      <c r="AY581" s="2"/>
      <c r="AZ581" s="2"/>
      <c r="BA581" s="2"/>
      <c r="BB581" s="2"/>
      <c r="BC581" s="2"/>
      <c r="BD581" s="2"/>
      <c r="BE581" s="2"/>
      <c r="BF581" s="2"/>
      <c r="BG581" s="2"/>
    </row>
    <row r="582" spans="1:59">
      <c r="A582" s="1" t="str">
        <f>IF($C$448="Y",'Population Definitions'!$A$11,"...")</f>
        <v>...</v>
      </c>
      <c r="B582" s="4" t="str">
        <f>IF($C$448="Y","---&gt;","...")</f>
        <v>...</v>
      </c>
      <c r="C582" s="1" t="str">
        <f>IF($C$448="Y",'Population Definitions'!$A$3,"...")</f>
        <v>...</v>
      </c>
      <c r="E582" s="2"/>
      <c r="F582" s="3"/>
      <c r="G582" s="2"/>
      <c r="H582" s="4" t="str">
        <f>IF($C$448="Y","OR","...")</f>
        <v>...</v>
      </c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  <c r="AM582" s="2"/>
      <c r="AN582" s="2"/>
      <c r="AO582" s="2"/>
      <c r="AP582" s="2"/>
      <c r="AQ582" s="2"/>
      <c r="AR582" s="2"/>
      <c r="AS582" s="2"/>
      <c r="AT582" s="2"/>
      <c r="AU582" s="2"/>
      <c r="AV582" s="2"/>
      <c r="AW582" s="2"/>
      <c r="AX582" s="2"/>
      <c r="AY582" s="2"/>
      <c r="AZ582" s="2"/>
      <c r="BA582" s="2"/>
      <c r="BB582" s="2"/>
      <c r="BC582" s="2"/>
      <c r="BD582" s="2"/>
      <c r="BE582" s="2"/>
      <c r="BF582" s="2"/>
      <c r="BG582" s="2"/>
    </row>
    <row r="583" spans="1:59">
      <c r="A583" s="1" t="str">
        <f>IF($D$448="Y",'Population Definitions'!$A$11,"...")</f>
        <v>...</v>
      </c>
      <c r="B583" s="4" t="str">
        <f>IF($D$448="Y","---&gt;","...")</f>
        <v>...</v>
      </c>
      <c r="C583" s="1" t="str">
        <f>IF($D$448="Y",'Population Definitions'!$A$4,"...")</f>
        <v>...</v>
      </c>
      <c r="E583" s="2"/>
      <c r="F583" s="3"/>
      <c r="G583" s="2"/>
      <c r="H583" s="4" t="str">
        <f>IF($D$448="Y","OR","...")</f>
        <v>...</v>
      </c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  <c r="AM583" s="2"/>
      <c r="AN583" s="2"/>
      <c r="AO583" s="2"/>
      <c r="AP583" s="2"/>
      <c r="AQ583" s="2"/>
      <c r="AR583" s="2"/>
      <c r="AS583" s="2"/>
      <c r="AT583" s="2"/>
      <c r="AU583" s="2"/>
      <c r="AV583" s="2"/>
      <c r="AW583" s="2"/>
      <c r="AX583" s="2"/>
      <c r="AY583" s="2"/>
      <c r="AZ583" s="2"/>
      <c r="BA583" s="2"/>
      <c r="BB583" s="2"/>
      <c r="BC583" s="2"/>
      <c r="BD583" s="2"/>
      <c r="BE583" s="2"/>
      <c r="BF583" s="2"/>
      <c r="BG583" s="2"/>
    </row>
    <row r="584" spans="1:59">
      <c r="A584" s="1" t="str">
        <f>IF($E$448="Y",'Population Definitions'!$A$11,"...")</f>
        <v>...</v>
      </c>
      <c r="B584" s="4" t="str">
        <f>IF($E$448="Y","---&gt;","...")</f>
        <v>...</v>
      </c>
      <c r="C584" s="1" t="str">
        <f>IF($E$448="Y",'Population Definitions'!$A$5,"...")</f>
        <v>...</v>
      </c>
      <c r="E584" s="2"/>
      <c r="F584" s="3"/>
      <c r="G584" s="2"/>
      <c r="H584" s="4" t="str">
        <f>IF($E$448="Y","OR","...")</f>
        <v>...</v>
      </c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  <c r="AM584" s="2"/>
      <c r="AN584" s="2"/>
      <c r="AO584" s="2"/>
      <c r="AP584" s="2"/>
      <c r="AQ584" s="2"/>
      <c r="AR584" s="2"/>
      <c r="AS584" s="2"/>
      <c r="AT584" s="2"/>
      <c r="AU584" s="2"/>
      <c r="AV584" s="2"/>
      <c r="AW584" s="2"/>
      <c r="AX584" s="2"/>
      <c r="AY584" s="2"/>
      <c r="AZ584" s="2"/>
      <c r="BA584" s="2"/>
      <c r="BB584" s="2"/>
      <c r="BC584" s="2"/>
      <c r="BD584" s="2"/>
      <c r="BE584" s="2"/>
      <c r="BF584" s="2"/>
      <c r="BG584" s="2"/>
    </row>
    <row r="585" spans="1:59">
      <c r="A585" s="1" t="str">
        <f>IF($F$448="Y",'Population Definitions'!$A$11,"...")</f>
        <v>...</v>
      </c>
      <c r="B585" s="4" t="str">
        <f>IF($F$448="Y","---&gt;","...")</f>
        <v>...</v>
      </c>
      <c r="C585" s="1" t="str">
        <f>IF($F$448="Y",'Population Definitions'!$A$6,"...")</f>
        <v>...</v>
      </c>
      <c r="E585" s="2"/>
      <c r="F585" s="3"/>
      <c r="G585" s="2"/>
      <c r="H585" s="4" t="str">
        <f>IF($F$448="Y","OR","...")</f>
        <v>...</v>
      </c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  <c r="AM585" s="2"/>
      <c r="AN585" s="2"/>
      <c r="AO585" s="2"/>
      <c r="AP585" s="2"/>
      <c r="AQ585" s="2"/>
      <c r="AR585" s="2"/>
      <c r="AS585" s="2"/>
      <c r="AT585" s="2"/>
      <c r="AU585" s="2"/>
      <c r="AV585" s="2"/>
      <c r="AW585" s="2"/>
      <c r="AX585" s="2"/>
      <c r="AY585" s="2"/>
      <c r="AZ585" s="2"/>
      <c r="BA585" s="2"/>
      <c r="BB585" s="2"/>
      <c r="BC585" s="2"/>
      <c r="BD585" s="2"/>
      <c r="BE585" s="2"/>
      <c r="BF585" s="2"/>
      <c r="BG585" s="2"/>
    </row>
    <row r="586" spans="1:59">
      <c r="A586" s="1" t="str">
        <f>IF($G$448="Y",'Population Definitions'!$A$11,"...")</f>
        <v>...</v>
      </c>
      <c r="B586" s="4" t="str">
        <f>IF($G$448="Y","---&gt;","...")</f>
        <v>...</v>
      </c>
      <c r="C586" s="1" t="str">
        <f>IF($G$448="Y",'Population Definitions'!$A$7,"...")</f>
        <v>...</v>
      </c>
      <c r="E586" s="2"/>
      <c r="F586" s="3"/>
      <c r="G586" s="2"/>
      <c r="H586" s="4" t="str">
        <f>IF($G$448="Y","OR","...")</f>
        <v>...</v>
      </c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  <c r="AM586" s="2"/>
      <c r="AN586" s="2"/>
      <c r="AO586" s="2"/>
      <c r="AP586" s="2"/>
      <c r="AQ586" s="2"/>
      <c r="AR586" s="2"/>
      <c r="AS586" s="2"/>
      <c r="AT586" s="2"/>
      <c r="AU586" s="2"/>
      <c r="AV586" s="2"/>
      <c r="AW586" s="2"/>
      <c r="AX586" s="2"/>
      <c r="AY586" s="2"/>
      <c r="AZ586" s="2"/>
      <c r="BA586" s="2"/>
      <c r="BB586" s="2"/>
      <c r="BC586" s="2"/>
      <c r="BD586" s="2"/>
      <c r="BE586" s="2"/>
      <c r="BF586" s="2"/>
      <c r="BG586" s="2"/>
    </row>
    <row r="587" spans="1:59">
      <c r="A587" s="1" t="str">
        <f>IF($H$448="Y",'Population Definitions'!$A$11,"...")</f>
        <v>...</v>
      </c>
      <c r="B587" s="4" t="str">
        <f>IF($H$448="Y","---&gt;","...")</f>
        <v>...</v>
      </c>
      <c r="C587" s="1" t="str">
        <f>IF($H$448="Y",'Population Definitions'!$A$8,"...")</f>
        <v>...</v>
      </c>
      <c r="E587" s="2"/>
      <c r="F587" s="3"/>
      <c r="G587" s="2"/>
      <c r="H587" s="4" t="str">
        <f>IF($H$448="Y","OR","...")</f>
        <v>...</v>
      </c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  <c r="AM587" s="2"/>
      <c r="AN587" s="2"/>
      <c r="AO587" s="2"/>
      <c r="AP587" s="2"/>
      <c r="AQ587" s="2"/>
      <c r="AR587" s="2"/>
      <c r="AS587" s="2"/>
      <c r="AT587" s="2"/>
      <c r="AU587" s="2"/>
      <c r="AV587" s="2"/>
      <c r="AW587" s="2"/>
      <c r="AX587" s="2"/>
      <c r="AY587" s="2"/>
      <c r="AZ587" s="2"/>
      <c r="BA587" s="2"/>
      <c r="BB587" s="2"/>
      <c r="BC587" s="2"/>
      <c r="BD587" s="2"/>
      <c r="BE587" s="2"/>
      <c r="BF587" s="2"/>
      <c r="BG587" s="2"/>
    </row>
    <row r="588" spans="1:59">
      <c r="A588" s="1" t="str">
        <f>IF($I$448="Y",'Population Definitions'!$A$11,"...")</f>
        <v>...</v>
      </c>
      <c r="B588" s="4" t="str">
        <f>IF($I$448="Y","---&gt;","...")</f>
        <v>...</v>
      </c>
      <c r="C588" s="1" t="str">
        <f>IF($I$448="Y",'Population Definitions'!$A$9,"...")</f>
        <v>...</v>
      </c>
      <c r="E588" s="2"/>
      <c r="F588" s="3"/>
      <c r="G588" s="2"/>
      <c r="H588" s="4" t="str">
        <f>IF($I$448="Y","OR","...")</f>
        <v>...</v>
      </c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  <c r="AM588" s="2"/>
      <c r="AN588" s="2"/>
      <c r="AO588" s="2"/>
      <c r="AP588" s="2"/>
      <c r="AQ588" s="2"/>
      <c r="AR588" s="2"/>
      <c r="AS588" s="2"/>
      <c r="AT588" s="2"/>
      <c r="AU588" s="2"/>
      <c r="AV588" s="2"/>
      <c r="AW588" s="2"/>
      <c r="AX588" s="2"/>
      <c r="AY588" s="2"/>
      <c r="AZ588" s="2"/>
      <c r="BA588" s="2"/>
      <c r="BB588" s="2"/>
      <c r="BC588" s="2"/>
      <c r="BD588" s="2"/>
      <c r="BE588" s="2"/>
      <c r="BF588" s="2"/>
      <c r="BG588" s="2"/>
    </row>
    <row r="589" spans="1:59">
      <c r="A589" s="1" t="str">
        <f>IF($J$448="Y",'Population Definitions'!$A$11,"...")</f>
        <v>...</v>
      </c>
      <c r="B589" s="4" t="str">
        <f>IF($J$448="Y","---&gt;","...")</f>
        <v>...</v>
      </c>
      <c r="C589" s="1" t="str">
        <f>IF($J$448="Y",'Population Definitions'!$A$10,"...")</f>
        <v>...</v>
      </c>
      <c r="E589" s="2"/>
      <c r="F589" s="3"/>
      <c r="G589" s="2"/>
      <c r="H589" s="4" t="str">
        <f>IF($J$448="Y","OR","...")</f>
        <v>...</v>
      </c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  <c r="AM589" s="2"/>
      <c r="AN589" s="2"/>
      <c r="AO589" s="2"/>
      <c r="AP589" s="2"/>
      <c r="AQ589" s="2"/>
      <c r="AR589" s="2"/>
      <c r="AS589" s="2"/>
      <c r="AT589" s="2"/>
      <c r="AU589" s="2"/>
      <c r="AV589" s="2"/>
      <c r="AW589" s="2"/>
      <c r="AX589" s="2"/>
      <c r="AY589" s="2"/>
      <c r="AZ589" s="2"/>
      <c r="BA589" s="2"/>
      <c r="BB589" s="2"/>
      <c r="BC589" s="2"/>
      <c r="BD589" s="2"/>
      <c r="BE589" s="2"/>
      <c r="BF589" s="2"/>
      <c r="BG589" s="2"/>
    </row>
    <row r="590" spans="1:59">
      <c r="A590" s="1" t="str">
        <f>IF($K$448="Y",'Population Definitions'!$A$11,"...")</f>
        <v>...</v>
      </c>
      <c r="B590" s="4" t="str">
        <f>IF($K$448="Y","---&gt;","...")</f>
        <v>...</v>
      </c>
      <c r="C590" s="1" t="str">
        <f>IF($K$448="Y",'Population Definitions'!$A$11,"...")</f>
        <v>...</v>
      </c>
      <c r="E590" s="2"/>
      <c r="F590" s="3"/>
      <c r="G590" s="2"/>
      <c r="H590" s="4" t="str">
        <f>IF($K$448="Y","OR","...")</f>
        <v>...</v>
      </c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  <c r="AM590" s="2"/>
      <c r="AN590" s="2"/>
      <c r="AO590" s="2"/>
      <c r="AP590" s="2"/>
      <c r="AQ590" s="2"/>
      <c r="AR590" s="2"/>
      <c r="AS590" s="2"/>
      <c r="AT590" s="2"/>
      <c r="AU590" s="2"/>
      <c r="AV590" s="2"/>
      <c r="AW590" s="2"/>
      <c r="AX590" s="2"/>
      <c r="AY590" s="2"/>
      <c r="AZ590" s="2"/>
      <c r="BA590" s="2"/>
      <c r="BB590" s="2"/>
      <c r="BC590" s="2"/>
      <c r="BD590" s="2"/>
      <c r="BE590" s="2"/>
      <c r="BF590" s="2"/>
      <c r="BG590" s="2"/>
    </row>
    <row r="591" spans="1:59">
      <c r="A591" s="1" t="str">
        <f>IF($L$448="Y",'Population Definitions'!$A$11,"...")</f>
        <v>...</v>
      </c>
      <c r="B591" s="4" t="str">
        <f>IF($L$448="Y","---&gt;","...")</f>
        <v>...</v>
      </c>
      <c r="C591" s="1" t="str">
        <f>IF($L$448="Y",'Population Definitions'!$A$12,"...")</f>
        <v>...</v>
      </c>
      <c r="E591" s="2"/>
      <c r="F591" s="3"/>
      <c r="G591" s="2"/>
      <c r="H591" s="4" t="str">
        <f>IF($L$448="Y","OR","...")</f>
        <v>...</v>
      </c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  <c r="AM591" s="2"/>
      <c r="AN591" s="2"/>
      <c r="AO591" s="2"/>
      <c r="AP591" s="2"/>
      <c r="AQ591" s="2"/>
      <c r="AR591" s="2"/>
      <c r="AS591" s="2"/>
      <c r="AT591" s="2"/>
      <c r="AU591" s="2"/>
      <c r="AV591" s="2"/>
      <c r="AW591" s="2"/>
      <c r="AX591" s="2"/>
      <c r="AY591" s="2"/>
      <c r="AZ591" s="2"/>
      <c r="BA591" s="2"/>
      <c r="BB591" s="2"/>
      <c r="BC591" s="2"/>
      <c r="BD591" s="2"/>
      <c r="BE591" s="2"/>
      <c r="BF591" s="2"/>
      <c r="BG591" s="2"/>
    </row>
    <row r="592" spans="1:59">
      <c r="A592" s="1" t="str">
        <f>IF($M$448="Y",'Population Definitions'!$A$11,"...")</f>
        <v>...</v>
      </c>
      <c r="B592" s="4" t="str">
        <f>IF($M$448="Y","---&gt;","...")</f>
        <v>...</v>
      </c>
      <c r="C592" s="1" t="str">
        <f>IF($M$448="Y",'Population Definitions'!$A$13,"...")</f>
        <v>...</v>
      </c>
      <c r="E592" s="2"/>
      <c r="F592" s="3"/>
      <c r="G592" s="2"/>
      <c r="H592" s="4" t="str">
        <f>IF($M$448="Y","OR","...")</f>
        <v>...</v>
      </c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  <c r="AM592" s="2"/>
      <c r="AN592" s="2"/>
      <c r="AO592" s="2"/>
      <c r="AP592" s="2"/>
      <c r="AQ592" s="2"/>
      <c r="AR592" s="2"/>
      <c r="AS592" s="2"/>
      <c r="AT592" s="2"/>
      <c r="AU592" s="2"/>
      <c r="AV592" s="2"/>
      <c r="AW592" s="2"/>
      <c r="AX592" s="2"/>
      <c r="AY592" s="2"/>
      <c r="AZ592" s="2"/>
      <c r="BA592" s="2"/>
      <c r="BB592" s="2"/>
      <c r="BC592" s="2"/>
      <c r="BD592" s="2"/>
      <c r="BE592" s="2"/>
      <c r="BF592" s="2"/>
      <c r="BG592" s="2"/>
    </row>
    <row r="593" spans="1:59">
      <c r="A593" s="1" t="str">
        <f>IF($N$448="Y",'Population Definitions'!$A$11,"...")</f>
        <v>...</v>
      </c>
      <c r="B593" s="4" t="str">
        <f>IF($N$448="Y","---&gt;","...")</f>
        <v>...</v>
      </c>
      <c r="C593" s="1" t="str">
        <f>IF($N$448="Y",'Population Definitions'!$A$14,"...")</f>
        <v>...</v>
      </c>
      <c r="E593" s="2"/>
      <c r="F593" s="3"/>
      <c r="G593" s="2"/>
      <c r="H593" s="4" t="str">
        <f>IF($N$448="Y","OR","...")</f>
        <v>...</v>
      </c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  <c r="AM593" s="2"/>
      <c r="AN593" s="2"/>
      <c r="AO593" s="2"/>
      <c r="AP593" s="2"/>
      <c r="AQ593" s="2"/>
      <c r="AR593" s="2"/>
      <c r="AS593" s="2"/>
      <c r="AT593" s="2"/>
      <c r="AU593" s="2"/>
      <c r="AV593" s="2"/>
      <c r="AW593" s="2"/>
      <c r="AX593" s="2"/>
      <c r="AY593" s="2"/>
      <c r="AZ593" s="2"/>
      <c r="BA593" s="2"/>
      <c r="BB593" s="2"/>
      <c r="BC593" s="2"/>
      <c r="BD593" s="2"/>
      <c r="BE593" s="2"/>
      <c r="BF593" s="2"/>
      <c r="BG593" s="2"/>
    </row>
    <row r="594" spans="1:59">
      <c r="A594" s="1" t="str">
        <f>IF($O$448="Y",'Population Definitions'!$A$11,"...")</f>
        <v>...</v>
      </c>
      <c r="B594" s="4" t="str">
        <f>IF($O$448="Y","---&gt;","...")</f>
        <v>...</v>
      </c>
      <c r="C594" s="1" t="str">
        <f>IF($O$448="Y",'Population Definitions'!$A$15,"...")</f>
        <v>...</v>
      </c>
      <c r="E594" s="2"/>
      <c r="F594" s="3"/>
      <c r="G594" s="2"/>
      <c r="H594" s="4" t="str">
        <f>IF($O$448="Y","OR","...")</f>
        <v>...</v>
      </c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  <c r="AM594" s="2"/>
      <c r="AN594" s="2"/>
      <c r="AO594" s="2"/>
      <c r="AP594" s="2"/>
      <c r="AQ594" s="2"/>
      <c r="AR594" s="2"/>
      <c r="AS594" s="2"/>
      <c r="AT594" s="2"/>
      <c r="AU594" s="2"/>
      <c r="AV594" s="2"/>
      <c r="AW594" s="2"/>
      <c r="AX594" s="2"/>
      <c r="AY594" s="2"/>
      <c r="AZ594" s="2"/>
      <c r="BA594" s="2"/>
      <c r="BB594" s="2"/>
      <c r="BC594" s="2"/>
      <c r="BD594" s="2"/>
      <c r="BE594" s="2"/>
      <c r="BF594" s="2"/>
      <c r="BG594" s="2"/>
    </row>
    <row r="595" spans="1:59">
      <c r="A595" s="1" t="str">
        <f>IF($B$449="Y",'Population Definitions'!$A$12,"...")</f>
        <v>...</v>
      </c>
      <c r="B595" s="4" t="str">
        <f>IF($B$449="Y","---&gt;","...")</f>
        <v>...</v>
      </c>
      <c r="C595" s="1" t="str">
        <f>IF($B$449="Y",'Population Definitions'!$A$2,"...")</f>
        <v>...</v>
      </c>
      <c r="E595" s="2"/>
      <c r="F595" s="3"/>
      <c r="G595" s="2"/>
      <c r="H595" s="4" t="str">
        <f>IF($B$449="Y","OR","...")</f>
        <v>...</v>
      </c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  <c r="AM595" s="2"/>
      <c r="AN595" s="2"/>
      <c r="AO595" s="2"/>
      <c r="AP595" s="2"/>
      <c r="AQ595" s="2"/>
      <c r="AR595" s="2"/>
      <c r="AS595" s="2"/>
      <c r="AT595" s="2"/>
      <c r="AU595" s="2"/>
      <c r="AV595" s="2"/>
      <c r="AW595" s="2"/>
      <c r="AX595" s="2"/>
      <c r="AY595" s="2"/>
      <c r="AZ595" s="2"/>
      <c r="BA595" s="2"/>
      <c r="BB595" s="2"/>
      <c r="BC595" s="2"/>
      <c r="BD595" s="2"/>
      <c r="BE595" s="2"/>
      <c r="BF595" s="2"/>
      <c r="BG595" s="2"/>
    </row>
    <row r="596" spans="1:59">
      <c r="A596" s="1" t="str">
        <f>IF($C$449="Y",'Population Definitions'!$A$12,"...")</f>
        <v>...</v>
      </c>
      <c r="B596" s="4" t="str">
        <f>IF($C$449="Y","---&gt;","...")</f>
        <v>...</v>
      </c>
      <c r="C596" s="1" t="str">
        <f>IF($C$449="Y",'Population Definitions'!$A$3,"...")</f>
        <v>...</v>
      </c>
      <c r="E596" s="2"/>
      <c r="F596" s="3"/>
      <c r="G596" s="2"/>
      <c r="H596" s="4" t="str">
        <f>IF($C$449="Y","OR","...")</f>
        <v>...</v>
      </c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  <c r="AM596" s="2"/>
      <c r="AN596" s="2"/>
      <c r="AO596" s="2"/>
      <c r="AP596" s="2"/>
      <c r="AQ596" s="2"/>
      <c r="AR596" s="2"/>
      <c r="AS596" s="2"/>
      <c r="AT596" s="2"/>
      <c r="AU596" s="2"/>
      <c r="AV596" s="2"/>
      <c r="AW596" s="2"/>
      <c r="AX596" s="2"/>
      <c r="AY596" s="2"/>
      <c r="AZ596" s="2"/>
      <c r="BA596" s="2"/>
      <c r="BB596" s="2"/>
      <c r="BC596" s="2"/>
      <c r="BD596" s="2"/>
      <c r="BE596" s="2"/>
      <c r="BF596" s="2"/>
      <c r="BG596" s="2"/>
    </row>
    <row r="597" spans="1:59">
      <c r="A597" s="1" t="str">
        <f>IF($D$449="Y",'Population Definitions'!$A$12,"...")</f>
        <v>...</v>
      </c>
      <c r="B597" s="4" t="str">
        <f>IF($D$449="Y","---&gt;","...")</f>
        <v>...</v>
      </c>
      <c r="C597" s="1" t="str">
        <f>IF($D$449="Y",'Population Definitions'!$A$4,"...")</f>
        <v>...</v>
      </c>
      <c r="E597" s="2"/>
      <c r="F597" s="3"/>
      <c r="G597" s="2"/>
      <c r="H597" s="4" t="str">
        <f>IF($D$449="Y","OR","...")</f>
        <v>...</v>
      </c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  <c r="AM597" s="2"/>
      <c r="AN597" s="2"/>
      <c r="AO597" s="2"/>
      <c r="AP597" s="2"/>
      <c r="AQ597" s="2"/>
      <c r="AR597" s="2"/>
      <c r="AS597" s="2"/>
      <c r="AT597" s="2"/>
      <c r="AU597" s="2"/>
      <c r="AV597" s="2"/>
      <c r="AW597" s="2"/>
      <c r="AX597" s="2"/>
      <c r="AY597" s="2"/>
      <c r="AZ597" s="2"/>
      <c r="BA597" s="2"/>
      <c r="BB597" s="2"/>
      <c r="BC597" s="2"/>
      <c r="BD597" s="2"/>
      <c r="BE597" s="2"/>
      <c r="BF597" s="2"/>
      <c r="BG597" s="2"/>
    </row>
    <row r="598" spans="1:59">
      <c r="A598" s="1" t="str">
        <f>IF($E$449="Y",'Population Definitions'!$A$12,"...")</f>
        <v>...</v>
      </c>
      <c r="B598" s="4" t="str">
        <f>IF($E$449="Y","---&gt;","...")</f>
        <v>...</v>
      </c>
      <c r="C598" s="1" t="str">
        <f>IF($E$449="Y",'Population Definitions'!$A$5,"...")</f>
        <v>...</v>
      </c>
      <c r="E598" s="2"/>
      <c r="F598" s="3"/>
      <c r="G598" s="2"/>
      <c r="H598" s="4" t="str">
        <f>IF($E$449="Y","OR","...")</f>
        <v>...</v>
      </c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  <c r="AM598" s="2"/>
      <c r="AN598" s="2"/>
      <c r="AO598" s="2"/>
      <c r="AP598" s="2"/>
      <c r="AQ598" s="2"/>
      <c r="AR598" s="2"/>
      <c r="AS598" s="2"/>
      <c r="AT598" s="2"/>
      <c r="AU598" s="2"/>
      <c r="AV598" s="2"/>
      <c r="AW598" s="2"/>
      <c r="AX598" s="2"/>
      <c r="AY598" s="2"/>
      <c r="AZ598" s="2"/>
      <c r="BA598" s="2"/>
      <c r="BB598" s="2"/>
      <c r="BC598" s="2"/>
      <c r="BD598" s="2"/>
      <c r="BE598" s="2"/>
      <c r="BF598" s="2"/>
      <c r="BG598" s="2"/>
    </row>
    <row r="599" spans="1:59">
      <c r="A599" s="1" t="str">
        <f>IF($F$449="Y",'Population Definitions'!$A$12,"...")</f>
        <v>...</v>
      </c>
      <c r="B599" s="4" t="str">
        <f>IF($F$449="Y","---&gt;","...")</f>
        <v>...</v>
      </c>
      <c r="C599" s="1" t="str">
        <f>IF($F$449="Y",'Population Definitions'!$A$6,"...")</f>
        <v>...</v>
      </c>
      <c r="E599" s="2"/>
      <c r="F599" s="3"/>
      <c r="G599" s="2"/>
      <c r="H599" s="4" t="str">
        <f>IF($F$449="Y","OR","...")</f>
        <v>...</v>
      </c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  <c r="AM599" s="2"/>
      <c r="AN599" s="2"/>
      <c r="AO599" s="2"/>
      <c r="AP599" s="2"/>
      <c r="AQ599" s="2"/>
      <c r="AR599" s="2"/>
      <c r="AS599" s="2"/>
      <c r="AT599" s="2"/>
      <c r="AU599" s="2"/>
      <c r="AV599" s="2"/>
      <c r="AW599" s="2"/>
      <c r="AX599" s="2"/>
      <c r="AY599" s="2"/>
      <c r="AZ599" s="2"/>
      <c r="BA599" s="2"/>
      <c r="BB599" s="2"/>
      <c r="BC599" s="2"/>
      <c r="BD599" s="2"/>
      <c r="BE599" s="2"/>
      <c r="BF599" s="2"/>
      <c r="BG599" s="2"/>
    </row>
    <row r="600" spans="1:59">
      <c r="A600" s="1" t="str">
        <f>IF($G$449="Y",'Population Definitions'!$A$12,"...")</f>
        <v>...</v>
      </c>
      <c r="B600" s="4" t="str">
        <f>IF($G$449="Y","---&gt;","...")</f>
        <v>...</v>
      </c>
      <c r="C600" s="1" t="str">
        <f>IF($G$449="Y",'Population Definitions'!$A$7,"...")</f>
        <v>...</v>
      </c>
      <c r="E600" s="2"/>
      <c r="F600" s="3"/>
      <c r="G600" s="2"/>
      <c r="H600" s="4" t="str">
        <f>IF($G$449="Y","OR","...")</f>
        <v>...</v>
      </c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  <c r="AM600" s="2"/>
      <c r="AN600" s="2"/>
      <c r="AO600" s="2"/>
      <c r="AP600" s="2"/>
      <c r="AQ600" s="2"/>
      <c r="AR600" s="2"/>
      <c r="AS600" s="2"/>
      <c r="AT600" s="2"/>
      <c r="AU600" s="2"/>
      <c r="AV600" s="2"/>
      <c r="AW600" s="2"/>
      <c r="AX600" s="2"/>
      <c r="AY600" s="2"/>
      <c r="AZ600" s="2"/>
      <c r="BA600" s="2"/>
      <c r="BB600" s="2"/>
      <c r="BC600" s="2"/>
      <c r="BD600" s="2"/>
      <c r="BE600" s="2"/>
      <c r="BF600" s="2"/>
      <c r="BG600" s="2"/>
    </row>
    <row r="601" spans="1:59">
      <c r="A601" s="1" t="str">
        <f>IF($H$449="Y",'Population Definitions'!$A$12,"...")</f>
        <v>Prisoners_males</v>
      </c>
      <c r="B601" s="4" t="str">
        <f>IF($H$449="Y","---&gt;","...")</f>
        <v>---&gt;</v>
      </c>
      <c r="C601" s="1" t="str">
        <f>IF($H$449="Y",'Population Definitions'!$A$8,"...")</f>
        <v>18-64_males</v>
      </c>
      <c r="E601" s="3" t="s">
        <v>55</v>
      </c>
      <c r="F601" s="3"/>
      <c r="G601" s="3">
        <v>3.552320184301066</v>
      </c>
      <c r="H601" s="4" t="str">
        <f>IF($H$449="Y","OR","...")</f>
        <v>OR</v>
      </c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/>
      <c r="AF601" s="3"/>
      <c r="AG601" s="3"/>
      <c r="AH601" s="3"/>
      <c r="AI601" s="3"/>
      <c r="AJ601" s="3"/>
      <c r="AK601" s="3"/>
      <c r="AL601" s="3"/>
      <c r="AM601" s="3"/>
      <c r="AN601" s="3"/>
      <c r="AO601" s="3"/>
      <c r="AP601" s="3"/>
      <c r="AQ601" s="3"/>
      <c r="AR601" s="3"/>
      <c r="AS601" s="3"/>
      <c r="AT601" s="3"/>
      <c r="AU601" s="3"/>
      <c r="AV601" s="3"/>
      <c r="AW601" s="3"/>
      <c r="AX601" s="3"/>
      <c r="AY601" s="3"/>
      <c r="AZ601" s="3"/>
      <c r="BA601" s="3"/>
      <c r="BB601" s="3"/>
      <c r="BC601" s="3"/>
      <c r="BD601" s="3"/>
      <c r="BE601" s="3"/>
      <c r="BF601" s="3"/>
      <c r="BG601" s="3"/>
    </row>
    <row r="602" spans="1:59">
      <c r="A602" s="1" t="str">
        <f>IF($I$449="Y",'Population Definitions'!$A$12,"...")</f>
        <v>...</v>
      </c>
      <c r="B602" s="4" t="str">
        <f>IF($I$449="Y","---&gt;","...")</f>
        <v>...</v>
      </c>
      <c r="C602" s="1" t="str">
        <f>IF($I$449="Y",'Population Definitions'!$A$9,"...")</f>
        <v>...</v>
      </c>
      <c r="E602" s="2"/>
      <c r="F602" s="3"/>
      <c r="G602" s="2"/>
      <c r="H602" s="4" t="str">
        <f>IF($I$449="Y","OR","...")</f>
        <v>...</v>
      </c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  <c r="AM602" s="2"/>
      <c r="AN602" s="2"/>
      <c r="AO602" s="2"/>
      <c r="AP602" s="2"/>
      <c r="AQ602" s="2"/>
      <c r="AR602" s="2"/>
      <c r="AS602" s="2"/>
      <c r="AT602" s="2"/>
      <c r="AU602" s="2"/>
      <c r="AV602" s="2"/>
      <c r="AW602" s="2"/>
      <c r="AX602" s="2"/>
      <c r="AY602" s="2"/>
      <c r="AZ602" s="2"/>
      <c r="BA602" s="2"/>
      <c r="BB602" s="2"/>
      <c r="BC602" s="2"/>
      <c r="BD602" s="2"/>
      <c r="BE602" s="2"/>
      <c r="BF602" s="2"/>
      <c r="BG602" s="2"/>
    </row>
    <row r="603" spans="1:59">
      <c r="A603" s="1" t="str">
        <f>IF($J$449="Y",'Population Definitions'!$A$12,"...")</f>
        <v>...</v>
      </c>
      <c r="B603" s="4" t="str">
        <f>IF($J$449="Y","---&gt;","...")</f>
        <v>...</v>
      </c>
      <c r="C603" s="1" t="str">
        <f>IF($J$449="Y",'Population Definitions'!$A$10,"...")</f>
        <v>...</v>
      </c>
      <c r="E603" s="2"/>
      <c r="F603" s="3"/>
      <c r="G603" s="2"/>
      <c r="H603" s="4" t="str">
        <f>IF($J$449="Y","OR","...")</f>
        <v>...</v>
      </c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  <c r="AM603" s="2"/>
      <c r="AN603" s="2"/>
      <c r="AO603" s="2"/>
      <c r="AP603" s="2"/>
      <c r="AQ603" s="2"/>
      <c r="AR603" s="2"/>
      <c r="AS603" s="2"/>
      <c r="AT603" s="2"/>
      <c r="AU603" s="2"/>
      <c r="AV603" s="2"/>
      <c r="AW603" s="2"/>
      <c r="AX603" s="2"/>
      <c r="AY603" s="2"/>
      <c r="AZ603" s="2"/>
      <c r="BA603" s="2"/>
      <c r="BB603" s="2"/>
      <c r="BC603" s="2"/>
      <c r="BD603" s="2"/>
      <c r="BE603" s="2"/>
      <c r="BF603" s="2"/>
      <c r="BG603" s="2"/>
    </row>
    <row r="604" spans="1:59">
      <c r="A604" s="1" t="str">
        <f>IF($K$449="Y",'Population Definitions'!$A$12,"...")</f>
        <v>...</v>
      </c>
      <c r="B604" s="4" t="str">
        <f>IF($K$449="Y","---&gt;","...")</f>
        <v>...</v>
      </c>
      <c r="C604" s="1" t="str">
        <f>IF($K$449="Y",'Population Definitions'!$A$11,"...")</f>
        <v>...</v>
      </c>
      <c r="E604" s="2"/>
      <c r="F604" s="3"/>
      <c r="G604" s="2"/>
      <c r="H604" s="4" t="str">
        <f>IF($K$449="Y","OR","...")</f>
        <v>...</v>
      </c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  <c r="AM604" s="2"/>
      <c r="AN604" s="2"/>
      <c r="AO604" s="2"/>
      <c r="AP604" s="2"/>
      <c r="AQ604" s="2"/>
      <c r="AR604" s="2"/>
      <c r="AS604" s="2"/>
      <c r="AT604" s="2"/>
      <c r="AU604" s="2"/>
      <c r="AV604" s="2"/>
      <c r="AW604" s="2"/>
      <c r="AX604" s="2"/>
      <c r="AY604" s="2"/>
      <c r="AZ604" s="2"/>
      <c r="BA604" s="2"/>
      <c r="BB604" s="2"/>
      <c r="BC604" s="2"/>
      <c r="BD604" s="2"/>
      <c r="BE604" s="2"/>
      <c r="BF604" s="2"/>
      <c r="BG604" s="2"/>
    </row>
    <row r="605" spans="1:59">
      <c r="A605" s="1" t="str">
        <f>IF($L$449="Y",'Population Definitions'!$A$12,"...")</f>
        <v>...</v>
      </c>
      <c r="B605" s="4" t="str">
        <f>IF($L$449="Y","---&gt;","...")</f>
        <v>...</v>
      </c>
      <c r="C605" s="1" t="str">
        <f>IF($L$449="Y",'Population Definitions'!$A$12,"...")</f>
        <v>...</v>
      </c>
      <c r="E605" s="2"/>
      <c r="F605" s="3"/>
      <c r="G605" s="2"/>
      <c r="H605" s="4" t="str">
        <f>IF($L$449="Y","OR","...")</f>
        <v>...</v>
      </c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  <c r="AM605" s="2"/>
      <c r="AN605" s="2"/>
      <c r="AO605" s="2"/>
      <c r="AP605" s="2"/>
      <c r="AQ605" s="2"/>
      <c r="AR605" s="2"/>
      <c r="AS605" s="2"/>
      <c r="AT605" s="2"/>
      <c r="AU605" s="2"/>
      <c r="AV605" s="2"/>
      <c r="AW605" s="2"/>
      <c r="AX605" s="2"/>
      <c r="AY605" s="2"/>
      <c r="AZ605" s="2"/>
      <c r="BA605" s="2"/>
      <c r="BB605" s="2"/>
      <c r="BC605" s="2"/>
      <c r="BD605" s="2"/>
      <c r="BE605" s="2"/>
      <c r="BF605" s="2"/>
      <c r="BG605" s="2"/>
    </row>
    <row r="606" spans="1:59">
      <c r="A606" s="1" t="str">
        <f>IF($M$449="Y",'Population Definitions'!$A$12,"...")</f>
        <v>...</v>
      </c>
      <c r="B606" s="4" t="str">
        <f>IF($M$449="Y","---&gt;","...")</f>
        <v>...</v>
      </c>
      <c r="C606" s="1" t="str">
        <f>IF($M$449="Y",'Population Definitions'!$A$13,"...")</f>
        <v>...</v>
      </c>
      <c r="E606" s="2"/>
      <c r="F606" s="3"/>
      <c r="G606" s="2"/>
      <c r="H606" s="4" t="str">
        <f>IF($M$449="Y","OR","...")</f>
        <v>...</v>
      </c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  <c r="AM606" s="2"/>
      <c r="AN606" s="2"/>
      <c r="AO606" s="2"/>
      <c r="AP606" s="2"/>
      <c r="AQ606" s="2"/>
      <c r="AR606" s="2"/>
      <c r="AS606" s="2"/>
      <c r="AT606" s="2"/>
      <c r="AU606" s="2"/>
      <c r="AV606" s="2"/>
      <c r="AW606" s="2"/>
      <c r="AX606" s="2"/>
      <c r="AY606" s="2"/>
      <c r="AZ606" s="2"/>
      <c r="BA606" s="2"/>
      <c r="BB606" s="2"/>
      <c r="BC606" s="2"/>
      <c r="BD606" s="2"/>
      <c r="BE606" s="2"/>
      <c r="BF606" s="2"/>
      <c r="BG606" s="2"/>
    </row>
    <row r="607" spans="1:59">
      <c r="A607" s="1" t="str">
        <f>IF($N$449="Y",'Population Definitions'!$A$12,"...")</f>
        <v>...</v>
      </c>
      <c r="B607" s="4" t="str">
        <f>IF($N$449="Y","---&gt;","...")</f>
        <v>...</v>
      </c>
      <c r="C607" s="1" t="str">
        <f>IF($N$449="Y",'Population Definitions'!$A$14,"...")</f>
        <v>...</v>
      </c>
      <c r="E607" s="2"/>
      <c r="F607" s="3"/>
      <c r="G607" s="2"/>
      <c r="H607" s="4" t="str">
        <f>IF($N$449="Y","OR","...")</f>
        <v>...</v>
      </c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  <c r="AK607" s="2"/>
      <c r="AL607" s="2"/>
      <c r="AM607" s="2"/>
      <c r="AN607" s="2"/>
      <c r="AO607" s="2"/>
      <c r="AP607" s="2"/>
      <c r="AQ607" s="2"/>
      <c r="AR607" s="2"/>
      <c r="AS607" s="2"/>
      <c r="AT607" s="2"/>
      <c r="AU607" s="2"/>
      <c r="AV607" s="2"/>
      <c r="AW607" s="2"/>
      <c r="AX607" s="2"/>
      <c r="AY607" s="2"/>
      <c r="AZ607" s="2"/>
      <c r="BA607" s="2"/>
      <c r="BB607" s="2"/>
      <c r="BC607" s="2"/>
      <c r="BD607" s="2"/>
      <c r="BE607" s="2"/>
      <c r="BF607" s="2"/>
      <c r="BG607" s="2"/>
    </row>
    <row r="608" spans="1:59">
      <c r="A608" s="1" t="str">
        <f>IF($O$449="Y",'Population Definitions'!$A$12,"...")</f>
        <v>...</v>
      </c>
      <c r="B608" s="4" t="str">
        <f>IF($O$449="Y","---&gt;","...")</f>
        <v>...</v>
      </c>
      <c r="C608" s="1" t="str">
        <f>IF($O$449="Y",'Population Definitions'!$A$15,"...")</f>
        <v>...</v>
      </c>
      <c r="E608" s="2"/>
      <c r="F608" s="3"/>
      <c r="G608" s="2"/>
      <c r="H608" s="4" t="str">
        <f>IF($O$449="Y","OR","...")</f>
        <v>...</v>
      </c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  <c r="AK608" s="2"/>
      <c r="AL608" s="2"/>
      <c r="AM608" s="2"/>
      <c r="AN608" s="2"/>
      <c r="AO608" s="2"/>
      <c r="AP608" s="2"/>
      <c r="AQ608" s="2"/>
      <c r="AR608" s="2"/>
      <c r="AS608" s="2"/>
      <c r="AT608" s="2"/>
      <c r="AU608" s="2"/>
      <c r="AV608" s="2"/>
      <c r="AW608" s="2"/>
      <c r="AX608" s="2"/>
      <c r="AY608" s="2"/>
      <c r="AZ608" s="2"/>
      <c r="BA608" s="2"/>
      <c r="BB608" s="2"/>
      <c r="BC608" s="2"/>
      <c r="BD608" s="2"/>
      <c r="BE608" s="2"/>
      <c r="BF608" s="2"/>
      <c r="BG608" s="2"/>
    </row>
    <row r="609" spans="1:59">
      <c r="A609" s="1" t="str">
        <f>IF($B$450="Y",'Population Definitions'!$A$13,"...")</f>
        <v>...</v>
      </c>
      <c r="B609" s="4" t="str">
        <f>IF($B$450="Y","---&gt;","...")</f>
        <v>...</v>
      </c>
      <c r="C609" s="1" t="str">
        <f>IF($B$450="Y",'Population Definitions'!$A$2,"...")</f>
        <v>...</v>
      </c>
      <c r="E609" s="2"/>
      <c r="F609" s="3"/>
      <c r="G609" s="2"/>
      <c r="H609" s="4" t="str">
        <f>IF($B$450="Y","OR","...")</f>
        <v>...</v>
      </c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  <c r="AK609" s="2"/>
      <c r="AL609" s="2"/>
      <c r="AM609" s="2"/>
      <c r="AN609" s="2"/>
      <c r="AO609" s="2"/>
      <c r="AP609" s="2"/>
      <c r="AQ609" s="2"/>
      <c r="AR609" s="2"/>
      <c r="AS609" s="2"/>
      <c r="AT609" s="2"/>
      <c r="AU609" s="2"/>
      <c r="AV609" s="2"/>
      <c r="AW609" s="2"/>
      <c r="AX609" s="2"/>
      <c r="AY609" s="2"/>
      <c r="AZ609" s="2"/>
      <c r="BA609" s="2"/>
      <c r="BB609" s="2"/>
      <c r="BC609" s="2"/>
      <c r="BD609" s="2"/>
      <c r="BE609" s="2"/>
      <c r="BF609" s="2"/>
      <c r="BG609" s="2"/>
    </row>
    <row r="610" spans="1:59">
      <c r="A610" s="1" t="str">
        <f>IF($C$450="Y",'Population Definitions'!$A$13,"...")</f>
        <v>...</v>
      </c>
      <c r="B610" s="4" t="str">
        <f>IF($C$450="Y","---&gt;","...")</f>
        <v>...</v>
      </c>
      <c r="C610" s="1" t="str">
        <f>IF($C$450="Y",'Population Definitions'!$A$3,"...")</f>
        <v>...</v>
      </c>
      <c r="E610" s="2"/>
      <c r="F610" s="3"/>
      <c r="G610" s="2"/>
      <c r="H610" s="4" t="str">
        <f>IF($C$450="Y","OR","...")</f>
        <v>...</v>
      </c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  <c r="AK610" s="2"/>
      <c r="AL610" s="2"/>
      <c r="AM610" s="2"/>
      <c r="AN610" s="2"/>
      <c r="AO610" s="2"/>
      <c r="AP610" s="2"/>
      <c r="AQ610" s="2"/>
      <c r="AR610" s="2"/>
      <c r="AS610" s="2"/>
      <c r="AT610" s="2"/>
      <c r="AU610" s="2"/>
      <c r="AV610" s="2"/>
      <c r="AW610" s="2"/>
      <c r="AX610" s="2"/>
      <c r="AY610" s="2"/>
      <c r="AZ610" s="2"/>
      <c r="BA610" s="2"/>
      <c r="BB610" s="2"/>
      <c r="BC610" s="2"/>
      <c r="BD610" s="2"/>
      <c r="BE610" s="2"/>
      <c r="BF610" s="2"/>
      <c r="BG610" s="2"/>
    </row>
    <row r="611" spans="1:59">
      <c r="A611" s="1" t="str">
        <f>IF($D$450="Y",'Population Definitions'!$A$13,"...")</f>
        <v>...</v>
      </c>
      <c r="B611" s="4" t="str">
        <f>IF($D$450="Y","---&gt;","...")</f>
        <v>...</v>
      </c>
      <c r="C611" s="1" t="str">
        <f>IF($D$450="Y",'Population Definitions'!$A$4,"...")</f>
        <v>...</v>
      </c>
      <c r="E611" s="2"/>
      <c r="F611" s="3"/>
      <c r="G611" s="2"/>
      <c r="H611" s="4" t="str">
        <f>IF($D$450="Y","OR","...")</f>
        <v>...</v>
      </c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  <c r="AK611" s="2"/>
      <c r="AL611" s="2"/>
      <c r="AM611" s="2"/>
      <c r="AN611" s="2"/>
      <c r="AO611" s="2"/>
      <c r="AP611" s="2"/>
      <c r="AQ611" s="2"/>
      <c r="AR611" s="2"/>
      <c r="AS611" s="2"/>
      <c r="AT611" s="2"/>
      <c r="AU611" s="2"/>
      <c r="AV611" s="2"/>
      <c r="AW611" s="2"/>
      <c r="AX611" s="2"/>
      <c r="AY611" s="2"/>
      <c r="AZ611" s="2"/>
      <c r="BA611" s="2"/>
      <c r="BB611" s="2"/>
      <c r="BC611" s="2"/>
      <c r="BD611" s="2"/>
      <c r="BE611" s="2"/>
      <c r="BF611" s="2"/>
      <c r="BG611" s="2"/>
    </row>
    <row r="612" spans="1:59">
      <c r="A612" s="1" t="str">
        <f>IF($E$450="Y",'Population Definitions'!$A$13,"...")</f>
        <v>...</v>
      </c>
      <c r="B612" s="4" t="str">
        <f>IF($E$450="Y","---&gt;","...")</f>
        <v>...</v>
      </c>
      <c r="C612" s="1" t="str">
        <f>IF($E$450="Y",'Population Definitions'!$A$5,"...")</f>
        <v>...</v>
      </c>
      <c r="E612" s="2"/>
      <c r="F612" s="3"/>
      <c r="G612" s="2"/>
      <c r="H612" s="4" t="str">
        <f>IF($E$450="Y","OR","...")</f>
        <v>...</v>
      </c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  <c r="AK612" s="2"/>
      <c r="AL612" s="2"/>
      <c r="AM612" s="2"/>
      <c r="AN612" s="2"/>
      <c r="AO612" s="2"/>
      <c r="AP612" s="2"/>
      <c r="AQ612" s="2"/>
      <c r="AR612" s="2"/>
      <c r="AS612" s="2"/>
      <c r="AT612" s="2"/>
      <c r="AU612" s="2"/>
      <c r="AV612" s="2"/>
      <c r="AW612" s="2"/>
      <c r="AX612" s="2"/>
      <c r="AY612" s="2"/>
      <c r="AZ612" s="2"/>
      <c r="BA612" s="2"/>
      <c r="BB612" s="2"/>
      <c r="BC612" s="2"/>
      <c r="BD612" s="2"/>
      <c r="BE612" s="2"/>
      <c r="BF612" s="2"/>
      <c r="BG612" s="2"/>
    </row>
    <row r="613" spans="1:59">
      <c r="A613" s="1" t="str">
        <f>IF($F$450="Y",'Population Definitions'!$A$13,"...")</f>
        <v>...</v>
      </c>
      <c r="B613" s="4" t="str">
        <f>IF($F$450="Y","---&gt;","...")</f>
        <v>...</v>
      </c>
      <c r="C613" s="1" t="str">
        <f>IF($F$450="Y",'Population Definitions'!$A$6,"...")</f>
        <v>...</v>
      </c>
      <c r="E613" s="2"/>
      <c r="F613" s="3"/>
      <c r="G613" s="2"/>
      <c r="H613" s="4" t="str">
        <f>IF($F$450="Y","OR","...")</f>
        <v>...</v>
      </c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  <c r="AK613" s="2"/>
      <c r="AL613" s="2"/>
      <c r="AM613" s="2"/>
      <c r="AN613" s="2"/>
      <c r="AO613" s="2"/>
      <c r="AP613" s="2"/>
      <c r="AQ613" s="2"/>
      <c r="AR613" s="2"/>
      <c r="AS613" s="2"/>
      <c r="AT613" s="2"/>
      <c r="AU613" s="2"/>
      <c r="AV613" s="2"/>
      <c r="AW613" s="2"/>
      <c r="AX613" s="2"/>
      <c r="AY613" s="2"/>
      <c r="AZ613" s="2"/>
      <c r="BA613" s="2"/>
      <c r="BB613" s="2"/>
      <c r="BC613" s="2"/>
      <c r="BD613" s="2"/>
      <c r="BE613" s="2"/>
      <c r="BF613" s="2"/>
      <c r="BG613" s="2"/>
    </row>
    <row r="614" spans="1:59">
      <c r="A614" s="1" t="str">
        <f>IF($G$450="Y",'Population Definitions'!$A$13,"...")</f>
        <v>...</v>
      </c>
      <c r="B614" s="4" t="str">
        <f>IF($G$450="Y","---&gt;","...")</f>
        <v>...</v>
      </c>
      <c r="C614" s="1" t="str">
        <f>IF($G$450="Y",'Population Definitions'!$A$7,"...")</f>
        <v>...</v>
      </c>
      <c r="E614" s="2"/>
      <c r="F614" s="3"/>
      <c r="G614" s="2"/>
      <c r="H614" s="4" t="str">
        <f>IF($G$450="Y","OR","...")</f>
        <v>...</v>
      </c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  <c r="AK614" s="2"/>
      <c r="AL614" s="2"/>
      <c r="AM614" s="2"/>
      <c r="AN614" s="2"/>
      <c r="AO614" s="2"/>
      <c r="AP614" s="2"/>
      <c r="AQ614" s="2"/>
      <c r="AR614" s="2"/>
      <c r="AS614" s="2"/>
      <c r="AT614" s="2"/>
      <c r="AU614" s="2"/>
      <c r="AV614" s="2"/>
      <c r="AW614" s="2"/>
      <c r="AX614" s="2"/>
      <c r="AY614" s="2"/>
      <c r="AZ614" s="2"/>
      <c r="BA614" s="2"/>
      <c r="BB614" s="2"/>
      <c r="BC614" s="2"/>
      <c r="BD614" s="2"/>
      <c r="BE614" s="2"/>
      <c r="BF614" s="2"/>
      <c r="BG614" s="2"/>
    </row>
    <row r="615" spans="1:59">
      <c r="A615" s="1" t="str">
        <f>IF($H$450="Y",'Population Definitions'!$A$13,"...")</f>
        <v>...</v>
      </c>
      <c r="B615" s="4" t="str">
        <f>IF($H$450="Y","---&gt;","...")</f>
        <v>...</v>
      </c>
      <c r="C615" s="1" t="str">
        <f>IF($H$450="Y",'Population Definitions'!$A$8,"...")</f>
        <v>...</v>
      </c>
      <c r="E615" s="2"/>
      <c r="F615" s="3"/>
      <c r="G615" s="2"/>
      <c r="H615" s="4" t="str">
        <f>IF($H$450="Y","OR","...")</f>
        <v>...</v>
      </c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  <c r="AK615" s="2"/>
      <c r="AL615" s="2"/>
      <c r="AM615" s="2"/>
      <c r="AN615" s="2"/>
      <c r="AO615" s="2"/>
      <c r="AP615" s="2"/>
      <c r="AQ615" s="2"/>
      <c r="AR615" s="2"/>
      <c r="AS615" s="2"/>
      <c r="AT615" s="2"/>
      <c r="AU615" s="2"/>
      <c r="AV615" s="2"/>
      <c r="AW615" s="2"/>
      <c r="AX615" s="2"/>
      <c r="AY615" s="2"/>
      <c r="AZ615" s="2"/>
      <c r="BA615" s="2"/>
      <c r="BB615" s="2"/>
      <c r="BC615" s="2"/>
      <c r="BD615" s="2"/>
      <c r="BE615" s="2"/>
      <c r="BF615" s="2"/>
      <c r="BG615" s="2"/>
    </row>
    <row r="616" spans="1:59">
      <c r="A616" s="1" t="str">
        <f>IF($I$450="Y",'Population Definitions'!$A$13,"...")</f>
        <v>Prisoners_females</v>
      </c>
      <c r="B616" s="4" t="str">
        <f>IF($I$450="Y","---&gt;","...")</f>
        <v>---&gt;</v>
      </c>
      <c r="C616" s="1" t="str">
        <f>IF($I$450="Y",'Population Definitions'!$A$9,"...")</f>
        <v>18-64_females</v>
      </c>
      <c r="E616" s="3" t="s">
        <v>55</v>
      </c>
      <c r="F616" s="3"/>
      <c r="G616" s="3">
        <v>3.552320184301066</v>
      </c>
      <c r="H616" s="4" t="str">
        <f>IF($I$450="Y","OR","...")</f>
        <v>OR</v>
      </c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/>
      <c r="AF616" s="3"/>
      <c r="AG616" s="3"/>
      <c r="AH616" s="3"/>
      <c r="AI616" s="3"/>
      <c r="AJ616" s="3"/>
      <c r="AK616" s="3"/>
      <c r="AL616" s="3"/>
      <c r="AM616" s="3"/>
      <c r="AN616" s="3"/>
      <c r="AO616" s="3"/>
      <c r="AP616" s="3"/>
      <c r="AQ616" s="3"/>
      <c r="AR616" s="3"/>
      <c r="AS616" s="3"/>
      <c r="AT616" s="3"/>
      <c r="AU616" s="3"/>
      <c r="AV616" s="3"/>
      <c r="AW616" s="3"/>
      <c r="AX616" s="3"/>
      <c r="AY616" s="3"/>
      <c r="AZ616" s="3"/>
      <c r="BA616" s="3"/>
      <c r="BB616" s="3"/>
      <c r="BC616" s="3"/>
      <c r="BD616" s="3"/>
      <c r="BE616" s="3"/>
      <c r="BF616" s="3"/>
      <c r="BG616" s="3"/>
    </row>
    <row r="617" spans="1:59">
      <c r="A617" s="1" t="str">
        <f>IF($J$450="Y",'Population Definitions'!$A$13,"...")</f>
        <v>...</v>
      </c>
      <c r="B617" s="4" t="str">
        <f>IF($J$450="Y","---&gt;","...")</f>
        <v>...</v>
      </c>
      <c r="C617" s="1" t="str">
        <f>IF($J$450="Y",'Population Definitions'!$A$10,"...")</f>
        <v>...</v>
      </c>
      <c r="E617" s="2"/>
      <c r="F617" s="3"/>
      <c r="G617" s="2"/>
      <c r="H617" s="4" t="str">
        <f>IF($J$450="Y","OR","...")</f>
        <v>...</v>
      </c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  <c r="AK617" s="2"/>
      <c r="AL617" s="2"/>
      <c r="AM617" s="2"/>
      <c r="AN617" s="2"/>
      <c r="AO617" s="2"/>
      <c r="AP617" s="2"/>
      <c r="AQ617" s="2"/>
      <c r="AR617" s="2"/>
      <c r="AS617" s="2"/>
      <c r="AT617" s="2"/>
      <c r="AU617" s="2"/>
      <c r="AV617" s="2"/>
      <c r="AW617" s="2"/>
      <c r="AX617" s="2"/>
      <c r="AY617" s="2"/>
      <c r="AZ617" s="2"/>
      <c r="BA617" s="2"/>
      <c r="BB617" s="2"/>
      <c r="BC617" s="2"/>
      <c r="BD617" s="2"/>
      <c r="BE617" s="2"/>
      <c r="BF617" s="2"/>
      <c r="BG617" s="2"/>
    </row>
    <row r="618" spans="1:59">
      <c r="A618" s="1" t="str">
        <f>IF($K$450="Y",'Population Definitions'!$A$13,"...")</f>
        <v>...</v>
      </c>
      <c r="B618" s="4" t="str">
        <f>IF($K$450="Y","---&gt;","...")</f>
        <v>...</v>
      </c>
      <c r="C618" s="1" t="str">
        <f>IF($K$450="Y",'Population Definitions'!$A$11,"...")</f>
        <v>...</v>
      </c>
      <c r="E618" s="2"/>
      <c r="F618" s="3"/>
      <c r="G618" s="2"/>
      <c r="H618" s="4" t="str">
        <f>IF($K$450="Y","OR","...")</f>
        <v>...</v>
      </c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  <c r="AK618" s="2"/>
      <c r="AL618" s="2"/>
      <c r="AM618" s="2"/>
      <c r="AN618" s="2"/>
      <c r="AO618" s="2"/>
      <c r="AP618" s="2"/>
      <c r="AQ618" s="2"/>
      <c r="AR618" s="2"/>
      <c r="AS618" s="2"/>
      <c r="AT618" s="2"/>
      <c r="AU618" s="2"/>
      <c r="AV618" s="2"/>
      <c r="AW618" s="2"/>
      <c r="AX618" s="2"/>
      <c r="AY618" s="2"/>
      <c r="AZ618" s="2"/>
      <c r="BA618" s="2"/>
      <c r="BB618" s="2"/>
      <c r="BC618" s="2"/>
      <c r="BD618" s="2"/>
      <c r="BE618" s="2"/>
      <c r="BF618" s="2"/>
      <c r="BG618" s="2"/>
    </row>
    <row r="619" spans="1:59">
      <c r="A619" s="1" t="str">
        <f>IF($L$450="Y",'Population Definitions'!$A$13,"...")</f>
        <v>...</v>
      </c>
      <c r="B619" s="4" t="str">
        <f>IF($L$450="Y","---&gt;","...")</f>
        <v>...</v>
      </c>
      <c r="C619" s="1" t="str">
        <f>IF($L$450="Y",'Population Definitions'!$A$12,"...")</f>
        <v>...</v>
      </c>
      <c r="E619" s="2"/>
      <c r="F619" s="3"/>
      <c r="G619" s="2"/>
      <c r="H619" s="4" t="str">
        <f>IF($L$450="Y","OR","...")</f>
        <v>...</v>
      </c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  <c r="AK619" s="2"/>
      <c r="AL619" s="2"/>
      <c r="AM619" s="2"/>
      <c r="AN619" s="2"/>
      <c r="AO619" s="2"/>
      <c r="AP619" s="2"/>
      <c r="AQ619" s="2"/>
      <c r="AR619" s="2"/>
      <c r="AS619" s="2"/>
      <c r="AT619" s="2"/>
      <c r="AU619" s="2"/>
      <c r="AV619" s="2"/>
      <c r="AW619" s="2"/>
      <c r="AX619" s="2"/>
      <c r="AY619" s="2"/>
      <c r="AZ619" s="2"/>
      <c r="BA619" s="2"/>
      <c r="BB619" s="2"/>
      <c r="BC619" s="2"/>
      <c r="BD619" s="2"/>
      <c r="BE619" s="2"/>
      <c r="BF619" s="2"/>
      <c r="BG619" s="2"/>
    </row>
    <row r="620" spans="1:59">
      <c r="A620" s="1" t="str">
        <f>IF($M$450="Y",'Population Definitions'!$A$13,"...")</f>
        <v>...</v>
      </c>
      <c r="B620" s="4" t="str">
        <f>IF($M$450="Y","---&gt;","...")</f>
        <v>...</v>
      </c>
      <c r="C620" s="1" t="str">
        <f>IF($M$450="Y",'Population Definitions'!$A$13,"...")</f>
        <v>...</v>
      </c>
      <c r="E620" s="2"/>
      <c r="F620" s="3"/>
      <c r="G620" s="2"/>
      <c r="H620" s="4" t="str">
        <f>IF($M$450="Y","OR","...")</f>
        <v>...</v>
      </c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  <c r="AK620" s="2"/>
      <c r="AL620" s="2"/>
      <c r="AM620" s="2"/>
      <c r="AN620" s="2"/>
      <c r="AO620" s="2"/>
      <c r="AP620" s="2"/>
      <c r="AQ620" s="2"/>
      <c r="AR620" s="2"/>
      <c r="AS620" s="2"/>
      <c r="AT620" s="2"/>
      <c r="AU620" s="2"/>
      <c r="AV620" s="2"/>
      <c r="AW620" s="2"/>
      <c r="AX620" s="2"/>
      <c r="AY620" s="2"/>
      <c r="AZ620" s="2"/>
      <c r="BA620" s="2"/>
      <c r="BB620" s="2"/>
      <c r="BC620" s="2"/>
      <c r="BD620" s="2"/>
      <c r="BE620" s="2"/>
      <c r="BF620" s="2"/>
      <c r="BG620" s="2"/>
    </row>
    <row r="621" spans="1:59">
      <c r="A621" s="1" t="str">
        <f>IF($N$450="Y",'Population Definitions'!$A$13,"...")</f>
        <v>...</v>
      </c>
      <c r="B621" s="4" t="str">
        <f>IF($N$450="Y","---&gt;","...")</f>
        <v>...</v>
      </c>
      <c r="C621" s="1" t="str">
        <f>IF($N$450="Y",'Population Definitions'!$A$14,"...")</f>
        <v>...</v>
      </c>
      <c r="E621" s="2"/>
      <c r="F621" s="3"/>
      <c r="G621" s="2"/>
      <c r="H621" s="4" t="str">
        <f>IF($N$450="Y","OR","...")</f>
        <v>...</v>
      </c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  <c r="AK621" s="2"/>
      <c r="AL621" s="2"/>
      <c r="AM621" s="2"/>
      <c r="AN621" s="2"/>
      <c r="AO621" s="2"/>
      <c r="AP621" s="2"/>
      <c r="AQ621" s="2"/>
      <c r="AR621" s="2"/>
      <c r="AS621" s="2"/>
      <c r="AT621" s="2"/>
      <c r="AU621" s="2"/>
      <c r="AV621" s="2"/>
      <c r="AW621" s="2"/>
      <c r="AX621" s="2"/>
      <c r="AY621" s="2"/>
      <c r="AZ621" s="2"/>
      <c r="BA621" s="2"/>
      <c r="BB621" s="2"/>
      <c r="BC621" s="2"/>
      <c r="BD621" s="2"/>
      <c r="BE621" s="2"/>
      <c r="BF621" s="2"/>
      <c r="BG621" s="2"/>
    </row>
    <row r="622" spans="1:59">
      <c r="A622" s="1" t="str">
        <f>IF($O$450="Y",'Population Definitions'!$A$13,"...")</f>
        <v>...</v>
      </c>
      <c r="B622" s="4" t="str">
        <f>IF($O$450="Y","---&gt;","...")</f>
        <v>...</v>
      </c>
      <c r="C622" s="1" t="str">
        <f>IF($O$450="Y",'Population Definitions'!$A$15,"...")</f>
        <v>...</v>
      </c>
      <c r="E622" s="2"/>
      <c r="F622" s="3"/>
      <c r="G622" s="2"/>
      <c r="H622" s="4" t="str">
        <f>IF($O$450="Y","OR","...")</f>
        <v>...</v>
      </c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  <c r="AK622" s="2"/>
      <c r="AL622" s="2"/>
      <c r="AM622" s="2"/>
      <c r="AN622" s="2"/>
      <c r="AO622" s="2"/>
      <c r="AP622" s="2"/>
      <c r="AQ622" s="2"/>
      <c r="AR622" s="2"/>
      <c r="AS622" s="2"/>
      <c r="AT622" s="2"/>
      <c r="AU622" s="2"/>
      <c r="AV622" s="2"/>
      <c r="AW622" s="2"/>
      <c r="AX622" s="2"/>
      <c r="AY622" s="2"/>
      <c r="AZ622" s="2"/>
      <c r="BA622" s="2"/>
      <c r="BB622" s="2"/>
      <c r="BC622" s="2"/>
      <c r="BD622" s="2"/>
      <c r="BE622" s="2"/>
      <c r="BF622" s="2"/>
      <c r="BG622" s="2"/>
    </row>
    <row r="623" spans="1:59">
      <c r="A623" s="1" t="str">
        <f>IF($B$451="Y",'Population Definitions'!$A$14,"...")</f>
        <v>Prisoners_PWID_males</v>
      </c>
      <c r="B623" s="4" t="str">
        <f>IF($B$451="Y","---&gt;","...")</f>
        <v>---&gt;</v>
      </c>
      <c r="C623" s="1" t="str">
        <f>IF($B$451="Y",'Population Definitions'!$A$2,"...")</f>
        <v>PWID_males</v>
      </c>
      <c r="E623" s="3" t="s">
        <v>55</v>
      </c>
      <c r="F623" s="3"/>
      <c r="G623" s="3">
        <v>3.552320184301066</v>
      </c>
      <c r="H623" s="4" t="str">
        <f>IF($B$451="Y","OR","...")</f>
        <v>OR</v>
      </c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3"/>
      <c r="AF623" s="3"/>
      <c r="AG623" s="3"/>
      <c r="AH623" s="3"/>
      <c r="AI623" s="3"/>
      <c r="AJ623" s="3"/>
      <c r="AK623" s="3"/>
      <c r="AL623" s="3"/>
      <c r="AM623" s="3"/>
      <c r="AN623" s="3"/>
      <c r="AO623" s="3"/>
      <c r="AP623" s="3"/>
      <c r="AQ623" s="3"/>
      <c r="AR623" s="3"/>
      <c r="AS623" s="3"/>
      <c r="AT623" s="3"/>
      <c r="AU623" s="3"/>
      <c r="AV623" s="3"/>
      <c r="AW623" s="3"/>
      <c r="AX623" s="3"/>
      <c r="AY623" s="3"/>
      <c r="AZ623" s="3"/>
      <c r="BA623" s="3"/>
      <c r="BB623" s="3"/>
      <c r="BC623" s="3"/>
      <c r="BD623" s="3"/>
      <c r="BE623" s="3"/>
      <c r="BF623" s="3"/>
      <c r="BG623" s="3"/>
    </row>
    <row r="624" spans="1:59">
      <c r="A624" s="1" t="str">
        <f>IF($C$451="Y",'Population Definitions'!$A$14,"...")</f>
        <v>...</v>
      </c>
      <c r="B624" s="4" t="str">
        <f>IF($C$451="Y","---&gt;","...")</f>
        <v>...</v>
      </c>
      <c r="C624" s="1" t="str">
        <f>IF($C$451="Y",'Population Definitions'!$A$3,"...")</f>
        <v>...</v>
      </c>
      <c r="E624" s="2"/>
      <c r="F624" s="3"/>
      <c r="G624" s="2"/>
      <c r="H624" s="4" t="str">
        <f>IF($C$451="Y","OR","...")</f>
        <v>...</v>
      </c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  <c r="AK624" s="2"/>
      <c r="AL624" s="2"/>
      <c r="AM624" s="2"/>
      <c r="AN624" s="2"/>
      <c r="AO624" s="2"/>
      <c r="AP624" s="2"/>
      <c r="AQ624" s="2"/>
      <c r="AR624" s="2"/>
      <c r="AS624" s="2"/>
      <c r="AT624" s="2"/>
      <c r="AU624" s="2"/>
      <c r="AV624" s="2"/>
      <c r="AW624" s="2"/>
      <c r="AX624" s="2"/>
      <c r="AY624" s="2"/>
      <c r="AZ624" s="2"/>
      <c r="BA624" s="2"/>
      <c r="BB624" s="2"/>
      <c r="BC624" s="2"/>
      <c r="BD624" s="2"/>
      <c r="BE624" s="2"/>
      <c r="BF624" s="2"/>
      <c r="BG624" s="2"/>
    </row>
    <row r="625" spans="1:59">
      <c r="A625" s="1" t="str">
        <f>IF($D$451="Y",'Population Definitions'!$A$14,"...")</f>
        <v>...</v>
      </c>
      <c r="B625" s="4" t="str">
        <f>IF($D$451="Y","---&gt;","...")</f>
        <v>...</v>
      </c>
      <c r="C625" s="1" t="str">
        <f>IF($D$451="Y",'Population Definitions'!$A$4,"...")</f>
        <v>...</v>
      </c>
      <c r="E625" s="2"/>
      <c r="F625" s="3"/>
      <c r="G625" s="2"/>
      <c r="H625" s="4" t="str">
        <f>IF($D$451="Y","OR","...")</f>
        <v>...</v>
      </c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  <c r="AK625" s="2"/>
      <c r="AL625" s="2"/>
      <c r="AM625" s="2"/>
      <c r="AN625" s="2"/>
      <c r="AO625" s="2"/>
      <c r="AP625" s="2"/>
      <c r="AQ625" s="2"/>
      <c r="AR625" s="2"/>
      <c r="AS625" s="2"/>
      <c r="AT625" s="2"/>
      <c r="AU625" s="2"/>
      <c r="AV625" s="2"/>
      <c r="AW625" s="2"/>
      <c r="AX625" s="2"/>
      <c r="AY625" s="2"/>
      <c r="AZ625" s="2"/>
      <c r="BA625" s="2"/>
      <c r="BB625" s="2"/>
      <c r="BC625" s="2"/>
      <c r="BD625" s="2"/>
      <c r="BE625" s="2"/>
      <c r="BF625" s="2"/>
      <c r="BG625" s="2"/>
    </row>
    <row r="626" spans="1:59">
      <c r="A626" s="1" t="str">
        <f>IF($E$451="Y",'Population Definitions'!$A$14,"...")</f>
        <v>...</v>
      </c>
      <c r="B626" s="4" t="str">
        <f>IF($E$451="Y","---&gt;","...")</f>
        <v>...</v>
      </c>
      <c r="C626" s="1" t="str">
        <f>IF($E$451="Y",'Population Definitions'!$A$5,"...")</f>
        <v>...</v>
      </c>
      <c r="E626" s="2"/>
      <c r="F626" s="3"/>
      <c r="G626" s="2"/>
      <c r="H626" s="4" t="str">
        <f>IF($E$451="Y","OR","...")</f>
        <v>...</v>
      </c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  <c r="AK626" s="2"/>
      <c r="AL626" s="2"/>
      <c r="AM626" s="2"/>
      <c r="AN626" s="2"/>
      <c r="AO626" s="2"/>
      <c r="AP626" s="2"/>
      <c r="AQ626" s="2"/>
      <c r="AR626" s="2"/>
      <c r="AS626" s="2"/>
      <c r="AT626" s="2"/>
      <c r="AU626" s="2"/>
      <c r="AV626" s="2"/>
      <c r="AW626" s="2"/>
      <c r="AX626" s="2"/>
      <c r="AY626" s="2"/>
      <c r="AZ626" s="2"/>
      <c r="BA626" s="2"/>
      <c r="BB626" s="2"/>
      <c r="BC626" s="2"/>
      <c r="BD626" s="2"/>
      <c r="BE626" s="2"/>
      <c r="BF626" s="2"/>
      <c r="BG626" s="2"/>
    </row>
    <row r="627" spans="1:59">
      <c r="A627" s="1" t="str">
        <f>IF($F$451="Y",'Population Definitions'!$A$14,"...")</f>
        <v>...</v>
      </c>
      <c r="B627" s="4" t="str">
        <f>IF($F$451="Y","---&gt;","...")</f>
        <v>...</v>
      </c>
      <c r="C627" s="1" t="str">
        <f>IF($F$451="Y",'Population Definitions'!$A$6,"...")</f>
        <v>...</v>
      </c>
      <c r="E627" s="2"/>
      <c r="F627" s="3"/>
      <c r="G627" s="2"/>
      <c r="H627" s="4" t="str">
        <f>IF($F$451="Y","OR","...")</f>
        <v>...</v>
      </c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  <c r="AK627" s="2"/>
      <c r="AL627" s="2"/>
      <c r="AM627" s="2"/>
      <c r="AN627" s="2"/>
      <c r="AO627" s="2"/>
      <c r="AP627" s="2"/>
      <c r="AQ627" s="2"/>
      <c r="AR627" s="2"/>
      <c r="AS627" s="2"/>
      <c r="AT627" s="2"/>
      <c r="AU627" s="2"/>
      <c r="AV627" s="2"/>
      <c r="AW627" s="2"/>
      <c r="AX627" s="2"/>
      <c r="AY627" s="2"/>
      <c r="AZ627" s="2"/>
      <c r="BA627" s="2"/>
      <c r="BB627" s="2"/>
      <c r="BC627" s="2"/>
      <c r="BD627" s="2"/>
      <c r="BE627" s="2"/>
      <c r="BF627" s="2"/>
      <c r="BG627" s="2"/>
    </row>
    <row r="628" spans="1:59">
      <c r="A628" s="1" t="str">
        <f>IF($G$451="Y",'Population Definitions'!$A$14,"...")</f>
        <v>...</v>
      </c>
      <c r="B628" s="4" t="str">
        <f>IF($G$451="Y","---&gt;","...")</f>
        <v>...</v>
      </c>
      <c r="C628" s="1" t="str">
        <f>IF($G$451="Y",'Population Definitions'!$A$7,"...")</f>
        <v>...</v>
      </c>
      <c r="E628" s="2"/>
      <c r="F628" s="3"/>
      <c r="G628" s="2"/>
      <c r="H628" s="4" t="str">
        <f>IF($G$451="Y","OR","...")</f>
        <v>...</v>
      </c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  <c r="AK628" s="2"/>
      <c r="AL628" s="2"/>
      <c r="AM628" s="2"/>
      <c r="AN628" s="2"/>
      <c r="AO628" s="2"/>
      <c r="AP628" s="2"/>
      <c r="AQ628" s="2"/>
      <c r="AR628" s="2"/>
      <c r="AS628" s="2"/>
      <c r="AT628" s="2"/>
      <c r="AU628" s="2"/>
      <c r="AV628" s="2"/>
      <c r="AW628" s="2"/>
      <c r="AX628" s="2"/>
      <c r="AY628" s="2"/>
      <c r="AZ628" s="2"/>
      <c r="BA628" s="2"/>
      <c r="BB628" s="2"/>
      <c r="BC628" s="2"/>
      <c r="BD628" s="2"/>
      <c r="BE628" s="2"/>
      <c r="BF628" s="2"/>
      <c r="BG628" s="2"/>
    </row>
    <row r="629" spans="1:59">
      <c r="A629" s="1" t="str">
        <f>IF($H$451="Y",'Population Definitions'!$A$14,"...")</f>
        <v>...</v>
      </c>
      <c r="B629" s="4" t="str">
        <f>IF($H$451="Y","---&gt;","...")</f>
        <v>...</v>
      </c>
      <c r="C629" s="1" t="str">
        <f>IF($H$451="Y",'Population Definitions'!$A$8,"...")</f>
        <v>...</v>
      </c>
      <c r="E629" s="2"/>
      <c r="F629" s="3"/>
      <c r="G629" s="2"/>
      <c r="H629" s="4" t="str">
        <f>IF($H$451="Y","OR","...")</f>
        <v>...</v>
      </c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  <c r="AK629" s="2"/>
      <c r="AL629" s="2"/>
      <c r="AM629" s="2"/>
      <c r="AN629" s="2"/>
      <c r="AO629" s="2"/>
      <c r="AP629" s="2"/>
      <c r="AQ629" s="2"/>
      <c r="AR629" s="2"/>
      <c r="AS629" s="2"/>
      <c r="AT629" s="2"/>
      <c r="AU629" s="2"/>
      <c r="AV629" s="2"/>
      <c r="AW629" s="2"/>
      <c r="AX629" s="2"/>
      <c r="AY629" s="2"/>
      <c r="AZ629" s="2"/>
      <c r="BA629" s="2"/>
      <c r="BB629" s="2"/>
      <c r="BC629" s="2"/>
      <c r="BD629" s="2"/>
      <c r="BE629" s="2"/>
      <c r="BF629" s="2"/>
      <c r="BG629" s="2"/>
    </row>
    <row r="630" spans="1:59">
      <c r="A630" s="1" t="str">
        <f>IF($I$451="Y",'Population Definitions'!$A$14,"...")</f>
        <v>...</v>
      </c>
      <c r="B630" s="4" t="str">
        <f>IF($I$451="Y","---&gt;","...")</f>
        <v>...</v>
      </c>
      <c r="C630" s="1" t="str">
        <f>IF($I$451="Y",'Population Definitions'!$A$9,"...")</f>
        <v>...</v>
      </c>
      <c r="E630" s="2"/>
      <c r="F630" s="3"/>
      <c r="G630" s="2"/>
      <c r="H630" s="4" t="str">
        <f>IF($I$451="Y","OR","...")</f>
        <v>...</v>
      </c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  <c r="AK630" s="2"/>
      <c r="AL630" s="2"/>
      <c r="AM630" s="2"/>
      <c r="AN630" s="2"/>
      <c r="AO630" s="2"/>
      <c r="AP630" s="2"/>
      <c r="AQ630" s="2"/>
      <c r="AR630" s="2"/>
      <c r="AS630" s="2"/>
      <c r="AT630" s="2"/>
      <c r="AU630" s="2"/>
      <c r="AV630" s="2"/>
      <c r="AW630" s="2"/>
      <c r="AX630" s="2"/>
      <c r="AY630" s="2"/>
      <c r="AZ630" s="2"/>
      <c r="BA630" s="2"/>
      <c r="BB630" s="2"/>
      <c r="BC630" s="2"/>
      <c r="BD630" s="2"/>
      <c r="BE630" s="2"/>
      <c r="BF630" s="2"/>
      <c r="BG630" s="2"/>
    </row>
    <row r="631" spans="1:59">
      <c r="A631" s="1" t="str">
        <f>IF($J$451="Y",'Population Definitions'!$A$14,"...")</f>
        <v>...</v>
      </c>
      <c r="B631" s="4" t="str">
        <f>IF($J$451="Y","---&gt;","...")</f>
        <v>...</v>
      </c>
      <c r="C631" s="1" t="str">
        <f>IF($J$451="Y",'Population Definitions'!$A$10,"...")</f>
        <v>...</v>
      </c>
      <c r="E631" s="2"/>
      <c r="F631" s="3"/>
      <c r="G631" s="2"/>
      <c r="H631" s="4" t="str">
        <f>IF($J$451="Y","OR","...")</f>
        <v>...</v>
      </c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  <c r="AK631" s="2"/>
      <c r="AL631" s="2"/>
      <c r="AM631" s="2"/>
      <c r="AN631" s="2"/>
      <c r="AO631" s="2"/>
      <c r="AP631" s="2"/>
      <c r="AQ631" s="2"/>
      <c r="AR631" s="2"/>
      <c r="AS631" s="2"/>
      <c r="AT631" s="2"/>
      <c r="AU631" s="2"/>
      <c r="AV631" s="2"/>
      <c r="AW631" s="2"/>
      <c r="AX631" s="2"/>
      <c r="AY631" s="2"/>
      <c r="AZ631" s="2"/>
      <c r="BA631" s="2"/>
      <c r="BB631" s="2"/>
      <c r="BC631" s="2"/>
      <c r="BD631" s="2"/>
      <c r="BE631" s="2"/>
      <c r="BF631" s="2"/>
      <c r="BG631" s="2"/>
    </row>
    <row r="632" spans="1:59">
      <c r="A632" s="1" t="str">
        <f>IF($K$451="Y",'Population Definitions'!$A$14,"...")</f>
        <v>...</v>
      </c>
      <c r="B632" s="4" t="str">
        <f>IF($K$451="Y","---&gt;","...")</f>
        <v>...</v>
      </c>
      <c r="C632" s="1" t="str">
        <f>IF($K$451="Y",'Population Definitions'!$A$11,"...")</f>
        <v>...</v>
      </c>
      <c r="E632" s="2"/>
      <c r="F632" s="3"/>
      <c r="G632" s="2"/>
      <c r="H632" s="4" t="str">
        <f>IF($K$451="Y","OR","...")</f>
        <v>...</v>
      </c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  <c r="AK632" s="2"/>
      <c r="AL632" s="2"/>
      <c r="AM632" s="2"/>
      <c r="AN632" s="2"/>
      <c r="AO632" s="2"/>
      <c r="AP632" s="2"/>
      <c r="AQ632" s="2"/>
      <c r="AR632" s="2"/>
      <c r="AS632" s="2"/>
      <c r="AT632" s="2"/>
      <c r="AU632" s="2"/>
      <c r="AV632" s="2"/>
      <c r="AW632" s="2"/>
      <c r="AX632" s="2"/>
      <c r="AY632" s="2"/>
      <c r="AZ632" s="2"/>
      <c r="BA632" s="2"/>
      <c r="BB632" s="2"/>
      <c r="BC632" s="2"/>
      <c r="BD632" s="2"/>
      <c r="BE632" s="2"/>
      <c r="BF632" s="2"/>
      <c r="BG632" s="2"/>
    </row>
    <row r="633" spans="1:59">
      <c r="A633" s="1" t="str">
        <f>IF($L$451="Y",'Population Definitions'!$A$14,"...")</f>
        <v>...</v>
      </c>
      <c r="B633" s="4" t="str">
        <f>IF($L$451="Y","---&gt;","...")</f>
        <v>...</v>
      </c>
      <c r="C633" s="1" t="str">
        <f>IF($L$451="Y",'Population Definitions'!$A$12,"...")</f>
        <v>...</v>
      </c>
      <c r="E633" s="2"/>
      <c r="F633" s="3"/>
      <c r="G633" s="2"/>
      <c r="H633" s="4" t="str">
        <f>IF($L$451="Y","OR","...")</f>
        <v>...</v>
      </c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  <c r="AK633" s="2"/>
      <c r="AL633" s="2"/>
      <c r="AM633" s="2"/>
      <c r="AN633" s="2"/>
      <c r="AO633" s="2"/>
      <c r="AP633" s="2"/>
      <c r="AQ633" s="2"/>
      <c r="AR633" s="2"/>
      <c r="AS633" s="2"/>
      <c r="AT633" s="2"/>
      <c r="AU633" s="2"/>
      <c r="AV633" s="2"/>
      <c r="AW633" s="2"/>
      <c r="AX633" s="2"/>
      <c r="AY633" s="2"/>
      <c r="AZ633" s="2"/>
      <c r="BA633" s="2"/>
      <c r="BB633" s="2"/>
      <c r="BC633" s="2"/>
      <c r="BD633" s="2"/>
      <c r="BE633" s="2"/>
      <c r="BF633" s="2"/>
      <c r="BG633" s="2"/>
    </row>
    <row r="634" spans="1:59">
      <c r="A634" s="1" t="str">
        <f>IF($M$451="Y",'Population Definitions'!$A$14,"...")</f>
        <v>...</v>
      </c>
      <c r="B634" s="4" t="str">
        <f>IF($M$451="Y","---&gt;","...")</f>
        <v>...</v>
      </c>
      <c r="C634" s="1" t="str">
        <f>IF($M$451="Y",'Population Definitions'!$A$13,"...")</f>
        <v>...</v>
      </c>
      <c r="E634" s="2"/>
      <c r="F634" s="3"/>
      <c r="G634" s="2"/>
      <c r="H634" s="4" t="str">
        <f>IF($M$451="Y","OR","...")</f>
        <v>...</v>
      </c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  <c r="AK634" s="2"/>
      <c r="AL634" s="2"/>
      <c r="AM634" s="2"/>
      <c r="AN634" s="2"/>
      <c r="AO634" s="2"/>
      <c r="AP634" s="2"/>
      <c r="AQ634" s="2"/>
      <c r="AR634" s="2"/>
      <c r="AS634" s="2"/>
      <c r="AT634" s="2"/>
      <c r="AU634" s="2"/>
      <c r="AV634" s="2"/>
      <c r="AW634" s="2"/>
      <c r="AX634" s="2"/>
      <c r="AY634" s="2"/>
      <c r="AZ634" s="2"/>
      <c r="BA634" s="2"/>
      <c r="BB634" s="2"/>
      <c r="BC634" s="2"/>
      <c r="BD634" s="2"/>
      <c r="BE634" s="2"/>
      <c r="BF634" s="2"/>
      <c r="BG634" s="2"/>
    </row>
    <row r="635" spans="1:59">
      <c r="A635" s="1" t="str">
        <f>IF($N$451="Y",'Population Definitions'!$A$14,"...")</f>
        <v>...</v>
      </c>
      <c r="B635" s="4" t="str">
        <f>IF($N$451="Y","---&gt;","...")</f>
        <v>...</v>
      </c>
      <c r="C635" s="1" t="str">
        <f>IF($N$451="Y",'Population Definitions'!$A$14,"...")</f>
        <v>...</v>
      </c>
      <c r="E635" s="2"/>
      <c r="F635" s="3"/>
      <c r="G635" s="2"/>
      <c r="H635" s="4" t="str">
        <f>IF($N$451="Y","OR","...")</f>
        <v>...</v>
      </c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  <c r="AK635" s="2"/>
      <c r="AL635" s="2"/>
      <c r="AM635" s="2"/>
      <c r="AN635" s="2"/>
      <c r="AO635" s="2"/>
      <c r="AP635" s="2"/>
      <c r="AQ635" s="2"/>
      <c r="AR635" s="2"/>
      <c r="AS635" s="2"/>
      <c r="AT635" s="2"/>
      <c r="AU635" s="2"/>
      <c r="AV635" s="2"/>
      <c r="AW635" s="2"/>
      <c r="AX635" s="2"/>
      <c r="AY635" s="2"/>
      <c r="AZ635" s="2"/>
      <c r="BA635" s="2"/>
      <c r="BB635" s="2"/>
      <c r="BC635" s="2"/>
      <c r="BD635" s="2"/>
      <c r="BE635" s="2"/>
      <c r="BF635" s="2"/>
      <c r="BG635" s="2"/>
    </row>
    <row r="636" spans="1:59">
      <c r="A636" s="1" t="str">
        <f>IF($O$451="Y",'Population Definitions'!$A$14,"...")</f>
        <v>...</v>
      </c>
      <c r="B636" s="4" t="str">
        <f>IF($O$451="Y","---&gt;","...")</f>
        <v>...</v>
      </c>
      <c r="C636" s="1" t="str">
        <f>IF($O$451="Y",'Population Definitions'!$A$15,"...")</f>
        <v>...</v>
      </c>
      <c r="E636" s="2"/>
      <c r="F636" s="3"/>
      <c r="G636" s="2"/>
      <c r="H636" s="4" t="str">
        <f>IF($O$451="Y","OR","...")</f>
        <v>...</v>
      </c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  <c r="AK636" s="2"/>
      <c r="AL636" s="2"/>
      <c r="AM636" s="2"/>
      <c r="AN636" s="2"/>
      <c r="AO636" s="2"/>
      <c r="AP636" s="2"/>
      <c r="AQ636" s="2"/>
      <c r="AR636" s="2"/>
      <c r="AS636" s="2"/>
      <c r="AT636" s="2"/>
      <c r="AU636" s="2"/>
      <c r="AV636" s="2"/>
      <c r="AW636" s="2"/>
      <c r="AX636" s="2"/>
      <c r="AY636" s="2"/>
      <c r="AZ636" s="2"/>
      <c r="BA636" s="2"/>
      <c r="BB636" s="2"/>
      <c r="BC636" s="2"/>
      <c r="BD636" s="2"/>
      <c r="BE636" s="2"/>
      <c r="BF636" s="2"/>
      <c r="BG636" s="2"/>
    </row>
    <row r="637" spans="1:59">
      <c r="A637" s="1" t="str">
        <f>IF($B$452="Y",'Population Definitions'!$A$15,"...")</f>
        <v>...</v>
      </c>
      <c r="B637" s="4" t="str">
        <f>IF($B$452="Y","---&gt;","...")</f>
        <v>...</v>
      </c>
      <c r="C637" s="1" t="str">
        <f>IF($B$452="Y",'Population Definitions'!$A$2,"...")</f>
        <v>...</v>
      </c>
      <c r="E637" s="2"/>
      <c r="F637" s="3"/>
      <c r="G637" s="2"/>
      <c r="H637" s="4" t="str">
        <f>IF($B$452="Y","OR","...")</f>
        <v>...</v>
      </c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  <c r="AK637" s="2"/>
      <c r="AL637" s="2"/>
      <c r="AM637" s="2"/>
      <c r="AN637" s="2"/>
      <c r="AO637" s="2"/>
      <c r="AP637" s="2"/>
      <c r="AQ637" s="2"/>
      <c r="AR637" s="2"/>
      <c r="AS637" s="2"/>
      <c r="AT637" s="2"/>
      <c r="AU637" s="2"/>
      <c r="AV637" s="2"/>
      <c r="AW637" s="2"/>
      <c r="AX637" s="2"/>
      <c r="AY637" s="2"/>
      <c r="AZ637" s="2"/>
      <c r="BA637" s="2"/>
      <c r="BB637" s="2"/>
      <c r="BC637" s="2"/>
      <c r="BD637" s="2"/>
      <c r="BE637" s="2"/>
      <c r="BF637" s="2"/>
      <c r="BG637" s="2"/>
    </row>
    <row r="638" spans="1:59">
      <c r="A638" s="1" t="str">
        <f>IF($C$452="Y",'Population Definitions'!$A$15,"...")</f>
        <v>Prisoners_PWID_females</v>
      </c>
      <c r="B638" s="4" t="str">
        <f>IF($C$452="Y","---&gt;","...")</f>
        <v>---&gt;</v>
      </c>
      <c r="C638" s="1" t="str">
        <f>IF($C$452="Y",'Population Definitions'!$A$3,"...")</f>
        <v>PWID_females</v>
      </c>
      <c r="E638" s="3" t="s">
        <v>55</v>
      </c>
      <c r="F638" s="3"/>
      <c r="G638" s="3">
        <v>3.552320184301066</v>
      </c>
      <c r="H638" s="4" t="str">
        <f>IF($C$452="Y","OR","...")</f>
        <v>OR</v>
      </c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3"/>
      <c r="AF638" s="3"/>
      <c r="AG638" s="3"/>
      <c r="AH638" s="3"/>
      <c r="AI638" s="3"/>
      <c r="AJ638" s="3"/>
      <c r="AK638" s="3"/>
      <c r="AL638" s="3"/>
      <c r="AM638" s="3"/>
      <c r="AN638" s="3"/>
      <c r="AO638" s="3"/>
      <c r="AP638" s="3"/>
      <c r="AQ638" s="3"/>
      <c r="AR638" s="3"/>
      <c r="AS638" s="3"/>
      <c r="AT638" s="3"/>
      <c r="AU638" s="3"/>
      <c r="AV638" s="3"/>
      <c r="AW638" s="3"/>
      <c r="AX638" s="3"/>
      <c r="AY638" s="3"/>
      <c r="AZ638" s="3"/>
      <c r="BA638" s="3"/>
      <c r="BB638" s="3"/>
      <c r="BC638" s="3"/>
      <c r="BD638" s="3"/>
      <c r="BE638" s="3"/>
      <c r="BF638" s="3"/>
      <c r="BG638" s="3"/>
    </row>
    <row r="639" spans="1:59">
      <c r="A639" s="1" t="str">
        <f>IF($D$452="Y",'Population Definitions'!$A$15,"...")</f>
        <v>...</v>
      </c>
      <c r="B639" s="4" t="str">
        <f>IF($D$452="Y","---&gt;","...")</f>
        <v>...</v>
      </c>
      <c r="C639" s="1" t="str">
        <f>IF($D$452="Y",'Population Definitions'!$A$4,"...")</f>
        <v>...</v>
      </c>
      <c r="E639" s="2"/>
      <c r="F639" s="3"/>
      <c r="G639" s="2"/>
      <c r="H639" s="4" t="str">
        <f>IF($D$452="Y","OR","...")</f>
        <v>...</v>
      </c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  <c r="AK639" s="2"/>
      <c r="AL639" s="2"/>
      <c r="AM639" s="2"/>
      <c r="AN639" s="2"/>
      <c r="AO639" s="2"/>
      <c r="AP639" s="2"/>
      <c r="AQ639" s="2"/>
      <c r="AR639" s="2"/>
      <c r="AS639" s="2"/>
      <c r="AT639" s="2"/>
      <c r="AU639" s="2"/>
      <c r="AV639" s="2"/>
      <c r="AW639" s="2"/>
      <c r="AX639" s="2"/>
      <c r="AY639" s="2"/>
      <c r="AZ639" s="2"/>
      <c r="BA639" s="2"/>
      <c r="BB639" s="2"/>
      <c r="BC639" s="2"/>
      <c r="BD639" s="2"/>
      <c r="BE639" s="2"/>
      <c r="BF639" s="2"/>
      <c r="BG639" s="2"/>
    </row>
    <row r="640" spans="1:59">
      <c r="A640" s="1" t="str">
        <f>IF($E$452="Y",'Population Definitions'!$A$15,"...")</f>
        <v>...</v>
      </c>
      <c r="B640" s="4" t="str">
        <f>IF($E$452="Y","---&gt;","...")</f>
        <v>...</v>
      </c>
      <c r="C640" s="1" t="str">
        <f>IF($E$452="Y",'Population Definitions'!$A$5,"...")</f>
        <v>...</v>
      </c>
      <c r="E640" s="2"/>
      <c r="F640" s="3"/>
      <c r="G640" s="2"/>
      <c r="H640" s="4" t="str">
        <f>IF($E$452="Y","OR","...")</f>
        <v>...</v>
      </c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  <c r="AK640" s="2"/>
      <c r="AL640" s="2"/>
      <c r="AM640" s="2"/>
      <c r="AN640" s="2"/>
      <c r="AO640" s="2"/>
      <c r="AP640" s="2"/>
      <c r="AQ640" s="2"/>
      <c r="AR640" s="2"/>
      <c r="AS640" s="2"/>
      <c r="AT640" s="2"/>
      <c r="AU640" s="2"/>
      <c r="AV640" s="2"/>
      <c r="AW640" s="2"/>
      <c r="AX640" s="2"/>
      <c r="AY640" s="2"/>
      <c r="AZ640" s="2"/>
      <c r="BA640" s="2"/>
      <c r="BB640" s="2"/>
      <c r="BC640" s="2"/>
      <c r="BD640" s="2"/>
      <c r="BE640" s="2"/>
      <c r="BF640" s="2"/>
      <c r="BG640" s="2"/>
    </row>
    <row r="641" spans="1:59">
      <c r="A641" s="1" t="str">
        <f>IF($F$452="Y",'Population Definitions'!$A$15,"...")</f>
        <v>...</v>
      </c>
      <c r="B641" s="4" t="str">
        <f>IF($F$452="Y","---&gt;","...")</f>
        <v>...</v>
      </c>
      <c r="C641" s="1" t="str">
        <f>IF($F$452="Y",'Population Definitions'!$A$6,"...")</f>
        <v>...</v>
      </c>
      <c r="E641" s="2"/>
      <c r="F641" s="3"/>
      <c r="G641" s="2"/>
      <c r="H641" s="4" t="str">
        <f>IF($F$452="Y","OR","...")</f>
        <v>...</v>
      </c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  <c r="AK641" s="2"/>
      <c r="AL641" s="2"/>
      <c r="AM641" s="2"/>
      <c r="AN641" s="2"/>
      <c r="AO641" s="2"/>
      <c r="AP641" s="2"/>
      <c r="AQ641" s="2"/>
      <c r="AR641" s="2"/>
      <c r="AS641" s="2"/>
      <c r="AT641" s="2"/>
      <c r="AU641" s="2"/>
      <c r="AV641" s="2"/>
      <c r="AW641" s="2"/>
      <c r="AX641" s="2"/>
      <c r="AY641" s="2"/>
      <c r="AZ641" s="2"/>
      <c r="BA641" s="2"/>
      <c r="BB641" s="2"/>
      <c r="BC641" s="2"/>
      <c r="BD641" s="2"/>
      <c r="BE641" s="2"/>
      <c r="BF641" s="2"/>
      <c r="BG641" s="2"/>
    </row>
    <row r="642" spans="1:59">
      <c r="A642" s="1" t="str">
        <f>IF($G$452="Y",'Population Definitions'!$A$15,"...")</f>
        <v>...</v>
      </c>
      <c r="B642" s="4" t="str">
        <f>IF($G$452="Y","---&gt;","...")</f>
        <v>...</v>
      </c>
      <c r="C642" s="1" t="str">
        <f>IF($G$452="Y",'Population Definitions'!$A$7,"...")</f>
        <v>...</v>
      </c>
      <c r="E642" s="2"/>
      <c r="F642" s="3"/>
      <c r="G642" s="2"/>
      <c r="H642" s="4" t="str">
        <f>IF($G$452="Y","OR","...")</f>
        <v>...</v>
      </c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L642" s="2"/>
      <c r="AM642" s="2"/>
      <c r="AN642" s="2"/>
      <c r="AO642" s="2"/>
      <c r="AP642" s="2"/>
      <c r="AQ642" s="2"/>
      <c r="AR642" s="2"/>
      <c r="AS642" s="2"/>
      <c r="AT642" s="2"/>
      <c r="AU642" s="2"/>
      <c r="AV642" s="2"/>
      <c r="AW642" s="2"/>
      <c r="AX642" s="2"/>
      <c r="AY642" s="2"/>
      <c r="AZ642" s="2"/>
      <c r="BA642" s="2"/>
      <c r="BB642" s="2"/>
      <c r="BC642" s="2"/>
      <c r="BD642" s="2"/>
      <c r="BE642" s="2"/>
      <c r="BF642" s="2"/>
      <c r="BG642" s="2"/>
    </row>
    <row r="643" spans="1:59">
      <c r="A643" s="1" t="str">
        <f>IF($H$452="Y",'Population Definitions'!$A$15,"...")</f>
        <v>...</v>
      </c>
      <c r="B643" s="4" t="str">
        <f>IF($H$452="Y","---&gt;","...")</f>
        <v>...</v>
      </c>
      <c r="C643" s="1" t="str">
        <f>IF($H$452="Y",'Population Definitions'!$A$8,"...")</f>
        <v>...</v>
      </c>
      <c r="E643" s="2"/>
      <c r="F643" s="3"/>
      <c r="G643" s="2"/>
      <c r="H643" s="4" t="str">
        <f>IF($H$452="Y","OR","...")</f>
        <v>...</v>
      </c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AL643" s="2"/>
      <c r="AM643" s="2"/>
      <c r="AN643" s="2"/>
      <c r="AO643" s="2"/>
      <c r="AP643" s="2"/>
      <c r="AQ643" s="2"/>
      <c r="AR643" s="2"/>
      <c r="AS643" s="2"/>
      <c r="AT643" s="2"/>
      <c r="AU643" s="2"/>
      <c r="AV643" s="2"/>
      <c r="AW643" s="2"/>
      <c r="AX643" s="2"/>
      <c r="AY643" s="2"/>
      <c r="AZ643" s="2"/>
      <c r="BA643" s="2"/>
      <c r="BB643" s="2"/>
      <c r="BC643" s="2"/>
      <c r="BD643" s="2"/>
      <c r="BE643" s="2"/>
      <c r="BF643" s="2"/>
      <c r="BG643" s="2"/>
    </row>
    <row r="644" spans="1:59">
      <c r="A644" s="1" t="str">
        <f>IF($I$452="Y",'Population Definitions'!$A$15,"...")</f>
        <v>...</v>
      </c>
      <c r="B644" s="4" t="str">
        <f>IF($I$452="Y","---&gt;","...")</f>
        <v>...</v>
      </c>
      <c r="C644" s="1" t="str">
        <f>IF($I$452="Y",'Population Definitions'!$A$9,"...")</f>
        <v>...</v>
      </c>
      <c r="E644" s="2"/>
      <c r="F644" s="3"/>
      <c r="G644" s="2"/>
      <c r="H644" s="4" t="str">
        <f>IF($I$452="Y","OR","...")</f>
        <v>...</v>
      </c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"/>
      <c r="AM644" s="2"/>
      <c r="AN644" s="2"/>
      <c r="AO644" s="2"/>
      <c r="AP644" s="2"/>
      <c r="AQ644" s="2"/>
      <c r="AR644" s="2"/>
      <c r="AS644" s="2"/>
      <c r="AT644" s="2"/>
      <c r="AU644" s="2"/>
      <c r="AV644" s="2"/>
      <c r="AW644" s="2"/>
      <c r="AX644" s="2"/>
      <c r="AY644" s="2"/>
      <c r="AZ644" s="2"/>
      <c r="BA644" s="2"/>
      <c r="BB644" s="2"/>
      <c r="BC644" s="2"/>
      <c r="BD644" s="2"/>
      <c r="BE644" s="2"/>
      <c r="BF644" s="2"/>
      <c r="BG644" s="2"/>
    </row>
    <row r="645" spans="1:59">
      <c r="A645" s="1" t="str">
        <f>IF($J$452="Y",'Population Definitions'!$A$15,"...")</f>
        <v>...</v>
      </c>
      <c r="B645" s="4" t="str">
        <f>IF($J$452="Y","---&gt;","...")</f>
        <v>...</v>
      </c>
      <c r="C645" s="1" t="str">
        <f>IF($J$452="Y",'Population Definitions'!$A$10,"...")</f>
        <v>...</v>
      </c>
      <c r="E645" s="2"/>
      <c r="F645" s="3"/>
      <c r="G645" s="2"/>
      <c r="H645" s="4" t="str">
        <f>IF($J$452="Y","OR","...")</f>
        <v>...</v>
      </c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2"/>
      <c r="AM645" s="2"/>
      <c r="AN645" s="2"/>
      <c r="AO645" s="2"/>
      <c r="AP645" s="2"/>
      <c r="AQ645" s="2"/>
      <c r="AR645" s="2"/>
      <c r="AS645" s="2"/>
      <c r="AT645" s="2"/>
      <c r="AU645" s="2"/>
      <c r="AV645" s="2"/>
      <c r="AW645" s="2"/>
      <c r="AX645" s="2"/>
      <c r="AY645" s="2"/>
      <c r="AZ645" s="2"/>
      <c r="BA645" s="2"/>
      <c r="BB645" s="2"/>
      <c r="BC645" s="2"/>
      <c r="BD645" s="2"/>
      <c r="BE645" s="2"/>
      <c r="BF645" s="2"/>
      <c r="BG645" s="2"/>
    </row>
    <row r="646" spans="1:59">
      <c r="A646" s="1" t="str">
        <f>IF($K$452="Y",'Population Definitions'!$A$15,"...")</f>
        <v>...</v>
      </c>
      <c r="B646" s="4" t="str">
        <f>IF($K$452="Y","---&gt;","...")</f>
        <v>...</v>
      </c>
      <c r="C646" s="1" t="str">
        <f>IF($K$452="Y",'Population Definitions'!$A$11,"...")</f>
        <v>...</v>
      </c>
      <c r="E646" s="2"/>
      <c r="F646" s="3"/>
      <c r="G646" s="2"/>
      <c r="H646" s="4" t="str">
        <f>IF($K$452="Y","OR","...")</f>
        <v>...</v>
      </c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AL646" s="2"/>
      <c r="AM646" s="2"/>
      <c r="AN646" s="2"/>
      <c r="AO646" s="2"/>
      <c r="AP646" s="2"/>
      <c r="AQ646" s="2"/>
      <c r="AR646" s="2"/>
      <c r="AS646" s="2"/>
      <c r="AT646" s="2"/>
      <c r="AU646" s="2"/>
      <c r="AV646" s="2"/>
      <c r="AW646" s="2"/>
      <c r="AX646" s="2"/>
      <c r="AY646" s="2"/>
      <c r="AZ646" s="2"/>
      <c r="BA646" s="2"/>
      <c r="BB646" s="2"/>
      <c r="BC646" s="2"/>
      <c r="BD646" s="2"/>
      <c r="BE646" s="2"/>
      <c r="BF646" s="2"/>
      <c r="BG646" s="2"/>
    </row>
    <row r="647" spans="1:59">
      <c r="A647" s="1" t="str">
        <f>IF($L$452="Y",'Population Definitions'!$A$15,"...")</f>
        <v>...</v>
      </c>
      <c r="B647" s="4" t="str">
        <f>IF($L$452="Y","---&gt;","...")</f>
        <v>...</v>
      </c>
      <c r="C647" s="1" t="str">
        <f>IF($L$452="Y",'Population Definitions'!$A$12,"...")</f>
        <v>...</v>
      </c>
      <c r="E647" s="2"/>
      <c r="F647" s="3"/>
      <c r="G647" s="2"/>
      <c r="H647" s="4" t="str">
        <f>IF($L$452="Y","OR","...")</f>
        <v>...</v>
      </c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2"/>
      <c r="AM647" s="2"/>
      <c r="AN647" s="2"/>
      <c r="AO647" s="2"/>
      <c r="AP647" s="2"/>
      <c r="AQ647" s="2"/>
      <c r="AR647" s="2"/>
      <c r="AS647" s="2"/>
      <c r="AT647" s="2"/>
      <c r="AU647" s="2"/>
      <c r="AV647" s="2"/>
      <c r="AW647" s="2"/>
      <c r="AX647" s="2"/>
      <c r="AY647" s="2"/>
      <c r="AZ647" s="2"/>
      <c r="BA647" s="2"/>
      <c r="BB647" s="2"/>
      <c r="BC647" s="2"/>
      <c r="BD647" s="2"/>
      <c r="BE647" s="2"/>
      <c r="BF647" s="2"/>
      <c r="BG647" s="2"/>
    </row>
    <row r="648" spans="1:59">
      <c r="A648" s="1" t="str">
        <f>IF($M$452="Y",'Population Definitions'!$A$15,"...")</f>
        <v>...</v>
      </c>
      <c r="B648" s="4" t="str">
        <f>IF($M$452="Y","---&gt;","...")</f>
        <v>...</v>
      </c>
      <c r="C648" s="1" t="str">
        <f>IF($M$452="Y",'Population Definitions'!$A$13,"...")</f>
        <v>...</v>
      </c>
      <c r="E648" s="2"/>
      <c r="F648" s="3"/>
      <c r="G648" s="2"/>
      <c r="H648" s="4" t="str">
        <f>IF($M$452="Y","OR","...")</f>
        <v>...</v>
      </c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2"/>
      <c r="AM648" s="2"/>
      <c r="AN648" s="2"/>
      <c r="AO648" s="2"/>
      <c r="AP648" s="2"/>
      <c r="AQ648" s="2"/>
      <c r="AR648" s="2"/>
      <c r="AS648" s="2"/>
      <c r="AT648" s="2"/>
      <c r="AU648" s="2"/>
      <c r="AV648" s="2"/>
      <c r="AW648" s="2"/>
      <c r="AX648" s="2"/>
      <c r="AY648" s="2"/>
      <c r="AZ648" s="2"/>
      <c r="BA648" s="2"/>
      <c r="BB648" s="2"/>
      <c r="BC648" s="2"/>
      <c r="BD648" s="2"/>
      <c r="BE648" s="2"/>
      <c r="BF648" s="2"/>
      <c r="BG648" s="2"/>
    </row>
    <row r="649" spans="1:59">
      <c r="A649" s="1" t="str">
        <f>IF($N$452="Y",'Population Definitions'!$A$15,"...")</f>
        <v>...</v>
      </c>
      <c r="B649" s="4" t="str">
        <f>IF($N$452="Y","---&gt;","...")</f>
        <v>...</v>
      </c>
      <c r="C649" s="1" t="str">
        <f>IF($N$452="Y",'Population Definitions'!$A$14,"...")</f>
        <v>...</v>
      </c>
      <c r="E649" s="2"/>
      <c r="F649" s="3"/>
      <c r="G649" s="2"/>
      <c r="H649" s="4" t="str">
        <f>IF($N$452="Y","OR","...")</f>
        <v>...</v>
      </c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2"/>
      <c r="AM649" s="2"/>
      <c r="AN649" s="2"/>
      <c r="AO649" s="2"/>
      <c r="AP649" s="2"/>
      <c r="AQ649" s="2"/>
      <c r="AR649" s="2"/>
      <c r="AS649" s="2"/>
      <c r="AT649" s="2"/>
      <c r="AU649" s="2"/>
      <c r="AV649" s="2"/>
      <c r="AW649" s="2"/>
      <c r="AX649" s="2"/>
      <c r="AY649" s="2"/>
      <c r="AZ649" s="2"/>
      <c r="BA649" s="2"/>
      <c r="BB649" s="2"/>
      <c r="BC649" s="2"/>
      <c r="BD649" s="2"/>
      <c r="BE649" s="2"/>
      <c r="BF649" s="2"/>
      <c r="BG649" s="2"/>
    </row>
    <row r="650" spans="1:59">
      <c r="A650" s="1" t="str">
        <f>IF($O$452="Y",'Population Definitions'!$A$15,"...")</f>
        <v>...</v>
      </c>
      <c r="B650" s="4" t="str">
        <f>IF($O$452="Y","---&gt;","...")</f>
        <v>...</v>
      </c>
      <c r="C650" s="1" t="str">
        <f>IF($O$452="Y",'Population Definitions'!$A$15,"...")</f>
        <v>...</v>
      </c>
      <c r="E650" s="2"/>
      <c r="F650" s="3"/>
      <c r="G650" s="2"/>
      <c r="H650" s="4" t="str">
        <f>IF($O$452="Y","OR","...")</f>
        <v>...</v>
      </c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"/>
      <c r="AM650" s="2"/>
      <c r="AN650" s="2"/>
      <c r="AO650" s="2"/>
      <c r="AP650" s="2"/>
      <c r="AQ650" s="2"/>
      <c r="AR650" s="2"/>
      <c r="AS650" s="2"/>
      <c r="AT650" s="2"/>
      <c r="AU650" s="2"/>
      <c r="AV650" s="2"/>
      <c r="AW650" s="2"/>
      <c r="AX650" s="2"/>
      <c r="AY650" s="2"/>
      <c r="AZ650" s="2"/>
      <c r="BA650" s="2"/>
      <c r="BB650" s="2"/>
      <c r="BC650" s="2"/>
      <c r="BD650" s="2"/>
      <c r="BE650" s="2"/>
      <c r="BF650" s="2"/>
      <c r="BG650" s="2"/>
    </row>
  </sheetData>
  <conditionalFormatting sqref="B10">
    <cfRule type="cellIs" dxfId="2" priority="131" operator="equal">
      <formula>"Y"</formula>
    </cfRule>
    <cfRule type="cellIs" dxfId="3" priority="132" operator="equal">
      <formula>"N"</formula>
    </cfRule>
  </conditionalFormatting>
  <conditionalFormatting sqref="B11">
    <cfRule type="cellIs" dxfId="2" priority="157" operator="equal">
      <formula>"Y"</formula>
    </cfRule>
    <cfRule type="cellIs" dxfId="3" priority="158" operator="equal">
      <formula>"N"</formula>
    </cfRule>
  </conditionalFormatting>
  <conditionalFormatting sqref="B12">
    <cfRule type="cellIs" dxfId="2" priority="183" operator="equal">
      <formula>"Y"</formula>
    </cfRule>
    <cfRule type="cellIs" dxfId="3" priority="184" operator="equal">
      <formula>"N"</formula>
    </cfRule>
  </conditionalFormatting>
  <conditionalFormatting sqref="B13">
    <cfRule type="cellIs" dxfId="2" priority="209" operator="equal">
      <formula>"Y"</formula>
    </cfRule>
    <cfRule type="cellIs" dxfId="3" priority="210" operator="equal">
      <formula>"N"</formula>
    </cfRule>
  </conditionalFormatting>
  <conditionalFormatting sqref="B14">
    <cfRule type="cellIs" dxfId="2" priority="235" operator="equal">
      <formula>"Y"</formula>
    </cfRule>
    <cfRule type="cellIs" dxfId="3" priority="236" operator="equal">
      <formula>"N"</formula>
    </cfRule>
  </conditionalFormatting>
  <conditionalFormatting sqref="B15">
    <cfRule type="cellIs" dxfId="2" priority="261" operator="equal">
      <formula>"Y"</formula>
    </cfRule>
    <cfRule type="cellIs" dxfId="3" priority="262" operator="equal">
      <formula>"N"</formula>
    </cfRule>
  </conditionalFormatting>
  <conditionalFormatting sqref="B16">
    <cfRule type="cellIs" dxfId="2" priority="287" operator="equal">
      <formula>"Y"</formula>
    </cfRule>
    <cfRule type="cellIs" dxfId="3" priority="288" operator="equal">
      <formula>"N"</formula>
    </cfRule>
  </conditionalFormatting>
  <conditionalFormatting sqref="B17">
    <cfRule type="cellIs" dxfId="2" priority="313" operator="equal">
      <formula>"Y"</formula>
    </cfRule>
    <cfRule type="cellIs" dxfId="3" priority="314" operator="equal">
      <formula>"N"</formula>
    </cfRule>
  </conditionalFormatting>
  <conditionalFormatting sqref="B18">
    <cfRule type="cellIs" dxfId="2" priority="339" operator="equal">
      <formula>"Y"</formula>
    </cfRule>
    <cfRule type="cellIs" dxfId="3" priority="340" operator="equal">
      <formula>"N"</formula>
    </cfRule>
  </conditionalFormatting>
  <conditionalFormatting sqref="B223">
    <cfRule type="cellIs" dxfId="2" priority="979" operator="equal">
      <formula>"Y"</formula>
    </cfRule>
    <cfRule type="cellIs" dxfId="3" priority="980" operator="equal">
      <formula>"N"</formula>
    </cfRule>
  </conditionalFormatting>
  <conditionalFormatting sqref="B224">
    <cfRule type="cellIs" dxfId="2" priority="1005" operator="equal">
      <formula>"Y"</formula>
    </cfRule>
    <cfRule type="cellIs" dxfId="3" priority="1006" operator="equal">
      <formula>"N"</formula>
    </cfRule>
  </conditionalFormatting>
  <conditionalFormatting sqref="B225">
    <cfRule type="cellIs" dxfId="2" priority="1031" operator="equal">
      <formula>"Y"</formula>
    </cfRule>
    <cfRule type="cellIs" dxfId="3" priority="1032" operator="equal">
      <formula>"N"</formula>
    </cfRule>
  </conditionalFormatting>
  <conditionalFormatting sqref="B226">
    <cfRule type="cellIs" dxfId="2" priority="1057" operator="equal">
      <formula>"Y"</formula>
    </cfRule>
    <cfRule type="cellIs" dxfId="3" priority="1058" operator="equal">
      <formula>"N"</formula>
    </cfRule>
  </conditionalFormatting>
  <conditionalFormatting sqref="B227">
    <cfRule type="cellIs" dxfId="2" priority="1083" operator="equal">
      <formula>"Y"</formula>
    </cfRule>
    <cfRule type="cellIs" dxfId="3" priority="1084" operator="equal">
      <formula>"N"</formula>
    </cfRule>
  </conditionalFormatting>
  <conditionalFormatting sqref="B228">
    <cfRule type="cellIs" dxfId="2" priority="1109" operator="equal">
      <formula>"Y"</formula>
    </cfRule>
    <cfRule type="cellIs" dxfId="3" priority="1110" operator="equal">
      <formula>"N"</formula>
    </cfRule>
  </conditionalFormatting>
  <conditionalFormatting sqref="B229">
    <cfRule type="cellIs" dxfId="2" priority="1135" operator="equal">
      <formula>"Y"</formula>
    </cfRule>
    <cfRule type="cellIs" dxfId="3" priority="1136" operator="equal">
      <formula>"N"</formula>
    </cfRule>
  </conditionalFormatting>
  <conditionalFormatting sqref="B230">
    <cfRule type="cellIs" dxfId="2" priority="1161" operator="equal">
      <formula>"Y"</formula>
    </cfRule>
    <cfRule type="cellIs" dxfId="3" priority="1162" operator="equal">
      <formula>"N"</formula>
    </cfRule>
  </conditionalFormatting>
  <conditionalFormatting sqref="B231">
    <cfRule type="cellIs" dxfId="2" priority="1187" operator="equal">
      <formula>"Y"</formula>
    </cfRule>
    <cfRule type="cellIs" dxfId="3" priority="1188" operator="equal">
      <formula>"N"</formula>
    </cfRule>
  </conditionalFormatting>
  <conditionalFormatting sqref="B232">
    <cfRule type="cellIs" dxfId="2" priority="1213" operator="equal">
      <formula>"Y"</formula>
    </cfRule>
    <cfRule type="cellIs" dxfId="3" priority="1214" operator="equal">
      <formula>"N"</formula>
    </cfRule>
  </conditionalFormatting>
  <conditionalFormatting sqref="B233">
    <cfRule type="cellIs" dxfId="2" priority="1239" operator="equal">
      <formula>"Y"</formula>
    </cfRule>
    <cfRule type="cellIs" dxfId="3" priority="1240" operator="equal">
      <formula>"N"</formula>
    </cfRule>
  </conditionalFormatting>
  <conditionalFormatting sqref="B234">
    <cfRule type="cellIs" dxfId="2" priority="1265" operator="equal">
      <formula>"Y"</formula>
    </cfRule>
    <cfRule type="cellIs" dxfId="3" priority="1266" operator="equal">
      <formula>"N"</formula>
    </cfRule>
  </conditionalFormatting>
  <conditionalFormatting sqref="B235">
    <cfRule type="cellIs" dxfId="2" priority="1291" operator="equal">
      <formula>"Y"</formula>
    </cfRule>
    <cfRule type="cellIs" dxfId="3" priority="1292" operator="equal">
      <formula>"N"</formula>
    </cfRule>
  </conditionalFormatting>
  <conditionalFormatting sqref="B440">
    <cfRule type="cellIs" dxfId="2" priority="1931" operator="equal">
      <formula>"Y"</formula>
    </cfRule>
    <cfRule type="cellIs" dxfId="3" priority="1932" operator="equal">
      <formula>"N"</formula>
    </cfRule>
  </conditionalFormatting>
  <conditionalFormatting sqref="B441">
    <cfRule type="cellIs" dxfId="2" priority="1957" operator="equal">
      <formula>"Y"</formula>
    </cfRule>
    <cfRule type="cellIs" dxfId="3" priority="1958" operator="equal">
      <formula>"N"</formula>
    </cfRule>
  </conditionalFormatting>
  <conditionalFormatting sqref="B442">
    <cfRule type="cellIs" dxfId="2" priority="1983" operator="equal">
      <formula>"Y"</formula>
    </cfRule>
    <cfRule type="cellIs" dxfId="3" priority="1984" operator="equal">
      <formula>"N"</formula>
    </cfRule>
  </conditionalFormatting>
  <conditionalFormatting sqref="B443">
    <cfRule type="cellIs" dxfId="2" priority="2009" operator="equal">
      <formula>"Y"</formula>
    </cfRule>
    <cfRule type="cellIs" dxfId="3" priority="2010" operator="equal">
      <formula>"N"</formula>
    </cfRule>
  </conditionalFormatting>
  <conditionalFormatting sqref="B444">
    <cfRule type="cellIs" dxfId="2" priority="2035" operator="equal">
      <formula>"Y"</formula>
    </cfRule>
    <cfRule type="cellIs" dxfId="3" priority="2036" operator="equal">
      <formula>"N"</formula>
    </cfRule>
  </conditionalFormatting>
  <conditionalFormatting sqref="B445">
    <cfRule type="cellIs" dxfId="2" priority="2061" operator="equal">
      <formula>"Y"</formula>
    </cfRule>
    <cfRule type="cellIs" dxfId="3" priority="2062" operator="equal">
      <formula>"N"</formula>
    </cfRule>
  </conditionalFormatting>
  <conditionalFormatting sqref="B446">
    <cfRule type="cellIs" dxfId="2" priority="2087" operator="equal">
      <formula>"Y"</formula>
    </cfRule>
    <cfRule type="cellIs" dxfId="3" priority="2088" operator="equal">
      <formula>"N"</formula>
    </cfRule>
  </conditionalFormatting>
  <conditionalFormatting sqref="B447">
    <cfRule type="cellIs" dxfId="2" priority="2113" operator="equal">
      <formula>"Y"</formula>
    </cfRule>
    <cfRule type="cellIs" dxfId="3" priority="2114" operator="equal">
      <formula>"N"</formula>
    </cfRule>
  </conditionalFormatting>
  <conditionalFormatting sqref="B448">
    <cfRule type="cellIs" dxfId="2" priority="2139" operator="equal">
      <formula>"Y"</formula>
    </cfRule>
    <cfRule type="cellIs" dxfId="3" priority="2140" operator="equal">
      <formula>"N"</formula>
    </cfRule>
  </conditionalFormatting>
  <conditionalFormatting sqref="B449">
    <cfRule type="cellIs" dxfId="2" priority="2165" operator="equal">
      <formula>"Y"</formula>
    </cfRule>
    <cfRule type="cellIs" dxfId="3" priority="2166" operator="equal">
      <formula>"N"</formula>
    </cfRule>
  </conditionalFormatting>
  <conditionalFormatting sqref="B450">
    <cfRule type="cellIs" dxfId="2" priority="2191" operator="equal">
      <formula>"Y"</formula>
    </cfRule>
    <cfRule type="cellIs" dxfId="3" priority="2192" operator="equal">
      <formula>"N"</formula>
    </cfRule>
  </conditionalFormatting>
  <conditionalFormatting sqref="B451">
    <cfRule type="cellIs" dxfId="2" priority="2217" operator="equal">
      <formula>"Y"</formula>
    </cfRule>
    <cfRule type="cellIs" dxfId="3" priority="2218" operator="equal">
      <formula>"N"</formula>
    </cfRule>
  </conditionalFormatting>
  <conditionalFormatting sqref="B452">
    <cfRule type="cellIs" dxfId="2" priority="2243" operator="equal">
      <formula>"Y"</formula>
    </cfRule>
    <cfRule type="cellIs" dxfId="3" priority="2244" operator="equal">
      <formula>"N"</formula>
    </cfRule>
  </conditionalFormatting>
  <conditionalFormatting sqref="B6">
    <cfRule type="cellIs" dxfId="2" priority="27" operator="equal">
      <formula>"Y"</formula>
    </cfRule>
    <cfRule type="cellIs" dxfId="3" priority="28" operator="equal">
      <formula>"N"</formula>
    </cfRule>
  </conditionalFormatting>
  <conditionalFormatting sqref="B7">
    <cfRule type="cellIs" dxfId="2" priority="53" operator="equal">
      <formula>"Y"</formula>
    </cfRule>
    <cfRule type="cellIs" dxfId="3" priority="54" operator="equal">
      <formula>"N"</formula>
    </cfRule>
  </conditionalFormatting>
  <conditionalFormatting sqref="B8">
    <cfRule type="cellIs" dxfId="2" priority="79" operator="equal">
      <formula>"Y"</formula>
    </cfRule>
    <cfRule type="cellIs" dxfId="3" priority="80" operator="equal">
      <formula>"N"</formula>
    </cfRule>
  </conditionalFormatting>
  <conditionalFormatting sqref="B9">
    <cfRule type="cellIs" dxfId="2" priority="105" operator="equal">
      <formula>"Y"</formula>
    </cfRule>
    <cfRule type="cellIs" dxfId="3" priority="106" operator="equal">
      <formula>"N"</formula>
    </cfRule>
  </conditionalFormatting>
  <conditionalFormatting sqref="C10">
    <cfRule type="cellIs" dxfId="2" priority="133" operator="equal">
      <formula>"Y"</formula>
    </cfRule>
    <cfRule type="cellIs" dxfId="3" priority="134" operator="equal">
      <formula>"N"</formula>
    </cfRule>
  </conditionalFormatting>
  <conditionalFormatting sqref="C11">
    <cfRule type="cellIs" dxfId="2" priority="159" operator="equal">
      <formula>"Y"</formula>
    </cfRule>
    <cfRule type="cellIs" dxfId="3" priority="160" operator="equal">
      <formula>"N"</formula>
    </cfRule>
  </conditionalFormatting>
  <conditionalFormatting sqref="C12">
    <cfRule type="cellIs" dxfId="2" priority="185" operator="equal">
      <formula>"Y"</formula>
    </cfRule>
    <cfRule type="cellIs" dxfId="3" priority="186" operator="equal">
      <formula>"N"</formula>
    </cfRule>
  </conditionalFormatting>
  <conditionalFormatting sqref="C13">
    <cfRule type="cellIs" dxfId="2" priority="211" operator="equal">
      <formula>"Y"</formula>
    </cfRule>
    <cfRule type="cellIs" dxfId="3" priority="212" operator="equal">
      <formula>"N"</formula>
    </cfRule>
  </conditionalFormatting>
  <conditionalFormatting sqref="C14">
    <cfRule type="cellIs" dxfId="2" priority="237" operator="equal">
      <formula>"Y"</formula>
    </cfRule>
    <cfRule type="cellIs" dxfId="3" priority="238" operator="equal">
      <formula>"N"</formula>
    </cfRule>
  </conditionalFormatting>
  <conditionalFormatting sqref="C15">
    <cfRule type="cellIs" dxfId="2" priority="263" operator="equal">
      <formula>"Y"</formula>
    </cfRule>
    <cfRule type="cellIs" dxfId="3" priority="264" operator="equal">
      <formula>"N"</formula>
    </cfRule>
  </conditionalFormatting>
  <conditionalFormatting sqref="C16">
    <cfRule type="cellIs" dxfId="2" priority="289" operator="equal">
      <formula>"Y"</formula>
    </cfRule>
    <cfRule type="cellIs" dxfId="3" priority="290" operator="equal">
      <formula>"N"</formula>
    </cfRule>
  </conditionalFormatting>
  <conditionalFormatting sqref="C17">
    <cfRule type="cellIs" dxfId="2" priority="315" operator="equal">
      <formula>"Y"</formula>
    </cfRule>
    <cfRule type="cellIs" dxfId="3" priority="316" operator="equal">
      <formula>"N"</formula>
    </cfRule>
  </conditionalFormatting>
  <conditionalFormatting sqref="C18">
    <cfRule type="cellIs" dxfId="2" priority="341" operator="equal">
      <formula>"Y"</formula>
    </cfRule>
    <cfRule type="cellIs" dxfId="3" priority="342" operator="equal">
      <formula>"N"</formula>
    </cfRule>
  </conditionalFormatting>
  <conditionalFormatting sqref="C222">
    <cfRule type="cellIs" dxfId="2" priority="953" operator="equal">
      <formula>"Y"</formula>
    </cfRule>
    <cfRule type="cellIs" dxfId="3" priority="954" operator="equal">
      <formula>"N"</formula>
    </cfRule>
  </conditionalFormatting>
  <conditionalFormatting sqref="C224">
    <cfRule type="cellIs" dxfId="2" priority="1007" operator="equal">
      <formula>"Y"</formula>
    </cfRule>
    <cfRule type="cellIs" dxfId="3" priority="1008" operator="equal">
      <formula>"N"</formula>
    </cfRule>
  </conditionalFormatting>
  <conditionalFormatting sqref="C225">
    <cfRule type="cellIs" dxfId="2" priority="1033" operator="equal">
      <formula>"Y"</formula>
    </cfRule>
    <cfRule type="cellIs" dxfId="3" priority="1034" operator="equal">
      <formula>"N"</formula>
    </cfRule>
  </conditionalFormatting>
  <conditionalFormatting sqref="C226">
    <cfRule type="cellIs" dxfId="2" priority="1059" operator="equal">
      <formula>"Y"</formula>
    </cfRule>
    <cfRule type="cellIs" dxfId="3" priority="1060" operator="equal">
      <formula>"N"</formula>
    </cfRule>
  </conditionalFormatting>
  <conditionalFormatting sqref="C227">
    <cfRule type="cellIs" dxfId="2" priority="1085" operator="equal">
      <formula>"Y"</formula>
    </cfRule>
    <cfRule type="cellIs" dxfId="3" priority="1086" operator="equal">
      <formula>"N"</formula>
    </cfRule>
  </conditionalFormatting>
  <conditionalFormatting sqref="C228">
    <cfRule type="cellIs" dxfId="2" priority="1111" operator="equal">
      <formula>"Y"</formula>
    </cfRule>
    <cfRule type="cellIs" dxfId="3" priority="1112" operator="equal">
      <formula>"N"</formula>
    </cfRule>
  </conditionalFormatting>
  <conditionalFormatting sqref="C229">
    <cfRule type="cellIs" dxfId="2" priority="1137" operator="equal">
      <formula>"Y"</formula>
    </cfRule>
    <cfRule type="cellIs" dxfId="3" priority="1138" operator="equal">
      <formula>"N"</formula>
    </cfRule>
  </conditionalFormatting>
  <conditionalFormatting sqref="C230">
    <cfRule type="cellIs" dxfId="2" priority="1163" operator="equal">
      <formula>"Y"</formula>
    </cfRule>
    <cfRule type="cellIs" dxfId="3" priority="1164" operator="equal">
      <formula>"N"</formula>
    </cfRule>
  </conditionalFormatting>
  <conditionalFormatting sqref="C231">
    <cfRule type="cellIs" dxfId="2" priority="1189" operator="equal">
      <formula>"Y"</formula>
    </cfRule>
    <cfRule type="cellIs" dxfId="3" priority="1190" operator="equal">
      <formula>"N"</formula>
    </cfRule>
  </conditionalFormatting>
  <conditionalFormatting sqref="C232">
    <cfRule type="cellIs" dxfId="2" priority="1215" operator="equal">
      <formula>"Y"</formula>
    </cfRule>
    <cfRule type="cellIs" dxfId="3" priority="1216" operator="equal">
      <formula>"N"</formula>
    </cfRule>
  </conditionalFormatting>
  <conditionalFormatting sqref="C233">
    <cfRule type="cellIs" dxfId="2" priority="1241" operator="equal">
      <formula>"Y"</formula>
    </cfRule>
    <cfRule type="cellIs" dxfId="3" priority="1242" operator="equal">
      <formula>"N"</formula>
    </cfRule>
  </conditionalFormatting>
  <conditionalFormatting sqref="C234">
    <cfRule type="cellIs" dxfId="2" priority="1267" operator="equal">
      <formula>"Y"</formula>
    </cfRule>
    <cfRule type="cellIs" dxfId="3" priority="1268" operator="equal">
      <formula>"N"</formula>
    </cfRule>
  </conditionalFormatting>
  <conditionalFormatting sqref="C235">
    <cfRule type="cellIs" dxfId="2" priority="1293" operator="equal">
      <formula>"Y"</formula>
    </cfRule>
    <cfRule type="cellIs" dxfId="3" priority="1294" operator="equal">
      <formula>"N"</formula>
    </cfRule>
  </conditionalFormatting>
  <conditionalFormatting sqref="C439">
    <cfRule type="cellIs" dxfId="2" priority="1905" operator="equal">
      <formula>"Y"</formula>
    </cfRule>
    <cfRule type="cellIs" dxfId="3" priority="1906" operator="equal">
      <formula>"N"</formula>
    </cfRule>
  </conditionalFormatting>
  <conditionalFormatting sqref="C441">
    <cfRule type="cellIs" dxfId="2" priority="1959" operator="equal">
      <formula>"Y"</formula>
    </cfRule>
    <cfRule type="cellIs" dxfId="3" priority="1960" operator="equal">
      <formula>"N"</formula>
    </cfRule>
  </conditionalFormatting>
  <conditionalFormatting sqref="C442">
    <cfRule type="cellIs" dxfId="2" priority="1985" operator="equal">
      <formula>"Y"</formula>
    </cfRule>
    <cfRule type="cellIs" dxfId="3" priority="1986" operator="equal">
      <formula>"N"</formula>
    </cfRule>
  </conditionalFormatting>
  <conditionalFormatting sqref="C443">
    <cfRule type="cellIs" dxfId="2" priority="2011" operator="equal">
      <formula>"Y"</formula>
    </cfRule>
    <cfRule type="cellIs" dxfId="3" priority="2012" operator="equal">
      <formula>"N"</formula>
    </cfRule>
  </conditionalFormatting>
  <conditionalFormatting sqref="C444">
    <cfRule type="cellIs" dxfId="2" priority="2037" operator="equal">
      <formula>"Y"</formula>
    </cfRule>
    <cfRule type="cellIs" dxfId="3" priority="2038" operator="equal">
      <formula>"N"</formula>
    </cfRule>
  </conditionalFormatting>
  <conditionalFormatting sqref="C445">
    <cfRule type="cellIs" dxfId="2" priority="2063" operator="equal">
      <formula>"Y"</formula>
    </cfRule>
    <cfRule type="cellIs" dxfId="3" priority="2064" operator="equal">
      <formula>"N"</formula>
    </cfRule>
  </conditionalFormatting>
  <conditionalFormatting sqref="C446">
    <cfRule type="cellIs" dxfId="2" priority="2089" operator="equal">
      <formula>"Y"</formula>
    </cfRule>
    <cfRule type="cellIs" dxfId="3" priority="2090" operator="equal">
      <formula>"N"</formula>
    </cfRule>
  </conditionalFormatting>
  <conditionalFormatting sqref="C447">
    <cfRule type="cellIs" dxfId="2" priority="2115" operator="equal">
      <formula>"Y"</formula>
    </cfRule>
    <cfRule type="cellIs" dxfId="3" priority="2116" operator="equal">
      <formula>"N"</formula>
    </cfRule>
  </conditionalFormatting>
  <conditionalFormatting sqref="C448">
    <cfRule type="cellIs" dxfId="2" priority="2141" operator="equal">
      <formula>"Y"</formula>
    </cfRule>
    <cfRule type="cellIs" dxfId="3" priority="2142" operator="equal">
      <formula>"N"</formula>
    </cfRule>
  </conditionalFormatting>
  <conditionalFormatting sqref="C449">
    <cfRule type="cellIs" dxfId="2" priority="2167" operator="equal">
      <formula>"Y"</formula>
    </cfRule>
    <cfRule type="cellIs" dxfId="3" priority="2168" operator="equal">
      <formula>"N"</formula>
    </cfRule>
  </conditionalFormatting>
  <conditionalFormatting sqref="C450">
    <cfRule type="cellIs" dxfId="2" priority="2193" operator="equal">
      <formula>"Y"</formula>
    </cfRule>
    <cfRule type="cellIs" dxfId="3" priority="2194" operator="equal">
      <formula>"N"</formula>
    </cfRule>
  </conditionalFormatting>
  <conditionalFormatting sqref="C451">
    <cfRule type="cellIs" dxfId="2" priority="2219" operator="equal">
      <formula>"Y"</formula>
    </cfRule>
    <cfRule type="cellIs" dxfId="3" priority="2220" operator="equal">
      <formula>"N"</formula>
    </cfRule>
  </conditionalFormatting>
  <conditionalFormatting sqref="C452">
    <cfRule type="cellIs" dxfId="2" priority="2245" operator="equal">
      <formula>"Y"</formula>
    </cfRule>
    <cfRule type="cellIs" dxfId="3" priority="2246" operator="equal">
      <formula>"N"</formula>
    </cfRule>
  </conditionalFormatting>
  <conditionalFormatting sqref="C5">
    <cfRule type="cellIs" dxfId="2" priority="1" operator="equal">
      <formula>"Y"</formula>
    </cfRule>
    <cfRule type="cellIs" dxfId="3" priority="2" operator="equal">
      <formula>"N"</formula>
    </cfRule>
  </conditionalFormatting>
  <conditionalFormatting sqref="C7">
    <cfRule type="cellIs" dxfId="2" priority="55" operator="equal">
      <formula>"Y"</formula>
    </cfRule>
    <cfRule type="cellIs" dxfId="3" priority="56" operator="equal">
      <formula>"N"</formula>
    </cfRule>
  </conditionalFormatting>
  <conditionalFormatting sqref="C8">
    <cfRule type="cellIs" dxfId="2" priority="81" operator="equal">
      <formula>"Y"</formula>
    </cfRule>
    <cfRule type="cellIs" dxfId="3" priority="82" operator="equal">
      <formula>"N"</formula>
    </cfRule>
  </conditionalFormatting>
  <conditionalFormatting sqref="C9">
    <cfRule type="cellIs" dxfId="2" priority="107" operator="equal">
      <formula>"Y"</formula>
    </cfRule>
    <cfRule type="cellIs" dxfId="3" priority="108" operator="equal">
      <formula>"N"</formula>
    </cfRule>
  </conditionalFormatting>
  <conditionalFormatting sqref="D10">
    <cfRule type="cellIs" dxfId="2" priority="135" operator="equal">
      <formula>"Y"</formula>
    </cfRule>
    <cfRule type="cellIs" dxfId="3" priority="136" operator="equal">
      <formula>"N"</formula>
    </cfRule>
  </conditionalFormatting>
  <conditionalFormatting sqref="D100:BG100">
    <cfRule type="expression" dxfId="4" priority="604">
      <formula>$K$10&lt;&gt;"Y"</formula>
    </cfRule>
  </conditionalFormatting>
  <conditionalFormatting sqref="D101:BG101">
    <cfRule type="expression" dxfId="4" priority="607">
      <formula>$L$10&lt;&gt;"Y"</formula>
    </cfRule>
  </conditionalFormatting>
  <conditionalFormatting sqref="D102:BG102">
    <cfRule type="expression" dxfId="4" priority="610">
      <formula>$M$10&lt;&gt;"Y"</formula>
    </cfRule>
  </conditionalFormatting>
  <conditionalFormatting sqref="D103:BG103">
    <cfRule type="expression" dxfId="4" priority="613">
      <formula>$N$10&lt;&gt;"Y"</formula>
    </cfRule>
  </conditionalFormatting>
  <conditionalFormatting sqref="D104:BG104">
    <cfRule type="expression" dxfId="4" priority="616">
      <formula>$O$10&lt;&gt;"Y"</formula>
    </cfRule>
  </conditionalFormatting>
  <conditionalFormatting sqref="D105:BG105">
    <cfRule type="expression" dxfId="4" priority="619">
      <formula>$B$11&lt;&gt;"Y"</formula>
    </cfRule>
  </conditionalFormatting>
  <conditionalFormatting sqref="D106:BG106">
    <cfRule type="expression" dxfId="4" priority="622">
      <formula>$C$11&lt;&gt;"Y"</formula>
    </cfRule>
  </conditionalFormatting>
  <conditionalFormatting sqref="D107:BG107">
    <cfRule type="expression" dxfId="4" priority="625">
      <formula>$D$11&lt;&gt;"Y"</formula>
    </cfRule>
  </conditionalFormatting>
  <conditionalFormatting sqref="D108:BG108">
    <cfRule type="expression" dxfId="4" priority="628">
      <formula>$E$11&lt;&gt;"Y"</formula>
    </cfRule>
  </conditionalFormatting>
  <conditionalFormatting sqref="D109:BG109">
    <cfRule type="expression" dxfId="4" priority="631">
      <formula>$F$11&lt;&gt;"Y"</formula>
    </cfRule>
  </conditionalFormatting>
  <conditionalFormatting sqref="D11">
    <cfRule type="cellIs" dxfId="2" priority="161" operator="equal">
      <formula>"Y"</formula>
    </cfRule>
    <cfRule type="cellIs" dxfId="3" priority="162" operator="equal">
      <formula>"N"</formula>
    </cfRule>
  </conditionalFormatting>
  <conditionalFormatting sqref="D110:BG110">
    <cfRule type="expression" dxfId="4" priority="634">
      <formula>$G$11&lt;&gt;"Y"</formula>
    </cfRule>
  </conditionalFormatting>
  <conditionalFormatting sqref="D111:BG111">
    <cfRule type="expression" dxfId="4" priority="637">
      <formula>$H$11&lt;&gt;"Y"</formula>
    </cfRule>
  </conditionalFormatting>
  <conditionalFormatting sqref="D112:BG112">
    <cfRule type="expression" dxfId="4" priority="640">
      <formula>$I$11&lt;&gt;"Y"</formula>
    </cfRule>
  </conditionalFormatting>
  <conditionalFormatting sqref="D113:BG113">
    <cfRule type="expression" dxfId="4" priority="643">
      <formula>$J$11&lt;&gt;"Y"</formula>
    </cfRule>
  </conditionalFormatting>
  <conditionalFormatting sqref="D114:BG114">
    <cfRule type="expression" dxfId="4" priority="646">
      <formula>$K$11&lt;&gt;"Y"</formula>
    </cfRule>
  </conditionalFormatting>
  <conditionalFormatting sqref="D115:BG115">
    <cfRule type="expression" dxfId="4" priority="649">
      <formula>$L$11&lt;&gt;"Y"</formula>
    </cfRule>
  </conditionalFormatting>
  <conditionalFormatting sqref="D116:BG116">
    <cfRule type="expression" dxfId="4" priority="652">
      <formula>$M$11&lt;&gt;"Y"</formula>
    </cfRule>
  </conditionalFormatting>
  <conditionalFormatting sqref="D117:BG117">
    <cfRule type="expression" dxfId="4" priority="655">
      <formula>$N$11&lt;&gt;"Y"</formula>
    </cfRule>
  </conditionalFormatting>
  <conditionalFormatting sqref="D118:BG118">
    <cfRule type="expression" dxfId="4" priority="658">
      <formula>$O$11&lt;&gt;"Y"</formula>
    </cfRule>
  </conditionalFormatting>
  <conditionalFormatting sqref="D119:BG119">
    <cfRule type="expression" dxfId="4" priority="661">
      <formula>$B$12&lt;&gt;"Y"</formula>
    </cfRule>
  </conditionalFormatting>
  <conditionalFormatting sqref="D12">
    <cfRule type="cellIs" dxfId="2" priority="187" operator="equal">
      <formula>"Y"</formula>
    </cfRule>
    <cfRule type="cellIs" dxfId="3" priority="188" operator="equal">
      <formula>"N"</formula>
    </cfRule>
  </conditionalFormatting>
  <conditionalFormatting sqref="D120:BG120">
    <cfRule type="expression" dxfId="4" priority="664">
      <formula>$C$12&lt;&gt;"Y"</formula>
    </cfRule>
  </conditionalFormatting>
  <conditionalFormatting sqref="D121:BG121">
    <cfRule type="expression" dxfId="4" priority="667">
      <formula>$D$12&lt;&gt;"Y"</formula>
    </cfRule>
  </conditionalFormatting>
  <conditionalFormatting sqref="D122:BG122">
    <cfRule type="expression" dxfId="4" priority="670">
      <formula>$E$12&lt;&gt;"Y"</formula>
    </cfRule>
  </conditionalFormatting>
  <conditionalFormatting sqref="D123:BG123">
    <cfRule type="expression" dxfId="4" priority="673">
      <formula>$F$12&lt;&gt;"Y"</formula>
    </cfRule>
  </conditionalFormatting>
  <conditionalFormatting sqref="D124:BG124">
    <cfRule type="expression" dxfId="4" priority="676">
      <formula>$G$12&lt;&gt;"Y"</formula>
    </cfRule>
  </conditionalFormatting>
  <conditionalFormatting sqref="D125:BG125">
    <cfRule type="expression" dxfId="4" priority="679">
      <formula>$H$12&lt;&gt;"Y"</formula>
    </cfRule>
  </conditionalFormatting>
  <conditionalFormatting sqref="D126:BG126">
    <cfRule type="expression" dxfId="4" priority="682">
      <formula>$I$12&lt;&gt;"Y"</formula>
    </cfRule>
  </conditionalFormatting>
  <conditionalFormatting sqref="D127:BG127">
    <cfRule type="expression" dxfId="4" priority="685">
      <formula>$J$12&lt;&gt;"Y"</formula>
    </cfRule>
  </conditionalFormatting>
  <conditionalFormatting sqref="D128:BG128">
    <cfRule type="expression" dxfId="4" priority="688">
      <formula>$K$12&lt;&gt;"Y"</formula>
    </cfRule>
  </conditionalFormatting>
  <conditionalFormatting sqref="D129:BG129">
    <cfRule type="expression" dxfId="4" priority="691">
      <formula>$L$12&lt;&gt;"Y"</formula>
    </cfRule>
  </conditionalFormatting>
  <conditionalFormatting sqref="D13">
    <cfRule type="cellIs" dxfId="2" priority="213" operator="equal">
      <formula>"Y"</formula>
    </cfRule>
    <cfRule type="cellIs" dxfId="3" priority="214" operator="equal">
      <formula>"N"</formula>
    </cfRule>
  </conditionalFormatting>
  <conditionalFormatting sqref="D130:BG130">
    <cfRule type="expression" dxfId="4" priority="694">
      <formula>$M$12&lt;&gt;"Y"</formula>
    </cfRule>
  </conditionalFormatting>
  <conditionalFormatting sqref="D131:BG131">
    <cfRule type="expression" dxfId="4" priority="697">
      <formula>$N$12&lt;&gt;"Y"</formula>
    </cfRule>
  </conditionalFormatting>
  <conditionalFormatting sqref="D132:BG132">
    <cfRule type="expression" dxfId="4" priority="700">
      <formula>$O$12&lt;&gt;"Y"</formula>
    </cfRule>
  </conditionalFormatting>
  <conditionalFormatting sqref="D133:BG133">
    <cfRule type="expression" dxfId="4" priority="703">
      <formula>$B$13&lt;&gt;"Y"</formula>
    </cfRule>
  </conditionalFormatting>
  <conditionalFormatting sqref="D134:BG134">
    <cfRule type="expression" dxfId="4" priority="706">
      <formula>$C$13&lt;&gt;"Y"</formula>
    </cfRule>
  </conditionalFormatting>
  <conditionalFormatting sqref="D135:BG135">
    <cfRule type="expression" dxfId="4" priority="709">
      <formula>$D$13&lt;&gt;"Y"</formula>
    </cfRule>
  </conditionalFormatting>
  <conditionalFormatting sqref="D136:BG136">
    <cfRule type="expression" dxfId="4" priority="712">
      <formula>$E$13&lt;&gt;"Y"</formula>
    </cfRule>
  </conditionalFormatting>
  <conditionalFormatting sqref="D137:BG137">
    <cfRule type="expression" dxfId="4" priority="715">
      <formula>$F$13&lt;&gt;"Y"</formula>
    </cfRule>
  </conditionalFormatting>
  <conditionalFormatting sqref="D138:BG138">
    <cfRule type="expression" dxfId="4" priority="718">
      <formula>$G$13&lt;&gt;"Y"</formula>
    </cfRule>
  </conditionalFormatting>
  <conditionalFormatting sqref="D139:BG139">
    <cfRule type="expression" dxfId="4" priority="721">
      <formula>$H$13&lt;&gt;"Y"</formula>
    </cfRule>
  </conditionalFormatting>
  <conditionalFormatting sqref="D14">
    <cfRule type="cellIs" dxfId="2" priority="239" operator="equal">
      <formula>"Y"</formula>
    </cfRule>
    <cfRule type="cellIs" dxfId="3" priority="240" operator="equal">
      <formula>"N"</formula>
    </cfRule>
  </conditionalFormatting>
  <conditionalFormatting sqref="D140:BG140">
    <cfRule type="expression" dxfId="4" priority="724">
      <formula>$I$13&lt;&gt;"Y"</formula>
    </cfRule>
  </conditionalFormatting>
  <conditionalFormatting sqref="D141:BG141">
    <cfRule type="expression" dxfId="4" priority="727">
      <formula>$J$13&lt;&gt;"Y"</formula>
    </cfRule>
  </conditionalFormatting>
  <conditionalFormatting sqref="D142:BG142">
    <cfRule type="expression" dxfId="4" priority="730">
      <formula>$K$13&lt;&gt;"Y"</formula>
    </cfRule>
  </conditionalFormatting>
  <conditionalFormatting sqref="D143:BG143">
    <cfRule type="expression" dxfId="4" priority="733">
      <formula>$L$13&lt;&gt;"Y"</formula>
    </cfRule>
  </conditionalFormatting>
  <conditionalFormatting sqref="D144:BG144">
    <cfRule type="expression" dxfId="4" priority="736">
      <formula>$M$13&lt;&gt;"Y"</formula>
    </cfRule>
  </conditionalFormatting>
  <conditionalFormatting sqref="D145:BG145">
    <cfRule type="expression" dxfId="4" priority="739">
      <formula>$N$13&lt;&gt;"Y"</formula>
    </cfRule>
  </conditionalFormatting>
  <conditionalFormatting sqref="D146:BG146">
    <cfRule type="expression" dxfId="4" priority="742">
      <formula>$O$13&lt;&gt;"Y"</formula>
    </cfRule>
  </conditionalFormatting>
  <conditionalFormatting sqref="D147:BG147">
    <cfRule type="expression" dxfId="4" priority="745">
      <formula>$B$14&lt;&gt;"Y"</formula>
    </cfRule>
  </conditionalFormatting>
  <conditionalFormatting sqref="D148:BG148">
    <cfRule type="expression" dxfId="4" priority="748">
      <formula>$C$14&lt;&gt;"Y"</formula>
    </cfRule>
  </conditionalFormatting>
  <conditionalFormatting sqref="D149:BG149">
    <cfRule type="expression" dxfId="4" priority="751">
      <formula>$D$14&lt;&gt;"Y"</formula>
    </cfRule>
  </conditionalFormatting>
  <conditionalFormatting sqref="D15">
    <cfRule type="cellIs" dxfId="2" priority="265" operator="equal">
      <formula>"Y"</formula>
    </cfRule>
    <cfRule type="cellIs" dxfId="3" priority="266" operator="equal">
      <formula>"N"</formula>
    </cfRule>
  </conditionalFormatting>
  <conditionalFormatting sqref="D150:BG150">
    <cfRule type="expression" dxfId="4" priority="754">
      <formula>$E$14&lt;&gt;"Y"</formula>
    </cfRule>
  </conditionalFormatting>
  <conditionalFormatting sqref="D151:BG151">
    <cfRule type="expression" dxfId="4" priority="757">
      <formula>$F$14&lt;&gt;"Y"</formula>
    </cfRule>
  </conditionalFormatting>
  <conditionalFormatting sqref="D152:BG152">
    <cfRule type="expression" dxfId="4" priority="760">
      <formula>$G$14&lt;&gt;"Y"</formula>
    </cfRule>
  </conditionalFormatting>
  <conditionalFormatting sqref="D153:BG153">
    <cfRule type="expression" dxfId="4" priority="763">
      <formula>$H$14&lt;&gt;"Y"</formula>
    </cfRule>
  </conditionalFormatting>
  <conditionalFormatting sqref="D154:BG154">
    <cfRule type="expression" dxfId="4" priority="766">
      <formula>$I$14&lt;&gt;"Y"</formula>
    </cfRule>
  </conditionalFormatting>
  <conditionalFormatting sqref="D155:BG155">
    <cfRule type="expression" dxfId="4" priority="769">
      <formula>$J$14&lt;&gt;"Y"</formula>
    </cfRule>
  </conditionalFormatting>
  <conditionalFormatting sqref="D156:BG156">
    <cfRule type="expression" dxfId="4" priority="772">
      <formula>$K$14&lt;&gt;"Y"</formula>
    </cfRule>
  </conditionalFormatting>
  <conditionalFormatting sqref="D157:BG157">
    <cfRule type="expression" dxfId="4" priority="775">
      <formula>$L$14&lt;&gt;"Y"</formula>
    </cfRule>
  </conditionalFormatting>
  <conditionalFormatting sqref="D158:BG158">
    <cfRule type="expression" dxfId="4" priority="778">
      <formula>$M$14&lt;&gt;"Y"</formula>
    </cfRule>
  </conditionalFormatting>
  <conditionalFormatting sqref="D159:BG159">
    <cfRule type="expression" dxfId="4" priority="781">
      <formula>$N$14&lt;&gt;"Y"</formula>
    </cfRule>
  </conditionalFormatting>
  <conditionalFormatting sqref="D16">
    <cfRule type="cellIs" dxfId="2" priority="291" operator="equal">
      <formula>"Y"</formula>
    </cfRule>
    <cfRule type="cellIs" dxfId="3" priority="292" operator="equal">
      <formula>"N"</formula>
    </cfRule>
  </conditionalFormatting>
  <conditionalFormatting sqref="D160:BG160">
    <cfRule type="expression" dxfId="4" priority="784">
      <formula>$O$14&lt;&gt;"Y"</formula>
    </cfRule>
  </conditionalFormatting>
  <conditionalFormatting sqref="D161:BG161">
    <cfRule type="expression" dxfId="4" priority="787">
      <formula>$B$15&lt;&gt;"Y"</formula>
    </cfRule>
  </conditionalFormatting>
  <conditionalFormatting sqref="D162:BG162">
    <cfRule type="expression" dxfId="4" priority="790">
      <formula>$C$15&lt;&gt;"Y"</formula>
    </cfRule>
  </conditionalFormatting>
  <conditionalFormatting sqref="D163:BG163">
    <cfRule type="expression" dxfId="4" priority="793">
      <formula>$D$15&lt;&gt;"Y"</formula>
    </cfRule>
  </conditionalFormatting>
  <conditionalFormatting sqref="D164:BG164">
    <cfRule type="expression" dxfId="4" priority="796">
      <formula>$E$15&lt;&gt;"Y"</formula>
    </cfRule>
  </conditionalFormatting>
  <conditionalFormatting sqref="D165:BG165">
    <cfRule type="expression" dxfId="4" priority="799">
      <formula>$F$15&lt;&gt;"Y"</formula>
    </cfRule>
  </conditionalFormatting>
  <conditionalFormatting sqref="D166:BG166">
    <cfRule type="expression" dxfId="4" priority="802">
      <formula>$G$15&lt;&gt;"Y"</formula>
    </cfRule>
  </conditionalFormatting>
  <conditionalFormatting sqref="D167:BG167">
    <cfRule type="expression" dxfId="4" priority="805">
      <formula>$H$15&lt;&gt;"Y"</formula>
    </cfRule>
  </conditionalFormatting>
  <conditionalFormatting sqref="D168:BG168">
    <cfRule type="expression" dxfId="4" priority="808">
      <formula>$I$15&lt;&gt;"Y"</formula>
    </cfRule>
  </conditionalFormatting>
  <conditionalFormatting sqref="D169:BG169">
    <cfRule type="expression" dxfId="4" priority="811">
      <formula>$J$15&lt;&gt;"Y"</formula>
    </cfRule>
  </conditionalFormatting>
  <conditionalFormatting sqref="D17">
    <cfRule type="cellIs" dxfId="2" priority="317" operator="equal">
      <formula>"Y"</formula>
    </cfRule>
    <cfRule type="cellIs" dxfId="3" priority="318" operator="equal">
      <formula>"N"</formula>
    </cfRule>
  </conditionalFormatting>
  <conditionalFormatting sqref="D170:BG170">
    <cfRule type="expression" dxfId="4" priority="814">
      <formula>$K$15&lt;&gt;"Y"</formula>
    </cfRule>
  </conditionalFormatting>
  <conditionalFormatting sqref="D171:BG171">
    <cfRule type="expression" dxfId="4" priority="817">
      <formula>$L$15&lt;&gt;"Y"</formula>
    </cfRule>
  </conditionalFormatting>
  <conditionalFormatting sqref="D172:BG172">
    <cfRule type="expression" dxfId="4" priority="820">
      <formula>$M$15&lt;&gt;"Y"</formula>
    </cfRule>
  </conditionalFormatting>
  <conditionalFormatting sqref="D173:BG173">
    <cfRule type="expression" dxfId="4" priority="823">
      <formula>$N$15&lt;&gt;"Y"</formula>
    </cfRule>
  </conditionalFormatting>
  <conditionalFormatting sqref="D174:BG174">
    <cfRule type="expression" dxfId="4" priority="826">
      <formula>$O$15&lt;&gt;"Y"</formula>
    </cfRule>
  </conditionalFormatting>
  <conditionalFormatting sqref="D175:BG175">
    <cfRule type="expression" dxfId="4" priority="829">
      <formula>$B$16&lt;&gt;"Y"</formula>
    </cfRule>
  </conditionalFormatting>
  <conditionalFormatting sqref="D176:BG176">
    <cfRule type="expression" dxfId="4" priority="832">
      <formula>$C$16&lt;&gt;"Y"</formula>
    </cfRule>
  </conditionalFormatting>
  <conditionalFormatting sqref="D177:BG177">
    <cfRule type="expression" dxfId="4" priority="835">
      <formula>$D$16&lt;&gt;"Y"</formula>
    </cfRule>
  </conditionalFormatting>
  <conditionalFormatting sqref="D178:BG178">
    <cfRule type="expression" dxfId="4" priority="838">
      <formula>$E$16&lt;&gt;"Y"</formula>
    </cfRule>
  </conditionalFormatting>
  <conditionalFormatting sqref="D179:BG179">
    <cfRule type="expression" dxfId="4" priority="841">
      <formula>$F$16&lt;&gt;"Y"</formula>
    </cfRule>
  </conditionalFormatting>
  <conditionalFormatting sqref="D18">
    <cfRule type="cellIs" dxfId="2" priority="343" operator="equal">
      <formula>"Y"</formula>
    </cfRule>
    <cfRule type="cellIs" dxfId="3" priority="344" operator="equal">
      <formula>"N"</formula>
    </cfRule>
  </conditionalFormatting>
  <conditionalFormatting sqref="D180:BG180">
    <cfRule type="expression" dxfId="4" priority="844">
      <formula>$G$16&lt;&gt;"Y"</formula>
    </cfRule>
  </conditionalFormatting>
  <conditionalFormatting sqref="D181:BG181">
    <cfRule type="expression" dxfId="4" priority="847">
      <formula>$H$16&lt;&gt;"Y"</formula>
    </cfRule>
  </conditionalFormatting>
  <conditionalFormatting sqref="D182:BG182">
    <cfRule type="expression" dxfId="4" priority="850">
      <formula>$I$16&lt;&gt;"Y"</formula>
    </cfRule>
  </conditionalFormatting>
  <conditionalFormatting sqref="D183:BG183">
    <cfRule type="expression" dxfId="4" priority="853">
      <formula>$J$16&lt;&gt;"Y"</formula>
    </cfRule>
  </conditionalFormatting>
  <conditionalFormatting sqref="D184:BG184">
    <cfRule type="expression" dxfId="4" priority="856">
      <formula>$K$16&lt;&gt;"Y"</formula>
    </cfRule>
  </conditionalFormatting>
  <conditionalFormatting sqref="D185:BG185">
    <cfRule type="expression" dxfId="4" priority="859">
      <formula>$L$16&lt;&gt;"Y"</formula>
    </cfRule>
  </conditionalFormatting>
  <conditionalFormatting sqref="D186:BG186">
    <cfRule type="expression" dxfId="4" priority="862">
      <formula>$M$16&lt;&gt;"Y"</formula>
    </cfRule>
  </conditionalFormatting>
  <conditionalFormatting sqref="D187:BG187">
    <cfRule type="expression" dxfId="4" priority="865">
      <formula>$N$16&lt;&gt;"Y"</formula>
    </cfRule>
  </conditionalFormatting>
  <conditionalFormatting sqref="D188:BG188">
    <cfRule type="expression" dxfId="4" priority="868">
      <formula>$O$16&lt;&gt;"Y"</formula>
    </cfRule>
  </conditionalFormatting>
  <conditionalFormatting sqref="D189:BG189">
    <cfRule type="expression" dxfId="4" priority="871">
      <formula>$B$17&lt;&gt;"Y"</formula>
    </cfRule>
  </conditionalFormatting>
  <conditionalFormatting sqref="D190:BG190">
    <cfRule type="expression" dxfId="4" priority="874">
      <formula>$C$17&lt;&gt;"Y"</formula>
    </cfRule>
  </conditionalFormatting>
  <conditionalFormatting sqref="D191:BG191">
    <cfRule type="expression" dxfId="4" priority="877">
      <formula>$D$17&lt;&gt;"Y"</formula>
    </cfRule>
  </conditionalFormatting>
  <conditionalFormatting sqref="D192:BG192">
    <cfRule type="expression" dxfId="4" priority="880">
      <formula>$E$17&lt;&gt;"Y"</formula>
    </cfRule>
  </conditionalFormatting>
  <conditionalFormatting sqref="D193:BG193">
    <cfRule type="expression" dxfId="4" priority="883">
      <formula>$F$17&lt;&gt;"Y"</formula>
    </cfRule>
  </conditionalFormatting>
  <conditionalFormatting sqref="D194:BG194">
    <cfRule type="expression" dxfId="4" priority="886">
      <formula>$G$17&lt;&gt;"Y"</formula>
    </cfRule>
  </conditionalFormatting>
  <conditionalFormatting sqref="D195:BG195">
    <cfRule type="expression" dxfId="4" priority="889">
      <formula>$H$17&lt;&gt;"Y"</formula>
    </cfRule>
  </conditionalFormatting>
  <conditionalFormatting sqref="D196:BG196">
    <cfRule type="expression" dxfId="4" priority="892">
      <formula>$I$17&lt;&gt;"Y"</formula>
    </cfRule>
  </conditionalFormatting>
  <conditionalFormatting sqref="D197:BG197">
    <cfRule type="expression" dxfId="4" priority="895">
      <formula>$J$17&lt;&gt;"Y"</formula>
    </cfRule>
  </conditionalFormatting>
  <conditionalFormatting sqref="D198:BG198">
    <cfRule type="expression" dxfId="4" priority="898">
      <formula>$K$17&lt;&gt;"Y"</formula>
    </cfRule>
  </conditionalFormatting>
  <conditionalFormatting sqref="D199:BG199">
    <cfRule type="expression" dxfId="4" priority="901">
      <formula>$L$17&lt;&gt;"Y"</formula>
    </cfRule>
  </conditionalFormatting>
  <conditionalFormatting sqref="D200:BG200">
    <cfRule type="expression" dxfId="4" priority="904">
      <formula>$M$17&lt;&gt;"Y"</formula>
    </cfRule>
  </conditionalFormatting>
  <conditionalFormatting sqref="D201:BG201">
    <cfRule type="expression" dxfId="4" priority="907">
      <formula>$N$17&lt;&gt;"Y"</formula>
    </cfRule>
  </conditionalFormatting>
  <conditionalFormatting sqref="D202:BG202">
    <cfRule type="expression" dxfId="4" priority="910">
      <formula>$O$17&lt;&gt;"Y"</formula>
    </cfRule>
  </conditionalFormatting>
  <conditionalFormatting sqref="D203:BG203">
    <cfRule type="expression" dxfId="4" priority="913">
      <formula>$B$18&lt;&gt;"Y"</formula>
    </cfRule>
  </conditionalFormatting>
  <conditionalFormatting sqref="D204:BG204">
    <cfRule type="expression" dxfId="4" priority="916">
      <formula>$C$18&lt;&gt;"Y"</formula>
    </cfRule>
  </conditionalFormatting>
  <conditionalFormatting sqref="D205:BG205">
    <cfRule type="expression" dxfId="4" priority="919">
      <formula>$D$18&lt;&gt;"Y"</formula>
    </cfRule>
  </conditionalFormatting>
  <conditionalFormatting sqref="D206:BG206">
    <cfRule type="expression" dxfId="4" priority="922">
      <formula>$E$18&lt;&gt;"Y"</formula>
    </cfRule>
  </conditionalFormatting>
  <conditionalFormatting sqref="D207:BG207">
    <cfRule type="expression" dxfId="4" priority="925">
      <formula>$F$18&lt;&gt;"Y"</formula>
    </cfRule>
  </conditionalFormatting>
  <conditionalFormatting sqref="D208:BG208">
    <cfRule type="expression" dxfId="4" priority="928">
      <formula>$G$18&lt;&gt;"Y"</formula>
    </cfRule>
  </conditionalFormatting>
  <conditionalFormatting sqref="D209:BG209">
    <cfRule type="expression" dxfId="4" priority="931">
      <formula>$H$18&lt;&gt;"Y"</formula>
    </cfRule>
  </conditionalFormatting>
  <conditionalFormatting sqref="D210:BG210">
    <cfRule type="expression" dxfId="4" priority="934">
      <formula>$I$18&lt;&gt;"Y"</formula>
    </cfRule>
  </conditionalFormatting>
  <conditionalFormatting sqref="D211:BG211">
    <cfRule type="expression" dxfId="4" priority="937">
      <formula>$J$18&lt;&gt;"Y"</formula>
    </cfRule>
  </conditionalFormatting>
  <conditionalFormatting sqref="D212:BG212">
    <cfRule type="expression" dxfId="4" priority="940">
      <formula>$K$18&lt;&gt;"Y"</formula>
    </cfRule>
  </conditionalFormatting>
  <conditionalFormatting sqref="D213:BG213">
    <cfRule type="expression" dxfId="4" priority="943">
      <formula>$L$18&lt;&gt;"Y"</formula>
    </cfRule>
  </conditionalFormatting>
  <conditionalFormatting sqref="D214:BG214">
    <cfRule type="expression" dxfId="4" priority="946">
      <formula>$M$18&lt;&gt;"Y"</formula>
    </cfRule>
  </conditionalFormatting>
  <conditionalFormatting sqref="D215:BG215">
    <cfRule type="expression" dxfId="4" priority="949">
      <formula>$N$18&lt;&gt;"Y"</formula>
    </cfRule>
  </conditionalFormatting>
  <conditionalFormatting sqref="D216:BG216">
    <cfRule type="expression" dxfId="4" priority="952">
      <formula>$O$18&lt;&gt;"Y"</formula>
    </cfRule>
  </conditionalFormatting>
  <conditionalFormatting sqref="D21:BG21">
    <cfRule type="expression" dxfId="4" priority="367">
      <formula>$B$5&lt;&gt;"Y"</formula>
    </cfRule>
  </conditionalFormatting>
  <conditionalFormatting sqref="D222">
    <cfRule type="cellIs" dxfId="2" priority="955" operator="equal">
      <formula>"Y"</formula>
    </cfRule>
    <cfRule type="cellIs" dxfId="3" priority="956" operator="equal">
      <formula>"N"</formula>
    </cfRule>
  </conditionalFormatting>
  <conditionalFormatting sqref="D223">
    <cfRule type="cellIs" dxfId="2" priority="981" operator="equal">
      <formula>"Y"</formula>
    </cfRule>
    <cfRule type="cellIs" dxfId="3" priority="982" operator="equal">
      <formula>"N"</formula>
    </cfRule>
  </conditionalFormatting>
  <conditionalFormatting sqref="D225">
    <cfRule type="cellIs" dxfId="2" priority="1035" operator="equal">
      <formula>"Y"</formula>
    </cfRule>
    <cfRule type="cellIs" dxfId="3" priority="1036" operator="equal">
      <formula>"N"</formula>
    </cfRule>
  </conditionalFormatting>
  <conditionalFormatting sqref="D226">
    <cfRule type="cellIs" dxfId="2" priority="1061" operator="equal">
      <formula>"Y"</formula>
    </cfRule>
    <cfRule type="cellIs" dxfId="3" priority="1062" operator="equal">
      <formula>"N"</formula>
    </cfRule>
  </conditionalFormatting>
  <conditionalFormatting sqref="D227">
    <cfRule type="cellIs" dxfId="2" priority="1087" operator="equal">
      <formula>"Y"</formula>
    </cfRule>
    <cfRule type="cellIs" dxfId="3" priority="1088" operator="equal">
      <formula>"N"</formula>
    </cfRule>
  </conditionalFormatting>
  <conditionalFormatting sqref="D228">
    <cfRule type="cellIs" dxfId="2" priority="1113" operator="equal">
      <formula>"Y"</formula>
    </cfRule>
    <cfRule type="cellIs" dxfId="3" priority="1114" operator="equal">
      <formula>"N"</formula>
    </cfRule>
  </conditionalFormatting>
  <conditionalFormatting sqref="D229">
    <cfRule type="cellIs" dxfId="2" priority="1139" operator="equal">
      <formula>"Y"</formula>
    </cfRule>
    <cfRule type="cellIs" dxfId="3" priority="1140" operator="equal">
      <formula>"N"</formula>
    </cfRule>
  </conditionalFormatting>
  <conditionalFormatting sqref="D22:BG22">
    <cfRule type="expression" dxfId="4" priority="370">
      <formula>$C$5&lt;&gt;"Y"</formula>
    </cfRule>
  </conditionalFormatting>
  <conditionalFormatting sqref="D230">
    <cfRule type="cellIs" dxfId="2" priority="1165" operator="equal">
      <formula>"Y"</formula>
    </cfRule>
    <cfRule type="cellIs" dxfId="3" priority="1166" operator="equal">
      <formula>"N"</formula>
    </cfRule>
  </conditionalFormatting>
  <conditionalFormatting sqref="D231">
    <cfRule type="cellIs" dxfId="2" priority="1191" operator="equal">
      <formula>"Y"</formula>
    </cfRule>
    <cfRule type="cellIs" dxfId="3" priority="1192" operator="equal">
      <formula>"N"</formula>
    </cfRule>
  </conditionalFormatting>
  <conditionalFormatting sqref="D232">
    <cfRule type="cellIs" dxfId="2" priority="1217" operator="equal">
      <formula>"Y"</formula>
    </cfRule>
    <cfRule type="cellIs" dxfId="3" priority="1218" operator="equal">
      <formula>"N"</formula>
    </cfRule>
  </conditionalFormatting>
  <conditionalFormatting sqref="D233">
    <cfRule type="cellIs" dxfId="2" priority="1243" operator="equal">
      <formula>"Y"</formula>
    </cfRule>
    <cfRule type="cellIs" dxfId="3" priority="1244" operator="equal">
      <formula>"N"</formula>
    </cfRule>
  </conditionalFormatting>
  <conditionalFormatting sqref="D234">
    <cfRule type="cellIs" dxfId="2" priority="1269" operator="equal">
      <formula>"Y"</formula>
    </cfRule>
    <cfRule type="cellIs" dxfId="3" priority="1270" operator="equal">
      <formula>"N"</formula>
    </cfRule>
  </conditionalFormatting>
  <conditionalFormatting sqref="D235">
    <cfRule type="cellIs" dxfId="2" priority="1295" operator="equal">
      <formula>"Y"</formula>
    </cfRule>
    <cfRule type="cellIs" dxfId="3" priority="1296" operator="equal">
      <formula>"N"</formula>
    </cfRule>
  </conditionalFormatting>
  <conditionalFormatting sqref="D238:BG238">
    <cfRule type="expression" dxfId="4" priority="1319">
      <formula>$B$222&lt;&gt;"Y"</formula>
    </cfRule>
  </conditionalFormatting>
  <conditionalFormatting sqref="D239:BG239">
    <cfRule type="expression" dxfId="4" priority="1322">
      <formula>$C$222&lt;&gt;"Y"</formula>
    </cfRule>
  </conditionalFormatting>
  <conditionalFormatting sqref="D23:BG23">
    <cfRule type="expression" dxfId="4" priority="373">
      <formula>$D$5&lt;&gt;"Y"</formula>
    </cfRule>
  </conditionalFormatting>
  <conditionalFormatting sqref="D240:BG240">
    <cfRule type="expression" dxfId="4" priority="1325">
      <formula>$D$222&lt;&gt;"Y"</formula>
    </cfRule>
  </conditionalFormatting>
  <conditionalFormatting sqref="D241:BG241">
    <cfRule type="expression" dxfId="4" priority="1328">
      <formula>$E$222&lt;&gt;"Y"</formula>
    </cfRule>
  </conditionalFormatting>
  <conditionalFormatting sqref="D242:BG242">
    <cfRule type="expression" dxfId="4" priority="1331">
      <formula>$F$222&lt;&gt;"Y"</formula>
    </cfRule>
  </conditionalFormatting>
  <conditionalFormatting sqref="D243:BG243">
    <cfRule type="expression" dxfId="4" priority="1334">
      <formula>$G$222&lt;&gt;"Y"</formula>
    </cfRule>
  </conditionalFormatting>
  <conditionalFormatting sqref="D244:BG244">
    <cfRule type="expression" dxfId="4" priority="1337">
      <formula>$H$222&lt;&gt;"Y"</formula>
    </cfRule>
  </conditionalFormatting>
  <conditionalFormatting sqref="D245:BG245">
    <cfRule type="expression" dxfId="4" priority="1340">
      <formula>$I$222&lt;&gt;"Y"</formula>
    </cfRule>
  </conditionalFormatting>
  <conditionalFormatting sqref="D246:BG246">
    <cfRule type="expression" dxfId="4" priority="1343">
      <formula>$J$222&lt;&gt;"Y"</formula>
    </cfRule>
  </conditionalFormatting>
  <conditionalFormatting sqref="D247:BG247">
    <cfRule type="expression" dxfId="4" priority="1346">
      <formula>$K$222&lt;&gt;"Y"</formula>
    </cfRule>
  </conditionalFormatting>
  <conditionalFormatting sqref="D248:BG248">
    <cfRule type="expression" dxfId="4" priority="1349">
      <formula>$L$222&lt;&gt;"Y"</formula>
    </cfRule>
  </conditionalFormatting>
  <conditionalFormatting sqref="D249:BG249">
    <cfRule type="expression" dxfId="4" priority="1352">
      <formula>$M$222&lt;&gt;"Y"</formula>
    </cfRule>
  </conditionalFormatting>
  <conditionalFormatting sqref="D24:BG24">
    <cfRule type="expression" dxfId="4" priority="376">
      <formula>$E$5&lt;&gt;"Y"</formula>
    </cfRule>
  </conditionalFormatting>
  <conditionalFormatting sqref="D250:BG250">
    <cfRule type="expression" dxfId="4" priority="1355">
      <formula>$N$222&lt;&gt;"Y"</formula>
    </cfRule>
  </conditionalFormatting>
  <conditionalFormatting sqref="D251:BG251">
    <cfRule type="expression" dxfId="4" priority="1358">
      <formula>$O$222&lt;&gt;"Y"</formula>
    </cfRule>
  </conditionalFormatting>
  <conditionalFormatting sqref="D252:BG252">
    <cfRule type="expression" dxfId="4" priority="1361">
      <formula>$B$223&lt;&gt;"Y"</formula>
    </cfRule>
  </conditionalFormatting>
  <conditionalFormatting sqref="D253:BG253">
    <cfRule type="expression" dxfId="4" priority="1364">
      <formula>$C$223&lt;&gt;"Y"</formula>
    </cfRule>
  </conditionalFormatting>
  <conditionalFormatting sqref="D254:BG254">
    <cfRule type="expression" dxfId="4" priority="1367">
      <formula>$D$223&lt;&gt;"Y"</formula>
    </cfRule>
  </conditionalFormatting>
  <conditionalFormatting sqref="D255:BG255">
    <cfRule type="expression" dxfId="4" priority="1370">
      <formula>$E$223&lt;&gt;"Y"</formula>
    </cfRule>
  </conditionalFormatting>
  <conditionalFormatting sqref="D256:BG256">
    <cfRule type="expression" dxfId="4" priority="1373">
      <formula>$F$223&lt;&gt;"Y"</formula>
    </cfRule>
  </conditionalFormatting>
  <conditionalFormatting sqref="D257:BG257">
    <cfRule type="expression" dxfId="4" priority="1376">
      <formula>$G$223&lt;&gt;"Y"</formula>
    </cfRule>
  </conditionalFormatting>
  <conditionalFormatting sqref="D258:BG258">
    <cfRule type="expression" dxfId="4" priority="1379">
      <formula>$H$223&lt;&gt;"Y"</formula>
    </cfRule>
  </conditionalFormatting>
  <conditionalFormatting sqref="D259:BG259">
    <cfRule type="expression" dxfId="4" priority="1382">
      <formula>$I$223&lt;&gt;"Y"</formula>
    </cfRule>
  </conditionalFormatting>
  <conditionalFormatting sqref="D25:BG25">
    <cfRule type="expression" dxfId="4" priority="379">
      <formula>$F$5&lt;&gt;"Y"</formula>
    </cfRule>
  </conditionalFormatting>
  <conditionalFormatting sqref="D260:BG260">
    <cfRule type="expression" dxfId="4" priority="1385">
      <formula>$J$223&lt;&gt;"Y"</formula>
    </cfRule>
  </conditionalFormatting>
  <conditionalFormatting sqref="D261:BG261">
    <cfRule type="expression" dxfId="4" priority="1388">
      <formula>$K$223&lt;&gt;"Y"</formula>
    </cfRule>
  </conditionalFormatting>
  <conditionalFormatting sqref="D262:BG262">
    <cfRule type="expression" dxfId="4" priority="1391">
      <formula>$L$223&lt;&gt;"Y"</formula>
    </cfRule>
  </conditionalFormatting>
  <conditionalFormatting sqref="D263:BG263">
    <cfRule type="expression" dxfId="4" priority="1394">
      <formula>$M$223&lt;&gt;"Y"</formula>
    </cfRule>
  </conditionalFormatting>
  <conditionalFormatting sqref="D264:BG264">
    <cfRule type="expression" dxfId="4" priority="1397">
      <formula>$N$223&lt;&gt;"Y"</formula>
    </cfRule>
  </conditionalFormatting>
  <conditionalFormatting sqref="D265:BG265">
    <cfRule type="expression" dxfId="4" priority="1400">
      <formula>$O$223&lt;&gt;"Y"</formula>
    </cfRule>
  </conditionalFormatting>
  <conditionalFormatting sqref="D266:BG266">
    <cfRule type="expression" dxfId="4" priority="1403">
      <formula>$B$224&lt;&gt;"Y"</formula>
    </cfRule>
  </conditionalFormatting>
  <conditionalFormatting sqref="D267:BG267">
    <cfRule type="expression" dxfId="4" priority="1406">
      <formula>$C$224&lt;&gt;"Y"</formula>
    </cfRule>
  </conditionalFormatting>
  <conditionalFormatting sqref="D268:BG268">
    <cfRule type="expression" dxfId="4" priority="1409">
      <formula>$D$224&lt;&gt;"Y"</formula>
    </cfRule>
  </conditionalFormatting>
  <conditionalFormatting sqref="D269:BG269">
    <cfRule type="expression" dxfId="4" priority="1412">
      <formula>$E$224&lt;&gt;"Y"</formula>
    </cfRule>
  </conditionalFormatting>
  <conditionalFormatting sqref="D26:BG26">
    <cfRule type="expression" dxfId="4" priority="382">
      <formula>$G$5&lt;&gt;"Y"</formula>
    </cfRule>
  </conditionalFormatting>
  <conditionalFormatting sqref="D270:BG270">
    <cfRule type="expression" dxfId="4" priority="1415">
      <formula>$F$224&lt;&gt;"Y"</formula>
    </cfRule>
  </conditionalFormatting>
  <conditionalFormatting sqref="D271:BG271">
    <cfRule type="expression" dxfId="4" priority="1418">
      <formula>$G$224&lt;&gt;"Y"</formula>
    </cfRule>
  </conditionalFormatting>
  <conditionalFormatting sqref="D272:BG272">
    <cfRule type="expression" dxfId="4" priority="1421">
      <formula>$H$224&lt;&gt;"Y"</formula>
    </cfRule>
  </conditionalFormatting>
  <conditionalFormatting sqref="D273:BG273">
    <cfRule type="expression" dxfId="4" priority="1424">
      <formula>$I$224&lt;&gt;"Y"</formula>
    </cfRule>
  </conditionalFormatting>
  <conditionalFormatting sqref="D274:BG274">
    <cfRule type="expression" dxfId="4" priority="1427">
      <formula>$J$224&lt;&gt;"Y"</formula>
    </cfRule>
  </conditionalFormatting>
  <conditionalFormatting sqref="D275:BG275">
    <cfRule type="expression" dxfId="4" priority="1430">
      <formula>$K$224&lt;&gt;"Y"</formula>
    </cfRule>
  </conditionalFormatting>
  <conditionalFormatting sqref="D276:BG276">
    <cfRule type="expression" dxfId="4" priority="1433">
      <formula>$L$224&lt;&gt;"Y"</formula>
    </cfRule>
  </conditionalFormatting>
  <conditionalFormatting sqref="D277:BG277">
    <cfRule type="expression" dxfId="4" priority="1436">
      <formula>$M$224&lt;&gt;"Y"</formula>
    </cfRule>
  </conditionalFormatting>
  <conditionalFormatting sqref="D278:BG278">
    <cfRule type="expression" dxfId="4" priority="1439">
      <formula>$N$224&lt;&gt;"Y"</formula>
    </cfRule>
  </conditionalFormatting>
  <conditionalFormatting sqref="D279:BG279">
    <cfRule type="expression" dxfId="4" priority="1442">
      <formula>$O$224&lt;&gt;"Y"</formula>
    </cfRule>
  </conditionalFormatting>
  <conditionalFormatting sqref="D27:BG27">
    <cfRule type="expression" dxfId="4" priority="385">
      <formula>$H$5&lt;&gt;"Y"</formula>
    </cfRule>
  </conditionalFormatting>
  <conditionalFormatting sqref="D280:BG280">
    <cfRule type="expression" dxfId="4" priority="1445">
      <formula>$B$225&lt;&gt;"Y"</formula>
    </cfRule>
  </conditionalFormatting>
  <conditionalFormatting sqref="D281:BG281">
    <cfRule type="expression" dxfId="4" priority="1448">
      <formula>$C$225&lt;&gt;"Y"</formula>
    </cfRule>
  </conditionalFormatting>
  <conditionalFormatting sqref="D282:BG282">
    <cfRule type="expression" dxfId="4" priority="1451">
      <formula>$D$225&lt;&gt;"Y"</formula>
    </cfRule>
  </conditionalFormatting>
  <conditionalFormatting sqref="D283:BG283">
    <cfRule type="expression" dxfId="4" priority="1454">
      <formula>$E$225&lt;&gt;"Y"</formula>
    </cfRule>
  </conditionalFormatting>
  <conditionalFormatting sqref="D284:BG284">
    <cfRule type="expression" dxfId="4" priority="1457">
      <formula>$F$225&lt;&gt;"Y"</formula>
    </cfRule>
  </conditionalFormatting>
  <conditionalFormatting sqref="D285:BG285">
    <cfRule type="expression" dxfId="4" priority="1460">
      <formula>$G$225&lt;&gt;"Y"</formula>
    </cfRule>
  </conditionalFormatting>
  <conditionalFormatting sqref="D286:BG286">
    <cfRule type="expression" dxfId="4" priority="1463">
      <formula>$H$225&lt;&gt;"Y"</formula>
    </cfRule>
  </conditionalFormatting>
  <conditionalFormatting sqref="D287:BG287">
    <cfRule type="expression" dxfId="4" priority="1466">
      <formula>$I$225&lt;&gt;"Y"</formula>
    </cfRule>
  </conditionalFormatting>
  <conditionalFormatting sqref="D288:BG288">
    <cfRule type="expression" dxfId="4" priority="1469">
      <formula>$J$225&lt;&gt;"Y"</formula>
    </cfRule>
  </conditionalFormatting>
  <conditionalFormatting sqref="D289:BG289">
    <cfRule type="expression" dxfId="4" priority="1472">
      <formula>$K$225&lt;&gt;"Y"</formula>
    </cfRule>
  </conditionalFormatting>
  <conditionalFormatting sqref="D28:BG28">
    <cfRule type="expression" dxfId="4" priority="388">
      <formula>$I$5&lt;&gt;"Y"</formula>
    </cfRule>
  </conditionalFormatting>
  <conditionalFormatting sqref="D290:BG290">
    <cfRule type="expression" dxfId="4" priority="1475">
      <formula>$L$225&lt;&gt;"Y"</formula>
    </cfRule>
  </conditionalFormatting>
  <conditionalFormatting sqref="D291:BG291">
    <cfRule type="expression" dxfId="4" priority="1478">
      <formula>$M$225&lt;&gt;"Y"</formula>
    </cfRule>
  </conditionalFormatting>
  <conditionalFormatting sqref="D292:BG292">
    <cfRule type="expression" dxfId="4" priority="1481">
      <formula>$N$225&lt;&gt;"Y"</formula>
    </cfRule>
  </conditionalFormatting>
  <conditionalFormatting sqref="D293:BG293">
    <cfRule type="expression" dxfId="4" priority="1484">
      <formula>$O$225&lt;&gt;"Y"</formula>
    </cfRule>
  </conditionalFormatting>
  <conditionalFormatting sqref="D294:BG294">
    <cfRule type="expression" dxfId="4" priority="1487">
      <formula>$B$226&lt;&gt;"Y"</formula>
    </cfRule>
  </conditionalFormatting>
  <conditionalFormatting sqref="D295:BG295">
    <cfRule type="expression" dxfId="4" priority="1490">
      <formula>$C$226&lt;&gt;"Y"</formula>
    </cfRule>
  </conditionalFormatting>
  <conditionalFormatting sqref="D296:BG296">
    <cfRule type="expression" dxfId="4" priority="1493">
      <formula>$D$226&lt;&gt;"Y"</formula>
    </cfRule>
  </conditionalFormatting>
  <conditionalFormatting sqref="D297:BG297">
    <cfRule type="expression" dxfId="4" priority="1496">
      <formula>$E$226&lt;&gt;"Y"</formula>
    </cfRule>
  </conditionalFormatting>
  <conditionalFormatting sqref="D298:BG298">
    <cfRule type="expression" dxfId="4" priority="1499">
      <formula>$F$226&lt;&gt;"Y"</formula>
    </cfRule>
  </conditionalFormatting>
  <conditionalFormatting sqref="D299:BG299">
    <cfRule type="expression" dxfId="4" priority="1502">
      <formula>$G$226&lt;&gt;"Y"</formula>
    </cfRule>
  </conditionalFormatting>
  <conditionalFormatting sqref="D29:BG29">
    <cfRule type="expression" dxfId="4" priority="391">
      <formula>$J$5&lt;&gt;"Y"</formula>
    </cfRule>
  </conditionalFormatting>
  <conditionalFormatting sqref="D300:BG300">
    <cfRule type="expression" dxfId="4" priority="1505">
      <formula>$H$226&lt;&gt;"Y"</formula>
    </cfRule>
  </conditionalFormatting>
  <conditionalFormatting sqref="D301:BG301">
    <cfRule type="expression" dxfId="4" priority="1508">
      <formula>$I$226&lt;&gt;"Y"</formula>
    </cfRule>
  </conditionalFormatting>
  <conditionalFormatting sqref="D302:BG302">
    <cfRule type="expression" dxfId="4" priority="1511">
      <formula>$J$226&lt;&gt;"Y"</formula>
    </cfRule>
  </conditionalFormatting>
  <conditionalFormatting sqref="D303:BG303">
    <cfRule type="expression" dxfId="4" priority="1514">
      <formula>$K$226&lt;&gt;"Y"</formula>
    </cfRule>
  </conditionalFormatting>
  <conditionalFormatting sqref="D304:BG304">
    <cfRule type="expression" dxfId="4" priority="1517">
      <formula>$L$226&lt;&gt;"Y"</formula>
    </cfRule>
  </conditionalFormatting>
  <conditionalFormatting sqref="D305:BG305">
    <cfRule type="expression" dxfId="4" priority="1520">
      <formula>$M$226&lt;&gt;"Y"</formula>
    </cfRule>
  </conditionalFormatting>
  <conditionalFormatting sqref="D306:BG306">
    <cfRule type="expression" dxfId="4" priority="1523">
      <formula>$N$226&lt;&gt;"Y"</formula>
    </cfRule>
  </conditionalFormatting>
  <conditionalFormatting sqref="D307:BG307">
    <cfRule type="expression" dxfId="4" priority="1526">
      <formula>$O$226&lt;&gt;"Y"</formula>
    </cfRule>
  </conditionalFormatting>
  <conditionalFormatting sqref="D308:BG308">
    <cfRule type="expression" dxfId="4" priority="1529">
      <formula>$B$227&lt;&gt;"Y"</formula>
    </cfRule>
  </conditionalFormatting>
  <conditionalFormatting sqref="D309:BG309">
    <cfRule type="expression" dxfId="4" priority="1532">
      <formula>$C$227&lt;&gt;"Y"</formula>
    </cfRule>
  </conditionalFormatting>
  <conditionalFormatting sqref="D30:BG30">
    <cfRule type="expression" dxfId="4" priority="394">
      <formula>$K$5&lt;&gt;"Y"</formula>
    </cfRule>
  </conditionalFormatting>
  <conditionalFormatting sqref="D310:BG310">
    <cfRule type="expression" dxfId="4" priority="1535">
      <formula>$D$227&lt;&gt;"Y"</formula>
    </cfRule>
  </conditionalFormatting>
  <conditionalFormatting sqref="D311:BG311">
    <cfRule type="expression" dxfId="4" priority="1538">
      <formula>$E$227&lt;&gt;"Y"</formula>
    </cfRule>
  </conditionalFormatting>
  <conditionalFormatting sqref="D312:BG312">
    <cfRule type="expression" dxfId="4" priority="1541">
      <formula>$F$227&lt;&gt;"Y"</formula>
    </cfRule>
  </conditionalFormatting>
  <conditionalFormatting sqref="D313:BG313">
    <cfRule type="expression" dxfId="4" priority="1544">
      <formula>$G$227&lt;&gt;"Y"</formula>
    </cfRule>
  </conditionalFormatting>
  <conditionalFormatting sqref="D314:BG314">
    <cfRule type="expression" dxfId="4" priority="1547">
      <formula>$H$227&lt;&gt;"Y"</formula>
    </cfRule>
  </conditionalFormatting>
  <conditionalFormatting sqref="D315:BG315">
    <cfRule type="expression" dxfId="4" priority="1550">
      <formula>$I$227&lt;&gt;"Y"</formula>
    </cfRule>
  </conditionalFormatting>
  <conditionalFormatting sqref="D316:BG316">
    <cfRule type="expression" dxfId="4" priority="1553">
      <formula>$J$227&lt;&gt;"Y"</formula>
    </cfRule>
  </conditionalFormatting>
  <conditionalFormatting sqref="D317:BG317">
    <cfRule type="expression" dxfId="4" priority="1556">
      <formula>$K$227&lt;&gt;"Y"</formula>
    </cfRule>
  </conditionalFormatting>
  <conditionalFormatting sqref="D318:BG318">
    <cfRule type="expression" dxfId="4" priority="1559">
      <formula>$L$227&lt;&gt;"Y"</formula>
    </cfRule>
  </conditionalFormatting>
  <conditionalFormatting sqref="D319:BG319">
    <cfRule type="expression" dxfId="4" priority="1562">
      <formula>$M$227&lt;&gt;"Y"</formula>
    </cfRule>
  </conditionalFormatting>
  <conditionalFormatting sqref="D31:BG31">
    <cfRule type="expression" dxfId="4" priority="397">
      <formula>$L$5&lt;&gt;"Y"</formula>
    </cfRule>
  </conditionalFormatting>
  <conditionalFormatting sqref="D320:BG320">
    <cfRule type="expression" dxfId="4" priority="1565">
      <formula>$N$227&lt;&gt;"Y"</formula>
    </cfRule>
  </conditionalFormatting>
  <conditionalFormatting sqref="D321:BG321">
    <cfRule type="expression" dxfId="4" priority="1568">
      <formula>$O$227&lt;&gt;"Y"</formula>
    </cfRule>
  </conditionalFormatting>
  <conditionalFormatting sqref="D322:BG322">
    <cfRule type="expression" dxfId="4" priority="1571">
      <formula>$B$228&lt;&gt;"Y"</formula>
    </cfRule>
  </conditionalFormatting>
  <conditionalFormatting sqref="D323:BG323">
    <cfRule type="expression" dxfId="4" priority="1574">
      <formula>$C$228&lt;&gt;"Y"</formula>
    </cfRule>
  </conditionalFormatting>
  <conditionalFormatting sqref="D324:BG324">
    <cfRule type="expression" dxfId="4" priority="1577">
      <formula>$D$228&lt;&gt;"Y"</formula>
    </cfRule>
  </conditionalFormatting>
  <conditionalFormatting sqref="D325:BG325">
    <cfRule type="expression" dxfId="4" priority="1580">
      <formula>$E$228&lt;&gt;"Y"</formula>
    </cfRule>
  </conditionalFormatting>
  <conditionalFormatting sqref="D326:BG326">
    <cfRule type="expression" dxfId="4" priority="1583">
      <formula>$F$228&lt;&gt;"Y"</formula>
    </cfRule>
  </conditionalFormatting>
  <conditionalFormatting sqref="D327:BG327">
    <cfRule type="expression" dxfId="4" priority="1586">
      <formula>$G$228&lt;&gt;"Y"</formula>
    </cfRule>
  </conditionalFormatting>
  <conditionalFormatting sqref="D328:BG328">
    <cfRule type="expression" dxfId="4" priority="1589">
      <formula>$H$228&lt;&gt;"Y"</formula>
    </cfRule>
  </conditionalFormatting>
  <conditionalFormatting sqref="D329:BG329">
    <cfRule type="expression" dxfId="4" priority="1592">
      <formula>$I$228&lt;&gt;"Y"</formula>
    </cfRule>
  </conditionalFormatting>
  <conditionalFormatting sqref="D32:BG32">
    <cfRule type="expression" dxfId="4" priority="400">
      <formula>$M$5&lt;&gt;"Y"</formula>
    </cfRule>
  </conditionalFormatting>
  <conditionalFormatting sqref="D330:BG330">
    <cfRule type="expression" dxfId="4" priority="1595">
      <formula>$J$228&lt;&gt;"Y"</formula>
    </cfRule>
  </conditionalFormatting>
  <conditionalFormatting sqref="D331:BG331">
    <cfRule type="expression" dxfId="4" priority="1598">
      <formula>$K$228&lt;&gt;"Y"</formula>
    </cfRule>
  </conditionalFormatting>
  <conditionalFormatting sqref="D332:BG332">
    <cfRule type="expression" dxfId="4" priority="1601">
      <formula>$L$228&lt;&gt;"Y"</formula>
    </cfRule>
  </conditionalFormatting>
  <conditionalFormatting sqref="D333:BG333">
    <cfRule type="expression" dxfId="4" priority="1604">
      <formula>$M$228&lt;&gt;"Y"</formula>
    </cfRule>
  </conditionalFormatting>
  <conditionalFormatting sqref="D334:BG334">
    <cfRule type="expression" dxfId="4" priority="1607">
      <formula>$N$228&lt;&gt;"Y"</formula>
    </cfRule>
  </conditionalFormatting>
  <conditionalFormatting sqref="D335:BG335">
    <cfRule type="expression" dxfId="4" priority="1610">
      <formula>$O$228&lt;&gt;"Y"</formula>
    </cfRule>
  </conditionalFormatting>
  <conditionalFormatting sqref="D336:BG336">
    <cfRule type="expression" dxfId="4" priority="1613">
      <formula>$B$229&lt;&gt;"Y"</formula>
    </cfRule>
  </conditionalFormatting>
  <conditionalFormatting sqref="D337:BG337">
    <cfRule type="expression" dxfId="4" priority="1616">
      <formula>$C$229&lt;&gt;"Y"</formula>
    </cfRule>
  </conditionalFormatting>
  <conditionalFormatting sqref="D338:BG338">
    <cfRule type="expression" dxfId="4" priority="1619">
      <formula>$D$229&lt;&gt;"Y"</formula>
    </cfRule>
  </conditionalFormatting>
  <conditionalFormatting sqref="D339:BG339">
    <cfRule type="expression" dxfId="4" priority="1622">
      <formula>$E$229&lt;&gt;"Y"</formula>
    </cfRule>
  </conditionalFormatting>
  <conditionalFormatting sqref="D33:BG33">
    <cfRule type="expression" dxfId="4" priority="403">
      <formula>$N$5&lt;&gt;"Y"</formula>
    </cfRule>
  </conditionalFormatting>
  <conditionalFormatting sqref="D340:BG340">
    <cfRule type="expression" dxfId="4" priority="1625">
      <formula>$F$229&lt;&gt;"Y"</formula>
    </cfRule>
  </conditionalFormatting>
  <conditionalFormatting sqref="D341:BG341">
    <cfRule type="expression" dxfId="4" priority="1628">
      <formula>$G$229&lt;&gt;"Y"</formula>
    </cfRule>
  </conditionalFormatting>
  <conditionalFormatting sqref="D342:BG342">
    <cfRule type="expression" dxfId="4" priority="1631">
      <formula>$H$229&lt;&gt;"Y"</formula>
    </cfRule>
  </conditionalFormatting>
  <conditionalFormatting sqref="D343:BG343">
    <cfRule type="expression" dxfId="4" priority="1634">
      <formula>$I$229&lt;&gt;"Y"</formula>
    </cfRule>
  </conditionalFormatting>
  <conditionalFormatting sqref="D344:BG344">
    <cfRule type="expression" dxfId="4" priority="1637">
      <formula>$J$229&lt;&gt;"Y"</formula>
    </cfRule>
  </conditionalFormatting>
  <conditionalFormatting sqref="D345:BG345">
    <cfRule type="expression" dxfId="4" priority="1640">
      <formula>$K$229&lt;&gt;"Y"</formula>
    </cfRule>
  </conditionalFormatting>
  <conditionalFormatting sqref="D346:BG346">
    <cfRule type="expression" dxfId="4" priority="1643">
      <formula>$L$229&lt;&gt;"Y"</formula>
    </cfRule>
  </conditionalFormatting>
  <conditionalFormatting sqref="D347:BG347">
    <cfRule type="expression" dxfId="4" priority="1646">
      <formula>$M$229&lt;&gt;"Y"</formula>
    </cfRule>
  </conditionalFormatting>
  <conditionalFormatting sqref="D348:BG348">
    <cfRule type="expression" dxfId="4" priority="1649">
      <formula>$N$229&lt;&gt;"Y"</formula>
    </cfRule>
  </conditionalFormatting>
  <conditionalFormatting sqref="D349:BG349">
    <cfRule type="expression" dxfId="4" priority="1652">
      <formula>$O$229&lt;&gt;"Y"</formula>
    </cfRule>
  </conditionalFormatting>
  <conditionalFormatting sqref="D34:BG34">
    <cfRule type="expression" dxfId="4" priority="406">
      <formula>$O$5&lt;&gt;"Y"</formula>
    </cfRule>
  </conditionalFormatting>
  <conditionalFormatting sqref="D350:BG350">
    <cfRule type="expression" dxfId="4" priority="1655">
      <formula>$B$230&lt;&gt;"Y"</formula>
    </cfRule>
  </conditionalFormatting>
  <conditionalFormatting sqref="D351:BG351">
    <cfRule type="expression" dxfId="4" priority="1658">
      <formula>$C$230&lt;&gt;"Y"</formula>
    </cfRule>
  </conditionalFormatting>
  <conditionalFormatting sqref="D352:BG352">
    <cfRule type="expression" dxfId="4" priority="1661">
      <formula>$D$230&lt;&gt;"Y"</formula>
    </cfRule>
  </conditionalFormatting>
  <conditionalFormatting sqref="D353:BG353">
    <cfRule type="expression" dxfId="4" priority="1664">
      <formula>$E$230&lt;&gt;"Y"</formula>
    </cfRule>
  </conditionalFormatting>
  <conditionalFormatting sqref="D354:BG354">
    <cfRule type="expression" dxfId="4" priority="1667">
      <formula>$F$230&lt;&gt;"Y"</formula>
    </cfRule>
  </conditionalFormatting>
  <conditionalFormatting sqref="D355:BG355">
    <cfRule type="expression" dxfId="4" priority="1670">
      <formula>$G$230&lt;&gt;"Y"</formula>
    </cfRule>
  </conditionalFormatting>
  <conditionalFormatting sqref="D356:BG356">
    <cfRule type="expression" dxfId="4" priority="1673">
      <formula>$H$230&lt;&gt;"Y"</formula>
    </cfRule>
  </conditionalFormatting>
  <conditionalFormatting sqref="D357:BG357">
    <cfRule type="expression" dxfId="4" priority="1676">
      <formula>$I$230&lt;&gt;"Y"</formula>
    </cfRule>
  </conditionalFormatting>
  <conditionalFormatting sqref="D358:BG358">
    <cfRule type="expression" dxfId="4" priority="1679">
      <formula>$J$230&lt;&gt;"Y"</formula>
    </cfRule>
  </conditionalFormatting>
  <conditionalFormatting sqref="D359:BG359">
    <cfRule type="expression" dxfId="4" priority="1682">
      <formula>$K$230&lt;&gt;"Y"</formula>
    </cfRule>
  </conditionalFormatting>
  <conditionalFormatting sqref="D35:BG35">
    <cfRule type="expression" dxfId="4" priority="409">
      <formula>$B$6&lt;&gt;"Y"</formula>
    </cfRule>
  </conditionalFormatting>
  <conditionalFormatting sqref="D360:BG360">
    <cfRule type="expression" dxfId="4" priority="1685">
      <formula>$L$230&lt;&gt;"Y"</formula>
    </cfRule>
  </conditionalFormatting>
  <conditionalFormatting sqref="D361:BG361">
    <cfRule type="expression" dxfId="4" priority="1688">
      <formula>$M$230&lt;&gt;"Y"</formula>
    </cfRule>
  </conditionalFormatting>
  <conditionalFormatting sqref="D362:BG362">
    <cfRule type="expression" dxfId="4" priority="1691">
      <formula>$N$230&lt;&gt;"Y"</formula>
    </cfRule>
  </conditionalFormatting>
  <conditionalFormatting sqref="D363:BG363">
    <cfRule type="expression" dxfId="4" priority="1694">
      <formula>$O$230&lt;&gt;"Y"</formula>
    </cfRule>
  </conditionalFormatting>
  <conditionalFormatting sqref="D364:BG364">
    <cfRule type="expression" dxfId="4" priority="1697">
      <formula>$B$231&lt;&gt;"Y"</formula>
    </cfRule>
  </conditionalFormatting>
  <conditionalFormatting sqref="D365:BG365">
    <cfRule type="expression" dxfId="4" priority="1700">
      <formula>$C$231&lt;&gt;"Y"</formula>
    </cfRule>
  </conditionalFormatting>
  <conditionalFormatting sqref="D366:BG366">
    <cfRule type="expression" dxfId="4" priority="1703">
      <formula>$D$231&lt;&gt;"Y"</formula>
    </cfRule>
  </conditionalFormatting>
  <conditionalFormatting sqref="D367:BG367">
    <cfRule type="expression" dxfId="4" priority="1706">
      <formula>$E$231&lt;&gt;"Y"</formula>
    </cfRule>
  </conditionalFormatting>
  <conditionalFormatting sqref="D368:BG368">
    <cfRule type="expression" dxfId="4" priority="1709">
      <formula>$F$231&lt;&gt;"Y"</formula>
    </cfRule>
  </conditionalFormatting>
  <conditionalFormatting sqref="D369:BG369">
    <cfRule type="expression" dxfId="4" priority="1712">
      <formula>$G$231&lt;&gt;"Y"</formula>
    </cfRule>
  </conditionalFormatting>
  <conditionalFormatting sqref="D36:BG36">
    <cfRule type="expression" dxfId="4" priority="412">
      <formula>$C$6&lt;&gt;"Y"</formula>
    </cfRule>
  </conditionalFormatting>
  <conditionalFormatting sqref="D370:BG370">
    <cfRule type="expression" dxfId="4" priority="1715">
      <formula>$H$231&lt;&gt;"Y"</formula>
    </cfRule>
  </conditionalFormatting>
  <conditionalFormatting sqref="D371:BG371">
    <cfRule type="expression" dxfId="4" priority="1718">
      <formula>$I$231&lt;&gt;"Y"</formula>
    </cfRule>
  </conditionalFormatting>
  <conditionalFormatting sqref="D372:BG372">
    <cfRule type="expression" dxfId="4" priority="1721">
      <formula>$J$231&lt;&gt;"Y"</formula>
    </cfRule>
  </conditionalFormatting>
  <conditionalFormatting sqref="D373:BG373">
    <cfRule type="expression" dxfId="4" priority="1724">
      <formula>$K$231&lt;&gt;"Y"</formula>
    </cfRule>
  </conditionalFormatting>
  <conditionalFormatting sqref="D374:BG374">
    <cfRule type="expression" dxfId="4" priority="1727">
      <formula>$L$231&lt;&gt;"Y"</formula>
    </cfRule>
  </conditionalFormatting>
  <conditionalFormatting sqref="D375:BG375">
    <cfRule type="expression" dxfId="4" priority="1730">
      <formula>$M$231&lt;&gt;"Y"</formula>
    </cfRule>
  </conditionalFormatting>
  <conditionalFormatting sqref="D376:BG376">
    <cfRule type="expression" dxfId="4" priority="1733">
      <formula>$N$231&lt;&gt;"Y"</formula>
    </cfRule>
  </conditionalFormatting>
  <conditionalFormatting sqref="D377:BG377">
    <cfRule type="expression" dxfId="4" priority="1736">
      <formula>$O$231&lt;&gt;"Y"</formula>
    </cfRule>
  </conditionalFormatting>
  <conditionalFormatting sqref="D378:BG378">
    <cfRule type="expression" dxfId="4" priority="1739">
      <formula>$B$232&lt;&gt;"Y"</formula>
    </cfRule>
  </conditionalFormatting>
  <conditionalFormatting sqref="D379:BG379">
    <cfRule type="expression" dxfId="4" priority="1742">
      <formula>$C$232&lt;&gt;"Y"</formula>
    </cfRule>
  </conditionalFormatting>
  <conditionalFormatting sqref="D37:BG37">
    <cfRule type="expression" dxfId="4" priority="415">
      <formula>$D$6&lt;&gt;"Y"</formula>
    </cfRule>
  </conditionalFormatting>
  <conditionalFormatting sqref="D380:BG380">
    <cfRule type="expression" dxfId="4" priority="1745">
      <formula>$D$232&lt;&gt;"Y"</formula>
    </cfRule>
  </conditionalFormatting>
  <conditionalFormatting sqref="D381:BG381">
    <cfRule type="expression" dxfId="4" priority="1748">
      <formula>$E$232&lt;&gt;"Y"</formula>
    </cfRule>
  </conditionalFormatting>
  <conditionalFormatting sqref="D382:BG382">
    <cfRule type="expression" dxfId="4" priority="1751">
      <formula>$F$232&lt;&gt;"Y"</formula>
    </cfRule>
  </conditionalFormatting>
  <conditionalFormatting sqref="D383:BG383">
    <cfRule type="expression" dxfId="4" priority="1754">
      <formula>$G$232&lt;&gt;"Y"</formula>
    </cfRule>
  </conditionalFormatting>
  <conditionalFormatting sqref="D384:BG384">
    <cfRule type="expression" dxfId="4" priority="1757">
      <formula>$H$232&lt;&gt;"Y"</formula>
    </cfRule>
  </conditionalFormatting>
  <conditionalFormatting sqref="D385:BG385">
    <cfRule type="expression" dxfId="4" priority="1760">
      <formula>$I$232&lt;&gt;"Y"</formula>
    </cfRule>
  </conditionalFormatting>
  <conditionalFormatting sqref="D386:BG386">
    <cfRule type="expression" dxfId="4" priority="1763">
      <formula>$J$232&lt;&gt;"Y"</formula>
    </cfRule>
  </conditionalFormatting>
  <conditionalFormatting sqref="D387:BG387">
    <cfRule type="expression" dxfId="4" priority="1766">
      <formula>$K$232&lt;&gt;"Y"</formula>
    </cfRule>
  </conditionalFormatting>
  <conditionalFormatting sqref="D388:BG388">
    <cfRule type="expression" dxfId="4" priority="1769">
      <formula>$L$232&lt;&gt;"Y"</formula>
    </cfRule>
  </conditionalFormatting>
  <conditionalFormatting sqref="D389:BG389">
    <cfRule type="expression" dxfId="4" priority="1772">
      <formula>$M$232&lt;&gt;"Y"</formula>
    </cfRule>
  </conditionalFormatting>
  <conditionalFormatting sqref="D38:BG38">
    <cfRule type="expression" dxfId="4" priority="418">
      <formula>$E$6&lt;&gt;"Y"</formula>
    </cfRule>
  </conditionalFormatting>
  <conditionalFormatting sqref="D390:BG390">
    <cfRule type="expression" dxfId="4" priority="1775">
      <formula>$N$232&lt;&gt;"Y"</formula>
    </cfRule>
  </conditionalFormatting>
  <conditionalFormatting sqref="D391:BG391">
    <cfRule type="expression" dxfId="4" priority="1778">
      <formula>$O$232&lt;&gt;"Y"</formula>
    </cfRule>
  </conditionalFormatting>
  <conditionalFormatting sqref="D392:BG392">
    <cfRule type="expression" dxfId="4" priority="1781">
      <formula>$B$233&lt;&gt;"Y"</formula>
    </cfRule>
  </conditionalFormatting>
  <conditionalFormatting sqref="D393:BG393">
    <cfRule type="expression" dxfId="4" priority="1784">
      <formula>$C$233&lt;&gt;"Y"</formula>
    </cfRule>
  </conditionalFormatting>
  <conditionalFormatting sqref="D394:BG394">
    <cfRule type="expression" dxfId="4" priority="1787">
      <formula>$D$233&lt;&gt;"Y"</formula>
    </cfRule>
  </conditionalFormatting>
  <conditionalFormatting sqref="D395:BG395">
    <cfRule type="expression" dxfId="4" priority="1790">
      <formula>$E$233&lt;&gt;"Y"</formula>
    </cfRule>
  </conditionalFormatting>
  <conditionalFormatting sqref="D396:BG396">
    <cfRule type="expression" dxfId="4" priority="1793">
      <formula>$F$233&lt;&gt;"Y"</formula>
    </cfRule>
  </conditionalFormatting>
  <conditionalFormatting sqref="D397:BG397">
    <cfRule type="expression" dxfId="4" priority="1796">
      <formula>$G$233&lt;&gt;"Y"</formula>
    </cfRule>
  </conditionalFormatting>
  <conditionalFormatting sqref="D398:BG398">
    <cfRule type="expression" dxfId="4" priority="1799">
      <formula>$H$233&lt;&gt;"Y"</formula>
    </cfRule>
  </conditionalFormatting>
  <conditionalFormatting sqref="D399:BG399">
    <cfRule type="expression" dxfId="4" priority="1802">
      <formula>$I$233&lt;&gt;"Y"</formula>
    </cfRule>
  </conditionalFormatting>
  <conditionalFormatting sqref="D39:BG39">
    <cfRule type="expression" dxfId="4" priority="421">
      <formula>$F$6&lt;&gt;"Y"</formula>
    </cfRule>
  </conditionalFormatting>
  <conditionalFormatting sqref="D400:BG400">
    <cfRule type="expression" dxfId="4" priority="1805">
      <formula>$J$233&lt;&gt;"Y"</formula>
    </cfRule>
  </conditionalFormatting>
  <conditionalFormatting sqref="D401:BG401">
    <cfRule type="expression" dxfId="4" priority="1808">
      <formula>$K$233&lt;&gt;"Y"</formula>
    </cfRule>
  </conditionalFormatting>
  <conditionalFormatting sqref="D402:BG402">
    <cfRule type="expression" dxfId="4" priority="1811">
      <formula>$L$233&lt;&gt;"Y"</formula>
    </cfRule>
  </conditionalFormatting>
  <conditionalFormatting sqref="D403:BG403">
    <cfRule type="expression" dxfId="4" priority="1814">
      <formula>$M$233&lt;&gt;"Y"</formula>
    </cfRule>
  </conditionalFormatting>
  <conditionalFormatting sqref="D404:BG404">
    <cfRule type="expression" dxfId="4" priority="1817">
      <formula>$N$233&lt;&gt;"Y"</formula>
    </cfRule>
  </conditionalFormatting>
  <conditionalFormatting sqref="D405:BG405">
    <cfRule type="expression" dxfId="4" priority="1820">
      <formula>$O$233&lt;&gt;"Y"</formula>
    </cfRule>
  </conditionalFormatting>
  <conditionalFormatting sqref="D406:BG406">
    <cfRule type="expression" dxfId="4" priority="1823">
      <formula>$B$234&lt;&gt;"Y"</formula>
    </cfRule>
  </conditionalFormatting>
  <conditionalFormatting sqref="D407:BG407">
    <cfRule type="expression" dxfId="4" priority="1826">
      <formula>$C$234&lt;&gt;"Y"</formula>
    </cfRule>
  </conditionalFormatting>
  <conditionalFormatting sqref="D408:BG408">
    <cfRule type="expression" dxfId="4" priority="1829">
      <formula>$D$234&lt;&gt;"Y"</formula>
    </cfRule>
  </conditionalFormatting>
  <conditionalFormatting sqref="D409:BG409">
    <cfRule type="expression" dxfId="4" priority="1832">
      <formula>$E$234&lt;&gt;"Y"</formula>
    </cfRule>
  </conditionalFormatting>
  <conditionalFormatting sqref="D40:BG40">
    <cfRule type="expression" dxfId="4" priority="424">
      <formula>$G$6&lt;&gt;"Y"</formula>
    </cfRule>
  </conditionalFormatting>
  <conditionalFormatting sqref="D410:BG410">
    <cfRule type="expression" dxfId="4" priority="1835">
      <formula>$F$234&lt;&gt;"Y"</formula>
    </cfRule>
  </conditionalFormatting>
  <conditionalFormatting sqref="D411:BG411">
    <cfRule type="expression" dxfId="4" priority="1838">
      <formula>$G$234&lt;&gt;"Y"</formula>
    </cfRule>
  </conditionalFormatting>
  <conditionalFormatting sqref="D412:BG412">
    <cfRule type="expression" dxfId="4" priority="1841">
      <formula>$H$234&lt;&gt;"Y"</formula>
    </cfRule>
  </conditionalFormatting>
  <conditionalFormatting sqref="D413:BG413">
    <cfRule type="expression" dxfId="4" priority="1844">
      <formula>$I$234&lt;&gt;"Y"</formula>
    </cfRule>
  </conditionalFormatting>
  <conditionalFormatting sqref="D414:BG414">
    <cfRule type="expression" dxfId="4" priority="1847">
      <formula>$J$234&lt;&gt;"Y"</formula>
    </cfRule>
  </conditionalFormatting>
  <conditionalFormatting sqref="D415:BG415">
    <cfRule type="expression" dxfId="4" priority="1850">
      <formula>$K$234&lt;&gt;"Y"</formula>
    </cfRule>
  </conditionalFormatting>
  <conditionalFormatting sqref="D416:BG416">
    <cfRule type="expression" dxfId="4" priority="1853">
      <formula>$L$234&lt;&gt;"Y"</formula>
    </cfRule>
  </conditionalFormatting>
  <conditionalFormatting sqref="D417:BG417">
    <cfRule type="expression" dxfId="4" priority="1856">
      <formula>$M$234&lt;&gt;"Y"</formula>
    </cfRule>
  </conditionalFormatting>
  <conditionalFormatting sqref="D418:BG418">
    <cfRule type="expression" dxfId="4" priority="1859">
      <formula>$N$234&lt;&gt;"Y"</formula>
    </cfRule>
  </conditionalFormatting>
  <conditionalFormatting sqref="D419:BG419">
    <cfRule type="expression" dxfId="4" priority="1862">
      <formula>$O$234&lt;&gt;"Y"</formula>
    </cfRule>
  </conditionalFormatting>
  <conditionalFormatting sqref="D41:BG41">
    <cfRule type="expression" dxfId="4" priority="427">
      <formula>$H$6&lt;&gt;"Y"</formula>
    </cfRule>
  </conditionalFormatting>
  <conditionalFormatting sqref="D420:BG420">
    <cfRule type="expression" dxfId="4" priority="1865">
      <formula>$B$235&lt;&gt;"Y"</formula>
    </cfRule>
  </conditionalFormatting>
  <conditionalFormatting sqref="D421:BG421">
    <cfRule type="expression" dxfId="4" priority="1868">
      <formula>$C$235&lt;&gt;"Y"</formula>
    </cfRule>
  </conditionalFormatting>
  <conditionalFormatting sqref="D422:BG422">
    <cfRule type="expression" dxfId="4" priority="1871">
      <formula>$D$235&lt;&gt;"Y"</formula>
    </cfRule>
  </conditionalFormatting>
  <conditionalFormatting sqref="D423:BG423">
    <cfRule type="expression" dxfId="4" priority="1874">
      <formula>$E$235&lt;&gt;"Y"</formula>
    </cfRule>
  </conditionalFormatting>
  <conditionalFormatting sqref="D424:BG424">
    <cfRule type="expression" dxfId="4" priority="1877">
      <formula>$F$235&lt;&gt;"Y"</formula>
    </cfRule>
  </conditionalFormatting>
  <conditionalFormatting sqref="D425:BG425">
    <cfRule type="expression" dxfId="4" priority="1880">
      <formula>$G$235&lt;&gt;"Y"</formula>
    </cfRule>
  </conditionalFormatting>
  <conditionalFormatting sqref="D426:BG426">
    <cfRule type="expression" dxfId="4" priority="1883">
      <formula>$H$235&lt;&gt;"Y"</formula>
    </cfRule>
  </conditionalFormatting>
  <conditionalFormatting sqref="D427:BG427">
    <cfRule type="expression" dxfId="4" priority="1886">
      <formula>$I$235&lt;&gt;"Y"</formula>
    </cfRule>
  </conditionalFormatting>
  <conditionalFormatting sqref="D428:BG428">
    <cfRule type="expression" dxfId="4" priority="1889">
      <formula>$J$235&lt;&gt;"Y"</formula>
    </cfRule>
  </conditionalFormatting>
  <conditionalFormatting sqref="D429:BG429">
    <cfRule type="expression" dxfId="4" priority="1892">
      <formula>$K$235&lt;&gt;"Y"</formula>
    </cfRule>
  </conditionalFormatting>
  <conditionalFormatting sqref="D42:BG42">
    <cfRule type="expression" dxfId="4" priority="430">
      <formula>$I$6&lt;&gt;"Y"</formula>
    </cfRule>
  </conditionalFormatting>
  <conditionalFormatting sqref="D430:BG430">
    <cfRule type="expression" dxfId="4" priority="1895">
      <formula>$L$235&lt;&gt;"Y"</formula>
    </cfRule>
  </conditionalFormatting>
  <conditionalFormatting sqref="D431:BG431">
    <cfRule type="expression" dxfId="4" priority="1898">
      <formula>$M$235&lt;&gt;"Y"</formula>
    </cfRule>
  </conditionalFormatting>
  <conditionalFormatting sqref="D432:BG432">
    <cfRule type="expression" dxfId="4" priority="1901">
      <formula>$N$235&lt;&gt;"Y"</formula>
    </cfRule>
  </conditionalFormatting>
  <conditionalFormatting sqref="D433:BG433">
    <cfRule type="expression" dxfId="4" priority="1904">
      <formula>$O$235&lt;&gt;"Y"</formula>
    </cfRule>
  </conditionalFormatting>
  <conditionalFormatting sqref="D439">
    <cfRule type="cellIs" dxfId="2" priority="1907" operator="equal">
      <formula>"Y"</formula>
    </cfRule>
    <cfRule type="cellIs" dxfId="3" priority="1908" operator="equal">
      <formula>"N"</formula>
    </cfRule>
  </conditionalFormatting>
  <conditionalFormatting sqref="D43:BG43">
    <cfRule type="expression" dxfId="4" priority="433">
      <formula>$J$6&lt;&gt;"Y"</formula>
    </cfRule>
  </conditionalFormatting>
  <conditionalFormatting sqref="D440">
    <cfRule type="cellIs" dxfId="2" priority="1933" operator="equal">
      <formula>"Y"</formula>
    </cfRule>
    <cfRule type="cellIs" dxfId="3" priority="1934" operator="equal">
      <formula>"N"</formula>
    </cfRule>
  </conditionalFormatting>
  <conditionalFormatting sqref="D442">
    <cfRule type="cellIs" dxfId="2" priority="1987" operator="equal">
      <formula>"Y"</formula>
    </cfRule>
    <cfRule type="cellIs" dxfId="3" priority="1988" operator="equal">
      <formula>"N"</formula>
    </cfRule>
  </conditionalFormatting>
  <conditionalFormatting sqref="D443">
    <cfRule type="cellIs" dxfId="2" priority="2013" operator="equal">
      <formula>"Y"</formula>
    </cfRule>
    <cfRule type="cellIs" dxfId="3" priority="2014" operator="equal">
      <formula>"N"</formula>
    </cfRule>
  </conditionalFormatting>
  <conditionalFormatting sqref="D444">
    <cfRule type="cellIs" dxfId="2" priority="2039" operator="equal">
      <formula>"Y"</formula>
    </cfRule>
    <cfRule type="cellIs" dxfId="3" priority="2040" operator="equal">
      <formula>"N"</formula>
    </cfRule>
  </conditionalFormatting>
  <conditionalFormatting sqref="D445">
    <cfRule type="cellIs" dxfId="2" priority="2065" operator="equal">
      <formula>"Y"</formula>
    </cfRule>
    <cfRule type="cellIs" dxfId="3" priority="2066" operator="equal">
      <formula>"N"</formula>
    </cfRule>
  </conditionalFormatting>
  <conditionalFormatting sqref="D446">
    <cfRule type="cellIs" dxfId="2" priority="2091" operator="equal">
      <formula>"Y"</formula>
    </cfRule>
    <cfRule type="cellIs" dxfId="3" priority="2092" operator="equal">
      <formula>"N"</formula>
    </cfRule>
  </conditionalFormatting>
  <conditionalFormatting sqref="D447">
    <cfRule type="cellIs" dxfId="2" priority="2117" operator="equal">
      <formula>"Y"</formula>
    </cfRule>
    <cfRule type="cellIs" dxfId="3" priority="2118" operator="equal">
      <formula>"N"</formula>
    </cfRule>
  </conditionalFormatting>
  <conditionalFormatting sqref="D448">
    <cfRule type="cellIs" dxfId="2" priority="2143" operator="equal">
      <formula>"Y"</formula>
    </cfRule>
    <cfRule type="cellIs" dxfId="3" priority="2144" operator="equal">
      <formula>"N"</formula>
    </cfRule>
  </conditionalFormatting>
  <conditionalFormatting sqref="D449">
    <cfRule type="cellIs" dxfId="2" priority="2169" operator="equal">
      <formula>"Y"</formula>
    </cfRule>
    <cfRule type="cellIs" dxfId="3" priority="2170" operator="equal">
      <formula>"N"</formula>
    </cfRule>
  </conditionalFormatting>
  <conditionalFormatting sqref="D44:BG44">
    <cfRule type="expression" dxfId="4" priority="436">
      <formula>$K$6&lt;&gt;"Y"</formula>
    </cfRule>
  </conditionalFormatting>
  <conditionalFormatting sqref="D450">
    <cfRule type="cellIs" dxfId="2" priority="2195" operator="equal">
      <formula>"Y"</formula>
    </cfRule>
    <cfRule type="cellIs" dxfId="3" priority="2196" operator="equal">
      <formula>"N"</formula>
    </cfRule>
  </conditionalFormatting>
  <conditionalFormatting sqref="D451">
    <cfRule type="cellIs" dxfId="2" priority="2221" operator="equal">
      <formula>"Y"</formula>
    </cfRule>
    <cfRule type="cellIs" dxfId="3" priority="2222" operator="equal">
      <formula>"N"</formula>
    </cfRule>
  </conditionalFormatting>
  <conditionalFormatting sqref="D452">
    <cfRule type="cellIs" dxfId="2" priority="2247" operator="equal">
      <formula>"Y"</formula>
    </cfRule>
    <cfRule type="cellIs" dxfId="3" priority="2248" operator="equal">
      <formula>"N"</formula>
    </cfRule>
  </conditionalFormatting>
  <conditionalFormatting sqref="D455:BG455">
    <cfRule type="expression" dxfId="4" priority="2271">
      <formula>$B$439&lt;&gt;"Y"</formula>
    </cfRule>
  </conditionalFormatting>
  <conditionalFormatting sqref="D456:BG456">
    <cfRule type="expression" dxfId="4" priority="2274">
      <formula>$C$439&lt;&gt;"Y"</formula>
    </cfRule>
  </conditionalFormatting>
  <conditionalFormatting sqref="D457:BG457">
    <cfRule type="expression" dxfId="4" priority="2277">
      <formula>$D$439&lt;&gt;"Y"</formula>
    </cfRule>
  </conditionalFormatting>
  <conditionalFormatting sqref="D458:BG458">
    <cfRule type="expression" dxfId="4" priority="2280">
      <formula>$E$439&lt;&gt;"Y"</formula>
    </cfRule>
  </conditionalFormatting>
  <conditionalFormatting sqref="D459:BG459">
    <cfRule type="expression" dxfId="4" priority="2283">
      <formula>$F$439&lt;&gt;"Y"</formula>
    </cfRule>
  </conditionalFormatting>
  <conditionalFormatting sqref="D45:BG45">
    <cfRule type="expression" dxfId="4" priority="439">
      <formula>$L$6&lt;&gt;"Y"</formula>
    </cfRule>
  </conditionalFormatting>
  <conditionalFormatting sqref="D460:BG460">
    <cfRule type="expression" dxfId="4" priority="2286">
      <formula>$G$439&lt;&gt;"Y"</formula>
    </cfRule>
  </conditionalFormatting>
  <conditionalFormatting sqref="D461:BG461">
    <cfRule type="expression" dxfId="4" priority="2289">
      <formula>$H$439&lt;&gt;"Y"</formula>
    </cfRule>
  </conditionalFormatting>
  <conditionalFormatting sqref="D462:BG462">
    <cfRule type="expression" dxfId="4" priority="2292">
      <formula>$I$439&lt;&gt;"Y"</formula>
    </cfRule>
  </conditionalFormatting>
  <conditionalFormatting sqref="D463:BG463">
    <cfRule type="expression" dxfId="4" priority="2295">
      <formula>$J$439&lt;&gt;"Y"</formula>
    </cfRule>
  </conditionalFormatting>
  <conditionalFormatting sqref="D464:BG464">
    <cfRule type="expression" dxfId="4" priority="2298">
      <formula>$K$439&lt;&gt;"Y"</formula>
    </cfRule>
  </conditionalFormatting>
  <conditionalFormatting sqref="D465:BG465">
    <cfRule type="expression" dxfId="4" priority="2301">
      <formula>$L$439&lt;&gt;"Y"</formula>
    </cfRule>
  </conditionalFormatting>
  <conditionalFormatting sqref="D466:BG466">
    <cfRule type="expression" dxfId="4" priority="2304">
      <formula>$M$439&lt;&gt;"Y"</formula>
    </cfRule>
  </conditionalFormatting>
  <conditionalFormatting sqref="D467:BG467">
    <cfRule type="expression" dxfId="4" priority="2307">
      <formula>$N$439&lt;&gt;"Y"</formula>
    </cfRule>
  </conditionalFormatting>
  <conditionalFormatting sqref="D468:BG468">
    <cfRule type="expression" dxfId="4" priority="2310">
      <formula>$O$439&lt;&gt;"Y"</formula>
    </cfRule>
  </conditionalFormatting>
  <conditionalFormatting sqref="D469:BG469">
    <cfRule type="expression" dxfId="4" priority="2313">
      <formula>$B$440&lt;&gt;"Y"</formula>
    </cfRule>
  </conditionalFormatting>
  <conditionalFormatting sqref="D46:BG46">
    <cfRule type="expression" dxfId="4" priority="442">
      <formula>$M$6&lt;&gt;"Y"</formula>
    </cfRule>
  </conditionalFormatting>
  <conditionalFormatting sqref="D470:BG470">
    <cfRule type="expression" dxfId="4" priority="2316">
      <formula>$C$440&lt;&gt;"Y"</formula>
    </cfRule>
  </conditionalFormatting>
  <conditionalFormatting sqref="D471:BG471">
    <cfRule type="expression" dxfId="4" priority="2319">
      <formula>$D$440&lt;&gt;"Y"</formula>
    </cfRule>
  </conditionalFormatting>
  <conditionalFormatting sqref="D472:BG472">
    <cfRule type="expression" dxfId="4" priority="2322">
      <formula>$E$440&lt;&gt;"Y"</formula>
    </cfRule>
  </conditionalFormatting>
  <conditionalFormatting sqref="D473:BG473">
    <cfRule type="expression" dxfId="4" priority="2325">
      <formula>$F$440&lt;&gt;"Y"</formula>
    </cfRule>
  </conditionalFormatting>
  <conditionalFormatting sqref="D474:BG474">
    <cfRule type="expression" dxfId="4" priority="2328">
      <formula>$G$440&lt;&gt;"Y"</formula>
    </cfRule>
  </conditionalFormatting>
  <conditionalFormatting sqref="D475:BG475">
    <cfRule type="expression" dxfId="4" priority="2331">
      <formula>$H$440&lt;&gt;"Y"</formula>
    </cfRule>
  </conditionalFormatting>
  <conditionalFormatting sqref="D476:BG476">
    <cfRule type="expression" dxfId="4" priority="2334">
      <formula>$I$440&lt;&gt;"Y"</formula>
    </cfRule>
  </conditionalFormatting>
  <conditionalFormatting sqref="D477:BG477">
    <cfRule type="expression" dxfId="4" priority="2337">
      <formula>$J$440&lt;&gt;"Y"</formula>
    </cfRule>
  </conditionalFormatting>
  <conditionalFormatting sqref="D478:BG478">
    <cfRule type="expression" dxfId="4" priority="2340">
      <formula>$K$440&lt;&gt;"Y"</formula>
    </cfRule>
  </conditionalFormatting>
  <conditionalFormatting sqref="D479:BG479">
    <cfRule type="expression" dxfId="4" priority="2343">
      <formula>$L$440&lt;&gt;"Y"</formula>
    </cfRule>
  </conditionalFormatting>
  <conditionalFormatting sqref="D47:BG47">
    <cfRule type="expression" dxfId="4" priority="445">
      <formula>$N$6&lt;&gt;"Y"</formula>
    </cfRule>
  </conditionalFormatting>
  <conditionalFormatting sqref="D480:BG480">
    <cfRule type="expression" dxfId="4" priority="2346">
      <formula>$M$440&lt;&gt;"Y"</formula>
    </cfRule>
  </conditionalFormatting>
  <conditionalFormatting sqref="D481:BG481">
    <cfRule type="expression" dxfId="4" priority="2349">
      <formula>$N$440&lt;&gt;"Y"</formula>
    </cfRule>
  </conditionalFormatting>
  <conditionalFormatting sqref="D482:BG482">
    <cfRule type="expression" dxfId="4" priority="2352">
      <formula>$O$440&lt;&gt;"Y"</formula>
    </cfRule>
  </conditionalFormatting>
  <conditionalFormatting sqref="D483:BG483">
    <cfRule type="expression" dxfId="4" priority="2355">
      <formula>$B$441&lt;&gt;"Y"</formula>
    </cfRule>
  </conditionalFormatting>
  <conditionalFormatting sqref="D484:BG484">
    <cfRule type="expression" dxfId="4" priority="2358">
      <formula>$C$441&lt;&gt;"Y"</formula>
    </cfRule>
  </conditionalFormatting>
  <conditionalFormatting sqref="D485:BG485">
    <cfRule type="expression" dxfId="4" priority="2361">
      <formula>$D$441&lt;&gt;"Y"</formula>
    </cfRule>
  </conditionalFormatting>
  <conditionalFormatting sqref="D486:BG486">
    <cfRule type="expression" dxfId="4" priority="2364">
      <formula>$E$441&lt;&gt;"Y"</formula>
    </cfRule>
  </conditionalFormatting>
  <conditionalFormatting sqref="D487:BG487">
    <cfRule type="expression" dxfId="4" priority="2367">
      <formula>$F$441&lt;&gt;"Y"</formula>
    </cfRule>
  </conditionalFormatting>
  <conditionalFormatting sqref="D488:BG488">
    <cfRule type="expression" dxfId="4" priority="2370">
      <formula>$G$441&lt;&gt;"Y"</formula>
    </cfRule>
  </conditionalFormatting>
  <conditionalFormatting sqref="D489:BG489">
    <cfRule type="expression" dxfId="4" priority="2373">
      <formula>$H$441&lt;&gt;"Y"</formula>
    </cfRule>
  </conditionalFormatting>
  <conditionalFormatting sqref="D48:BG48">
    <cfRule type="expression" dxfId="4" priority="448">
      <formula>$O$6&lt;&gt;"Y"</formula>
    </cfRule>
  </conditionalFormatting>
  <conditionalFormatting sqref="D490:BG490">
    <cfRule type="expression" dxfId="4" priority="2376">
      <formula>$I$441&lt;&gt;"Y"</formula>
    </cfRule>
  </conditionalFormatting>
  <conditionalFormatting sqref="D491:BG491">
    <cfRule type="expression" dxfId="4" priority="2379">
      <formula>$J$441&lt;&gt;"Y"</formula>
    </cfRule>
  </conditionalFormatting>
  <conditionalFormatting sqref="D492:BG492">
    <cfRule type="expression" dxfId="4" priority="2382">
      <formula>$K$441&lt;&gt;"Y"</formula>
    </cfRule>
  </conditionalFormatting>
  <conditionalFormatting sqref="D493:BG493">
    <cfRule type="expression" dxfId="4" priority="2385">
      <formula>$L$441&lt;&gt;"Y"</formula>
    </cfRule>
  </conditionalFormatting>
  <conditionalFormatting sqref="D494:BG494">
    <cfRule type="expression" dxfId="4" priority="2388">
      <formula>$M$441&lt;&gt;"Y"</formula>
    </cfRule>
  </conditionalFormatting>
  <conditionalFormatting sqref="D495:BG495">
    <cfRule type="expression" dxfId="4" priority="2391">
      <formula>$N$441&lt;&gt;"Y"</formula>
    </cfRule>
  </conditionalFormatting>
  <conditionalFormatting sqref="D496:BG496">
    <cfRule type="expression" dxfId="4" priority="2394">
      <formula>$O$441&lt;&gt;"Y"</formula>
    </cfRule>
  </conditionalFormatting>
  <conditionalFormatting sqref="D497:BG497">
    <cfRule type="expression" dxfId="4" priority="2397">
      <formula>$B$442&lt;&gt;"Y"</formula>
    </cfRule>
  </conditionalFormatting>
  <conditionalFormatting sqref="D498:BG498">
    <cfRule type="expression" dxfId="4" priority="2400">
      <formula>$C$442&lt;&gt;"Y"</formula>
    </cfRule>
  </conditionalFormatting>
  <conditionalFormatting sqref="D499:BG499">
    <cfRule type="expression" dxfId="4" priority="2403">
      <formula>$D$442&lt;&gt;"Y"</formula>
    </cfRule>
  </conditionalFormatting>
  <conditionalFormatting sqref="D49:BG49">
    <cfRule type="expression" dxfId="4" priority="451">
      <formula>$B$7&lt;&gt;"Y"</formula>
    </cfRule>
  </conditionalFormatting>
  <conditionalFormatting sqref="D5">
    <cfRule type="cellIs" dxfId="2" priority="3" operator="equal">
      <formula>"Y"</formula>
    </cfRule>
    <cfRule type="cellIs" dxfId="3" priority="4" operator="equal">
      <formula>"N"</formula>
    </cfRule>
  </conditionalFormatting>
  <conditionalFormatting sqref="D500:BG500">
    <cfRule type="expression" dxfId="4" priority="2406">
      <formula>$E$442&lt;&gt;"Y"</formula>
    </cfRule>
  </conditionalFormatting>
  <conditionalFormatting sqref="D501:BG501">
    <cfRule type="expression" dxfId="4" priority="2409">
      <formula>$F$442&lt;&gt;"Y"</formula>
    </cfRule>
  </conditionalFormatting>
  <conditionalFormatting sqref="D502:BG502">
    <cfRule type="expression" dxfId="4" priority="2412">
      <formula>$G$442&lt;&gt;"Y"</formula>
    </cfRule>
  </conditionalFormatting>
  <conditionalFormatting sqref="D503:BG503">
    <cfRule type="expression" dxfId="4" priority="2415">
      <formula>$H$442&lt;&gt;"Y"</formula>
    </cfRule>
  </conditionalFormatting>
  <conditionalFormatting sqref="D504:BG504">
    <cfRule type="expression" dxfId="4" priority="2418">
      <formula>$I$442&lt;&gt;"Y"</formula>
    </cfRule>
  </conditionalFormatting>
  <conditionalFormatting sqref="D505:BG505">
    <cfRule type="expression" dxfId="4" priority="2421">
      <formula>$J$442&lt;&gt;"Y"</formula>
    </cfRule>
  </conditionalFormatting>
  <conditionalFormatting sqref="D506:BG506">
    <cfRule type="expression" dxfId="4" priority="2424">
      <formula>$K$442&lt;&gt;"Y"</formula>
    </cfRule>
  </conditionalFormatting>
  <conditionalFormatting sqref="D507:BG507">
    <cfRule type="expression" dxfId="4" priority="2427">
      <formula>$L$442&lt;&gt;"Y"</formula>
    </cfRule>
  </conditionalFormatting>
  <conditionalFormatting sqref="D508:BG508">
    <cfRule type="expression" dxfId="4" priority="2430">
      <formula>$M$442&lt;&gt;"Y"</formula>
    </cfRule>
  </conditionalFormatting>
  <conditionalFormatting sqref="D509:BG509">
    <cfRule type="expression" dxfId="4" priority="2433">
      <formula>$N$442&lt;&gt;"Y"</formula>
    </cfRule>
  </conditionalFormatting>
  <conditionalFormatting sqref="D50:BG50">
    <cfRule type="expression" dxfId="4" priority="454">
      <formula>$C$7&lt;&gt;"Y"</formula>
    </cfRule>
  </conditionalFormatting>
  <conditionalFormatting sqref="D510:BG510">
    <cfRule type="expression" dxfId="4" priority="2436">
      <formula>$O$442&lt;&gt;"Y"</formula>
    </cfRule>
  </conditionalFormatting>
  <conditionalFormatting sqref="D511:BG511">
    <cfRule type="expression" dxfId="4" priority="2439">
      <formula>$B$443&lt;&gt;"Y"</formula>
    </cfRule>
  </conditionalFormatting>
  <conditionalFormatting sqref="D512:BG512">
    <cfRule type="expression" dxfId="4" priority="2442">
      <formula>$C$443&lt;&gt;"Y"</formula>
    </cfRule>
  </conditionalFormatting>
  <conditionalFormatting sqref="D513:BG513">
    <cfRule type="expression" dxfId="4" priority="2445">
      <formula>$D$443&lt;&gt;"Y"</formula>
    </cfRule>
  </conditionalFormatting>
  <conditionalFormatting sqref="D514:BG514">
    <cfRule type="expression" dxfId="4" priority="2448">
      <formula>$E$443&lt;&gt;"Y"</formula>
    </cfRule>
  </conditionalFormatting>
  <conditionalFormatting sqref="D515:BG515">
    <cfRule type="expression" dxfId="4" priority="2451">
      <formula>$F$443&lt;&gt;"Y"</formula>
    </cfRule>
  </conditionalFormatting>
  <conditionalFormatting sqref="D516:BG516">
    <cfRule type="expression" dxfId="4" priority="2454">
      <formula>$G$443&lt;&gt;"Y"</formula>
    </cfRule>
  </conditionalFormatting>
  <conditionalFormatting sqref="D517:BG517">
    <cfRule type="expression" dxfId="4" priority="2457">
      <formula>$H$443&lt;&gt;"Y"</formula>
    </cfRule>
  </conditionalFormatting>
  <conditionalFormatting sqref="D518:BG518">
    <cfRule type="expression" dxfId="4" priority="2460">
      <formula>$I$443&lt;&gt;"Y"</formula>
    </cfRule>
  </conditionalFormatting>
  <conditionalFormatting sqref="D519:BG519">
    <cfRule type="expression" dxfId="4" priority="2463">
      <formula>$J$443&lt;&gt;"Y"</formula>
    </cfRule>
  </conditionalFormatting>
  <conditionalFormatting sqref="D51:BG51">
    <cfRule type="expression" dxfId="4" priority="457">
      <formula>$D$7&lt;&gt;"Y"</formula>
    </cfRule>
  </conditionalFormatting>
  <conditionalFormatting sqref="D520:BG520">
    <cfRule type="expression" dxfId="4" priority="2466">
      <formula>$K$443&lt;&gt;"Y"</formula>
    </cfRule>
  </conditionalFormatting>
  <conditionalFormatting sqref="D521:BG521">
    <cfRule type="expression" dxfId="4" priority="2469">
      <formula>$L$443&lt;&gt;"Y"</formula>
    </cfRule>
  </conditionalFormatting>
  <conditionalFormatting sqref="D522:BG522">
    <cfRule type="expression" dxfId="4" priority="2472">
      <formula>$M$443&lt;&gt;"Y"</formula>
    </cfRule>
  </conditionalFormatting>
  <conditionalFormatting sqref="D523:BG523">
    <cfRule type="expression" dxfId="4" priority="2475">
      <formula>$N$443&lt;&gt;"Y"</formula>
    </cfRule>
  </conditionalFormatting>
  <conditionalFormatting sqref="D524:BG524">
    <cfRule type="expression" dxfId="4" priority="2478">
      <formula>$O$443&lt;&gt;"Y"</formula>
    </cfRule>
  </conditionalFormatting>
  <conditionalFormatting sqref="D525:BG525">
    <cfRule type="expression" dxfId="4" priority="2481">
      <formula>$B$444&lt;&gt;"Y"</formula>
    </cfRule>
  </conditionalFormatting>
  <conditionalFormatting sqref="D526:BG526">
    <cfRule type="expression" dxfId="4" priority="2484">
      <formula>$C$444&lt;&gt;"Y"</formula>
    </cfRule>
  </conditionalFormatting>
  <conditionalFormatting sqref="D527:BG527">
    <cfRule type="expression" dxfId="4" priority="2487">
      <formula>$D$444&lt;&gt;"Y"</formula>
    </cfRule>
  </conditionalFormatting>
  <conditionalFormatting sqref="D528:BG528">
    <cfRule type="expression" dxfId="4" priority="2490">
      <formula>$E$444&lt;&gt;"Y"</formula>
    </cfRule>
  </conditionalFormatting>
  <conditionalFormatting sqref="D529:BG529">
    <cfRule type="expression" dxfId="4" priority="2493">
      <formula>$F$444&lt;&gt;"Y"</formula>
    </cfRule>
  </conditionalFormatting>
  <conditionalFormatting sqref="D52:BG52">
    <cfRule type="expression" dxfId="4" priority="460">
      <formula>$E$7&lt;&gt;"Y"</formula>
    </cfRule>
  </conditionalFormatting>
  <conditionalFormatting sqref="D530:BG530">
    <cfRule type="expression" dxfId="4" priority="2496">
      <formula>$G$444&lt;&gt;"Y"</formula>
    </cfRule>
  </conditionalFormatting>
  <conditionalFormatting sqref="D531:BG531">
    <cfRule type="expression" dxfId="4" priority="2499">
      <formula>$H$444&lt;&gt;"Y"</formula>
    </cfRule>
  </conditionalFormatting>
  <conditionalFormatting sqref="D532:BG532">
    <cfRule type="expression" dxfId="4" priority="2502">
      <formula>$I$444&lt;&gt;"Y"</formula>
    </cfRule>
  </conditionalFormatting>
  <conditionalFormatting sqref="D533:BG533">
    <cfRule type="expression" dxfId="4" priority="2505">
      <formula>$J$444&lt;&gt;"Y"</formula>
    </cfRule>
  </conditionalFormatting>
  <conditionalFormatting sqref="D534:BG534">
    <cfRule type="expression" dxfId="4" priority="2508">
      <formula>$K$444&lt;&gt;"Y"</formula>
    </cfRule>
  </conditionalFormatting>
  <conditionalFormatting sqref="D535:BG535">
    <cfRule type="expression" dxfId="4" priority="2511">
      <formula>$L$444&lt;&gt;"Y"</formula>
    </cfRule>
  </conditionalFormatting>
  <conditionalFormatting sqref="D536:BG536">
    <cfRule type="expression" dxfId="4" priority="2514">
      <formula>$M$444&lt;&gt;"Y"</formula>
    </cfRule>
  </conditionalFormatting>
  <conditionalFormatting sqref="D537:BG537">
    <cfRule type="expression" dxfId="4" priority="2517">
      <formula>$N$444&lt;&gt;"Y"</formula>
    </cfRule>
  </conditionalFormatting>
  <conditionalFormatting sqref="D538:BG538">
    <cfRule type="expression" dxfId="4" priority="2520">
      <formula>$O$444&lt;&gt;"Y"</formula>
    </cfRule>
  </conditionalFormatting>
  <conditionalFormatting sqref="D539:BG539">
    <cfRule type="expression" dxfId="4" priority="2523">
      <formula>$B$445&lt;&gt;"Y"</formula>
    </cfRule>
  </conditionalFormatting>
  <conditionalFormatting sqref="D53:BG53">
    <cfRule type="expression" dxfId="4" priority="463">
      <formula>$F$7&lt;&gt;"Y"</formula>
    </cfRule>
  </conditionalFormatting>
  <conditionalFormatting sqref="D540:BG540">
    <cfRule type="expression" dxfId="4" priority="2526">
      <formula>$C$445&lt;&gt;"Y"</formula>
    </cfRule>
  </conditionalFormatting>
  <conditionalFormatting sqref="D541:BG541">
    <cfRule type="expression" dxfId="4" priority="2529">
      <formula>$D$445&lt;&gt;"Y"</formula>
    </cfRule>
  </conditionalFormatting>
  <conditionalFormatting sqref="D542:BG542">
    <cfRule type="expression" dxfId="4" priority="2532">
      <formula>$E$445&lt;&gt;"Y"</formula>
    </cfRule>
  </conditionalFormatting>
  <conditionalFormatting sqref="D543:BG543">
    <cfRule type="expression" dxfId="4" priority="2535">
      <formula>$F$445&lt;&gt;"Y"</formula>
    </cfRule>
  </conditionalFormatting>
  <conditionalFormatting sqref="D544:BG544">
    <cfRule type="expression" dxfId="4" priority="2538">
      <formula>$G$445&lt;&gt;"Y"</formula>
    </cfRule>
  </conditionalFormatting>
  <conditionalFormatting sqref="D545:BG545">
    <cfRule type="expression" dxfId="4" priority="2541">
      <formula>$H$445&lt;&gt;"Y"</formula>
    </cfRule>
  </conditionalFormatting>
  <conditionalFormatting sqref="D546:BG546">
    <cfRule type="expression" dxfId="4" priority="2544">
      <formula>$I$445&lt;&gt;"Y"</formula>
    </cfRule>
  </conditionalFormatting>
  <conditionalFormatting sqref="D547:BG547">
    <cfRule type="expression" dxfId="4" priority="2547">
      <formula>$J$445&lt;&gt;"Y"</formula>
    </cfRule>
  </conditionalFormatting>
  <conditionalFormatting sqref="D548:BG548">
    <cfRule type="expression" dxfId="4" priority="2550">
      <formula>$K$445&lt;&gt;"Y"</formula>
    </cfRule>
  </conditionalFormatting>
  <conditionalFormatting sqref="D549:BG549">
    <cfRule type="expression" dxfId="4" priority="2553">
      <formula>$L$445&lt;&gt;"Y"</formula>
    </cfRule>
  </conditionalFormatting>
  <conditionalFormatting sqref="D54:BG54">
    <cfRule type="expression" dxfId="4" priority="466">
      <formula>$G$7&lt;&gt;"Y"</formula>
    </cfRule>
  </conditionalFormatting>
  <conditionalFormatting sqref="D550:BG550">
    <cfRule type="expression" dxfId="4" priority="2556">
      <formula>$M$445&lt;&gt;"Y"</formula>
    </cfRule>
  </conditionalFormatting>
  <conditionalFormatting sqref="D551:BG551">
    <cfRule type="expression" dxfId="4" priority="2559">
      <formula>$N$445&lt;&gt;"Y"</formula>
    </cfRule>
  </conditionalFormatting>
  <conditionalFormatting sqref="D552:BG552">
    <cfRule type="expression" dxfId="4" priority="2562">
      <formula>$O$445&lt;&gt;"Y"</formula>
    </cfRule>
  </conditionalFormatting>
  <conditionalFormatting sqref="D553:BG553">
    <cfRule type="expression" dxfId="4" priority="2565">
      <formula>$B$446&lt;&gt;"Y"</formula>
    </cfRule>
  </conditionalFormatting>
  <conditionalFormatting sqref="D554:BG554">
    <cfRule type="expression" dxfId="4" priority="2568">
      <formula>$C$446&lt;&gt;"Y"</formula>
    </cfRule>
  </conditionalFormatting>
  <conditionalFormatting sqref="D555:BG555">
    <cfRule type="expression" dxfId="4" priority="2571">
      <formula>$D$446&lt;&gt;"Y"</formula>
    </cfRule>
  </conditionalFormatting>
  <conditionalFormatting sqref="D556:BG556">
    <cfRule type="expression" dxfId="4" priority="2574">
      <formula>$E$446&lt;&gt;"Y"</formula>
    </cfRule>
  </conditionalFormatting>
  <conditionalFormatting sqref="D557:BG557">
    <cfRule type="expression" dxfId="4" priority="2577">
      <formula>$F$446&lt;&gt;"Y"</formula>
    </cfRule>
  </conditionalFormatting>
  <conditionalFormatting sqref="D558:BG558">
    <cfRule type="expression" dxfId="4" priority="2580">
      <formula>$G$446&lt;&gt;"Y"</formula>
    </cfRule>
  </conditionalFormatting>
  <conditionalFormatting sqref="D559:BG559">
    <cfRule type="expression" dxfId="4" priority="2583">
      <formula>$H$446&lt;&gt;"Y"</formula>
    </cfRule>
  </conditionalFormatting>
  <conditionalFormatting sqref="D55:BG55">
    <cfRule type="expression" dxfId="4" priority="469">
      <formula>$H$7&lt;&gt;"Y"</formula>
    </cfRule>
  </conditionalFormatting>
  <conditionalFormatting sqref="D560:BG560">
    <cfRule type="expression" dxfId="4" priority="2586">
      <formula>$I$446&lt;&gt;"Y"</formula>
    </cfRule>
  </conditionalFormatting>
  <conditionalFormatting sqref="D561:BG561">
    <cfRule type="expression" dxfId="4" priority="2589">
      <formula>$J$446&lt;&gt;"Y"</formula>
    </cfRule>
  </conditionalFormatting>
  <conditionalFormatting sqref="D562:BG562">
    <cfRule type="expression" dxfId="4" priority="2592">
      <formula>$K$446&lt;&gt;"Y"</formula>
    </cfRule>
  </conditionalFormatting>
  <conditionalFormatting sqref="D563:BG563">
    <cfRule type="expression" dxfId="4" priority="2595">
      <formula>$L$446&lt;&gt;"Y"</formula>
    </cfRule>
  </conditionalFormatting>
  <conditionalFormatting sqref="D564:BG564">
    <cfRule type="expression" dxfId="4" priority="2598">
      <formula>$M$446&lt;&gt;"Y"</formula>
    </cfRule>
  </conditionalFormatting>
  <conditionalFormatting sqref="D565:BG565">
    <cfRule type="expression" dxfId="4" priority="2601">
      <formula>$N$446&lt;&gt;"Y"</formula>
    </cfRule>
  </conditionalFormatting>
  <conditionalFormatting sqref="D566:BG566">
    <cfRule type="expression" dxfId="4" priority="2604">
      <formula>$O$446&lt;&gt;"Y"</formula>
    </cfRule>
  </conditionalFormatting>
  <conditionalFormatting sqref="D567:BG567">
    <cfRule type="expression" dxfId="4" priority="2607">
      <formula>$B$447&lt;&gt;"Y"</formula>
    </cfRule>
  </conditionalFormatting>
  <conditionalFormatting sqref="D568:BG568">
    <cfRule type="expression" dxfId="4" priority="2610">
      <formula>$C$447&lt;&gt;"Y"</formula>
    </cfRule>
  </conditionalFormatting>
  <conditionalFormatting sqref="D569:BG569">
    <cfRule type="expression" dxfId="4" priority="2613">
      <formula>$D$447&lt;&gt;"Y"</formula>
    </cfRule>
  </conditionalFormatting>
  <conditionalFormatting sqref="D56:BG56">
    <cfRule type="expression" dxfId="4" priority="472">
      <formula>$I$7&lt;&gt;"Y"</formula>
    </cfRule>
  </conditionalFormatting>
  <conditionalFormatting sqref="D570:BG570">
    <cfRule type="expression" dxfId="4" priority="2616">
      <formula>$E$447&lt;&gt;"Y"</formula>
    </cfRule>
  </conditionalFormatting>
  <conditionalFormatting sqref="D571:BG571">
    <cfRule type="expression" dxfId="4" priority="2619">
      <formula>$F$447&lt;&gt;"Y"</formula>
    </cfRule>
  </conditionalFormatting>
  <conditionalFormatting sqref="D572:BG572">
    <cfRule type="expression" dxfId="4" priority="2622">
      <formula>$G$447&lt;&gt;"Y"</formula>
    </cfRule>
  </conditionalFormatting>
  <conditionalFormatting sqref="D573:BG573">
    <cfRule type="expression" dxfId="4" priority="2625">
      <formula>$H$447&lt;&gt;"Y"</formula>
    </cfRule>
  </conditionalFormatting>
  <conditionalFormatting sqref="D574:BG574">
    <cfRule type="expression" dxfId="4" priority="2628">
      <formula>$I$447&lt;&gt;"Y"</formula>
    </cfRule>
  </conditionalFormatting>
  <conditionalFormatting sqref="D575:BG575">
    <cfRule type="expression" dxfId="4" priority="2631">
      <formula>$J$447&lt;&gt;"Y"</formula>
    </cfRule>
  </conditionalFormatting>
  <conditionalFormatting sqref="D576:BG576">
    <cfRule type="expression" dxfId="4" priority="2634">
      <formula>$K$447&lt;&gt;"Y"</formula>
    </cfRule>
  </conditionalFormatting>
  <conditionalFormatting sqref="D577:BG577">
    <cfRule type="expression" dxfId="4" priority="2637">
      <formula>$L$447&lt;&gt;"Y"</formula>
    </cfRule>
  </conditionalFormatting>
  <conditionalFormatting sqref="D578:BG578">
    <cfRule type="expression" dxfId="4" priority="2640">
      <formula>$M$447&lt;&gt;"Y"</formula>
    </cfRule>
  </conditionalFormatting>
  <conditionalFormatting sqref="D579:BG579">
    <cfRule type="expression" dxfId="4" priority="2643">
      <formula>$N$447&lt;&gt;"Y"</formula>
    </cfRule>
  </conditionalFormatting>
  <conditionalFormatting sqref="D57:BG57">
    <cfRule type="expression" dxfId="4" priority="475">
      <formula>$J$7&lt;&gt;"Y"</formula>
    </cfRule>
  </conditionalFormatting>
  <conditionalFormatting sqref="D580:BG580">
    <cfRule type="expression" dxfId="4" priority="2646">
      <formula>$O$447&lt;&gt;"Y"</formula>
    </cfRule>
  </conditionalFormatting>
  <conditionalFormatting sqref="D581:BG581">
    <cfRule type="expression" dxfId="4" priority="2649">
      <formula>$B$448&lt;&gt;"Y"</formula>
    </cfRule>
  </conditionalFormatting>
  <conditionalFormatting sqref="D582:BG582">
    <cfRule type="expression" dxfId="4" priority="2652">
      <formula>$C$448&lt;&gt;"Y"</formula>
    </cfRule>
  </conditionalFormatting>
  <conditionalFormatting sqref="D583:BG583">
    <cfRule type="expression" dxfId="4" priority="2655">
      <formula>$D$448&lt;&gt;"Y"</formula>
    </cfRule>
  </conditionalFormatting>
  <conditionalFormatting sqref="D584:BG584">
    <cfRule type="expression" dxfId="4" priority="2658">
      <formula>$E$448&lt;&gt;"Y"</formula>
    </cfRule>
  </conditionalFormatting>
  <conditionalFormatting sqref="D585:BG585">
    <cfRule type="expression" dxfId="4" priority="2661">
      <formula>$F$448&lt;&gt;"Y"</formula>
    </cfRule>
  </conditionalFormatting>
  <conditionalFormatting sqref="D586:BG586">
    <cfRule type="expression" dxfId="4" priority="2664">
      <formula>$G$448&lt;&gt;"Y"</formula>
    </cfRule>
  </conditionalFormatting>
  <conditionalFormatting sqref="D587:BG587">
    <cfRule type="expression" dxfId="4" priority="2667">
      <formula>$H$448&lt;&gt;"Y"</formula>
    </cfRule>
  </conditionalFormatting>
  <conditionalFormatting sqref="D588:BG588">
    <cfRule type="expression" dxfId="4" priority="2670">
      <formula>$I$448&lt;&gt;"Y"</formula>
    </cfRule>
  </conditionalFormatting>
  <conditionalFormatting sqref="D589:BG589">
    <cfRule type="expression" dxfId="4" priority="2673">
      <formula>$J$448&lt;&gt;"Y"</formula>
    </cfRule>
  </conditionalFormatting>
  <conditionalFormatting sqref="D58:BG58">
    <cfRule type="expression" dxfId="4" priority="478">
      <formula>$K$7&lt;&gt;"Y"</formula>
    </cfRule>
  </conditionalFormatting>
  <conditionalFormatting sqref="D590:BG590">
    <cfRule type="expression" dxfId="4" priority="2676">
      <formula>$K$448&lt;&gt;"Y"</formula>
    </cfRule>
  </conditionalFormatting>
  <conditionalFormatting sqref="D591:BG591">
    <cfRule type="expression" dxfId="4" priority="2679">
      <formula>$L$448&lt;&gt;"Y"</formula>
    </cfRule>
  </conditionalFormatting>
  <conditionalFormatting sqref="D592:BG592">
    <cfRule type="expression" dxfId="4" priority="2682">
      <formula>$M$448&lt;&gt;"Y"</formula>
    </cfRule>
  </conditionalFormatting>
  <conditionalFormatting sqref="D593:BG593">
    <cfRule type="expression" dxfId="4" priority="2685">
      <formula>$N$448&lt;&gt;"Y"</formula>
    </cfRule>
  </conditionalFormatting>
  <conditionalFormatting sqref="D594:BG594">
    <cfRule type="expression" dxfId="4" priority="2688">
      <formula>$O$448&lt;&gt;"Y"</formula>
    </cfRule>
  </conditionalFormatting>
  <conditionalFormatting sqref="D595:BG595">
    <cfRule type="expression" dxfId="4" priority="2691">
      <formula>$B$449&lt;&gt;"Y"</formula>
    </cfRule>
  </conditionalFormatting>
  <conditionalFormatting sqref="D596:BG596">
    <cfRule type="expression" dxfId="4" priority="2694">
      <formula>$C$449&lt;&gt;"Y"</formula>
    </cfRule>
  </conditionalFormatting>
  <conditionalFormatting sqref="D597:BG597">
    <cfRule type="expression" dxfId="4" priority="2697">
      <formula>$D$449&lt;&gt;"Y"</formula>
    </cfRule>
  </conditionalFormatting>
  <conditionalFormatting sqref="D598:BG598">
    <cfRule type="expression" dxfId="4" priority="2700">
      <formula>$E$449&lt;&gt;"Y"</formula>
    </cfRule>
  </conditionalFormatting>
  <conditionalFormatting sqref="D599:BG599">
    <cfRule type="expression" dxfId="4" priority="2703">
      <formula>$F$449&lt;&gt;"Y"</formula>
    </cfRule>
  </conditionalFormatting>
  <conditionalFormatting sqref="D59:BG59">
    <cfRule type="expression" dxfId="4" priority="481">
      <formula>$L$7&lt;&gt;"Y"</formula>
    </cfRule>
  </conditionalFormatting>
  <conditionalFormatting sqref="D6">
    <cfRule type="cellIs" dxfId="2" priority="29" operator="equal">
      <formula>"Y"</formula>
    </cfRule>
    <cfRule type="cellIs" dxfId="3" priority="30" operator="equal">
      <formula>"N"</formula>
    </cfRule>
  </conditionalFormatting>
  <conditionalFormatting sqref="D600:BG600">
    <cfRule type="expression" dxfId="4" priority="2706">
      <formula>$G$449&lt;&gt;"Y"</formula>
    </cfRule>
  </conditionalFormatting>
  <conditionalFormatting sqref="D601:BG601">
    <cfRule type="expression" dxfId="4" priority="2709">
      <formula>$H$449&lt;&gt;"Y"</formula>
    </cfRule>
  </conditionalFormatting>
  <conditionalFormatting sqref="D602:BG602">
    <cfRule type="expression" dxfId="4" priority="2712">
      <formula>$I$449&lt;&gt;"Y"</formula>
    </cfRule>
  </conditionalFormatting>
  <conditionalFormatting sqref="D603:BG603">
    <cfRule type="expression" dxfId="4" priority="2715">
      <formula>$J$449&lt;&gt;"Y"</formula>
    </cfRule>
  </conditionalFormatting>
  <conditionalFormatting sqref="D604:BG604">
    <cfRule type="expression" dxfId="4" priority="2718">
      <formula>$K$449&lt;&gt;"Y"</formula>
    </cfRule>
  </conditionalFormatting>
  <conditionalFormatting sqref="D605:BG605">
    <cfRule type="expression" dxfId="4" priority="2721">
      <formula>$L$449&lt;&gt;"Y"</formula>
    </cfRule>
  </conditionalFormatting>
  <conditionalFormatting sqref="D606:BG606">
    <cfRule type="expression" dxfId="4" priority="2724">
      <formula>$M$449&lt;&gt;"Y"</formula>
    </cfRule>
  </conditionalFormatting>
  <conditionalFormatting sqref="D607:BG607">
    <cfRule type="expression" dxfId="4" priority="2727">
      <formula>$N$449&lt;&gt;"Y"</formula>
    </cfRule>
  </conditionalFormatting>
  <conditionalFormatting sqref="D608:BG608">
    <cfRule type="expression" dxfId="4" priority="2730">
      <formula>$O$449&lt;&gt;"Y"</formula>
    </cfRule>
  </conditionalFormatting>
  <conditionalFormatting sqref="D609:BG609">
    <cfRule type="expression" dxfId="4" priority="2733">
      <formula>$B$450&lt;&gt;"Y"</formula>
    </cfRule>
  </conditionalFormatting>
  <conditionalFormatting sqref="D60:BG60">
    <cfRule type="expression" dxfId="4" priority="484">
      <formula>$M$7&lt;&gt;"Y"</formula>
    </cfRule>
  </conditionalFormatting>
  <conditionalFormatting sqref="D610:BG610">
    <cfRule type="expression" dxfId="4" priority="2736">
      <formula>$C$450&lt;&gt;"Y"</formula>
    </cfRule>
  </conditionalFormatting>
  <conditionalFormatting sqref="D611:BG611">
    <cfRule type="expression" dxfId="4" priority="2739">
      <formula>$D$450&lt;&gt;"Y"</formula>
    </cfRule>
  </conditionalFormatting>
  <conditionalFormatting sqref="D612:BG612">
    <cfRule type="expression" dxfId="4" priority="2742">
      <formula>$E$450&lt;&gt;"Y"</formula>
    </cfRule>
  </conditionalFormatting>
  <conditionalFormatting sqref="D613:BG613">
    <cfRule type="expression" dxfId="4" priority="2745">
      <formula>$F$450&lt;&gt;"Y"</formula>
    </cfRule>
  </conditionalFormatting>
  <conditionalFormatting sqref="D614:BG614">
    <cfRule type="expression" dxfId="4" priority="2748">
      <formula>$G$450&lt;&gt;"Y"</formula>
    </cfRule>
  </conditionalFormatting>
  <conditionalFormatting sqref="D615:BG615">
    <cfRule type="expression" dxfId="4" priority="2751">
      <formula>$H$450&lt;&gt;"Y"</formula>
    </cfRule>
  </conditionalFormatting>
  <conditionalFormatting sqref="D616:BG616">
    <cfRule type="expression" dxfId="4" priority="2754">
      <formula>$I$450&lt;&gt;"Y"</formula>
    </cfRule>
  </conditionalFormatting>
  <conditionalFormatting sqref="D617:BG617">
    <cfRule type="expression" dxfId="4" priority="2757">
      <formula>$J$450&lt;&gt;"Y"</formula>
    </cfRule>
  </conditionalFormatting>
  <conditionalFormatting sqref="D618:BG618">
    <cfRule type="expression" dxfId="4" priority="2760">
      <formula>$K$450&lt;&gt;"Y"</formula>
    </cfRule>
  </conditionalFormatting>
  <conditionalFormatting sqref="D619:BG619">
    <cfRule type="expression" dxfId="4" priority="2763">
      <formula>$L$450&lt;&gt;"Y"</formula>
    </cfRule>
  </conditionalFormatting>
  <conditionalFormatting sqref="D61:BG61">
    <cfRule type="expression" dxfId="4" priority="487">
      <formula>$N$7&lt;&gt;"Y"</formula>
    </cfRule>
  </conditionalFormatting>
  <conditionalFormatting sqref="D620:BG620">
    <cfRule type="expression" dxfId="4" priority="2766">
      <formula>$M$450&lt;&gt;"Y"</formula>
    </cfRule>
  </conditionalFormatting>
  <conditionalFormatting sqref="D621:BG621">
    <cfRule type="expression" dxfId="4" priority="2769">
      <formula>$N$450&lt;&gt;"Y"</formula>
    </cfRule>
  </conditionalFormatting>
  <conditionalFormatting sqref="D622:BG622">
    <cfRule type="expression" dxfId="4" priority="2772">
      <formula>$O$450&lt;&gt;"Y"</formula>
    </cfRule>
  </conditionalFormatting>
  <conditionalFormatting sqref="D623:BG623">
    <cfRule type="expression" dxfId="4" priority="2775">
      <formula>$B$451&lt;&gt;"Y"</formula>
    </cfRule>
  </conditionalFormatting>
  <conditionalFormatting sqref="D624:BG624">
    <cfRule type="expression" dxfId="4" priority="2778">
      <formula>$C$451&lt;&gt;"Y"</formula>
    </cfRule>
  </conditionalFormatting>
  <conditionalFormatting sqref="D625:BG625">
    <cfRule type="expression" dxfId="4" priority="2781">
      <formula>$D$451&lt;&gt;"Y"</formula>
    </cfRule>
  </conditionalFormatting>
  <conditionalFormatting sqref="D626:BG626">
    <cfRule type="expression" dxfId="4" priority="2784">
      <formula>$E$451&lt;&gt;"Y"</formula>
    </cfRule>
  </conditionalFormatting>
  <conditionalFormatting sqref="D627:BG627">
    <cfRule type="expression" dxfId="4" priority="2787">
      <formula>$F$451&lt;&gt;"Y"</formula>
    </cfRule>
  </conditionalFormatting>
  <conditionalFormatting sqref="D628:BG628">
    <cfRule type="expression" dxfId="4" priority="2790">
      <formula>$G$451&lt;&gt;"Y"</formula>
    </cfRule>
  </conditionalFormatting>
  <conditionalFormatting sqref="D629:BG629">
    <cfRule type="expression" dxfId="4" priority="2793">
      <formula>$H$451&lt;&gt;"Y"</formula>
    </cfRule>
  </conditionalFormatting>
  <conditionalFormatting sqref="D62:BG62">
    <cfRule type="expression" dxfId="4" priority="490">
      <formula>$O$7&lt;&gt;"Y"</formula>
    </cfRule>
  </conditionalFormatting>
  <conditionalFormatting sqref="D630:BG630">
    <cfRule type="expression" dxfId="4" priority="2796">
      <formula>$I$451&lt;&gt;"Y"</formula>
    </cfRule>
  </conditionalFormatting>
  <conditionalFormatting sqref="D631:BG631">
    <cfRule type="expression" dxfId="4" priority="2799">
      <formula>$J$451&lt;&gt;"Y"</formula>
    </cfRule>
  </conditionalFormatting>
  <conditionalFormatting sqref="D632:BG632">
    <cfRule type="expression" dxfId="4" priority="2802">
      <formula>$K$451&lt;&gt;"Y"</formula>
    </cfRule>
  </conditionalFormatting>
  <conditionalFormatting sqref="D633:BG633">
    <cfRule type="expression" dxfId="4" priority="2805">
      <formula>$L$451&lt;&gt;"Y"</formula>
    </cfRule>
  </conditionalFormatting>
  <conditionalFormatting sqref="D634:BG634">
    <cfRule type="expression" dxfId="4" priority="2808">
      <formula>$M$451&lt;&gt;"Y"</formula>
    </cfRule>
  </conditionalFormatting>
  <conditionalFormatting sqref="D635:BG635">
    <cfRule type="expression" dxfId="4" priority="2811">
      <formula>$N$451&lt;&gt;"Y"</formula>
    </cfRule>
  </conditionalFormatting>
  <conditionalFormatting sqref="D636:BG636">
    <cfRule type="expression" dxfId="4" priority="2814">
      <formula>$O$451&lt;&gt;"Y"</formula>
    </cfRule>
  </conditionalFormatting>
  <conditionalFormatting sqref="D637:BG637">
    <cfRule type="expression" dxfId="4" priority="2817">
      <formula>$B$452&lt;&gt;"Y"</formula>
    </cfRule>
  </conditionalFormatting>
  <conditionalFormatting sqref="D638:BG638">
    <cfRule type="expression" dxfId="4" priority="2820">
      <formula>$C$452&lt;&gt;"Y"</formula>
    </cfRule>
  </conditionalFormatting>
  <conditionalFormatting sqref="D639:BG639">
    <cfRule type="expression" dxfId="4" priority="2823">
      <formula>$D$452&lt;&gt;"Y"</formula>
    </cfRule>
  </conditionalFormatting>
  <conditionalFormatting sqref="D63:BG63">
    <cfRule type="expression" dxfId="4" priority="493">
      <formula>$B$8&lt;&gt;"Y"</formula>
    </cfRule>
  </conditionalFormatting>
  <conditionalFormatting sqref="D640:BG640">
    <cfRule type="expression" dxfId="4" priority="2826">
      <formula>$E$452&lt;&gt;"Y"</formula>
    </cfRule>
  </conditionalFormatting>
  <conditionalFormatting sqref="D641:BG641">
    <cfRule type="expression" dxfId="4" priority="2829">
      <formula>$F$452&lt;&gt;"Y"</formula>
    </cfRule>
  </conditionalFormatting>
  <conditionalFormatting sqref="D642:BG642">
    <cfRule type="expression" dxfId="4" priority="2832">
      <formula>$G$452&lt;&gt;"Y"</formula>
    </cfRule>
  </conditionalFormatting>
  <conditionalFormatting sqref="D643:BG643">
    <cfRule type="expression" dxfId="4" priority="2835">
      <formula>$H$452&lt;&gt;"Y"</formula>
    </cfRule>
  </conditionalFormatting>
  <conditionalFormatting sqref="D644:BG644">
    <cfRule type="expression" dxfId="4" priority="2838">
      <formula>$I$452&lt;&gt;"Y"</formula>
    </cfRule>
  </conditionalFormatting>
  <conditionalFormatting sqref="D645:BG645">
    <cfRule type="expression" dxfId="4" priority="2841">
      <formula>$J$452&lt;&gt;"Y"</formula>
    </cfRule>
  </conditionalFormatting>
  <conditionalFormatting sqref="D646:BG646">
    <cfRule type="expression" dxfId="4" priority="2844">
      <formula>$K$452&lt;&gt;"Y"</formula>
    </cfRule>
  </conditionalFormatting>
  <conditionalFormatting sqref="D647:BG647">
    <cfRule type="expression" dxfId="4" priority="2847">
      <formula>$L$452&lt;&gt;"Y"</formula>
    </cfRule>
  </conditionalFormatting>
  <conditionalFormatting sqref="D648:BG648">
    <cfRule type="expression" dxfId="4" priority="2850">
      <formula>$M$452&lt;&gt;"Y"</formula>
    </cfRule>
  </conditionalFormatting>
  <conditionalFormatting sqref="D649:BG649">
    <cfRule type="expression" dxfId="4" priority="2853">
      <formula>$N$452&lt;&gt;"Y"</formula>
    </cfRule>
  </conditionalFormatting>
  <conditionalFormatting sqref="D64:BG64">
    <cfRule type="expression" dxfId="4" priority="496">
      <formula>$C$8&lt;&gt;"Y"</formula>
    </cfRule>
  </conditionalFormatting>
  <conditionalFormatting sqref="D650:BG650">
    <cfRule type="expression" dxfId="4" priority="2856">
      <formula>$O$452&lt;&gt;"Y"</formula>
    </cfRule>
  </conditionalFormatting>
  <conditionalFormatting sqref="D65:BG65">
    <cfRule type="expression" dxfId="4" priority="499">
      <formula>$D$8&lt;&gt;"Y"</formula>
    </cfRule>
  </conditionalFormatting>
  <conditionalFormatting sqref="D66:BG66">
    <cfRule type="expression" dxfId="4" priority="502">
      <formula>$E$8&lt;&gt;"Y"</formula>
    </cfRule>
  </conditionalFormatting>
  <conditionalFormatting sqref="D67:BG67">
    <cfRule type="expression" dxfId="4" priority="505">
      <formula>$F$8&lt;&gt;"Y"</formula>
    </cfRule>
  </conditionalFormatting>
  <conditionalFormatting sqref="D68:BG68">
    <cfRule type="expression" dxfId="4" priority="508">
      <formula>$G$8&lt;&gt;"Y"</formula>
    </cfRule>
  </conditionalFormatting>
  <conditionalFormatting sqref="D69:BG69">
    <cfRule type="expression" dxfId="4" priority="511">
      <formula>$H$8&lt;&gt;"Y"</formula>
    </cfRule>
  </conditionalFormatting>
  <conditionalFormatting sqref="D70:BG70">
    <cfRule type="expression" dxfId="4" priority="514">
      <formula>$I$8&lt;&gt;"Y"</formula>
    </cfRule>
  </conditionalFormatting>
  <conditionalFormatting sqref="D71:BG71">
    <cfRule type="expression" dxfId="4" priority="517">
      <formula>$J$8&lt;&gt;"Y"</formula>
    </cfRule>
  </conditionalFormatting>
  <conditionalFormatting sqref="D72:BG72">
    <cfRule type="expression" dxfId="4" priority="520">
      <formula>$K$8&lt;&gt;"Y"</formula>
    </cfRule>
  </conditionalFormatting>
  <conditionalFormatting sqref="D73:BG73">
    <cfRule type="expression" dxfId="4" priority="523">
      <formula>$L$8&lt;&gt;"Y"</formula>
    </cfRule>
  </conditionalFormatting>
  <conditionalFormatting sqref="D74:BG74">
    <cfRule type="expression" dxfId="4" priority="526">
      <formula>$M$8&lt;&gt;"Y"</formula>
    </cfRule>
  </conditionalFormatting>
  <conditionalFormatting sqref="D75:BG75">
    <cfRule type="expression" dxfId="4" priority="529">
      <formula>$N$8&lt;&gt;"Y"</formula>
    </cfRule>
  </conditionalFormatting>
  <conditionalFormatting sqref="D76:BG76">
    <cfRule type="expression" dxfId="4" priority="532">
      <formula>$O$8&lt;&gt;"Y"</formula>
    </cfRule>
  </conditionalFormatting>
  <conditionalFormatting sqref="D77:BG77">
    <cfRule type="expression" dxfId="4" priority="535">
      <formula>$B$9&lt;&gt;"Y"</formula>
    </cfRule>
  </conditionalFormatting>
  <conditionalFormatting sqref="D78:BG78">
    <cfRule type="expression" dxfId="4" priority="538">
      <formula>$C$9&lt;&gt;"Y"</formula>
    </cfRule>
  </conditionalFormatting>
  <conditionalFormatting sqref="D79:BG79">
    <cfRule type="expression" dxfId="4" priority="541">
      <formula>$D$9&lt;&gt;"Y"</formula>
    </cfRule>
  </conditionalFormatting>
  <conditionalFormatting sqref="D8">
    <cfRule type="cellIs" dxfId="2" priority="83" operator="equal">
      <formula>"Y"</formula>
    </cfRule>
    <cfRule type="cellIs" dxfId="3" priority="84" operator="equal">
      <formula>"N"</formula>
    </cfRule>
  </conditionalFormatting>
  <conditionalFormatting sqref="D80:BG80">
    <cfRule type="expression" dxfId="4" priority="544">
      <formula>$E$9&lt;&gt;"Y"</formula>
    </cfRule>
  </conditionalFormatting>
  <conditionalFormatting sqref="D81:BG81">
    <cfRule type="expression" dxfId="4" priority="547">
      <formula>$F$9&lt;&gt;"Y"</formula>
    </cfRule>
  </conditionalFormatting>
  <conditionalFormatting sqref="D82:BG82">
    <cfRule type="expression" dxfId="4" priority="550">
      <formula>$G$9&lt;&gt;"Y"</formula>
    </cfRule>
  </conditionalFormatting>
  <conditionalFormatting sqref="D83:BG83">
    <cfRule type="expression" dxfId="4" priority="553">
      <formula>$H$9&lt;&gt;"Y"</formula>
    </cfRule>
  </conditionalFormatting>
  <conditionalFormatting sqref="D84:BG84">
    <cfRule type="expression" dxfId="4" priority="556">
      <formula>$I$9&lt;&gt;"Y"</formula>
    </cfRule>
  </conditionalFormatting>
  <conditionalFormatting sqref="D85:BG85">
    <cfRule type="expression" dxfId="4" priority="559">
      <formula>$J$9&lt;&gt;"Y"</formula>
    </cfRule>
  </conditionalFormatting>
  <conditionalFormatting sqref="D86:BG86">
    <cfRule type="expression" dxfId="4" priority="562">
      <formula>$K$9&lt;&gt;"Y"</formula>
    </cfRule>
  </conditionalFormatting>
  <conditionalFormatting sqref="D87:BG87">
    <cfRule type="expression" dxfId="4" priority="565">
      <formula>$L$9&lt;&gt;"Y"</formula>
    </cfRule>
  </conditionalFormatting>
  <conditionalFormatting sqref="D88:BG88">
    <cfRule type="expression" dxfId="4" priority="568">
      <formula>$M$9&lt;&gt;"Y"</formula>
    </cfRule>
  </conditionalFormatting>
  <conditionalFormatting sqref="D89:BG89">
    <cfRule type="expression" dxfId="4" priority="571">
      <formula>$N$9&lt;&gt;"Y"</formula>
    </cfRule>
  </conditionalFormatting>
  <conditionalFormatting sqref="D9">
    <cfRule type="cellIs" dxfId="2" priority="109" operator="equal">
      <formula>"Y"</formula>
    </cfRule>
    <cfRule type="cellIs" dxfId="3" priority="110" operator="equal">
      <formula>"N"</formula>
    </cfRule>
  </conditionalFormatting>
  <conditionalFormatting sqref="D90:BG90">
    <cfRule type="expression" dxfId="4" priority="574">
      <formula>$O$9&lt;&gt;"Y"</formula>
    </cfRule>
  </conditionalFormatting>
  <conditionalFormatting sqref="D91:BG91">
    <cfRule type="expression" dxfId="4" priority="577">
      <formula>$B$10&lt;&gt;"Y"</formula>
    </cfRule>
  </conditionalFormatting>
  <conditionalFormatting sqref="D92:BG92">
    <cfRule type="expression" dxfId="4" priority="580">
      <formula>$C$10&lt;&gt;"Y"</formula>
    </cfRule>
  </conditionalFormatting>
  <conditionalFormatting sqref="D93:BG93">
    <cfRule type="expression" dxfId="4" priority="583">
      <formula>$D$10&lt;&gt;"Y"</formula>
    </cfRule>
  </conditionalFormatting>
  <conditionalFormatting sqref="D94:BG94">
    <cfRule type="expression" dxfId="4" priority="586">
      <formula>$E$10&lt;&gt;"Y"</formula>
    </cfRule>
  </conditionalFormatting>
  <conditionalFormatting sqref="D95:BG95">
    <cfRule type="expression" dxfId="4" priority="589">
      <formula>$F$10&lt;&gt;"Y"</formula>
    </cfRule>
  </conditionalFormatting>
  <conditionalFormatting sqref="D96:BG96">
    <cfRule type="expression" dxfId="4" priority="592">
      <formula>$G$10&lt;&gt;"Y"</formula>
    </cfRule>
  </conditionalFormatting>
  <conditionalFormatting sqref="D97:BG97">
    <cfRule type="expression" dxfId="4" priority="595">
      <formula>$H$10&lt;&gt;"Y"</formula>
    </cfRule>
  </conditionalFormatting>
  <conditionalFormatting sqref="D98:BG98">
    <cfRule type="expression" dxfId="4" priority="598">
      <formula>$I$10&lt;&gt;"Y"</formula>
    </cfRule>
  </conditionalFormatting>
  <conditionalFormatting sqref="D99:BG99">
    <cfRule type="expression" dxfId="4" priority="601">
      <formula>$J$10&lt;&gt;"Y"</formula>
    </cfRule>
  </conditionalFormatting>
  <conditionalFormatting sqref="E10">
    <cfRule type="cellIs" dxfId="2" priority="137" operator="equal">
      <formula>"Y"</formula>
    </cfRule>
    <cfRule type="cellIs" dxfId="3" priority="138" operator="equal">
      <formula>"N"</formula>
    </cfRule>
  </conditionalFormatting>
  <conditionalFormatting sqref="E11">
    <cfRule type="cellIs" dxfId="2" priority="163" operator="equal">
      <formula>"Y"</formula>
    </cfRule>
    <cfRule type="cellIs" dxfId="3" priority="164" operator="equal">
      <formula>"N"</formula>
    </cfRule>
  </conditionalFormatting>
  <conditionalFormatting sqref="E12">
    <cfRule type="cellIs" dxfId="2" priority="189" operator="equal">
      <formula>"Y"</formula>
    </cfRule>
    <cfRule type="cellIs" dxfId="3" priority="190" operator="equal">
      <formula>"N"</formula>
    </cfRule>
  </conditionalFormatting>
  <conditionalFormatting sqref="E13">
    <cfRule type="cellIs" dxfId="2" priority="215" operator="equal">
      <formula>"Y"</formula>
    </cfRule>
    <cfRule type="cellIs" dxfId="3" priority="216" operator="equal">
      <formula>"N"</formula>
    </cfRule>
  </conditionalFormatting>
  <conditionalFormatting sqref="E14">
    <cfRule type="cellIs" dxfId="2" priority="241" operator="equal">
      <formula>"Y"</formula>
    </cfRule>
    <cfRule type="cellIs" dxfId="3" priority="242" operator="equal">
      <formula>"N"</formula>
    </cfRule>
  </conditionalFormatting>
  <conditionalFormatting sqref="E15">
    <cfRule type="cellIs" dxfId="2" priority="267" operator="equal">
      <formula>"Y"</formula>
    </cfRule>
    <cfRule type="cellIs" dxfId="3" priority="268" operator="equal">
      <formula>"N"</formula>
    </cfRule>
  </conditionalFormatting>
  <conditionalFormatting sqref="E16">
    <cfRule type="cellIs" dxfId="2" priority="293" operator="equal">
      <formula>"Y"</formula>
    </cfRule>
    <cfRule type="cellIs" dxfId="3" priority="294" operator="equal">
      <formula>"N"</formula>
    </cfRule>
  </conditionalFormatting>
  <conditionalFormatting sqref="E17">
    <cfRule type="cellIs" dxfId="2" priority="319" operator="equal">
      <formula>"Y"</formula>
    </cfRule>
    <cfRule type="cellIs" dxfId="3" priority="320" operator="equal">
      <formula>"N"</formula>
    </cfRule>
  </conditionalFormatting>
  <conditionalFormatting sqref="E18">
    <cfRule type="cellIs" dxfId="2" priority="345" operator="equal">
      <formula>"Y"</formula>
    </cfRule>
    <cfRule type="cellIs" dxfId="3" priority="346" operator="equal">
      <formula>"N"</formula>
    </cfRule>
  </conditionalFormatting>
  <conditionalFormatting sqref="E222">
    <cfRule type="cellIs" dxfId="2" priority="957" operator="equal">
      <formula>"Y"</formula>
    </cfRule>
    <cfRule type="cellIs" dxfId="3" priority="958" operator="equal">
      <formula>"N"</formula>
    </cfRule>
  </conditionalFormatting>
  <conditionalFormatting sqref="E223">
    <cfRule type="cellIs" dxfId="2" priority="983" operator="equal">
      <formula>"Y"</formula>
    </cfRule>
    <cfRule type="cellIs" dxfId="3" priority="984" operator="equal">
      <formula>"N"</formula>
    </cfRule>
  </conditionalFormatting>
  <conditionalFormatting sqref="E224">
    <cfRule type="cellIs" dxfId="2" priority="1009" operator="equal">
      <formula>"Y"</formula>
    </cfRule>
    <cfRule type="cellIs" dxfId="3" priority="1010" operator="equal">
      <formula>"N"</formula>
    </cfRule>
  </conditionalFormatting>
  <conditionalFormatting sqref="E226">
    <cfRule type="cellIs" dxfId="2" priority="1063" operator="equal">
      <formula>"Y"</formula>
    </cfRule>
    <cfRule type="cellIs" dxfId="3" priority="1064" operator="equal">
      <formula>"N"</formula>
    </cfRule>
  </conditionalFormatting>
  <conditionalFormatting sqref="E227">
    <cfRule type="cellIs" dxfId="2" priority="1089" operator="equal">
      <formula>"Y"</formula>
    </cfRule>
    <cfRule type="cellIs" dxfId="3" priority="1090" operator="equal">
      <formula>"N"</formula>
    </cfRule>
  </conditionalFormatting>
  <conditionalFormatting sqref="E228">
    <cfRule type="cellIs" dxfId="2" priority="1115" operator="equal">
      <formula>"Y"</formula>
    </cfRule>
    <cfRule type="cellIs" dxfId="3" priority="1116" operator="equal">
      <formula>"N"</formula>
    </cfRule>
  </conditionalFormatting>
  <conditionalFormatting sqref="E229">
    <cfRule type="cellIs" dxfId="2" priority="1141" operator="equal">
      <formula>"Y"</formula>
    </cfRule>
    <cfRule type="cellIs" dxfId="3" priority="1142" operator="equal">
      <formula>"N"</formula>
    </cfRule>
  </conditionalFormatting>
  <conditionalFormatting sqref="E230">
    <cfRule type="cellIs" dxfId="2" priority="1167" operator="equal">
      <formula>"Y"</formula>
    </cfRule>
    <cfRule type="cellIs" dxfId="3" priority="1168" operator="equal">
      <formula>"N"</formula>
    </cfRule>
  </conditionalFormatting>
  <conditionalFormatting sqref="E231">
    <cfRule type="cellIs" dxfId="2" priority="1193" operator="equal">
      <formula>"Y"</formula>
    </cfRule>
    <cfRule type="cellIs" dxfId="3" priority="1194" operator="equal">
      <formula>"N"</formula>
    </cfRule>
  </conditionalFormatting>
  <conditionalFormatting sqref="E232">
    <cfRule type="cellIs" dxfId="2" priority="1219" operator="equal">
      <formula>"Y"</formula>
    </cfRule>
    <cfRule type="cellIs" dxfId="3" priority="1220" operator="equal">
      <formula>"N"</formula>
    </cfRule>
  </conditionalFormatting>
  <conditionalFormatting sqref="E233">
    <cfRule type="cellIs" dxfId="2" priority="1245" operator="equal">
      <formula>"Y"</formula>
    </cfRule>
    <cfRule type="cellIs" dxfId="3" priority="1246" operator="equal">
      <formula>"N"</formula>
    </cfRule>
  </conditionalFormatting>
  <conditionalFormatting sqref="E234">
    <cfRule type="cellIs" dxfId="2" priority="1271" operator="equal">
      <formula>"Y"</formula>
    </cfRule>
    <cfRule type="cellIs" dxfId="3" priority="1272" operator="equal">
      <formula>"N"</formula>
    </cfRule>
  </conditionalFormatting>
  <conditionalFormatting sqref="E235">
    <cfRule type="cellIs" dxfId="2" priority="1297" operator="equal">
      <formula>"Y"</formula>
    </cfRule>
    <cfRule type="cellIs" dxfId="3" priority="1298" operator="equal">
      <formula>"N"</formula>
    </cfRule>
  </conditionalFormatting>
  <conditionalFormatting sqref="E439">
    <cfRule type="cellIs" dxfId="2" priority="1909" operator="equal">
      <formula>"Y"</formula>
    </cfRule>
    <cfRule type="cellIs" dxfId="3" priority="1910" operator="equal">
      <formula>"N"</formula>
    </cfRule>
  </conditionalFormatting>
  <conditionalFormatting sqref="E440">
    <cfRule type="cellIs" dxfId="2" priority="1935" operator="equal">
      <formula>"Y"</formula>
    </cfRule>
    <cfRule type="cellIs" dxfId="3" priority="1936" operator="equal">
      <formula>"N"</formula>
    </cfRule>
  </conditionalFormatting>
  <conditionalFormatting sqref="E441">
    <cfRule type="cellIs" dxfId="2" priority="1961" operator="equal">
      <formula>"Y"</formula>
    </cfRule>
    <cfRule type="cellIs" dxfId="3" priority="1962" operator="equal">
      <formula>"N"</formula>
    </cfRule>
  </conditionalFormatting>
  <conditionalFormatting sqref="E443">
    <cfRule type="cellIs" dxfId="2" priority="2015" operator="equal">
      <formula>"Y"</formula>
    </cfRule>
    <cfRule type="cellIs" dxfId="3" priority="2016" operator="equal">
      <formula>"N"</formula>
    </cfRule>
  </conditionalFormatting>
  <conditionalFormatting sqref="E444">
    <cfRule type="cellIs" dxfId="2" priority="2041" operator="equal">
      <formula>"Y"</formula>
    </cfRule>
    <cfRule type="cellIs" dxfId="3" priority="2042" operator="equal">
      <formula>"N"</formula>
    </cfRule>
  </conditionalFormatting>
  <conditionalFormatting sqref="E445">
    <cfRule type="cellIs" dxfId="2" priority="2067" operator="equal">
      <formula>"Y"</formula>
    </cfRule>
    <cfRule type="cellIs" dxfId="3" priority="2068" operator="equal">
      <formula>"N"</formula>
    </cfRule>
  </conditionalFormatting>
  <conditionalFormatting sqref="E446">
    <cfRule type="cellIs" dxfId="2" priority="2093" operator="equal">
      <formula>"Y"</formula>
    </cfRule>
    <cfRule type="cellIs" dxfId="3" priority="2094" operator="equal">
      <formula>"N"</formula>
    </cfRule>
  </conditionalFormatting>
  <conditionalFormatting sqref="E447">
    <cfRule type="cellIs" dxfId="2" priority="2119" operator="equal">
      <formula>"Y"</formula>
    </cfRule>
    <cfRule type="cellIs" dxfId="3" priority="2120" operator="equal">
      <formula>"N"</formula>
    </cfRule>
  </conditionalFormatting>
  <conditionalFormatting sqref="E448">
    <cfRule type="cellIs" dxfId="2" priority="2145" operator="equal">
      <formula>"Y"</formula>
    </cfRule>
    <cfRule type="cellIs" dxfId="3" priority="2146" operator="equal">
      <formula>"N"</formula>
    </cfRule>
  </conditionalFormatting>
  <conditionalFormatting sqref="E449">
    <cfRule type="cellIs" dxfId="2" priority="2171" operator="equal">
      <formula>"Y"</formula>
    </cfRule>
    <cfRule type="cellIs" dxfId="3" priority="2172" operator="equal">
      <formula>"N"</formula>
    </cfRule>
  </conditionalFormatting>
  <conditionalFormatting sqref="E450">
    <cfRule type="cellIs" dxfId="2" priority="2197" operator="equal">
      <formula>"Y"</formula>
    </cfRule>
    <cfRule type="cellIs" dxfId="3" priority="2198" operator="equal">
      <formula>"N"</formula>
    </cfRule>
  </conditionalFormatting>
  <conditionalFormatting sqref="E451">
    <cfRule type="cellIs" dxfId="2" priority="2223" operator="equal">
      <formula>"Y"</formula>
    </cfRule>
    <cfRule type="cellIs" dxfId="3" priority="2224" operator="equal">
      <formula>"N"</formula>
    </cfRule>
  </conditionalFormatting>
  <conditionalFormatting sqref="E452">
    <cfRule type="cellIs" dxfId="2" priority="2249" operator="equal">
      <formula>"Y"</formula>
    </cfRule>
    <cfRule type="cellIs" dxfId="3" priority="2250" operator="equal">
      <formula>"N"</formula>
    </cfRule>
  </conditionalFormatting>
  <conditionalFormatting sqref="E5">
    <cfRule type="cellIs" dxfId="2" priority="5" operator="equal">
      <formula>"Y"</formula>
    </cfRule>
    <cfRule type="cellIs" dxfId="3" priority="6" operator="equal">
      <formula>"N"</formula>
    </cfRule>
  </conditionalFormatting>
  <conditionalFormatting sqref="E6">
    <cfRule type="cellIs" dxfId="2" priority="31" operator="equal">
      <formula>"Y"</formula>
    </cfRule>
    <cfRule type="cellIs" dxfId="3" priority="32" operator="equal">
      <formula>"N"</formula>
    </cfRule>
  </conditionalFormatting>
  <conditionalFormatting sqref="E7">
    <cfRule type="cellIs" dxfId="2" priority="57" operator="equal">
      <formula>"Y"</formula>
    </cfRule>
    <cfRule type="cellIs" dxfId="3" priority="58" operator="equal">
      <formula>"N"</formula>
    </cfRule>
  </conditionalFormatting>
  <conditionalFormatting sqref="E9">
    <cfRule type="cellIs" dxfId="2" priority="111" operator="equal">
      <formula>"Y"</formula>
    </cfRule>
    <cfRule type="cellIs" dxfId="3" priority="112" operator="equal">
      <formula>"N"</formula>
    </cfRule>
  </conditionalFormatting>
  <conditionalFormatting sqref="F10">
    <cfRule type="cellIs" dxfId="2" priority="139" operator="equal">
      <formula>"Y"</formula>
    </cfRule>
    <cfRule type="cellIs" dxfId="3" priority="140" operator="equal">
      <formula>"N"</formula>
    </cfRule>
  </conditionalFormatting>
  <conditionalFormatting sqref="F11">
    <cfRule type="cellIs" dxfId="2" priority="165" operator="equal">
      <formula>"Y"</formula>
    </cfRule>
    <cfRule type="cellIs" dxfId="3" priority="166" operator="equal">
      <formula>"N"</formula>
    </cfRule>
  </conditionalFormatting>
  <conditionalFormatting sqref="F12">
    <cfRule type="cellIs" dxfId="2" priority="191" operator="equal">
      <formula>"Y"</formula>
    </cfRule>
    <cfRule type="cellIs" dxfId="3" priority="192" operator="equal">
      <formula>"N"</formula>
    </cfRule>
  </conditionalFormatting>
  <conditionalFormatting sqref="F13">
    <cfRule type="cellIs" dxfId="2" priority="217" operator="equal">
      <formula>"Y"</formula>
    </cfRule>
    <cfRule type="cellIs" dxfId="3" priority="218" operator="equal">
      <formula>"N"</formula>
    </cfRule>
  </conditionalFormatting>
  <conditionalFormatting sqref="F14">
    <cfRule type="cellIs" dxfId="2" priority="243" operator="equal">
      <formula>"Y"</formula>
    </cfRule>
    <cfRule type="cellIs" dxfId="3" priority="244" operator="equal">
      <formula>"N"</formula>
    </cfRule>
  </conditionalFormatting>
  <conditionalFormatting sqref="F15">
    <cfRule type="cellIs" dxfId="2" priority="269" operator="equal">
      <formula>"Y"</formula>
    </cfRule>
    <cfRule type="cellIs" dxfId="3" priority="270" operator="equal">
      <formula>"N"</formula>
    </cfRule>
  </conditionalFormatting>
  <conditionalFormatting sqref="F16">
    <cfRule type="cellIs" dxfId="2" priority="295" operator="equal">
      <formula>"Y"</formula>
    </cfRule>
    <cfRule type="cellIs" dxfId="3" priority="296" operator="equal">
      <formula>"N"</formula>
    </cfRule>
  </conditionalFormatting>
  <conditionalFormatting sqref="F17">
    <cfRule type="cellIs" dxfId="2" priority="321" operator="equal">
      <formula>"Y"</formula>
    </cfRule>
    <cfRule type="cellIs" dxfId="3" priority="322" operator="equal">
      <formula>"N"</formula>
    </cfRule>
  </conditionalFormatting>
  <conditionalFormatting sqref="F18">
    <cfRule type="cellIs" dxfId="2" priority="347" operator="equal">
      <formula>"Y"</formula>
    </cfRule>
    <cfRule type="cellIs" dxfId="3" priority="348" operator="equal">
      <formula>"N"</formula>
    </cfRule>
  </conditionalFormatting>
  <conditionalFormatting sqref="F222">
    <cfRule type="cellIs" dxfId="2" priority="959" operator="equal">
      <formula>"Y"</formula>
    </cfRule>
    <cfRule type="cellIs" dxfId="3" priority="960" operator="equal">
      <formula>"N"</formula>
    </cfRule>
  </conditionalFormatting>
  <conditionalFormatting sqref="F223">
    <cfRule type="cellIs" dxfId="2" priority="985" operator="equal">
      <formula>"Y"</formula>
    </cfRule>
    <cfRule type="cellIs" dxfId="3" priority="986" operator="equal">
      <formula>"N"</formula>
    </cfRule>
  </conditionalFormatting>
  <conditionalFormatting sqref="F224">
    <cfRule type="cellIs" dxfId="2" priority="1011" operator="equal">
      <formula>"Y"</formula>
    </cfRule>
    <cfRule type="cellIs" dxfId="3" priority="1012" operator="equal">
      <formula>"N"</formula>
    </cfRule>
  </conditionalFormatting>
  <conditionalFormatting sqref="F225">
    <cfRule type="cellIs" dxfId="2" priority="1037" operator="equal">
      <formula>"Y"</formula>
    </cfRule>
    <cfRule type="cellIs" dxfId="3" priority="1038" operator="equal">
      <formula>"N"</formula>
    </cfRule>
  </conditionalFormatting>
  <conditionalFormatting sqref="F227">
    <cfRule type="cellIs" dxfId="2" priority="1091" operator="equal">
      <formula>"Y"</formula>
    </cfRule>
    <cfRule type="cellIs" dxfId="3" priority="1092" operator="equal">
      <formula>"N"</formula>
    </cfRule>
  </conditionalFormatting>
  <conditionalFormatting sqref="F228">
    <cfRule type="cellIs" dxfId="2" priority="1117" operator="equal">
      <formula>"Y"</formula>
    </cfRule>
    <cfRule type="cellIs" dxfId="3" priority="1118" operator="equal">
      <formula>"N"</formula>
    </cfRule>
  </conditionalFormatting>
  <conditionalFormatting sqref="F229">
    <cfRule type="cellIs" dxfId="2" priority="1143" operator="equal">
      <formula>"Y"</formula>
    </cfRule>
    <cfRule type="cellIs" dxfId="3" priority="1144" operator="equal">
      <formula>"N"</formula>
    </cfRule>
  </conditionalFormatting>
  <conditionalFormatting sqref="F230">
    <cfRule type="cellIs" dxfId="2" priority="1169" operator="equal">
      <formula>"Y"</formula>
    </cfRule>
    <cfRule type="cellIs" dxfId="3" priority="1170" operator="equal">
      <formula>"N"</formula>
    </cfRule>
  </conditionalFormatting>
  <conditionalFormatting sqref="F231">
    <cfRule type="cellIs" dxfId="2" priority="1195" operator="equal">
      <formula>"Y"</formula>
    </cfRule>
    <cfRule type="cellIs" dxfId="3" priority="1196" operator="equal">
      <formula>"N"</formula>
    </cfRule>
  </conditionalFormatting>
  <conditionalFormatting sqref="F232">
    <cfRule type="cellIs" dxfId="2" priority="1221" operator="equal">
      <formula>"Y"</formula>
    </cfRule>
    <cfRule type="cellIs" dxfId="3" priority="1222" operator="equal">
      <formula>"N"</formula>
    </cfRule>
  </conditionalFormatting>
  <conditionalFormatting sqref="F233">
    <cfRule type="cellIs" dxfId="2" priority="1247" operator="equal">
      <formula>"Y"</formula>
    </cfRule>
    <cfRule type="cellIs" dxfId="3" priority="1248" operator="equal">
      <formula>"N"</formula>
    </cfRule>
  </conditionalFormatting>
  <conditionalFormatting sqref="F234">
    <cfRule type="cellIs" dxfId="2" priority="1273" operator="equal">
      <formula>"Y"</formula>
    </cfRule>
    <cfRule type="cellIs" dxfId="3" priority="1274" operator="equal">
      <formula>"N"</formula>
    </cfRule>
  </conditionalFormatting>
  <conditionalFormatting sqref="F235">
    <cfRule type="cellIs" dxfId="2" priority="1299" operator="equal">
      <formula>"Y"</formula>
    </cfRule>
    <cfRule type="cellIs" dxfId="3" priority="1300" operator="equal">
      <formula>"N"</formula>
    </cfRule>
  </conditionalFormatting>
  <conditionalFormatting sqref="F439">
    <cfRule type="cellIs" dxfId="2" priority="1911" operator="equal">
      <formula>"Y"</formula>
    </cfRule>
    <cfRule type="cellIs" dxfId="3" priority="1912" operator="equal">
      <formula>"N"</formula>
    </cfRule>
  </conditionalFormatting>
  <conditionalFormatting sqref="F440">
    <cfRule type="cellIs" dxfId="2" priority="1937" operator="equal">
      <formula>"Y"</formula>
    </cfRule>
    <cfRule type="cellIs" dxfId="3" priority="1938" operator="equal">
      <formula>"N"</formula>
    </cfRule>
  </conditionalFormatting>
  <conditionalFormatting sqref="F441">
    <cfRule type="cellIs" dxfId="2" priority="1963" operator="equal">
      <formula>"Y"</formula>
    </cfRule>
    <cfRule type="cellIs" dxfId="3" priority="1964" operator="equal">
      <formula>"N"</formula>
    </cfRule>
  </conditionalFormatting>
  <conditionalFormatting sqref="F442">
    <cfRule type="cellIs" dxfId="2" priority="1989" operator="equal">
      <formula>"Y"</formula>
    </cfRule>
    <cfRule type="cellIs" dxfId="3" priority="1990" operator="equal">
      <formula>"N"</formula>
    </cfRule>
  </conditionalFormatting>
  <conditionalFormatting sqref="F444">
    <cfRule type="cellIs" dxfId="2" priority="2043" operator="equal">
      <formula>"Y"</formula>
    </cfRule>
    <cfRule type="cellIs" dxfId="3" priority="2044" operator="equal">
      <formula>"N"</formula>
    </cfRule>
  </conditionalFormatting>
  <conditionalFormatting sqref="F445">
    <cfRule type="cellIs" dxfId="2" priority="2069" operator="equal">
      <formula>"Y"</formula>
    </cfRule>
    <cfRule type="cellIs" dxfId="3" priority="2070" operator="equal">
      <formula>"N"</formula>
    </cfRule>
  </conditionalFormatting>
  <conditionalFormatting sqref="F446">
    <cfRule type="cellIs" dxfId="2" priority="2095" operator="equal">
      <formula>"Y"</formula>
    </cfRule>
    <cfRule type="cellIs" dxfId="3" priority="2096" operator="equal">
      <formula>"N"</formula>
    </cfRule>
  </conditionalFormatting>
  <conditionalFormatting sqref="F447">
    <cfRule type="cellIs" dxfId="2" priority="2121" operator="equal">
      <formula>"Y"</formula>
    </cfRule>
    <cfRule type="cellIs" dxfId="3" priority="2122" operator="equal">
      <formula>"N"</formula>
    </cfRule>
  </conditionalFormatting>
  <conditionalFormatting sqref="F448">
    <cfRule type="cellIs" dxfId="2" priority="2147" operator="equal">
      <formula>"Y"</formula>
    </cfRule>
    <cfRule type="cellIs" dxfId="3" priority="2148" operator="equal">
      <formula>"N"</formula>
    </cfRule>
  </conditionalFormatting>
  <conditionalFormatting sqref="F449">
    <cfRule type="cellIs" dxfId="2" priority="2173" operator="equal">
      <formula>"Y"</formula>
    </cfRule>
    <cfRule type="cellIs" dxfId="3" priority="2174" operator="equal">
      <formula>"N"</formula>
    </cfRule>
  </conditionalFormatting>
  <conditionalFormatting sqref="F450">
    <cfRule type="cellIs" dxfId="2" priority="2199" operator="equal">
      <formula>"Y"</formula>
    </cfRule>
    <cfRule type="cellIs" dxfId="3" priority="2200" operator="equal">
      <formula>"N"</formula>
    </cfRule>
  </conditionalFormatting>
  <conditionalFormatting sqref="F451">
    <cfRule type="cellIs" dxfId="2" priority="2225" operator="equal">
      <formula>"Y"</formula>
    </cfRule>
    <cfRule type="cellIs" dxfId="3" priority="2226" operator="equal">
      <formula>"N"</formula>
    </cfRule>
  </conditionalFormatting>
  <conditionalFormatting sqref="F452">
    <cfRule type="cellIs" dxfId="2" priority="2251" operator="equal">
      <formula>"Y"</formula>
    </cfRule>
    <cfRule type="cellIs" dxfId="3" priority="2252" operator="equal">
      <formula>"N"</formula>
    </cfRule>
  </conditionalFormatting>
  <conditionalFormatting sqref="F5">
    <cfRule type="cellIs" dxfId="2" priority="7" operator="equal">
      <formula>"Y"</formula>
    </cfRule>
    <cfRule type="cellIs" dxfId="3" priority="8" operator="equal">
      <formula>"N"</formula>
    </cfRule>
  </conditionalFormatting>
  <conditionalFormatting sqref="F6">
    <cfRule type="cellIs" dxfId="2" priority="33" operator="equal">
      <formula>"Y"</formula>
    </cfRule>
    <cfRule type="cellIs" dxfId="3" priority="34" operator="equal">
      <formula>"N"</formula>
    </cfRule>
  </conditionalFormatting>
  <conditionalFormatting sqref="F7">
    <cfRule type="cellIs" dxfId="2" priority="59" operator="equal">
      <formula>"Y"</formula>
    </cfRule>
    <cfRule type="cellIs" dxfId="3" priority="60" operator="equal">
      <formula>"N"</formula>
    </cfRule>
  </conditionalFormatting>
  <conditionalFormatting sqref="F8">
    <cfRule type="cellIs" dxfId="2" priority="85" operator="equal">
      <formula>"Y"</formula>
    </cfRule>
    <cfRule type="cellIs" dxfId="3" priority="86" operator="equal">
      <formula>"N"</formula>
    </cfRule>
  </conditionalFormatting>
  <conditionalFormatting sqref="G100">
    <cfRule type="expression" dxfId="0" priority="602">
      <formula>COUNTIF(I100:BG100,"&lt;&gt;" &amp; "")&gt;0</formula>
    </cfRule>
    <cfRule type="expression" dxfId="1" priority="603">
      <formula>AND(COUNTIF(I100:BG100,"&lt;&gt;" &amp; "")&gt;0,NOT(ISBLANK(G100)))</formula>
    </cfRule>
  </conditionalFormatting>
  <conditionalFormatting sqref="G101">
    <cfRule type="expression" dxfId="0" priority="605">
      <formula>COUNTIF(I101:BG101,"&lt;&gt;" &amp; "")&gt;0</formula>
    </cfRule>
    <cfRule type="expression" dxfId="1" priority="606">
      <formula>AND(COUNTIF(I101:BG101,"&lt;&gt;" &amp; "")&gt;0,NOT(ISBLANK(G101)))</formula>
    </cfRule>
  </conditionalFormatting>
  <conditionalFormatting sqref="G102">
    <cfRule type="expression" dxfId="0" priority="608">
      <formula>COUNTIF(I102:BG102,"&lt;&gt;" &amp; "")&gt;0</formula>
    </cfRule>
    <cfRule type="expression" dxfId="1" priority="609">
      <formula>AND(COUNTIF(I102:BG102,"&lt;&gt;" &amp; "")&gt;0,NOT(ISBLANK(G102)))</formula>
    </cfRule>
  </conditionalFormatting>
  <conditionalFormatting sqref="G103">
    <cfRule type="expression" dxfId="0" priority="611">
      <formula>COUNTIF(I103:BG103,"&lt;&gt;" &amp; "")&gt;0</formula>
    </cfRule>
    <cfRule type="expression" dxfId="1" priority="612">
      <formula>AND(COUNTIF(I103:BG103,"&lt;&gt;" &amp; "")&gt;0,NOT(ISBLANK(G103)))</formula>
    </cfRule>
  </conditionalFormatting>
  <conditionalFormatting sqref="G104">
    <cfRule type="expression" dxfId="0" priority="614">
      <formula>COUNTIF(I104:BG104,"&lt;&gt;" &amp; "")&gt;0</formula>
    </cfRule>
    <cfRule type="expression" dxfId="1" priority="615">
      <formula>AND(COUNTIF(I104:BG104,"&lt;&gt;" &amp; "")&gt;0,NOT(ISBLANK(G104)))</formula>
    </cfRule>
  </conditionalFormatting>
  <conditionalFormatting sqref="G105">
    <cfRule type="expression" dxfId="0" priority="617">
      <formula>COUNTIF(I105:BG105,"&lt;&gt;" &amp; "")&gt;0</formula>
    </cfRule>
    <cfRule type="expression" dxfId="1" priority="618">
      <formula>AND(COUNTIF(I105:BG105,"&lt;&gt;" &amp; "")&gt;0,NOT(ISBLANK(G105)))</formula>
    </cfRule>
  </conditionalFormatting>
  <conditionalFormatting sqref="G106">
    <cfRule type="expression" dxfId="0" priority="620">
      <formula>COUNTIF(I106:BG106,"&lt;&gt;" &amp; "")&gt;0</formula>
    </cfRule>
    <cfRule type="expression" dxfId="1" priority="621">
      <formula>AND(COUNTIF(I106:BG106,"&lt;&gt;" &amp; "")&gt;0,NOT(ISBLANK(G106)))</formula>
    </cfRule>
  </conditionalFormatting>
  <conditionalFormatting sqref="G107">
    <cfRule type="expression" dxfId="0" priority="623">
      <formula>COUNTIF(I107:BG107,"&lt;&gt;" &amp; "")&gt;0</formula>
    </cfRule>
    <cfRule type="expression" dxfId="1" priority="624">
      <formula>AND(COUNTIF(I107:BG107,"&lt;&gt;" &amp; "")&gt;0,NOT(ISBLANK(G107)))</formula>
    </cfRule>
  </conditionalFormatting>
  <conditionalFormatting sqref="G108">
    <cfRule type="expression" dxfId="0" priority="626">
      <formula>COUNTIF(I108:BG108,"&lt;&gt;" &amp; "")&gt;0</formula>
    </cfRule>
    <cfRule type="expression" dxfId="1" priority="627">
      <formula>AND(COUNTIF(I108:BG108,"&lt;&gt;" &amp; "")&gt;0,NOT(ISBLANK(G108)))</formula>
    </cfRule>
  </conditionalFormatting>
  <conditionalFormatting sqref="G109">
    <cfRule type="expression" dxfId="0" priority="629">
      <formula>COUNTIF(I109:BG109,"&lt;&gt;" &amp; "")&gt;0</formula>
    </cfRule>
    <cfRule type="expression" dxfId="1" priority="630">
      <formula>AND(COUNTIF(I109:BG109,"&lt;&gt;" &amp; "")&gt;0,NOT(ISBLANK(G109)))</formula>
    </cfRule>
  </conditionalFormatting>
  <conditionalFormatting sqref="G11">
    <cfRule type="cellIs" dxfId="2" priority="167" operator="equal">
      <formula>"Y"</formula>
    </cfRule>
    <cfRule type="cellIs" dxfId="3" priority="168" operator="equal">
      <formula>"N"</formula>
    </cfRule>
  </conditionalFormatting>
  <conditionalFormatting sqref="G110">
    <cfRule type="expression" dxfId="0" priority="632">
      <formula>COUNTIF(I110:BG110,"&lt;&gt;" &amp; "")&gt;0</formula>
    </cfRule>
    <cfRule type="expression" dxfId="1" priority="633">
      <formula>AND(COUNTIF(I110:BG110,"&lt;&gt;" &amp; "")&gt;0,NOT(ISBLANK(G110)))</formula>
    </cfRule>
  </conditionalFormatting>
  <conditionalFormatting sqref="G111">
    <cfRule type="expression" dxfId="0" priority="635">
      <formula>COUNTIF(I111:BG111,"&lt;&gt;" &amp; "")&gt;0</formula>
    </cfRule>
    <cfRule type="expression" dxfId="1" priority="636">
      <formula>AND(COUNTIF(I111:BG111,"&lt;&gt;" &amp; "")&gt;0,NOT(ISBLANK(G111)))</formula>
    </cfRule>
  </conditionalFormatting>
  <conditionalFormatting sqref="G112">
    <cfRule type="expression" dxfId="0" priority="638">
      <formula>COUNTIF(I112:BG112,"&lt;&gt;" &amp; "")&gt;0</formula>
    </cfRule>
    <cfRule type="expression" dxfId="1" priority="639">
      <formula>AND(COUNTIF(I112:BG112,"&lt;&gt;" &amp; "")&gt;0,NOT(ISBLANK(G112)))</formula>
    </cfRule>
  </conditionalFormatting>
  <conditionalFormatting sqref="G113">
    <cfRule type="expression" dxfId="0" priority="641">
      <formula>COUNTIF(I113:BG113,"&lt;&gt;" &amp; "")&gt;0</formula>
    </cfRule>
    <cfRule type="expression" dxfId="1" priority="642">
      <formula>AND(COUNTIF(I113:BG113,"&lt;&gt;" &amp; "")&gt;0,NOT(ISBLANK(G113)))</formula>
    </cfRule>
  </conditionalFormatting>
  <conditionalFormatting sqref="G114">
    <cfRule type="expression" dxfId="0" priority="644">
      <formula>COUNTIF(I114:BG114,"&lt;&gt;" &amp; "")&gt;0</formula>
    </cfRule>
    <cfRule type="expression" dxfId="1" priority="645">
      <formula>AND(COUNTIF(I114:BG114,"&lt;&gt;" &amp; "")&gt;0,NOT(ISBLANK(G114)))</formula>
    </cfRule>
  </conditionalFormatting>
  <conditionalFormatting sqref="G115">
    <cfRule type="expression" dxfId="0" priority="647">
      <formula>COUNTIF(I115:BG115,"&lt;&gt;" &amp; "")&gt;0</formula>
    </cfRule>
    <cfRule type="expression" dxfId="1" priority="648">
      <formula>AND(COUNTIF(I115:BG115,"&lt;&gt;" &amp; "")&gt;0,NOT(ISBLANK(G115)))</formula>
    </cfRule>
  </conditionalFormatting>
  <conditionalFormatting sqref="G116">
    <cfRule type="expression" dxfId="0" priority="650">
      <formula>COUNTIF(I116:BG116,"&lt;&gt;" &amp; "")&gt;0</formula>
    </cfRule>
    <cfRule type="expression" dxfId="1" priority="651">
      <formula>AND(COUNTIF(I116:BG116,"&lt;&gt;" &amp; "")&gt;0,NOT(ISBLANK(G116)))</formula>
    </cfRule>
  </conditionalFormatting>
  <conditionalFormatting sqref="G117">
    <cfRule type="expression" dxfId="0" priority="653">
      <formula>COUNTIF(I117:BG117,"&lt;&gt;" &amp; "")&gt;0</formula>
    </cfRule>
    <cfRule type="expression" dxfId="1" priority="654">
      <formula>AND(COUNTIF(I117:BG117,"&lt;&gt;" &amp; "")&gt;0,NOT(ISBLANK(G117)))</formula>
    </cfRule>
  </conditionalFormatting>
  <conditionalFormatting sqref="G118">
    <cfRule type="expression" dxfId="0" priority="656">
      <formula>COUNTIF(I118:BG118,"&lt;&gt;" &amp; "")&gt;0</formula>
    </cfRule>
    <cfRule type="expression" dxfId="1" priority="657">
      <formula>AND(COUNTIF(I118:BG118,"&lt;&gt;" &amp; "")&gt;0,NOT(ISBLANK(G118)))</formula>
    </cfRule>
  </conditionalFormatting>
  <conditionalFormatting sqref="G119">
    <cfRule type="expression" dxfId="0" priority="659">
      <formula>COUNTIF(I119:BG119,"&lt;&gt;" &amp; "")&gt;0</formula>
    </cfRule>
    <cfRule type="expression" dxfId="1" priority="660">
      <formula>AND(COUNTIF(I119:BG119,"&lt;&gt;" &amp; "")&gt;0,NOT(ISBLANK(G119)))</formula>
    </cfRule>
  </conditionalFormatting>
  <conditionalFormatting sqref="G12">
    <cfRule type="cellIs" dxfId="2" priority="193" operator="equal">
      <formula>"Y"</formula>
    </cfRule>
    <cfRule type="cellIs" dxfId="3" priority="194" operator="equal">
      <formula>"N"</formula>
    </cfRule>
  </conditionalFormatting>
  <conditionalFormatting sqref="G120">
    <cfRule type="expression" dxfId="0" priority="662">
      <formula>COUNTIF(I120:BG120,"&lt;&gt;" &amp; "")&gt;0</formula>
    </cfRule>
    <cfRule type="expression" dxfId="1" priority="663">
      <formula>AND(COUNTIF(I120:BG120,"&lt;&gt;" &amp; "")&gt;0,NOT(ISBLANK(G120)))</formula>
    </cfRule>
  </conditionalFormatting>
  <conditionalFormatting sqref="G121">
    <cfRule type="expression" dxfId="0" priority="665">
      <formula>COUNTIF(I121:BG121,"&lt;&gt;" &amp; "")&gt;0</formula>
    </cfRule>
    <cfRule type="expression" dxfId="1" priority="666">
      <formula>AND(COUNTIF(I121:BG121,"&lt;&gt;" &amp; "")&gt;0,NOT(ISBLANK(G121)))</formula>
    </cfRule>
  </conditionalFormatting>
  <conditionalFormatting sqref="G122">
    <cfRule type="expression" dxfId="0" priority="668">
      <formula>COUNTIF(I122:BG122,"&lt;&gt;" &amp; "")&gt;0</formula>
    </cfRule>
    <cfRule type="expression" dxfId="1" priority="669">
      <formula>AND(COUNTIF(I122:BG122,"&lt;&gt;" &amp; "")&gt;0,NOT(ISBLANK(G122)))</formula>
    </cfRule>
  </conditionalFormatting>
  <conditionalFormatting sqref="G123">
    <cfRule type="expression" dxfId="0" priority="671">
      <formula>COUNTIF(I123:BG123,"&lt;&gt;" &amp; "")&gt;0</formula>
    </cfRule>
    <cfRule type="expression" dxfId="1" priority="672">
      <formula>AND(COUNTIF(I123:BG123,"&lt;&gt;" &amp; "")&gt;0,NOT(ISBLANK(G123)))</formula>
    </cfRule>
  </conditionalFormatting>
  <conditionalFormatting sqref="G124">
    <cfRule type="expression" dxfId="0" priority="674">
      <formula>COUNTIF(I124:BG124,"&lt;&gt;" &amp; "")&gt;0</formula>
    </cfRule>
    <cfRule type="expression" dxfId="1" priority="675">
      <formula>AND(COUNTIF(I124:BG124,"&lt;&gt;" &amp; "")&gt;0,NOT(ISBLANK(G124)))</formula>
    </cfRule>
  </conditionalFormatting>
  <conditionalFormatting sqref="G125">
    <cfRule type="expression" dxfId="0" priority="677">
      <formula>COUNTIF(I125:BG125,"&lt;&gt;" &amp; "")&gt;0</formula>
    </cfRule>
    <cfRule type="expression" dxfId="1" priority="678">
      <formula>AND(COUNTIF(I125:BG125,"&lt;&gt;" &amp; "")&gt;0,NOT(ISBLANK(G125)))</formula>
    </cfRule>
  </conditionalFormatting>
  <conditionalFormatting sqref="G126">
    <cfRule type="expression" dxfId="0" priority="680">
      <formula>COUNTIF(I126:BG126,"&lt;&gt;" &amp; "")&gt;0</formula>
    </cfRule>
    <cfRule type="expression" dxfId="1" priority="681">
      <formula>AND(COUNTIF(I126:BG126,"&lt;&gt;" &amp; "")&gt;0,NOT(ISBLANK(G126)))</formula>
    </cfRule>
  </conditionalFormatting>
  <conditionalFormatting sqref="G127">
    <cfRule type="expression" dxfId="0" priority="683">
      <formula>COUNTIF(I127:BG127,"&lt;&gt;" &amp; "")&gt;0</formula>
    </cfRule>
    <cfRule type="expression" dxfId="1" priority="684">
      <formula>AND(COUNTIF(I127:BG127,"&lt;&gt;" &amp; "")&gt;0,NOT(ISBLANK(G127)))</formula>
    </cfRule>
  </conditionalFormatting>
  <conditionalFormatting sqref="G128">
    <cfRule type="expression" dxfId="0" priority="686">
      <formula>COUNTIF(I128:BG128,"&lt;&gt;" &amp; "")&gt;0</formula>
    </cfRule>
    <cfRule type="expression" dxfId="1" priority="687">
      <formula>AND(COUNTIF(I128:BG128,"&lt;&gt;" &amp; "")&gt;0,NOT(ISBLANK(G128)))</formula>
    </cfRule>
  </conditionalFormatting>
  <conditionalFormatting sqref="G129">
    <cfRule type="expression" dxfId="0" priority="689">
      <formula>COUNTIF(I129:BG129,"&lt;&gt;" &amp; "")&gt;0</formula>
    </cfRule>
    <cfRule type="expression" dxfId="1" priority="690">
      <formula>AND(COUNTIF(I129:BG129,"&lt;&gt;" &amp; "")&gt;0,NOT(ISBLANK(G129)))</formula>
    </cfRule>
  </conditionalFormatting>
  <conditionalFormatting sqref="G13">
    <cfRule type="cellIs" dxfId="2" priority="219" operator="equal">
      <formula>"Y"</formula>
    </cfRule>
    <cfRule type="cellIs" dxfId="3" priority="220" operator="equal">
      <formula>"N"</formula>
    </cfRule>
  </conditionalFormatting>
  <conditionalFormatting sqref="G130">
    <cfRule type="expression" dxfId="0" priority="692">
      <formula>COUNTIF(I130:BG130,"&lt;&gt;" &amp; "")&gt;0</formula>
    </cfRule>
    <cfRule type="expression" dxfId="1" priority="693">
      <formula>AND(COUNTIF(I130:BG130,"&lt;&gt;" &amp; "")&gt;0,NOT(ISBLANK(G130)))</formula>
    </cfRule>
  </conditionalFormatting>
  <conditionalFormatting sqref="G131">
    <cfRule type="expression" dxfId="0" priority="695">
      <formula>COUNTIF(I131:BG131,"&lt;&gt;" &amp; "")&gt;0</formula>
    </cfRule>
    <cfRule type="expression" dxfId="1" priority="696">
      <formula>AND(COUNTIF(I131:BG131,"&lt;&gt;" &amp; "")&gt;0,NOT(ISBLANK(G131)))</formula>
    </cfRule>
  </conditionalFormatting>
  <conditionalFormatting sqref="G132">
    <cfRule type="expression" dxfId="0" priority="698">
      <formula>COUNTIF(I132:BG132,"&lt;&gt;" &amp; "")&gt;0</formula>
    </cfRule>
    <cfRule type="expression" dxfId="1" priority="699">
      <formula>AND(COUNTIF(I132:BG132,"&lt;&gt;" &amp; "")&gt;0,NOT(ISBLANK(G132)))</formula>
    </cfRule>
  </conditionalFormatting>
  <conditionalFormatting sqref="G133">
    <cfRule type="expression" dxfId="0" priority="701">
      <formula>COUNTIF(I133:BG133,"&lt;&gt;" &amp; "")&gt;0</formula>
    </cfRule>
    <cfRule type="expression" dxfId="1" priority="702">
      <formula>AND(COUNTIF(I133:BG133,"&lt;&gt;" &amp; "")&gt;0,NOT(ISBLANK(G133)))</formula>
    </cfRule>
  </conditionalFormatting>
  <conditionalFormatting sqref="G134">
    <cfRule type="expression" dxfId="0" priority="704">
      <formula>COUNTIF(I134:BG134,"&lt;&gt;" &amp; "")&gt;0</formula>
    </cfRule>
    <cfRule type="expression" dxfId="1" priority="705">
      <formula>AND(COUNTIF(I134:BG134,"&lt;&gt;" &amp; "")&gt;0,NOT(ISBLANK(G134)))</formula>
    </cfRule>
  </conditionalFormatting>
  <conditionalFormatting sqref="G135">
    <cfRule type="expression" dxfId="0" priority="707">
      <formula>COUNTIF(I135:BG135,"&lt;&gt;" &amp; "")&gt;0</formula>
    </cfRule>
    <cfRule type="expression" dxfId="1" priority="708">
      <formula>AND(COUNTIF(I135:BG135,"&lt;&gt;" &amp; "")&gt;0,NOT(ISBLANK(G135)))</formula>
    </cfRule>
  </conditionalFormatting>
  <conditionalFormatting sqref="G136">
    <cfRule type="expression" dxfId="0" priority="710">
      <formula>COUNTIF(I136:BG136,"&lt;&gt;" &amp; "")&gt;0</formula>
    </cfRule>
    <cfRule type="expression" dxfId="1" priority="711">
      <formula>AND(COUNTIF(I136:BG136,"&lt;&gt;" &amp; "")&gt;0,NOT(ISBLANK(G136)))</formula>
    </cfRule>
  </conditionalFormatting>
  <conditionalFormatting sqref="G137">
    <cfRule type="expression" dxfId="0" priority="713">
      <formula>COUNTIF(I137:BG137,"&lt;&gt;" &amp; "")&gt;0</formula>
    </cfRule>
    <cfRule type="expression" dxfId="1" priority="714">
      <formula>AND(COUNTIF(I137:BG137,"&lt;&gt;" &amp; "")&gt;0,NOT(ISBLANK(G137)))</formula>
    </cfRule>
  </conditionalFormatting>
  <conditionalFormatting sqref="G138">
    <cfRule type="expression" dxfId="0" priority="716">
      <formula>COUNTIF(I138:BG138,"&lt;&gt;" &amp; "")&gt;0</formula>
    </cfRule>
    <cfRule type="expression" dxfId="1" priority="717">
      <formula>AND(COUNTIF(I138:BG138,"&lt;&gt;" &amp; "")&gt;0,NOT(ISBLANK(G138)))</formula>
    </cfRule>
  </conditionalFormatting>
  <conditionalFormatting sqref="G139">
    <cfRule type="expression" dxfId="0" priority="719">
      <formula>COUNTIF(I139:BG139,"&lt;&gt;" &amp; "")&gt;0</formula>
    </cfRule>
    <cfRule type="expression" dxfId="1" priority="720">
      <formula>AND(COUNTIF(I139:BG139,"&lt;&gt;" &amp; "")&gt;0,NOT(ISBLANK(G139)))</formula>
    </cfRule>
  </conditionalFormatting>
  <conditionalFormatting sqref="G14">
    <cfRule type="cellIs" dxfId="2" priority="245" operator="equal">
      <formula>"Y"</formula>
    </cfRule>
    <cfRule type="cellIs" dxfId="3" priority="246" operator="equal">
      <formula>"N"</formula>
    </cfRule>
  </conditionalFormatting>
  <conditionalFormatting sqref="G140">
    <cfRule type="expression" dxfId="0" priority="722">
      <formula>COUNTIF(I140:BG140,"&lt;&gt;" &amp; "")&gt;0</formula>
    </cfRule>
    <cfRule type="expression" dxfId="1" priority="723">
      <formula>AND(COUNTIF(I140:BG140,"&lt;&gt;" &amp; "")&gt;0,NOT(ISBLANK(G140)))</formula>
    </cfRule>
  </conditionalFormatting>
  <conditionalFormatting sqref="G141">
    <cfRule type="expression" dxfId="0" priority="725">
      <formula>COUNTIF(I141:BG141,"&lt;&gt;" &amp; "")&gt;0</formula>
    </cfRule>
    <cfRule type="expression" dxfId="1" priority="726">
      <formula>AND(COUNTIF(I141:BG141,"&lt;&gt;" &amp; "")&gt;0,NOT(ISBLANK(G141)))</formula>
    </cfRule>
  </conditionalFormatting>
  <conditionalFormatting sqref="G142">
    <cfRule type="expression" dxfId="0" priority="728">
      <formula>COUNTIF(I142:BG142,"&lt;&gt;" &amp; "")&gt;0</formula>
    </cfRule>
    <cfRule type="expression" dxfId="1" priority="729">
      <formula>AND(COUNTIF(I142:BG142,"&lt;&gt;" &amp; "")&gt;0,NOT(ISBLANK(G142)))</formula>
    </cfRule>
  </conditionalFormatting>
  <conditionalFormatting sqref="G143">
    <cfRule type="expression" dxfId="0" priority="731">
      <formula>COUNTIF(I143:BG143,"&lt;&gt;" &amp; "")&gt;0</formula>
    </cfRule>
    <cfRule type="expression" dxfId="1" priority="732">
      <formula>AND(COUNTIF(I143:BG143,"&lt;&gt;" &amp; "")&gt;0,NOT(ISBLANK(G143)))</formula>
    </cfRule>
  </conditionalFormatting>
  <conditionalFormatting sqref="G144">
    <cfRule type="expression" dxfId="0" priority="734">
      <formula>COUNTIF(I144:BG144,"&lt;&gt;" &amp; "")&gt;0</formula>
    </cfRule>
    <cfRule type="expression" dxfId="1" priority="735">
      <formula>AND(COUNTIF(I144:BG144,"&lt;&gt;" &amp; "")&gt;0,NOT(ISBLANK(G144)))</formula>
    </cfRule>
  </conditionalFormatting>
  <conditionalFormatting sqref="G145">
    <cfRule type="expression" dxfId="0" priority="737">
      <formula>COUNTIF(I145:BG145,"&lt;&gt;" &amp; "")&gt;0</formula>
    </cfRule>
    <cfRule type="expression" dxfId="1" priority="738">
      <formula>AND(COUNTIF(I145:BG145,"&lt;&gt;" &amp; "")&gt;0,NOT(ISBLANK(G145)))</formula>
    </cfRule>
  </conditionalFormatting>
  <conditionalFormatting sqref="G146">
    <cfRule type="expression" dxfId="0" priority="740">
      <formula>COUNTIF(I146:BG146,"&lt;&gt;" &amp; "")&gt;0</formula>
    </cfRule>
    <cfRule type="expression" dxfId="1" priority="741">
      <formula>AND(COUNTIF(I146:BG146,"&lt;&gt;" &amp; "")&gt;0,NOT(ISBLANK(G146)))</formula>
    </cfRule>
  </conditionalFormatting>
  <conditionalFormatting sqref="G147">
    <cfRule type="expression" dxfId="0" priority="743">
      <formula>COUNTIF(I147:BG147,"&lt;&gt;" &amp; "")&gt;0</formula>
    </cfRule>
    <cfRule type="expression" dxfId="1" priority="744">
      <formula>AND(COUNTIF(I147:BG147,"&lt;&gt;" &amp; "")&gt;0,NOT(ISBLANK(G147)))</formula>
    </cfRule>
  </conditionalFormatting>
  <conditionalFormatting sqref="G148">
    <cfRule type="expression" dxfId="0" priority="746">
      <formula>COUNTIF(I148:BG148,"&lt;&gt;" &amp; "")&gt;0</formula>
    </cfRule>
    <cfRule type="expression" dxfId="1" priority="747">
      <formula>AND(COUNTIF(I148:BG148,"&lt;&gt;" &amp; "")&gt;0,NOT(ISBLANK(G148)))</formula>
    </cfRule>
  </conditionalFormatting>
  <conditionalFormatting sqref="G149">
    <cfRule type="expression" dxfId="0" priority="749">
      <formula>COUNTIF(I149:BG149,"&lt;&gt;" &amp; "")&gt;0</formula>
    </cfRule>
    <cfRule type="expression" dxfId="1" priority="750">
      <formula>AND(COUNTIF(I149:BG149,"&lt;&gt;" &amp; "")&gt;0,NOT(ISBLANK(G149)))</formula>
    </cfRule>
  </conditionalFormatting>
  <conditionalFormatting sqref="G15">
    <cfRule type="cellIs" dxfId="2" priority="271" operator="equal">
      <formula>"Y"</formula>
    </cfRule>
    <cfRule type="cellIs" dxfId="3" priority="272" operator="equal">
      <formula>"N"</formula>
    </cfRule>
  </conditionalFormatting>
  <conditionalFormatting sqref="G150">
    <cfRule type="expression" dxfId="0" priority="752">
      <formula>COUNTIF(I150:BG150,"&lt;&gt;" &amp; "")&gt;0</formula>
    </cfRule>
    <cfRule type="expression" dxfId="1" priority="753">
      <formula>AND(COUNTIF(I150:BG150,"&lt;&gt;" &amp; "")&gt;0,NOT(ISBLANK(G150)))</formula>
    </cfRule>
  </conditionalFormatting>
  <conditionalFormatting sqref="G151">
    <cfRule type="expression" dxfId="0" priority="755">
      <formula>COUNTIF(I151:BG151,"&lt;&gt;" &amp; "")&gt;0</formula>
    </cfRule>
    <cfRule type="expression" dxfId="1" priority="756">
      <formula>AND(COUNTIF(I151:BG151,"&lt;&gt;" &amp; "")&gt;0,NOT(ISBLANK(G151)))</formula>
    </cfRule>
  </conditionalFormatting>
  <conditionalFormatting sqref="G152">
    <cfRule type="expression" dxfId="0" priority="758">
      <formula>COUNTIF(I152:BG152,"&lt;&gt;" &amp; "")&gt;0</formula>
    </cfRule>
    <cfRule type="expression" dxfId="1" priority="759">
      <formula>AND(COUNTIF(I152:BG152,"&lt;&gt;" &amp; "")&gt;0,NOT(ISBLANK(G152)))</formula>
    </cfRule>
  </conditionalFormatting>
  <conditionalFormatting sqref="G153">
    <cfRule type="expression" dxfId="0" priority="761">
      <formula>COUNTIF(I153:BG153,"&lt;&gt;" &amp; "")&gt;0</formula>
    </cfRule>
    <cfRule type="expression" dxfId="1" priority="762">
      <formula>AND(COUNTIF(I153:BG153,"&lt;&gt;" &amp; "")&gt;0,NOT(ISBLANK(G153)))</formula>
    </cfRule>
  </conditionalFormatting>
  <conditionalFormatting sqref="G154">
    <cfRule type="expression" dxfId="0" priority="764">
      <formula>COUNTIF(I154:BG154,"&lt;&gt;" &amp; "")&gt;0</formula>
    </cfRule>
    <cfRule type="expression" dxfId="1" priority="765">
      <formula>AND(COUNTIF(I154:BG154,"&lt;&gt;" &amp; "")&gt;0,NOT(ISBLANK(G154)))</formula>
    </cfRule>
  </conditionalFormatting>
  <conditionalFormatting sqref="G155">
    <cfRule type="expression" dxfId="0" priority="767">
      <formula>COUNTIF(I155:BG155,"&lt;&gt;" &amp; "")&gt;0</formula>
    </cfRule>
    <cfRule type="expression" dxfId="1" priority="768">
      <formula>AND(COUNTIF(I155:BG155,"&lt;&gt;" &amp; "")&gt;0,NOT(ISBLANK(G155)))</formula>
    </cfRule>
  </conditionalFormatting>
  <conditionalFormatting sqref="G156">
    <cfRule type="expression" dxfId="0" priority="770">
      <formula>COUNTIF(I156:BG156,"&lt;&gt;" &amp; "")&gt;0</formula>
    </cfRule>
    <cfRule type="expression" dxfId="1" priority="771">
      <formula>AND(COUNTIF(I156:BG156,"&lt;&gt;" &amp; "")&gt;0,NOT(ISBLANK(G156)))</formula>
    </cfRule>
  </conditionalFormatting>
  <conditionalFormatting sqref="G157">
    <cfRule type="expression" dxfId="0" priority="773">
      <formula>COUNTIF(I157:BG157,"&lt;&gt;" &amp; "")&gt;0</formula>
    </cfRule>
    <cfRule type="expression" dxfId="1" priority="774">
      <formula>AND(COUNTIF(I157:BG157,"&lt;&gt;" &amp; "")&gt;0,NOT(ISBLANK(G157)))</formula>
    </cfRule>
  </conditionalFormatting>
  <conditionalFormatting sqref="G158">
    <cfRule type="expression" dxfId="0" priority="776">
      <formula>COUNTIF(I158:BG158,"&lt;&gt;" &amp; "")&gt;0</formula>
    </cfRule>
    <cfRule type="expression" dxfId="1" priority="777">
      <formula>AND(COUNTIF(I158:BG158,"&lt;&gt;" &amp; "")&gt;0,NOT(ISBLANK(G158)))</formula>
    </cfRule>
  </conditionalFormatting>
  <conditionalFormatting sqref="G159">
    <cfRule type="expression" dxfId="0" priority="779">
      <formula>COUNTIF(I159:BG159,"&lt;&gt;" &amp; "")&gt;0</formula>
    </cfRule>
    <cfRule type="expression" dxfId="1" priority="780">
      <formula>AND(COUNTIF(I159:BG159,"&lt;&gt;" &amp; "")&gt;0,NOT(ISBLANK(G159)))</formula>
    </cfRule>
  </conditionalFormatting>
  <conditionalFormatting sqref="G16">
    <cfRule type="cellIs" dxfId="2" priority="297" operator="equal">
      <formula>"Y"</formula>
    </cfRule>
    <cfRule type="cellIs" dxfId="3" priority="298" operator="equal">
      <formula>"N"</formula>
    </cfRule>
  </conditionalFormatting>
  <conditionalFormatting sqref="G160">
    <cfRule type="expression" dxfId="0" priority="782">
      <formula>COUNTIF(I160:BG160,"&lt;&gt;" &amp; "")&gt;0</formula>
    </cfRule>
    <cfRule type="expression" dxfId="1" priority="783">
      <formula>AND(COUNTIF(I160:BG160,"&lt;&gt;" &amp; "")&gt;0,NOT(ISBLANK(G160)))</formula>
    </cfRule>
  </conditionalFormatting>
  <conditionalFormatting sqref="G161">
    <cfRule type="expression" dxfId="0" priority="785">
      <formula>COUNTIF(I161:BG161,"&lt;&gt;" &amp; "")&gt;0</formula>
    </cfRule>
    <cfRule type="expression" dxfId="1" priority="786">
      <formula>AND(COUNTIF(I161:BG161,"&lt;&gt;" &amp; "")&gt;0,NOT(ISBLANK(G161)))</formula>
    </cfRule>
  </conditionalFormatting>
  <conditionalFormatting sqref="G162">
    <cfRule type="expression" dxfId="0" priority="788">
      <formula>COUNTIF(I162:BG162,"&lt;&gt;" &amp; "")&gt;0</formula>
    </cfRule>
    <cfRule type="expression" dxfId="1" priority="789">
      <formula>AND(COUNTIF(I162:BG162,"&lt;&gt;" &amp; "")&gt;0,NOT(ISBLANK(G162)))</formula>
    </cfRule>
  </conditionalFormatting>
  <conditionalFormatting sqref="G163">
    <cfRule type="expression" dxfId="0" priority="791">
      <formula>COUNTIF(I163:BG163,"&lt;&gt;" &amp; "")&gt;0</formula>
    </cfRule>
    <cfRule type="expression" dxfId="1" priority="792">
      <formula>AND(COUNTIF(I163:BG163,"&lt;&gt;" &amp; "")&gt;0,NOT(ISBLANK(G163)))</formula>
    </cfRule>
  </conditionalFormatting>
  <conditionalFormatting sqref="G164">
    <cfRule type="expression" dxfId="0" priority="794">
      <formula>COUNTIF(I164:BG164,"&lt;&gt;" &amp; "")&gt;0</formula>
    </cfRule>
    <cfRule type="expression" dxfId="1" priority="795">
      <formula>AND(COUNTIF(I164:BG164,"&lt;&gt;" &amp; "")&gt;0,NOT(ISBLANK(G164)))</formula>
    </cfRule>
  </conditionalFormatting>
  <conditionalFormatting sqref="G165">
    <cfRule type="expression" dxfId="0" priority="797">
      <formula>COUNTIF(I165:BG165,"&lt;&gt;" &amp; "")&gt;0</formula>
    </cfRule>
    <cfRule type="expression" dxfId="1" priority="798">
      <formula>AND(COUNTIF(I165:BG165,"&lt;&gt;" &amp; "")&gt;0,NOT(ISBLANK(G165)))</formula>
    </cfRule>
  </conditionalFormatting>
  <conditionalFormatting sqref="G166">
    <cfRule type="expression" dxfId="0" priority="800">
      <formula>COUNTIF(I166:BG166,"&lt;&gt;" &amp; "")&gt;0</formula>
    </cfRule>
    <cfRule type="expression" dxfId="1" priority="801">
      <formula>AND(COUNTIF(I166:BG166,"&lt;&gt;" &amp; "")&gt;0,NOT(ISBLANK(G166)))</formula>
    </cfRule>
  </conditionalFormatting>
  <conditionalFormatting sqref="G167">
    <cfRule type="expression" dxfId="0" priority="803">
      <formula>COUNTIF(I167:BG167,"&lt;&gt;" &amp; "")&gt;0</formula>
    </cfRule>
    <cfRule type="expression" dxfId="1" priority="804">
      <formula>AND(COUNTIF(I167:BG167,"&lt;&gt;" &amp; "")&gt;0,NOT(ISBLANK(G167)))</formula>
    </cfRule>
  </conditionalFormatting>
  <conditionalFormatting sqref="G168">
    <cfRule type="expression" dxfId="0" priority="806">
      <formula>COUNTIF(I168:BG168,"&lt;&gt;" &amp; "")&gt;0</formula>
    </cfRule>
    <cfRule type="expression" dxfId="1" priority="807">
      <formula>AND(COUNTIF(I168:BG168,"&lt;&gt;" &amp; "")&gt;0,NOT(ISBLANK(G168)))</formula>
    </cfRule>
  </conditionalFormatting>
  <conditionalFormatting sqref="G169">
    <cfRule type="expression" dxfId="0" priority="809">
      <formula>COUNTIF(I169:BG169,"&lt;&gt;" &amp; "")&gt;0</formula>
    </cfRule>
    <cfRule type="expression" dxfId="1" priority="810">
      <formula>AND(COUNTIF(I169:BG169,"&lt;&gt;" &amp; "")&gt;0,NOT(ISBLANK(G169)))</formula>
    </cfRule>
  </conditionalFormatting>
  <conditionalFormatting sqref="G17">
    <cfRule type="cellIs" dxfId="2" priority="323" operator="equal">
      <formula>"Y"</formula>
    </cfRule>
    <cfRule type="cellIs" dxfId="3" priority="324" operator="equal">
      <formula>"N"</formula>
    </cfRule>
  </conditionalFormatting>
  <conditionalFormatting sqref="G170">
    <cfRule type="expression" dxfId="0" priority="812">
      <formula>COUNTIF(I170:BG170,"&lt;&gt;" &amp; "")&gt;0</formula>
    </cfRule>
    <cfRule type="expression" dxfId="1" priority="813">
      <formula>AND(COUNTIF(I170:BG170,"&lt;&gt;" &amp; "")&gt;0,NOT(ISBLANK(G170)))</formula>
    </cfRule>
  </conditionalFormatting>
  <conditionalFormatting sqref="G171">
    <cfRule type="expression" dxfId="0" priority="815">
      <formula>COUNTIF(I171:BG171,"&lt;&gt;" &amp; "")&gt;0</formula>
    </cfRule>
    <cfRule type="expression" dxfId="1" priority="816">
      <formula>AND(COUNTIF(I171:BG171,"&lt;&gt;" &amp; "")&gt;0,NOT(ISBLANK(G171)))</formula>
    </cfRule>
  </conditionalFormatting>
  <conditionalFormatting sqref="G172">
    <cfRule type="expression" dxfId="0" priority="818">
      <formula>COUNTIF(I172:BG172,"&lt;&gt;" &amp; "")&gt;0</formula>
    </cfRule>
    <cfRule type="expression" dxfId="1" priority="819">
      <formula>AND(COUNTIF(I172:BG172,"&lt;&gt;" &amp; "")&gt;0,NOT(ISBLANK(G172)))</formula>
    </cfRule>
  </conditionalFormatting>
  <conditionalFormatting sqref="G173">
    <cfRule type="expression" dxfId="0" priority="821">
      <formula>COUNTIF(I173:BG173,"&lt;&gt;" &amp; "")&gt;0</formula>
    </cfRule>
    <cfRule type="expression" dxfId="1" priority="822">
      <formula>AND(COUNTIF(I173:BG173,"&lt;&gt;" &amp; "")&gt;0,NOT(ISBLANK(G173)))</formula>
    </cfRule>
  </conditionalFormatting>
  <conditionalFormatting sqref="G174">
    <cfRule type="expression" dxfId="0" priority="824">
      <formula>COUNTIF(I174:BG174,"&lt;&gt;" &amp; "")&gt;0</formula>
    </cfRule>
    <cfRule type="expression" dxfId="1" priority="825">
      <formula>AND(COUNTIF(I174:BG174,"&lt;&gt;" &amp; "")&gt;0,NOT(ISBLANK(G174)))</formula>
    </cfRule>
  </conditionalFormatting>
  <conditionalFormatting sqref="G175">
    <cfRule type="expression" dxfId="0" priority="827">
      <formula>COUNTIF(I175:BG175,"&lt;&gt;" &amp; "")&gt;0</formula>
    </cfRule>
    <cfRule type="expression" dxfId="1" priority="828">
      <formula>AND(COUNTIF(I175:BG175,"&lt;&gt;" &amp; "")&gt;0,NOT(ISBLANK(G175)))</formula>
    </cfRule>
  </conditionalFormatting>
  <conditionalFormatting sqref="G176">
    <cfRule type="expression" dxfId="0" priority="830">
      <formula>COUNTIF(I176:BG176,"&lt;&gt;" &amp; "")&gt;0</formula>
    </cfRule>
    <cfRule type="expression" dxfId="1" priority="831">
      <formula>AND(COUNTIF(I176:BG176,"&lt;&gt;" &amp; "")&gt;0,NOT(ISBLANK(G176)))</formula>
    </cfRule>
  </conditionalFormatting>
  <conditionalFormatting sqref="G177">
    <cfRule type="expression" dxfId="0" priority="833">
      <formula>COUNTIF(I177:BG177,"&lt;&gt;" &amp; "")&gt;0</formula>
    </cfRule>
    <cfRule type="expression" dxfId="1" priority="834">
      <formula>AND(COUNTIF(I177:BG177,"&lt;&gt;" &amp; "")&gt;0,NOT(ISBLANK(G177)))</formula>
    </cfRule>
  </conditionalFormatting>
  <conditionalFormatting sqref="G178">
    <cfRule type="expression" dxfId="0" priority="836">
      <formula>COUNTIF(I178:BG178,"&lt;&gt;" &amp; "")&gt;0</formula>
    </cfRule>
    <cfRule type="expression" dxfId="1" priority="837">
      <formula>AND(COUNTIF(I178:BG178,"&lt;&gt;" &amp; "")&gt;0,NOT(ISBLANK(G178)))</formula>
    </cfRule>
  </conditionalFormatting>
  <conditionalFormatting sqref="G179">
    <cfRule type="expression" dxfId="0" priority="839">
      <formula>COUNTIF(I179:BG179,"&lt;&gt;" &amp; "")&gt;0</formula>
    </cfRule>
    <cfRule type="expression" dxfId="1" priority="840">
      <formula>AND(COUNTIF(I179:BG179,"&lt;&gt;" &amp; "")&gt;0,NOT(ISBLANK(G179)))</formula>
    </cfRule>
  </conditionalFormatting>
  <conditionalFormatting sqref="G18">
    <cfRule type="cellIs" dxfId="2" priority="349" operator="equal">
      <formula>"Y"</formula>
    </cfRule>
    <cfRule type="cellIs" dxfId="3" priority="350" operator="equal">
      <formula>"N"</formula>
    </cfRule>
  </conditionalFormatting>
  <conditionalFormatting sqref="G180">
    <cfRule type="expression" dxfId="0" priority="842">
      <formula>COUNTIF(I180:BG180,"&lt;&gt;" &amp; "")&gt;0</formula>
    </cfRule>
    <cfRule type="expression" dxfId="1" priority="843">
      <formula>AND(COUNTIF(I180:BG180,"&lt;&gt;" &amp; "")&gt;0,NOT(ISBLANK(G180)))</formula>
    </cfRule>
  </conditionalFormatting>
  <conditionalFormatting sqref="G181">
    <cfRule type="expression" dxfId="0" priority="845">
      <formula>COUNTIF(I181:BG181,"&lt;&gt;" &amp; "")&gt;0</formula>
    </cfRule>
    <cfRule type="expression" dxfId="1" priority="846">
      <formula>AND(COUNTIF(I181:BG181,"&lt;&gt;" &amp; "")&gt;0,NOT(ISBLANK(G181)))</formula>
    </cfRule>
  </conditionalFormatting>
  <conditionalFormatting sqref="G182">
    <cfRule type="expression" dxfId="0" priority="848">
      <formula>COUNTIF(I182:BG182,"&lt;&gt;" &amp; "")&gt;0</formula>
    </cfRule>
    <cfRule type="expression" dxfId="1" priority="849">
      <formula>AND(COUNTIF(I182:BG182,"&lt;&gt;" &amp; "")&gt;0,NOT(ISBLANK(G182)))</formula>
    </cfRule>
  </conditionalFormatting>
  <conditionalFormatting sqref="G183">
    <cfRule type="expression" dxfId="0" priority="851">
      <formula>COUNTIF(I183:BG183,"&lt;&gt;" &amp; "")&gt;0</formula>
    </cfRule>
    <cfRule type="expression" dxfId="1" priority="852">
      <formula>AND(COUNTIF(I183:BG183,"&lt;&gt;" &amp; "")&gt;0,NOT(ISBLANK(G183)))</formula>
    </cfRule>
  </conditionalFormatting>
  <conditionalFormatting sqref="G184">
    <cfRule type="expression" dxfId="0" priority="854">
      <formula>COUNTIF(I184:BG184,"&lt;&gt;" &amp; "")&gt;0</formula>
    </cfRule>
    <cfRule type="expression" dxfId="1" priority="855">
      <formula>AND(COUNTIF(I184:BG184,"&lt;&gt;" &amp; "")&gt;0,NOT(ISBLANK(G184)))</formula>
    </cfRule>
  </conditionalFormatting>
  <conditionalFormatting sqref="G185">
    <cfRule type="expression" dxfId="0" priority="857">
      <formula>COUNTIF(I185:BG185,"&lt;&gt;" &amp; "")&gt;0</formula>
    </cfRule>
    <cfRule type="expression" dxfId="1" priority="858">
      <formula>AND(COUNTIF(I185:BG185,"&lt;&gt;" &amp; "")&gt;0,NOT(ISBLANK(G185)))</formula>
    </cfRule>
  </conditionalFormatting>
  <conditionalFormatting sqref="G186">
    <cfRule type="expression" dxfId="0" priority="860">
      <formula>COUNTIF(I186:BG186,"&lt;&gt;" &amp; "")&gt;0</formula>
    </cfRule>
    <cfRule type="expression" dxfId="1" priority="861">
      <formula>AND(COUNTIF(I186:BG186,"&lt;&gt;" &amp; "")&gt;0,NOT(ISBLANK(G186)))</formula>
    </cfRule>
  </conditionalFormatting>
  <conditionalFormatting sqref="G187">
    <cfRule type="expression" dxfId="0" priority="863">
      <formula>COUNTIF(I187:BG187,"&lt;&gt;" &amp; "")&gt;0</formula>
    </cfRule>
    <cfRule type="expression" dxfId="1" priority="864">
      <formula>AND(COUNTIF(I187:BG187,"&lt;&gt;" &amp; "")&gt;0,NOT(ISBLANK(G187)))</formula>
    </cfRule>
  </conditionalFormatting>
  <conditionalFormatting sqref="G188">
    <cfRule type="expression" dxfId="0" priority="866">
      <formula>COUNTIF(I188:BG188,"&lt;&gt;" &amp; "")&gt;0</formula>
    </cfRule>
    <cfRule type="expression" dxfId="1" priority="867">
      <formula>AND(COUNTIF(I188:BG188,"&lt;&gt;" &amp; "")&gt;0,NOT(ISBLANK(G188)))</formula>
    </cfRule>
  </conditionalFormatting>
  <conditionalFormatting sqref="G189">
    <cfRule type="expression" dxfId="0" priority="869">
      <formula>COUNTIF(I189:BG189,"&lt;&gt;" &amp; "")&gt;0</formula>
    </cfRule>
    <cfRule type="expression" dxfId="1" priority="870">
      <formula>AND(COUNTIF(I189:BG189,"&lt;&gt;" &amp; "")&gt;0,NOT(ISBLANK(G189)))</formula>
    </cfRule>
  </conditionalFormatting>
  <conditionalFormatting sqref="G190">
    <cfRule type="expression" dxfId="0" priority="872">
      <formula>COUNTIF(I190:BG190,"&lt;&gt;" &amp; "")&gt;0</formula>
    </cfRule>
    <cfRule type="expression" dxfId="1" priority="873">
      <formula>AND(COUNTIF(I190:BG190,"&lt;&gt;" &amp; "")&gt;0,NOT(ISBLANK(G190)))</formula>
    </cfRule>
  </conditionalFormatting>
  <conditionalFormatting sqref="G191">
    <cfRule type="expression" dxfId="0" priority="875">
      <formula>COUNTIF(I191:BG191,"&lt;&gt;" &amp; "")&gt;0</formula>
    </cfRule>
    <cfRule type="expression" dxfId="1" priority="876">
      <formula>AND(COUNTIF(I191:BG191,"&lt;&gt;" &amp; "")&gt;0,NOT(ISBLANK(G191)))</formula>
    </cfRule>
  </conditionalFormatting>
  <conditionalFormatting sqref="G192">
    <cfRule type="expression" dxfId="0" priority="878">
      <formula>COUNTIF(I192:BG192,"&lt;&gt;" &amp; "")&gt;0</formula>
    </cfRule>
    <cfRule type="expression" dxfId="1" priority="879">
      <formula>AND(COUNTIF(I192:BG192,"&lt;&gt;" &amp; "")&gt;0,NOT(ISBLANK(G192)))</formula>
    </cfRule>
  </conditionalFormatting>
  <conditionalFormatting sqref="G193">
    <cfRule type="expression" dxfId="0" priority="881">
      <formula>COUNTIF(I193:BG193,"&lt;&gt;" &amp; "")&gt;0</formula>
    </cfRule>
    <cfRule type="expression" dxfId="1" priority="882">
      <formula>AND(COUNTIF(I193:BG193,"&lt;&gt;" &amp; "")&gt;0,NOT(ISBLANK(G193)))</formula>
    </cfRule>
  </conditionalFormatting>
  <conditionalFormatting sqref="G194">
    <cfRule type="expression" dxfId="0" priority="884">
      <formula>COUNTIF(I194:BG194,"&lt;&gt;" &amp; "")&gt;0</formula>
    </cfRule>
    <cfRule type="expression" dxfId="1" priority="885">
      <formula>AND(COUNTIF(I194:BG194,"&lt;&gt;" &amp; "")&gt;0,NOT(ISBLANK(G194)))</formula>
    </cfRule>
  </conditionalFormatting>
  <conditionalFormatting sqref="G195">
    <cfRule type="expression" dxfId="0" priority="887">
      <formula>COUNTIF(I195:BG195,"&lt;&gt;" &amp; "")&gt;0</formula>
    </cfRule>
    <cfRule type="expression" dxfId="1" priority="888">
      <formula>AND(COUNTIF(I195:BG195,"&lt;&gt;" &amp; "")&gt;0,NOT(ISBLANK(G195)))</formula>
    </cfRule>
  </conditionalFormatting>
  <conditionalFormatting sqref="G196">
    <cfRule type="expression" dxfId="0" priority="890">
      <formula>COUNTIF(I196:BG196,"&lt;&gt;" &amp; "")&gt;0</formula>
    </cfRule>
    <cfRule type="expression" dxfId="1" priority="891">
      <formula>AND(COUNTIF(I196:BG196,"&lt;&gt;" &amp; "")&gt;0,NOT(ISBLANK(G196)))</formula>
    </cfRule>
  </conditionalFormatting>
  <conditionalFormatting sqref="G197">
    <cfRule type="expression" dxfId="0" priority="893">
      <formula>COUNTIF(I197:BG197,"&lt;&gt;" &amp; "")&gt;0</formula>
    </cfRule>
    <cfRule type="expression" dxfId="1" priority="894">
      <formula>AND(COUNTIF(I197:BG197,"&lt;&gt;" &amp; "")&gt;0,NOT(ISBLANK(G197)))</formula>
    </cfRule>
  </conditionalFormatting>
  <conditionalFormatting sqref="G198">
    <cfRule type="expression" dxfId="0" priority="896">
      <formula>COUNTIF(I198:BG198,"&lt;&gt;" &amp; "")&gt;0</formula>
    </cfRule>
    <cfRule type="expression" dxfId="1" priority="897">
      <formula>AND(COUNTIF(I198:BG198,"&lt;&gt;" &amp; "")&gt;0,NOT(ISBLANK(G198)))</formula>
    </cfRule>
  </conditionalFormatting>
  <conditionalFormatting sqref="G199">
    <cfRule type="expression" dxfId="0" priority="899">
      <formula>COUNTIF(I199:BG199,"&lt;&gt;" &amp; "")&gt;0</formula>
    </cfRule>
    <cfRule type="expression" dxfId="1" priority="900">
      <formula>AND(COUNTIF(I199:BG199,"&lt;&gt;" &amp; "")&gt;0,NOT(ISBLANK(G199)))</formula>
    </cfRule>
  </conditionalFormatting>
  <conditionalFormatting sqref="G200">
    <cfRule type="expression" dxfId="0" priority="902">
      <formula>COUNTIF(I200:BG200,"&lt;&gt;" &amp; "")&gt;0</formula>
    </cfRule>
    <cfRule type="expression" dxfId="1" priority="903">
      <formula>AND(COUNTIF(I200:BG200,"&lt;&gt;" &amp; "")&gt;0,NOT(ISBLANK(G200)))</formula>
    </cfRule>
  </conditionalFormatting>
  <conditionalFormatting sqref="G201">
    <cfRule type="expression" dxfId="0" priority="905">
      <formula>COUNTIF(I201:BG201,"&lt;&gt;" &amp; "")&gt;0</formula>
    </cfRule>
    <cfRule type="expression" dxfId="1" priority="906">
      <formula>AND(COUNTIF(I201:BG201,"&lt;&gt;" &amp; "")&gt;0,NOT(ISBLANK(G201)))</formula>
    </cfRule>
  </conditionalFormatting>
  <conditionalFormatting sqref="G202">
    <cfRule type="expression" dxfId="0" priority="908">
      <formula>COUNTIF(I202:BG202,"&lt;&gt;" &amp; "")&gt;0</formula>
    </cfRule>
    <cfRule type="expression" dxfId="1" priority="909">
      <formula>AND(COUNTIF(I202:BG202,"&lt;&gt;" &amp; "")&gt;0,NOT(ISBLANK(G202)))</formula>
    </cfRule>
  </conditionalFormatting>
  <conditionalFormatting sqref="G203">
    <cfRule type="expression" dxfId="0" priority="911">
      <formula>COUNTIF(I203:BG203,"&lt;&gt;" &amp; "")&gt;0</formula>
    </cfRule>
    <cfRule type="expression" dxfId="1" priority="912">
      <formula>AND(COUNTIF(I203:BG203,"&lt;&gt;" &amp; "")&gt;0,NOT(ISBLANK(G203)))</formula>
    </cfRule>
  </conditionalFormatting>
  <conditionalFormatting sqref="G204">
    <cfRule type="expression" dxfId="0" priority="914">
      <formula>COUNTIF(I204:BG204,"&lt;&gt;" &amp; "")&gt;0</formula>
    </cfRule>
    <cfRule type="expression" dxfId="1" priority="915">
      <formula>AND(COUNTIF(I204:BG204,"&lt;&gt;" &amp; "")&gt;0,NOT(ISBLANK(G204)))</formula>
    </cfRule>
  </conditionalFormatting>
  <conditionalFormatting sqref="G205">
    <cfRule type="expression" dxfId="0" priority="917">
      <formula>COUNTIF(I205:BG205,"&lt;&gt;" &amp; "")&gt;0</formula>
    </cfRule>
    <cfRule type="expression" dxfId="1" priority="918">
      <formula>AND(COUNTIF(I205:BG205,"&lt;&gt;" &amp; "")&gt;0,NOT(ISBLANK(G205)))</formula>
    </cfRule>
  </conditionalFormatting>
  <conditionalFormatting sqref="G206">
    <cfRule type="expression" dxfId="0" priority="920">
      <formula>COUNTIF(I206:BG206,"&lt;&gt;" &amp; "")&gt;0</formula>
    </cfRule>
    <cfRule type="expression" dxfId="1" priority="921">
      <formula>AND(COUNTIF(I206:BG206,"&lt;&gt;" &amp; "")&gt;0,NOT(ISBLANK(G206)))</formula>
    </cfRule>
  </conditionalFormatting>
  <conditionalFormatting sqref="G207">
    <cfRule type="expression" dxfId="0" priority="923">
      <formula>COUNTIF(I207:BG207,"&lt;&gt;" &amp; "")&gt;0</formula>
    </cfRule>
    <cfRule type="expression" dxfId="1" priority="924">
      <formula>AND(COUNTIF(I207:BG207,"&lt;&gt;" &amp; "")&gt;0,NOT(ISBLANK(G207)))</formula>
    </cfRule>
  </conditionalFormatting>
  <conditionalFormatting sqref="G208">
    <cfRule type="expression" dxfId="0" priority="926">
      <formula>COUNTIF(I208:BG208,"&lt;&gt;" &amp; "")&gt;0</formula>
    </cfRule>
    <cfRule type="expression" dxfId="1" priority="927">
      <formula>AND(COUNTIF(I208:BG208,"&lt;&gt;" &amp; "")&gt;0,NOT(ISBLANK(G208)))</formula>
    </cfRule>
  </conditionalFormatting>
  <conditionalFormatting sqref="G209">
    <cfRule type="expression" dxfId="0" priority="929">
      <formula>COUNTIF(I209:BG209,"&lt;&gt;" &amp; "")&gt;0</formula>
    </cfRule>
    <cfRule type="expression" dxfId="1" priority="930">
      <formula>AND(COUNTIF(I209:BG209,"&lt;&gt;" &amp; "")&gt;0,NOT(ISBLANK(G209)))</formula>
    </cfRule>
  </conditionalFormatting>
  <conditionalFormatting sqref="G21">
    <cfRule type="expression" dxfId="0" priority="365">
      <formula>COUNTIF(I21:BG21,"&lt;&gt;" &amp; "")&gt;0</formula>
    </cfRule>
    <cfRule type="expression" dxfId="1" priority="366">
      <formula>AND(COUNTIF(I21:BG21,"&lt;&gt;" &amp; "")&gt;0,NOT(ISBLANK(G21)))</formula>
    </cfRule>
  </conditionalFormatting>
  <conditionalFormatting sqref="G210">
    <cfRule type="expression" dxfId="0" priority="932">
      <formula>COUNTIF(I210:BG210,"&lt;&gt;" &amp; "")&gt;0</formula>
    </cfRule>
    <cfRule type="expression" dxfId="1" priority="933">
      <formula>AND(COUNTIF(I210:BG210,"&lt;&gt;" &amp; "")&gt;0,NOT(ISBLANK(G210)))</formula>
    </cfRule>
  </conditionalFormatting>
  <conditionalFormatting sqref="G211">
    <cfRule type="expression" dxfId="0" priority="935">
      <formula>COUNTIF(I211:BG211,"&lt;&gt;" &amp; "")&gt;0</formula>
    </cfRule>
    <cfRule type="expression" dxfId="1" priority="936">
      <formula>AND(COUNTIF(I211:BG211,"&lt;&gt;" &amp; "")&gt;0,NOT(ISBLANK(G211)))</formula>
    </cfRule>
  </conditionalFormatting>
  <conditionalFormatting sqref="G212">
    <cfRule type="expression" dxfId="0" priority="938">
      <formula>COUNTIF(I212:BG212,"&lt;&gt;" &amp; "")&gt;0</formula>
    </cfRule>
    <cfRule type="expression" dxfId="1" priority="939">
      <formula>AND(COUNTIF(I212:BG212,"&lt;&gt;" &amp; "")&gt;0,NOT(ISBLANK(G212)))</formula>
    </cfRule>
  </conditionalFormatting>
  <conditionalFormatting sqref="G213">
    <cfRule type="expression" dxfId="0" priority="941">
      <formula>COUNTIF(I213:BG213,"&lt;&gt;" &amp; "")&gt;0</formula>
    </cfRule>
    <cfRule type="expression" dxfId="1" priority="942">
      <formula>AND(COUNTIF(I213:BG213,"&lt;&gt;" &amp; "")&gt;0,NOT(ISBLANK(G213)))</formula>
    </cfRule>
  </conditionalFormatting>
  <conditionalFormatting sqref="G214">
    <cfRule type="expression" dxfId="0" priority="944">
      <formula>COUNTIF(I214:BG214,"&lt;&gt;" &amp; "")&gt;0</formula>
    </cfRule>
    <cfRule type="expression" dxfId="1" priority="945">
      <formula>AND(COUNTIF(I214:BG214,"&lt;&gt;" &amp; "")&gt;0,NOT(ISBLANK(G214)))</formula>
    </cfRule>
  </conditionalFormatting>
  <conditionalFormatting sqref="G215">
    <cfRule type="expression" dxfId="0" priority="947">
      <formula>COUNTIF(I215:BG215,"&lt;&gt;" &amp; "")&gt;0</formula>
    </cfRule>
    <cfRule type="expression" dxfId="1" priority="948">
      <formula>AND(COUNTIF(I215:BG215,"&lt;&gt;" &amp; "")&gt;0,NOT(ISBLANK(G215)))</formula>
    </cfRule>
  </conditionalFormatting>
  <conditionalFormatting sqref="G216">
    <cfRule type="expression" dxfId="0" priority="950">
      <formula>COUNTIF(I216:BG216,"&lt;&gt;" &amp; "")&gt;0</formula>
    </cfRule>
    <cfRule type="expression" dxfId="1" priority="951">
      <formula>AND(COUNTIF(I216:BG216,"&lt;&gt;" &amp; "")&gt;0,NOT(ISBLANK(G216)))</formula>
    </cfRule>
  </conditionalFormatting>
  <conditionalFormatting sqref="G22">
    <cfRule type="expression" dxfId="0" priority="368">
      <formula>COUNTIF(I22:BG22,"&lt;&gt;" &amp; "")&gt;0</formula>
    </cfRule>
    <cfRule type="expression" dxfId="1" priority="369">
      <formula>AND(COUNTIF(I22:BG22,"&lt;&gt;" &amp; "")&gt;0,NOT(ISBLANK(G22)))</formula>
    </cfRule>
  </conditionalFormatting>
  <conditionalFormatting sqref="G222">
    <cfRule type="cellIs" dxfId="2" priority="961" operator="equal">
      <formula>"Y"</formula>
    </cfRule>
    <cfRule type="cellIs" dxfId="3" priority="962" operator="equal">
      <formula>"N"</formula>
    </cfRule>
  </conditionalFormatting>
  <conditionalFormatting sqref="G223">
    <cfRule type="cellIs" dxfId="2" priority="987" operator="equal">
      <formula>"Y"</formula>
    </cfRule>
    <cfRule type="cellIs" dxfId="3" priority="988" operator="equal">
      <formula>"N"</formula>
    </cfRule>
  </conditionalFormatting>
  <conditionalFormatting sqref="G224">
    <cfRule type="cellIs" dxfId="2" priority="1013" operator="equal">
      <formula>"Y"</formula>
    </cfRule>
    <cfRule type="cellIs" dxfId="3" priority="1014" operator="equal">
      <formula>"N"</formula>
    </cfRule>
  </conditionalFormatting>
  <conditionalFormatting sqref="G225">
    <cfRule type="cellIs" dxfId="2" priority="1039" operator="equal">
      <formula>"Y"</formula>
    </cfRule>
    <cfRule type="cellIs" dxfId="3" priority="1040" operator="equal">
      <formula>"N"</formula>
    </cfRule>
  </conditionalFormatting>
  <conditionalFormatting sqref="G226">
    <cfRule type="cellIs" dxfId="2" priority="1065" operator="equal">
      <formula>"Y"</formula>
    </cfRule>
    <cfRule type="cellIs" dxfId="3" priority="1066" operator="equal">
      <formula>"N"</formula>
    </cfRule>
  </conditionalFormatting>
  <conditionalFormatting sqref="G228">
    <cfRule type="cellIs" dxfId="2" priority="1119" operator="equal">
      <formula>"Y"</formula>
    </cfRule>
    <cfRule type="cellIs" dxfId="3" priority="1120" operator="equal">
      <formula>"N"</formula>
    </cfRule>
  </conditionalFormatting>
  <conditionalFormatting sqref="G229">
    <cfRule type="cellIs" dxfId="2" priority="1145" operator="equal">
      <formula>"Y"</formula>
    </cfRule>
    <cfRule type="cellIs" dxfId="3" priority="1146" operator="equal">
      <formula>"N"</formula>
    </cfRule>
  </conditionalFormatting>
  <conditionalFormatting sqref="G23">
    <cfRule type="expression" dxfId="0" priority="371">
      <formula>COUNTIF(I23:BG23,"&lt;&gt;" &amp; "")&gt;0</formula>
    </cfRule>
    <cfRule type="expression" dxfId="1" priority="372">
      <formula>AND(COUNTIF(I23:BG23,"&lt;&gt;" &amp; "")&gt;0,NOT(ISBLANK(G23)))</formula>
    </cfRule>
  </conditionalFormatting>
  <conditionalFormatting sqref="G230">
    <cfRule type="cellIs" dxfId="2" priority="1171" operator="equal">
      <formula>"Y"</formula>
    </cfRule>
    <cfRule type="cellIs" dxfId="3" priority="1172" operator="equal">
      <formula>"N"</formula>
    </cfRule>
  </conditionalFormatting>
  <conditionalFormatting sqref="G231">
    <cfRule type="cellIs" dxfId="2" priority="1197" operator="equal">
      <formula>"Y"</formula>
    </cfRule>
    <cfRule type="cellIs" dxfId="3" priority="1198" operator="equal">
      <formula>"N"</formula>
    </cfRule>
  </conditionalFormatting>
  <conditionalFormatting sqref="G232">
    <cfRule type="cellIs" dxfId="2" priority="1223" operator="equal">
      <formula>"Y"</formula>
    </cfRule>
    <cfRule type="cellIs" dxfId="3" priority="1224" operator="equal">
      <formula>"N"</formula>
    </cfRule>
  </conditionalFormatting>
  <conditionalFormatting sqref="G233">
    <cfRule type="cellIs" dxfId="2" priority="1249" operator="equal">
      <formula>"Y"</formula>
    </cfRule>
    <cfRule type="cellIs" dxfId="3" priority="1250" operator="equal">
      <formula>"N"</formula>
    </cfRule>
  </conditionalFormatting>
  <conditionalFormatting sqref="G234">
    <cfRule type="cellIs" dxfId="2" priority="1275" operator="equal">
      <formula>"Y"</formula>
    </cfRule>
    <cfRule type="cellIs" dxfId="3" priority="1276" operator="equal">
      <formula>"N"</formula>
    </cfRule>
  </conditionalFormatting>
  <conditionalFormatting sqref="G235">
    <cfRule type="cellIs" dxfId="2" priority="1301" operator="equal">
      <formula>"Y"</formula>
    </cfRule>
    <cfRule type="cellIs" dxfId="3" priority="1302" operator="equal">
      <formula>"N"</formula>
    </cfRule>
  </conditionalFormatting>
  <conditionalFormatting sqref="G238">
    <cfRule type="expression" dxfId="0" priority="1317">
      <formula>COUNTIF(I238:BG238,"&lt;&gt;" &amp; "")&gt;0</formula>
    </cfRule>
    <cfRule type="expression" dxfId="1" priority="1318">
      <formula>AND(COUNTIF(I238:BG238,"&lt;&gt;" &amp; "")&gt;0,NOT(ISBLANK(G238)))</formula>
    </cfRule>
  </conditionalFormatting>
  <conditionalFormatting sqref="G239">
    <cfRule type="expression" dxfId="0" priority="1320">
      <formula>COUNTIF(I239:BG239,"&lt;&gt;" &amp; "")&gt;0</formula>
    </cfRule>
    <cfRule type="expression" dxfId="1" priority="1321">
      <formula>AND(COUNTIF(I239:BG239,"&lt;&gt;" &amp; "")&gt;0,NOT(ISBLANK(G239)))</formula>
    </cfRule>
  </conditionalFormatting>
  <conditionalFormatting sqref="G24">
    <cfRule type="expression" dxfId="0" priority="374">
      <formula>COUNTIF(I24:BG24,"&lt;&gt;" &amp; "")&gt;0</formula>
    </cfRule>
    <cfRule type="expression" dxfId="1" priority="375">
      <formula>AND(COUNTIF(I24:BG24,"&lt;&gt;" &amp; "")&gt;0,NOT(ISBLANK(G24)))</formula>
    </cfRule>
  </conditionalFormatting>
  <conditionalFormatting sqref="G240">
    <cfRule type="expression" dxfId="0" priority="1323">
      <formula>COUNTIF(I240:BG240,"&lt;&gt;" &amp; "")&gt;0</formula>
    </cfRule>
    <cfRule type="expression" dxfId="1" priority="1324">
      <formula>AND(COUNTIF(I240:BG240,"&lt;&gt;" &amp; "")&gt;0,NOT(ISBLANK(G240)))</formula>
    </cfRule>
  </conditionalFormatting>
  <conditionalFormatting sqref="G241">
    <cfRule type="expression" dxfId="0" priority="1326">
      <formula>COUNTIF(I241:BG241,"&lt;&gt;" &amp; "")&gt;0</formula>
    </cfRule>
    <cfRule type="expression" dxfId="1" priority="1327">
      <formula>AND(COUNTIF(I241:BG241,"&lt;&gt;" &amp; "")&gt;0,NOT(ISBLANK(G241)))</formula>
    </cfRule>
  </conditionalFormatting>
  <conditionalFormatting sqref="G242">
    <cfRule type="expression" dxfId="0" priority="1329">
      <formula>COUNTIF(I242:BG242,"&lt;&gt;" &amp; "")&gt;0</formula>
    </cfRule>
    <cfRule type="expression" dxfId="1" priority="1330">
      <formula>AND(COUNTIF(I242:BG242,"&lt;&gt;" &amp; "")&gt;0,NOT(ISBLANK(G242)))</formula>
    </cfRule>
  </conditionalFormatting>
  <conditionalFormatting sqref="G243">
    <cfRule type="expression" dxfId="0" priority="1332">
      <formula>COUNTIF(I243:BG243,"&lt;&gt;" &amp; "")&gt;0</formula>
    </cfRule>
    <cfRule type="expression" dxfId="1" priority="1333">
      <formula>AND(COUNTIF(I243:BG243,"&lt;&gt;" &amp; "")&gt;0,NOT(ISBLANK(G243)))</formula>
    </cfRule>
  </conditionalFormatting>
  <conditionalFormatting sqref="G244">
    <cfRule type="expression" dxfId="0" priority="1335">
      <formula>COUNTIF(I244:BG244,"&lt;&gt;" &amp; "")&gt;0</formula>
    </cfRule>
    <cfRule type="expression" dxfId="1" priority="1336">
      <formula>AND(COUNTIF(I244:BG244,"&lt;&gt;" &amp; "")&gt;0,NOT(ISBLANK(G244)))</formula>
    </cfRule>
  </conditionalFormatting>
  <conditionalFormatting sqref="G245">
    <cfRule type="expression" dxfId="0" priority="1338">
      <formula>COUNTIF(I245:BG245,"&lt;&gt;" &amp; "")&gt;0</formula>
    </cfRule>
    <cfRule type="expression" dxfId="1" priority="1339">
      <formula>AND(COUNTIF(I245:BG245,"&lt;&gt;" &amp; "")&gt;0,NOT(ISBLANK(G245)))</formula>
    </cfRule>
  </conditionalFormatting>
  <conditionalFormatting sqref="G246">
    <cfRule type="expression" dxfId="0" priority="1341">
      <formula>COUNTIF(I246:BG246,"&lt;&gt;" &amp; "")&gt;0</formula>
    </cfRule>
    <cfRule type="expression" dxfId="1" priority="1342">
      <formula>AND(COUNTIF(I246:BG246,"&lt;&gt;" &amp; "")&gt;0,NOT(ISBLANK(G246)))</formula>
    </cfRule>
  </conditionalFormatting>
  <conditionalFormatting sqref="G247">
    <cfRule type="expression" dxfId="0" priority="1344">
      <formula>COUNTIF(I247:BG247,"&lt;&gt;" &amp; "")&gt;0</formula>
    </cfRule>
    <cfRule type="expression" dxfId="1" priority="1345">
      <formula>AND(COUNTIF(I247:BG247,"&lt;&gt;" &amp; "")&gt;0,NOT(ISBLANK(G247)))</formula>
    </cfRule>
  </conditionalFormatting>
  <conditionalFormatting sqref="G248">
    <cfRule type="expression" dxfId="0" priority="1347">
      <formula>COUNTIF(I248:BG248,"&lt;&gt;" &amp; "")&gt;0</formula>
    </cfRule>
    <cfRule type="expression" dxfId="1" priority="1348">
      <formula>AND(COUNTIF(I248:BG248,"&lt;&gt;" &amp; "")&gt;0,NOT(ISBLANK(G248)))</formula>
    </cfRule>
  </conditionalFormatting>
  <conditionalFormatting sqref="G249">
    <cfRule type="expression" dxfId="0" priority="1350">
      <formula>COUNTIF(I249:BG249,"&lt;&gt;" &amp; "")&gt;0</formula>
    </cfRule>
    <cfRule type="expression" dxfId="1" priority="1351">
      <formula>AND(COUNTIF(I249:BG249,"&lt;&gt;" &amp; "")&gt;0,NOT(ISBLANK(G249)))</formula>
    </cfRule>
  </conditionalFormatting>
  <conditionalFormatting sqref="G25">
    <cfRule type="expression" dxfId="0" priority="377">
      <formula>COUNTIF(I25:BG25,"&lt;&gt;" &amp; "")&gt;0</formula>
    </cfRule>
    <cfRule type="expression" dxfId="1" priority="378">
      <formula>AND(COUNTIF(I25:BG25,"&lt;&gt;" &amp; "")&gt;0,NOT(ISBLANK(G25)))</formula>
    </cfRule>
  </conditionalFormatting>
  <conditionalFormatting sqref="G250">
    <cfRule type="expression" dxfId="0" priority="1353">
      <formula>COUNTIF(I250:BG250,"&lt;&gt;" &amp; "")&gt;0</formula>
    </cfRule>
    <cfRule type="expression" dxfId="1" priority="1354">
      <formula>AND(COUNTIF(I250:BG250,"&lt;&gt;" &amp; "")&gt;0,NOT(ISBLANK(G250)))</formula>
    </cfRule>
  </conditionalFormatting>
  <conditionalFormatting sqref="G251">
    <cfRule type="expression" dxfId="0" priority="1356">
      <formula>COUNTIF(I251:BG251,"&lt;&gt;" &amp; "")&gt;0</formula>
    </cfRule>
    <cfRule type="expression" dxfId="1" priority="1357">
      <formula>AND(COUNTIF(I251:BG251,"&lt;&gt;" &amp; "")&gt;0,NOT(ISBLANK(G251)))</formula>
    </cfRule>
  </conditionalFormatting>
  <conditionalFormatting sqref="G252">
    <cfRule type="expression" dxfId="0" priority="1359">
      <formula>COUNTIF(I252:BG252,"&lt;&gt;" &amp; "")&gt;0</formula>
    </cfRule>
    <cfRule type="expression" dxfId="1" priority="1360">
      <formula>AND(COUNTIF(I252:BG252,"&lt;&gt;" &amp; "")&gt;0,NOT(ISBLANK(G252)))</formula>
    </cfRule>
  </conditionalFormatting>
  <conditionalFormatting sqref="G253">
    <cfRule type="expression" dxfId="0" priority="1362">
      <formula>COUNTIF(I253:BG253,"&lt;&gt;" &amp; "")&gt;0</formula>
    </cfRule>
    <cfRule type="expression" dxfId="1" priority="1363">
      <formula>AND(COUNTIF(I253:BG253,"&lt;&gt;" &amp; "")&gt;0,NOT(ISBLANK(G253)))</formula>
    </cfRule>
  </conditionalFormatting>
  <conditionalFormatting sqref="G254">
    <cfRule type="expression" dxfId="0" priority="1365">
      <formula>COUNTIF(I254:BG254,"&lt;&gt;" &amp; "")&gt;0</formula>
    </cfRule>
    <cfRule type="expression" dxfId="1" priority="1366">
      <formula>AND(COUNTIF(I254:BG254,"&lt;&gt;" &amp; "")&gt;0,NOT(ISBLANK(G254)))</formula>
    </cfRule>
  </conditionalFormatting>
  <conditionalFormatting sqref="G255">
    <cfRule type="expression" dxfId="0" priority="1368">
      <formula>COUNTIF(I255:BG255,"&lt;&gt;" &amp; "")&gt;0</formula>
    </cfRule>
    <cfRule type="expression" dxfId="1" priority="1369">
      <formula>AND(COUNTIF(I255:BG255,"&lt;&gt;" &amp; "")&gt;0,NOT(ISBLANK(G255)))</formula>
    </cfRule>
  </conditionalFormatting>
  <conditionalFormatting sqref="G256">
    <cfRule type="expression" dxfId="0" priority="1371">
      <formula>COUNTIF(I256:BG256,"&lt;&gt;" &amp; "")&gt;0</formula>
    </cfRule>
    <cfRule type="expression" dxfId="1" priority="1372">
      <formula>AND(COUNTIF(I256:BG256,"&lt;&gt;" &amp; "")&gt;0,NOT(ISBLANK(G256)))</formula>
    </cfRule>
  </conditionalFormatting>
  <conditionalFormatting sqref="G257">
    <cfRule type="expression" dxfId="0" priority="1374">
      <formula>COUNTIF(I257:BG257,"&lt;&gt;" &amp; "")&gt;0</formula>
    </cfRule>
    <cfRule type="expression" dxfId="1" priority="1375">
      <formula>AND(COUNTIF(I257:BG257,"&lt;&gt;" &amp; "")&gt;0,NOT(ISBLANK(G257)))</formula>
    </cfRule>
  </conditionalFormatting>
  <conditionalFormatting sqref="G258">
    <cfRule type="expression" dxfId="0" priority="1377">
      <formula>COUNTIF(I258:BG258,"&lt;&gt;" &amp; "")&gt;0</formula>
    </cfRule>
    <cfRule type="expression" dxfId="1" priority="1378">
      <formula>AND(COUNTIF(I258:BG258,"&lt;&gt;" &amp; "")&gt;0,NOT(ISBLANK(G258)))</formula>
    </cfRule>
  </conditionalFormatting>
  <conditionalFormatting sqref="G259">
    <cfRule type="expression" dxfId="0" priority="1380">
      <formula>COUNTIF(I259:BG259,"&lt;&gt;" &amp; "")&gt;0</formula>
    </cfRule>
    <cfRule type="expression" dxfId="1" priority="1381">
      <formula>AND(COUNTIF(I259:BG259,"&lt;&gt;" &amp; "")&gt;0,NOT(ISBLANK(G259)))</formula>
    </cfRule>
  </conditionalFormatting>
  <conditionalFormatting sqref="G26">
    <cfRule type="expression" dxfId="0" priority="380">
      <formula>COUNTIF(I26:BG26,"&lt;&gt;" &amp; "")&gt;0</formula>
    </cfRule>
    <cfRule type="expression" dxfId="1" priority="381">
      <formula>AND(COUNTIF(I26:BG26,"&lt;&gt;" &amp; "")&gt;0,NOT(ISBLANK(G26)))</formula>
    </cfRule>
  </conditionalFormatting>
  <conditionalFormatting sqref="G260">
    <cfRule type="expression" dxfId="0" priority="1383">
      <formula>COUNTIF(I260:BG260,"&lt;&gt;" &amp; "")&gt;0</formula>
    </cfRule>
    <cfRule type="expression" dxfId="1" priority="1384">
      <formula>AND(COUNTIF(I260:BG260,"&lt;&gt;" &amp; "")&gt;0,NOT(ISBLANK(G260)))</formula>
    </cfRule>
  </conditionalFormatting>
  <conditionalFormatting sqref="G261">
    <cfRule type="expression" dxfId="0" priority="1386">
      <formula>COUNTIF(I261:BG261,"&lt;&gt;" &amp; "")&gt;0</formula>
    </cfRule>
    <cfRule type="expression" dxfId="1" priority="1387">
      <formula>AND(COUNTIF(I261:BG261,"&lt;&gt;" &amp; "")&gt;0,NOT(ISBLANK(G261)))</formula>
    </cfRule>
  </conditionalFormatting>
  <conditionalFormatting sqref="G262">
    <cfRule type="expression" dxfId="0" priority="1389">
      <formula>COUNTIF(I262:BG262,"&lt;&gt;" &amp; "")&gt;0</formula>
    </cfRule>
    <cfRule type="expression" dxfId="1" priority="1390">
      <formula>AND(COUNTIF(I262:BG262,"&lt;&gt;" &amp; "")&gt;0,NOT(ISBLANK(G262)))</formula>
    </cfRule>
  </conditionalFormatting>
  <conditionalFormatting sqref="G263">
    <cfRule type="expression" dxfId="0" priority="1392">
      <formula>COUNTIF(I263:BG263,"&lt;&gt;" &amp; "")&gt;0</formula>
    </cfRule>
    <cfRule type="expression" dxfId="1" priority="1393">
      <formula>AND(COUNTIF(I263:BG263,"&lt;&gt;" &amp; "")&gt;0,NOT(ISBLANK(G263)))</formula>
    </cfRule>
  </conditionalFormatting>
  <conditionalFormatting sqref="G264">
    <cfRule type="expression" dxfId="0" priority="1395">
      <formula>COUNTIF(I264:BG264,"&lt;&gt;" &amp; "")&gt;0</formula>
    </cfRule>
    <cfRule type="expression" dxfId="1" priority="1396">
      <formula>AND(COUNTIF(I264:BG264,"&lt;&gt;" &amp; "")&gt;0,NOT(ISBLANK(G264)))</formula>
    </cfRule>
  </conditionalFormatting>
  <conditionalFormatting sqref="G265">
    <cfRule type="expression" dxfId="0" priority="1398">
      <formula>COUNTIF(I265:BG265,"&lt;&gt;" &amp; "")&gt;0</formula>
    </cfRule>
    <cfRule type="expression" dxfId="1" priority="1399">
      <formula>AND(COUNTIF(I265:BG265,"&lt;&gt;" &amp; "")&gt;0,NOT(ISBLANK(G265)))</formula>
    </cfRule>
  </conditionalFormatting>
  <conditionalFormatting sqref="G266">
    <cfRule type="expression" dxfId="0" priority="1401">
      <formula>COUNTIF(I266:BG266,"&lt;&gt;" &amp; "")&gt;0</formula>
    </cfRule>
    <cfRule type="expression" dxfId="1" priority="1402">
      <formula>AND(COUNTIF(I266:BG266,"&lt;&gt;" &amp; "")&gt;0,NOT(ISBLANK(G266)))</formula>
    </cfRule>
  </conditionalFormatting>
  <conditionalFormatting sqref="G267">
    <cfRule type="expression" dxfId="0" priority="1404">
      <formula>COUNTIF(I267:BG267,"&lt;&gt;" &amp; "")&gt;0</formula>
    </cfRule>
    <cfRule type="expression" dxfId="1" priority="1405">
      <formula>AND(COUNTIF(I267:BG267,"&lt;&gt;" &amp; "")&gt;0,NOT(ISBLANK(G267)))</formula>
    </cfRule>
  </conditionalFormatting>
  <conditionalFormatting sqref="G268">
    <cfRule type="expression" dxfId="0" priority="1407">
      <formula>COUNTIF(I268:BG268,"&lt;&gt;" &amp; "")&gt;0</formula>
    </cfRule>
    <cfRule type="expression" dxfId="1" priority="1408">
      <formula>AND(COUNTIF(I268:BG268,"&lt;&gt;" &amp; "")&gt;0,NOT(ISBLANK(G268)))</formula>
    </cfRule>
  </conditionalFormatting>
  <conditionalFormatting sqref="G269">
    <cfRule type="expression" dxfId="0" priority="1410">
      <formula>COUNTIF(I269:BG269,"&lt;&gt;" &amp; "")&gt;0</formula>
    </cfRule>
    <cfRule type="expression" dxfId="1" priority="1411">
      <formula>AND(COUNTIF(I269:BG269,"&lt;&gt;" &amp; "")&gt;0,NOT(ISBLANK(G269)))</formula>
    </cfRule>
  </conditionalFormatting>
  <conditionalFormatting sqref="G27">
    <cfRule type="expression" dxfId="0" priority="383">
      <formula>COUNTIF(I27:BG27,"&lt;&gt;" &amp; "")&gt;0</formula>
    </cfRule>
    <cfRule type="expression" dxfId="1" priority="384">
      <formula>AND(COUNTIF(I27:BG27,"&lt;&gt;" &amp; "")&gt;0,NOT(ISBLANK(G27)))</formula>
    </cfRule>
  </conditionalFormatting>
  <conditionalFormatting sqref="G270">
    <cfRule type="expression" dxfId="0" priority="1413">
      <formula>COUNTIF(I270:BG270,"&lt;&gt;" &amp; "")&gt;0</formula>
    </cfRule>
    <cfRule type="expression" dxfId="1" priority="1414">
      <formula>AND(COUNTIF(I270:BG270,"&lt;&gt;" &amp; "")&gt;0,NOT(ISBLANK(G270)))</formula>
    </cfRule>
  </conditionalFormatting>
  <conditionalFormatting sqref="G271">
    <cfRule type="expression" dxfId="0" priority="1416">
      <formula>COUNTIF(I271:BG271,"&lt;&gt;" &amp; "")&gt;0</formula>
    </cfRule>
    <cfRule type="expression" dxfId="1" priority="1417">
      <formula>AND(COUNTIF(I271:BG271,"&lt;&gt;" &amp; "")&gt;0,NOT(ISBLANK(G271)))</formula>
    </cfRule>
  </conditionalFormatting>
  <conditionalFormatting sqref="G272">
    <cfRule type="expression" dxfId="0" priority="1419">
      <formula>COUNTIF(I272:BG272,"&lt;&gt;" &amp; "")&gt;0</formula>
    </cfRule>
    <cfRule type="expression" dxfId="1" priority="1420">
      <formula>AND(COUNTIF(I272:BG272,"&lt;&gt;" &amp; "")&gt;0,NOT(ISBLANK(G272)))</formula>
    </cfRule>
  </conditionalFormatting>
  <conditionalFormatting sqref="G273">
    <cfRule type="expression" dxfId="0" priority="1422">
      <formula>COUNTIF(I273:BG273,"&lt;&gt;" &amp; "")&gt;0</formula>
    </cfRule>
    <cfRule type="expression" dxfId="1" priority="1423">
      <formula>AND(COUNTIF(I273:BG273,"&lt;&gt;" &amp; "")&gt;0,NOT(ISBLANK(G273)))</formula>
    </cfRule>
  </conditionalFormatting>
  <conditionalFormatting sqref="G274">
    <cfRule type="expression" dxfId="0" priority="1425">
      <formula>COUNTIF(I274:BG274,"&lt;&gt;" &amp; "")&gt;0</formula>
    </cfRule>
    <cfRule type="expression" dxfId="1" priority="1426">
      <formula>AND(COUNTIF(I274:BG274,"&lt;&gt;" &amp; "")&gt;0,NOT(ISBLANK(G274)))</formula>
    </cfRule>
  </conditionalFormatting>
  <conditionalFormatting sqref="G275">
    <cfRule type="expression" dxfId="0" priority="1428">
      <formula>COUNTIF(I275:BG275,"&lt;&gt;" &amp; "")&gt;0</formula>
    </cfRule>
    <cfRule type="expression" dxfId="1" priority="1429">
      <formula>AND(COUNTIF(I275:BG275,"&lt;&gt;" &amp; "")&gt;0,NOT(ISBLANK(G275)))</formula>
    </cfRule>
  </conditionalFormatting>
  <conditionalFormatting sqref="G276">
    <cfRule type="expression" dxfId="0" priority="1431">
      <formula>COUNTIF(I276:BG276,"&lt;&gt;" &amp; "")&gt;0</formula>
    </cfRule>
    <cfRule type="expression" dxfId="1" priority="1432">
      <formula>AND(COUNTIF(I276:BG276,"&lt;&gt;" &amp; "")&gt;0,NOT(ISBLANK(G276)))</formula>
    </cfRule>
  </conditionalFormatting>
  <conditionalFormatting sqref="G277">
    <cfRule type="expression" dxfId="0" priority="1434">
      <formula>COUNTIF(I277:BG277,"&lt;&gt;" &amp; "")&gt;0</formula>
    </cfRule>
    <cfRule type="expression" dxfId="1" priority="1435">
      <formula>AND(COUNTIF(I277:BG277,"&lt;&gt;" &amp; "")&gt;0,NOT(ISBLANK(G277)))</formula>
    </cfRule>
  </conditionalFormatting>
  <conditionalFormatting sqref="G278">
    <cfRule type="expression" dxfId="0" priority="1437">
      <formula>COUNTIF(I278:BG278,"&lt;&gt;" &amp; "")&gt;0</formula>
    </cfRule>
    <cfRule type="expression" dxfId="1" priority="1438">
      <formula>AND(COUNTIF(I278:BG278,"&lt;&gt;" &amp; "")&gt;0,NOT(ISBLANK(G278)))</formula>
    </cfRule>
  </conditionalFormatting>
  <conditionalFormatting sqref="G279">
    <cfRule type="expression" dxfId="0" priority="1440">
      <formula>COUNTIF(I279:BG279,"&lt;&gt;" &amp; "")&gt;0</formula>
    </cfRule>
    <cfRule type="expression" dxfId="1" priority="1441">
      <formula>AND(COUNTIF(I279:BG279,"&lt;&gt;" &amp; "")&gt;0,NOT(ISBLANK(G279)))</formula>
    </cfRule>
  </conditionalFormatting>
  <conditionalFormatting sqref="G28">
    <cfRule type="expression" dxfId="0" priority="386">
      <formula>COUNTIF(I28:BG28,"&lt;&gt;" &amp; "")&gt;0</formula>
    </cfRule>
    <cfRule type="expression" dxfId="1" priority="387">
      <formula>AND(COUNTIF(I28:BG28,"&lt;&gt;" &amp; "")&gt;0,NOT(ISBLANK(G28)))</formula>
    </cfRule>
  </conditionalFormatting>
  <conditionalFormatting sqref="G280">
    <cfRule type="expression" dxfId="0" priority="1443">
      <formula>COUNTIF(I280:BG280,"&lt;&gt;" &amp; "")&gt;0</formula>
    </cfRule>
    <cfRule type="expression" dxfId="1" priority="1444">
      <formula>AND(COUNTIF(I280:BG280,"&lt;&gt;" &amp; "")&gt;0,NOT(ISBLANK(G280)))</formula>
    </cfRule>
  </conditionalFormatting>
  <conditionalFormatting sqref="G281">
    <cfRule type="expression" dxfId="0" priority="1446">
      <formula>COUNTIF(I281:BG281,"&lt;&gt;" &amp; "")&gt;0</formula>
    </cfRule>
    <cfRule type="expression" dxfId="1" priority="1447">
      <formula>AND(COUNTIF(I281:BG281,"&lt;&gt;" &amp; "")&gt;0,NOT(ISBLANK(G281)))</formula>
    </cfRule>
  </conditionalFormatting>
  <conditionalFormatting sqref="G282">
    <cfRule type="expression" dxfId="0" priority="1449">
      <formula>COUNTIF(I282:BG282,"&lt;&gt;" &amp; "")&gt;0</formula>
    </cfRule>
    <cfRule type="expression" dxfId="1" priority="1450">
      <formula>AND(COUNTIF(I282:BG282,"&lt;&gt;" &amp; "")&gt;0,NOT(ISBLANK(G282)))</formula>
    </cfRule>
  </conditionalFormatting>
  <conditionalFormatting sqref="G283">
    <cfRule type="expression" dxfId="0" priority="1452">
      <formula>COUNTIF(I283:BG283,"&lt;&gt;" &amp; "")&gt;0</formula>
    </cfRule>
    <cfRule type="expression" dxfId="1" priority="1453">
      <formula>AND(COUNTIF(I283:BG283,"&lt;&gt;" &amp; "")&gt;0,NOT(ISBLANK(G283)))</formula>
    </cfRule>
  </conditionalFormatting>
  <conditionalFormatting sqref="G284">
    <cfRule type="expression" dxfId="0" priority="1455">
      <formula>COUNTIF(I284:BG284,"&lt;&gt;" &amp; "")&gt;0</formula>
    </cfRule>
    <cfRule type="expression" dxfId="1" priority="1456">
      <formula>AND(COUNTIF(I284:BG284,"&lt;&gt;" &amp; "")&gt;0,NOT(ISBLANK(G284)))</formula>
    </cfRule>
  </conditionalFormatting>
  <conditionalFormatting sqref="G285">
    <cfRule type="expression" dxfId="0" priority="1458">
      <formula>COUNTIF(I285:BG285,"&lt;&gt;" &amp; "")&gt;0</formula>
    </cfRule>
    <cfRule type="expression" dxfId="1" priority="1459">
      <formula>AND(COUNTIF(I285:BG285,"&lt;&gt;" &amp; "")&gt;0,NOT(ISBLANK(G285)))</formula>
    </cfRule>
  </conditionalFormatting>
  <conditionalFormatting sqref="G286">
    <cfRule type="expression" dxfId="0" priority="1461">
      <formula>COUNTIF(I286:BG286,"&lt;&gt;" &amp; "")&gt;0</formula>
    </cfRule>
    <cfRule type="expression" dxfId="1" priority="1462">
      <formula>AND(COUNTIF(I286:BG286,"&lt;&gt;" &amp; "")&gt;0,NOT(ISBLANK(G286)))</formula>
    </cfRule>
  </conditionalFormatting>
  <conditionalFormatting sqref="G287">
    <cfRule type="expression" dxfId="0" priority="1464">
      <formula>COUNTIF(I287:BG287,"&lt;&gt;" &amp; "")&gt;0</formula>
    </cfRule>
    <cfRule type="expression" dxfId="1" priority="1465">
      <formula>AND(COUNTIF(I287:BG287,"&lt;&gt;" &amp; "")&gt;0,NOT(ISBLANK(G287)))</formula>
    </cfRule>
  </conditionalFormatting>
  <conditionalFormatting sqref="G288">
    <cfRule type="expression" dxfId="0" priority="1467">
      <formula>COUNTIF(I288:BG288,"&lt;&gt;" &amp; "")&gt;0</formula>
    </cfRule>
    <cfRule type="expression" dxfId="1" priority="1468">
      <formula>AND(COUNTIF(I288:BG288,"&lt;&gt;" &amp; "")&gt;0,NOT(ISBLANK(G288)))</formula>
    </cfRule>
  </conditionalFormatting>
  <conditionalFormatting sqref="G289">
    <cfRule type="expression" dxfId="0" priority="1470">
      <formula>COUNTIF(I289:BG289,"&lt;&gt;" &amp; "")&gt;0</formula>
    </cfRule>
    <cfRule type="expression" dxfId="1" priority="1471">
      <formula>AND(COUNTIF(I289:BG289,"&lt;&gt;" &amp; "")&gt;0,NOT(ISBLANK(G289)))</formula>
    </cfRule>
  </conditionalFormatting>
  <conditionalFormatting sqref="G29">
    <cfRule type="expression" dxfId="0" priority="389">
      <formula>COUNTIF(I29:BG29,"&lt;&gt;" &amp; "")&gt;0</formula>
    </cfRule>
    <cfRule type="expression" dxfId="1" priority="390">
      <formula>AND(COUNTIF(I29:BG29,"&lt;&gt;" &amp; "")&gt;0,NOT(ISBLANK(G29)))</formula>
    </cfRule>
  </conditionalFormatting>
  <conditionalFormatting sqref="G290">
    <cfRule type="expression" dxfId="0" priority="1473">
      <formula>COUNTIF(I290:BG290,"&lt;&gt;" &amp; "")&gt;0</formula>
    </cfRule>
    <cfRule type="expression" dxfId="1" priority="1474">
      <formula>AND(COUNTIF(I290:BG290,"&lt;&gt;" &amp; "")&gt;0,NOT(ISBLANK(G290)))</formula>
    </cfRule>
  </conditionalFormatting>
  <conditionalFormatting sqref="G291">
    <cfRule type="expression" dxfId="0" priority="1476">
      <formula>COUNTIF(I291:BG291,"&lt;&gt;" &amp; "")&gt;0</formula>
    </cfRule>
    <cfRule type="expression" dxfId="1" priority="1477">
      <formula>AND(COUNTIF(I291:BG291,"&lt;&gt;" &amp; "")&gt;0,NOT(ISBLANK(G291)))</formula>
    </cfRule>
  </conditionalFormatting>
  <conditionalFormatting sqref="G292">
    <cfRule type="expression" dxfId="0" priority="1479">
      <formula>COUNTIF(I292:BG292,"&lt;&gt;" &amp; "")&gt;0</formula>
    </cfRule>
    <cfRule type="expression" dxfId="1" priority="1480">
      <formula>AND(COUNTIF(I292:BG292,"&lt;&gt;" &amp; "")&gt;0,NOT(ISBLANK(G292)))</formula>
    </cfRule>
  </conditionalFormatting>
  <conditionalFormatting sqref="G293">
    <cfRule type="expression" dxfId="0" priority="1482">
      <formula>COUNTIF(I293:BG293,"&lt;&gt;" &amp; "")&gt;0</formula>
    </cfRule>
    <cfRule type="expression" dxfId="1" priority="1483">
      <formula>AND(COUNTIF(I293:BG293,"&lt;&gt;" &amp; "")&gt;0,NOT(ISBLANK(G293)))</formula>
    </cfRule>
  </conditionalFormatting>
  <conditionalFormatting sqref="G294">
    <cfRule type="expression" dxfId="0" priority="1485">
      <formula>COUNTIF(I294:BG294,"&lt;&gt;" &amp; "")&gt;0</formula>
    </cfRule>
    <cfRule type="expression" dxfId="1" priority="1486">
      <formula>AND(COUNTIF(I294:BG294,"&lt;&gt;" &amp; "")&gt;0,NOT(ISBLANK(G294)))</formula>
    </cfRule>
  </conditionalFormatting>
  <conditionalFormatting sqref="G295">
    <cfRule type="expression" dxfId="0" priority="1488">
      <formula>COUNTIF(I295:BG295,"&lt;&gt;" &amp; "")&gt;0</formula>
    </cfRule>
    <cfRule type="expression" dxfId="1" priority="1489">
      <formula>AND(COUNTIF(I295:BG295,"&lt;&gt;" &amp; "")&gt;0,NOT(ISBLANK(G295)))</formula>
    </cfRule>
  </conditionalFormatting>
  <conditionalFormatting sqref="G296">
    <cfRule type="expression" dxfId="0" priority="1491">
      <formula>COUNTIF(I296:BG296,"&lt;&gt;" &amp; "")&gt;0</formula>
    </cfRule>
    <cfRule type="expression" dxfId="1" priority="1492">
      <formula>AND(COUNTIF(I296:BG296,"&lt;&gt;" &amp; "")&gt;0,NOT(ISBLANK(G296)))</formula>
    </cfRule>
  </conditionalFormatting>
  <conditionalFormatting sqref="G297">
    <cfRule type="expression" dxfId="0" priority="1494">
      <formula>COUNTIF(I297:BG297,"&lt;&gt;" &amp; "")&gt;0</formula>
    </cfRule>
    <cfRule type="expression" dxfId="1" priority="1495">
      <formula>AND(COUNTIF(I297:BG297,"&lt;&gt;" &amp; "")&gt;0,NOT(ISBLANK(G297)))</formula>
    </cfRule>
  </conditionalFormatting>
  <conditionalFormatting sqref="G298">
    <cfRule type="expression" dxfId="0" priority="1497">
      <formula>COUNTIF(I298:BG298,"&lt;&gt;" &amp; "")&gt;0</formula>
    </cfRule>
    <cfRule type="expression" dxfId="1" priority="1498">
      <formula>AND(COUNTIF(I298:BG298,"&lt;&gt;" &amp; "")&gt;0,NOT(ISBLANK(G298)))</formula>
    </cfRule>
  </conditionalFormatting>
  <conditionalFormatting sqref="G299">
    <cfRule type="expression" dxfId="0" priority="1500">
      <formula>COUNTIF(I299:BG299,"&lt;&gt;" &amp; "")&gt;0</formula>
    </cfRule>
    <cfRule type="expression" dxfId="1" priority="1501">
      <formula>AND(COUNTIF(I299:BG299,"&lt;&gt;" &amp; "")&gt;0,NOT(ISBLANK(G299)))</formula>
    </cfRule>
  </conditionalFormatting>
  <conditionalFormatting sqref="G30">
    <cfRule type="expression" dxfId="0" priority="392">
      <formula>COUNTIF(I30:BG30,"&lt;&gt;" &amp; "")&gt;0</formula>
    </cfRule>
    <cfRule type="expression" dxfId="1" priority="393">
      <formula>AND(COUNTIF(I30:BG30,"&lt;&gt;" &amp; "")&gt;0,NOT(ISBLANK(G30)))</formula>
    </cfRule>
  </conditionalFormatting>
  <conditionalFormatting sqref="G300">
    <cfRule type="expression" dxfId="0" priority="1503">
      <formula>COUNTIF(I300:BG300,"&lt;&gt;" &amp; "")&gt;0</formula>
    </cfRule>
    <cfRule type="expression" dxfId="1" priority="1504">
      <formula>AND(COUNTIF(I300:BG300,"&lt;&gt;" &amp; "")&gt;0,NOT(ISBLANK(G300)))</formula>
    </cfRule>
  </conditionalFormatting>
  <conditionalFormatting sqref="G301">
    <cfRule type="expression" dxfId="0" priority="1506">
      <formula>COUNTIF(I301:BG301,"&lt;&gt;" &amp; "")&gt;0</formula>
    </cfRule>
    <cfRule type="expression" dxfId="1" priority="1507">
      <formula>AND(COUNTIF(I301:BG301,"&lt;&gt;" &amp; "")&gt;0,NOT(ISBLANK(G301)))</formula>
    </cfRule>
  </conditionalFormatting>
  <conditionalFormatting sqref="G302">
    <cfRule type="expression" dxfId="0" priority="1509">
      <formula>COUNTIF(I302:BG302,"&lt;&gt;" &amp; "")&gt;0</formula>
    </cfRule>
    <cfRule type="expression" dxfId="1" priority="1510">
      <formula>AND(COUNTIF(I302:BG302,"&lt;&gt;" &amp; "")&gt;0,NOT(ISBLANK(G302)))</formula>
    </cfRule>
  </conditionalFormatting>
  <conditionalFormatting sqref="G303">
    <cfRule type="expression" dxfId="0" priority="1512">
      <formula>COUNTIF(I303:BG303,"&lt;&gt;" &amp; "")&gt;0</formula>
    </cfRule>
    <cfRule type="expression" dxfId="1" priority="1513">
      <formula>AND(COUNTIF(I303:BG303,"&lt;&gt;" &amp; "")&gt;0,NOT(ISBLANK(G303)))</formula>
    </cfRule>
  </conditionalFormatting>
  <conditionalFormatting sqref="G304">
    <cfRule type="expression" dxfId="0" priority="1515">
      <formula>COUNTIF(I304:BG304,"&lt;&gt;" &amp; "")&gt;0</formula>
    </cfRule>
    <cfRule type="expression" dxfId="1" priority="1516">
      <formula>AND(COUNTIF(I304:BG304,"&lt;&gt;" &amp; "")&gt;0,NOT(ISBLANK(G304)))</formula>
    </cfRule>
  </conditionalFormatting>
  <conditionalFormatting sqref="G305">
    <cfRule type="expression" dxfId="0" priority="1518">
      <formula>COUNTIF(I305:BG305,"&lt;&gt;" &amp; "")&gt;0</formula>
    </cfRule>
    <cfRule type="expression" dxfId="1" priority="1519">
      <formula>AND(COUNTIF(I305:BG305,"&lt;&gt;" &amp; "")&gt;0,NOT(ISBLANK(G305)))</formula>
    </cfRule>
  </conditionalFormatting>
  <conditionalFormatting sqref="G306">
    <cfRule type="expression" dxfId="0" priority="1521">
      <formula>COUNTIF(I306:BG306,"&lt;&gt;" &amp; "")&gt;0</formula>
    </cfRule>
    <cfRule type="expression" dxfId="1" priority="1522">
      <formula>AND(COUNTIF(I306:BG306,"&lt;&gt;" &amp; "")&gt;0,NOT(ISBLANK(G306)))</formula>
    </cfRule>
  </conditionalFormatting>
  <conditionalFormatting sqref="G307">
    <cfRule type="expression" dxfId="0" priority="1524">
      <formula>COUNTIF(I307:BG307,"&lt;&gt;" &amp; "")&gt;0</formula>
    </cfRule>
    <cfRule type="expression" dxfId="1" priority="1525">
      <formula>AND(COUNTIF(I307:BG307,"&lt;&gt;" &amp; "")&gt;0,NOT(ISBLANK(G307)))</formula>
    </cfRule>
  </conditionalFormatting>
  <conditionalFormatting sqref="G308">
    <cfRule type="expression" dxfId="0" priority="1527">
      <formula>COUNTIF(I308:BG308,"&lt;&gt;" &amp; "")&gt;0</formula>
    </cfRule>
    <cfRule type="expression" dxfId="1" priority="1528">
      <formula>AND(COUNTIF(I308:BG308,"&lt;&gt;" &amp; "")&gt;0,NOT(ISBLANK(G308)))</formula>
    </cfRule>
  </conditionalFormatting>
  <conditionalFormatting sqref="G309">
    <cfRule type="expression" dxfId="0" priority="1530">
      <formula>COUNTIF(I309:BG309,"&lt;&gt;" &amp; "")&gt;0</formula>
    </cfRule>
    <cfRule type="expression" dxfId="1" priority="1531">
      <formula>AND(COUNTIF(I309:BG309,"&lt;&gt;" &amp; "")&gt;0,NOT(ISBLANK(G309)))</formula>
    </cfRule>
  </conditionalFormatting>
  <conditionalFormatting sqref="G31">
    <cfRule type="expression" dxfId="0" priority="395">
      <formula>COUNTIF(I31:BG31,"&lt;&gt;" &amp; "")&gt;0</formula>
    </cfRule>
    <cfRule type="expression" dxfId="1" priority="396">
      <formula>AND(COUNTIF(I31:BG31,"&lt;&gt;" &amp; "")&gt;0,NOT(ISBLANK(G31)))</formula>
    </cfRule>
  </conditionalFormatting>
  <conditionalFormatting sqref="G310">
    <cfRule type="expression" dxfId="0" priority="1533">
      <formula>COUNTIF(I310:BG310,"&lt;&gt;" &amp; "")&gt;0</formula>
    </cfRule>
    <cfRule type="expression" dxfId="1" priority="1534">
      <formula>AND(COUNTIF(I310:BG310,"&lt;&gt;" &amp; "")&gt;0,NOT(ISBLANK(G310)))</formula>
    </cfRule>
  </conditionalFormatting>
  <conditionalFormatting sqref="G311">
    <cfRule type="expression" dxfId="0" priority="1536">
      <formula>COUNTIF(I311:BG311,"&lt;&gt;" &amp; "")&gt;0</formula>
    </cfRule>
    <cfRule type="expression" dxfId="1" priority="1537">
      <formula>AND(COUNTIF(I311:BG311,"&lt;&gt;" &amp; "")&gt;0,NOT(ISBLANK(G311)))</formula>
    </cfRule>
  </conditionalFormatting>
  <conditionalFormatting sqref="G312">
    <cfRule type="expression" dxfId="0" priority="1539">
      <formula>COUNTIF(I312:BG312,"&lt;&gt;" &amp; "")&gt;0</formula>
    </cfRule>
    <cfRule type="expression" dxfId="1" priority="1540">
      <formula>AND(COUNTIF(I312:BG312,"&lt;&gt;" &amp; "")&gt;0,NOT(ISBLANK(G312)))</formula>
    </cfRule>
  </conditionalFormatting>
  <conditionalFormatting sqref="G313">
    <cfRule type="expression" dxfId="0" priority="1542">
      <formula>COUNTIF(I313:BG313,"&lt;&gt;" &amp; "")&gt;0</formula>
    </cfRule>
    <cfRule type="expression" dxfId="1" priority="1543">
      <formula>AND(COUNTIF(I313:BG313,"&lt;&gt;" &amp; "")&gt;0,NOT(ISBLANK(G313)))</formula>
    </cfRule>
  </conditionalFormatting>
  <conditionalFormatting sqref="G314">
    <cfRule type="expression" dxfId="0" priority="1545">
      <formula>COUNTIF(I314:BG314,"&lt;&gt;" &amp; "")&gt;0</formula>
    </cfRule>
    <cfRule type="expression" dxfId="1" priority="1546">
      <formula>AND(COUNTIF(I314:BG314,"&lt;&gt;" &amp; "")&gt;0,NOT(ISBLANK(G314)))</formula>
    </cfRule>
  </conditionalFormatting>
  <conditionalFormatting sqref="G315">
    <cfRule type="expression" dxfId="0" priority="1548">
      <formula>COUNTIF(I315:BG315,"&lt;&gt;" &amp; "")&gt;0</formula>
    </cfRule>
    <cfRule type="expression" dxfId="1" priority="1549">
      <formula>AND(COUNTIF(I315:BG315,"&lt;&gt;" &amp; "")&gt;0,NOT(ISBLANK(G315)))</formula>
    </cfRule>
  </conditionalFormatting>
  <conditionalFormatting sqref="G316">
    <cfRule type="expression" dxfId="0" priority="1551">
      <formula>COUNTIF(I316:BG316,"&lt;&gt;" &amp; "")&gt;0</formula>
    </cfRule>
    <cfRule type="expression" dxfId="1" priority="1552">
      <formula>AND(COUNTIF(I316:BG316,"&lt;&gt;" &amp; "")&gt;0,NOT(ISBLANK(G316)))</formula>
    </cfRule>
  </conditionalFormatting>
  <conditionalFormatting sqref="G317">
    <cfRule type="expression" dxfId="0" priority="1554">
      <formula>COUNTIF(I317:BG317,"&lt;&gt;" &amp; "")&gt;0</formula>
    </cfRule>
    <cfRule type="expression" dxfId="1" priority="1555">
      <formula>AND(COUNTIF(I317:BG317,"&lt;&gt;" &amp; "")&gt;0,NOT(ISBLANK(G317)))</formula>
    </cfRule>
  </conditionalFormatting>
  <conditionalFormatting sqref="G318">
    <cfRule type="expression" dxfId="0" priority="1557">
      <formula>COUNTIF(I318:BG318,"&lt;&gt;" &amp; "")&gt;0</formula>
    </cfRule>
    <cfRule type="expression" dxfId="1" priority="1558">
      <formula>AND(COUNTIF(I318:BG318,"&lt;&gt;" &amp; "")&gt;0,NOT(ISBLANK(G318)))</formula>
    </cfRule>
  </conditionalFormatting>
  <conditionalFormatting sqref="G319">
    <cfRule type="expression" dxfId="0" priority="1560">
      <formula>COUNTIF(I319:BG319,"&lt;&gt;" &amp; "")&gt;0</formula>
    </cfRule>
    <cfRule type="expression" dxfId="1" priority="1561">
      <formula>AND(COUNTIF(I319:BG319,"&lt;&gt;" &amp; "")&gt;0,NOT(ISBLANK(G319)))</formula>
    </cfRule>
  </conditionalFormatting>
  <conditionalFormatting sqref="G32">
    <cfRule type="expression" dxfId="0" priority="398">
      <formula>COUNTIF(I32:BG32,"&lt;&gt;" &amp; "")&gt;0</formula>
    </cfRule>
    <cfRule type="expression" dxfId="1" priority="399">
      <formula>AND(COUNTIF(I32:BG32,"&lt;&gt;" &amp; "")&gt;0,NOT(ISBLANK(G32)))</formula>
    </cfRule>
  </conditionalFormatting>
  <conditionalFormatting sqref="G320">
    <cfRule type="expression" dxfId="0" priority="1563">
      <formula>COUNTIF(I320:BG320,"&lt;&gt;" &amp; "")&gt;0</formula>
    </cfRule>
    <cfRule type="expression" dxfId="1" priority="1564">
      <formula>AND(COUNTIF(I320:BG320,"&lt;&gt;" &amp; "")&gt;0,NOT(ISBLANK(G320)))</formula>
    </cfRule>
  </conditionalFormatting>
  <conditionalFormatting sqref="G321">
    <cfRule type="expression" dxfId="0" priority="1566">
      <formula>COUNTIF(I321:BG321,"&lt;&gt;" &amp; "")&gt;0</formula>
    </cfRule>
    <cfRule type="expression" dxfId="1" priority="1567">
      <formula>AND(COUNTIF(I321:BG321,"&lt;&gt;" &amp; "")&gt;0,NOT(ISBLANK(G321)))</formula>
    </cfRule>
  </conditionalFormatting>
  <conditionalFormatting sqref="G322">
    <cfRule type="expression" dxfId="0" priority="1569">
      <formula>COUNTIF(I322:BG322,"&lt;&gt;" &amp; "")&gt;0</formula>
    </cfRule>
    <cfRule type="expression" dxfId="1" priority="1570">
      <formula>AND(COUNTIF(I322:BG322,"&lt;&gt;" &amp; "")&gt;0,NOT(ISBLANK(G322)))</formula>
    </cfRule>
  </conditionalFormatting>
  <conditionalFormatting sqref="G323">
    <cfRule type="expression" dxfId="0" priority="1572">
      <formula>COUNTIF(I323:BG323,"&lt;&gt;" &amp; "")&gt;0</formula>
    </cfRule>
    <cfRule type="expression" dxfId="1" priority="1573">
      <formula>AND(COUNTIF(I323:BG323,"&lt;&gt;" &amp; "")&gt;0,NOT(ISBLANK(G323)))</formula>
    </cfRule>
  </conditionalFormatting>
  <conditionalFormatting sqref="G324">
    <cfRule type="expression" dxfId="0" priority="1575">
      <formula>COUNTIF(I324:BG324,"&lt;&gt;" &amp; "")&gt;0</formula>
    </cfRule>
    <cfRule type="expression" dxfId="1" priority="1576">
      <formula>AND(COUNTIF(I324:BG324,"&lt;&gt;" &amp; "")&gt;0,NOT(ISBLANK(G324)))</formula>
    </cfRule>
  </conditionalFormatting>
  <conditionalFormatting sqref="G325">
    <cfRule type="expression" dxfId="0" priority="1578">
      <formula>COUNTIF(I325:BG325,"&lt;&gt;" &amp; "")&gt;0</formula>
    </cfRule>
    <cfRule type="expression" dxfId="1" priority="1579">
      <formula>AND(COUNTIF(I325:BG325,"&lt;&gt;" &amp; "")&gt;0,NOT(ISBLANK(G325)))</formula>
    </cfRule>
  </conditionalFormatting>
  <conditionalFormatting sqref="G326">
    <cfRule type="expression" dxfId="0" priority="1581">
      <formula>COUNTIF(I326:BG326,"&lt;&gt;" &amp; "")&gt;0</formula>
    </cfRule>
    <cfRule type="expression" dxfId="1" priority="1582">
      <formula>AND(COUNTIF(I326:BG326,"&lt;&gt;" &amp; "")&gt;0,NOT(ISBLANK(G326)))</formula>
    </cfRule>
  </conditionalFormatting>
  <conditionalFormatting sqref="G327">
    <cfRule type="expression" dxfId="0" priority="1584">
      <formula>COUNTIF(I327:BG327,"&lt;&gt;" &amp; "")&gt;0</formula>
    </cfRule>
    <cfRule type="expression" dxfId="1" priority="1585">
      <formula>AND(COUNTIF(I327:BG327,"&lt;&gt;" &amp; "")&gt;0,NOT(ISBLANK(G327)))</formula>
    </cfRule>
  </conditionalFormatting>
  <conditionalFormatting sqref="G328">
    <cfRule type="expression" dxfId="0" priority="1587">
      <formula>COUNTIF(I328:BG328,"&lt;&gt;" &amp; "")&gt;0</formula>
    </cfRule>
    <cfRule type="expression" dxfId="1" priority="1588">
      <formula>AND(COUNTIF(I328:BG328,"&lt;&gt;" &amp; "")&gt;0,NOT(ISBLANK(G328)))</formula>
    </cfRule>
  </conditionalFormatting>
  <conditionalFormatting sqref="G329">
    <cfRule type="expression" dxfId="0" priority="1590">
      <formula>COUNTIF(I329:BG329,"&lt;&gt;" &amp; "")&gt;0</formula>
    </cfRule>
    <cfRule type="expression" dxfId="1" priority="1591">
      <formula>AND(COUNTIF(I329:BG329,"&lt;&gt;" &amp; "")&gt;0,NOT(ISBLANK(G329)))</formula>
    </cfRule>
  </conditionalFormatting>
  <conditionalFormatting sqref="G33">
    <cfRule type="expression" dxfId="0" priority="401">
      <formula>COUNTIF(I33:BG33,"&lt;&gt;" &amp; "")&gt;0</formula>
    </cfRule>
    <cfRule type="expression" dxfId="1" priority="402">
      <formula>AND(COUNTIF(I33:BG33,"&lt;&gt;" &amp; "")&gt;0,NOT(ISBLANK(G33)))</formula>
    </cfRule>
  </conditionalFormatting>
  <conditionalFormatting sqref="G330">
    <cfRule type="expression" dxfId="0" priority="1593">
      <formula>COUNTIF(I330:BG330,"&lt;&gt;" &amp; "")&gt;0</formula>
    </cfRule>
    <cfRule type="expression" dxfId="1" priority="1594">
      <formula>AND(COUNTIF(I330:BG330,"&lt;&gt;" &amp; "")&gt;0,NOT(ISBLANK(G330)))</formula>
    </cfRule>
  </conditionalFormatting>
  <conditionalFormatting sqref="G331">
    <cfRule type="expression" dxfId="0" priority="1596">
      <formula>COUNTIF(I331:BG331,"&lt;&gt;" &amp; "")&gt;0</formula>
    </cfRule>
    <cfRule type="expression" dxfId="1" priority="1597">
      <formula>AND(COUNTIF(I331:BG331,"&lt;&gt;" &amp; "")&gt;0,NOT(ISBLANK(G331)))</formula>
    </cfRule>
  </conditionalFormatting>
  <conditionalFormatting sqref="G332">
    <cfRule type="expression" dxfId="0" priority="1599">
      <formula>COUNTIF(I332:BG332,"&lt;&gt;" &amp; "")&gt;0</formula>
    </cfRule>
    <cfRule type="expression" dxfId="1" priority="1600">
      <formula>AND(COUNTIF(I332:BG332,"&lt;&gt;" &amp; "")&gt;0,NOT(ISBLANK(G332)))</formula>
    </cfRule>
  </conditionalFormatting>
  <conditionalFormatting sqref="G333">
    <cfRule type="expression" dxfId="0" priority="1602">
      <formula>COUNTIF(I333:BG333,"&lt;&gt;" &amp; "")&gt;0</formula>
    </cfRule>
    <cfRule type="expression" dxfId="1" priority="1603">
      <formula>AND(COUNTIF(I333:BG333,"&lt;&gt;" &amp; "")&gt;0,NOT(ISBLANK(G333)))</formula>
    </cfRule>
  </conditionalFormatting>
  <conditionalFormatting sqref="G334">
    <cfRule type="expression" dxfId="0" priority="1605">
      <formula>COUNTIF(I334:BG334,"&lt;&gt;" &amp; "")&gt;0</formula>
    </cfRule>
    <cfRule type="expression" dxfId="1" priority="1606">
      <formula>AND(COUNTIF(I334:BG334,"&lt;&gt;" &amp; "")&gt;0,NOT(ISBLANK(G334)))</formula>
    </cfRule>
  </conditionalFormatting>
  <conditionalFormatting sqref="G335">
    <cfRule type="expression" dxfId="0" priority="1608">
      <formula>COUNTIF(I335:BG335,"&lt;&gt;" &amp; "")&gt;0</formula>
    </cfRule>
    <cfRule type="expression" dxfId="1" priority="1609">
      <formula>AND(COUNTIF(I335:BG335,"&lt;&gt;" &amp; "")&gt;0,NOT(ISBLANK(G335)))</formula>
    </cfRule>
  </conditionalFormatting>
  <conditionalFormatting sqref="G336">
    <cfRule type="expression" dxfId="0" priority="1611">
      <formula>COUNTIF(I336:BG336,"&lt;&gt;" &amp; "")&gt;0</formula>
    </cfRule>
    <cfRule type="expression" dxfId="1" priority="1612">
      <formula>AND(COUNTIF(I336:BG336,"&lt;&gt;" &amp; "")&gt;0,NOT(ISBLANK(G336)))</formula>
    </cfRule>
  </conditionalFormatting>
  <conditionalFormatting sqref="G337">
    <cfRule type="expression" dxfId="0" priority="1614">
      <formula>COUNTIF(I337:BG337,"&lt;&gt;" &amp; "")&gt;0</formula>
    </cfRule>
    <cfRule type="expression" dxfId="1" priority="1615">
      <formula>AND(COUNTIF(I337:BG337,"&lt;&gt;" &amp; "")&gt;0,NOT(ISBLANK(G337)))</formula>
    </cfRule>
  </conditionalFormatting>
  <conditionalFormatting sqref="G338">
    <cfRule type="expression" dxfId="0" priority="1617">
      <formula>COUNTIF(I338:BG338,"&lt;&gt;" &amp; "")&gt;0</formula>
    </cfRule>
    <cfRule type="expression" dxfId="1" priority="1618">
      <formula>AND(COUNTIF(I338:BG338,"&lt;&gt;" &amp; "")&gt;0,NOT(ISBLANK(G338)))</formula>
    </cfRule>
  </conditionalFormatting>
  <conditionalFormatting sqref="G339">
    <cfRule type="expression" dxfId="0" priority="1620">
      <formula>COUNTIF(I339:BG339,"&lt;&gt;" &amp; "")&gt;0</formula>
    </cfRule>
    <cfRule type="expression" dxfId="1" priority="1621">
      <formula>AND(COUNTIF(I339:BG339,"&lt;&gt;" &amp; "")&gt;0,NOT(ISBLANK(G339)))</formula>
    </cfRule>
  </conditionalFormatting>
  <conditionalFormatting sqref="G34">
    <cfRule type="expression" dxfId="0" priority="404">
      <formula>COUNTIF(I34:BG34,"&lt;&gt;" &amp; "")&gt;0</formula>
    </cfRule>
    <cfRule type="expression" dxfId="1" priority="405">
      <formula>AND(COUNTIF(I34:BG34,"&lt;&gt;" &amp; "")&gt;0,NOT(ISBLANK(G34)))</formula>
    </cfRule>
  </conditionalFormatting>
  <conditionalFormatting sqref="G340">
    <cfRule type="expression" dxfId="0" priority="1623">
      <formula>COUNTIF(I340:BG340,"&lt;&gt;" &amp; "")&gt;0</formula>
    </cfRule>
    <cfRule type="expression" dxfId="1" priority="1624">
      <formula>AND(COUNTIF(I340:BG340,"&lt;&gt;" &amp; "")&gt;0,NOT(ISBLANK(G340)))</formula>
    </cfRule>
  </conditionalFormatting>
  <conditionalFormatting sqref="G341">
    <cfRule type="expression" dxfId="0" priority="1626">
      <formula>COUNTIF(I341:BG341,"&lt;&gt;" &amp; "")&gt;0</formula>
    </cfRule>
    <cfRule type="expression" dxfId="1" priority="1627">
      <formula>AND(COUNTIF(I341:BG341,"&lt;&gt;" &amp; "")&gt;0,NOT(ISBLANK(G341)))</formula>
    </cfRule>
  </conditionalFormatting>
  <conditionalFormatting sqref="G342">
    <cfRule type="expression" dxfId="0" priority="1629">
      <formula>COUNTIF(I342:BG342,"&lt;&gt;" &amp; "")&gt;0</formula>
    </cfRule>
    <cfRule type="expression" dxfId="1" priority="1630">
      <formula>AND(COUNTIF(I342:BG342,"&lt;&gt;" &amp; "")&gt;0,NOT(ISBLANK(G342)))</formula>
    </cfRule>
  </conditionalFormatting>
  <conditionalFormatting sqref="G343">
    <cfRule type="expression" dxfId="0" priority="1632">
      <formula>COUNTIF(I343:BG343,"&lt;&gt;" &amp; "")&gt;0</formula>
    </cfRule>
    <cfRule type="expression" dxfId="1" priority="1633">
      <formula>AND(COUNTIF(I343:BG343,"&lt;&gt;" &amp; "")&gt;0,NOT(ISBLANK(G343)))</formula>
    </cfRule>
  </conditionalFormatting>
  <conditionalFormatting sqref="G344">
    <cfRule type="expression" dxfId="0" priority="1635">
      <formula>COUNTIF(I344:BG344,"&lt;&gt;" &amp; "")&gt;0</formula>
    </cfRule>
    <cfRule type="expression" dxfId="1" priority="1636">
      <formula>AND(COUNTIF(I344:BG344,"&lt;&gt;" &amp; "")&gt;0,NOT(ISBLANK(G344)))</formula>
    </cfRule>
  </conditionalFormatting>
  <conditionalFormatting sqref="G345">
    <cfRule type="expression" dxfId="0" priority="1638">
      <formula>COUNTIF(I345:BG345,"&lt;&gt;" &amp; "")&gt;0</formula>
    </cfRule>
    <cfRule type="expression" dxfId="1" priority="1639">
      <formula>AND(COUNTIF(I345:BG345,"&lt;&gt;" &amp; "")&gt;0,NOT(ISBLANK(G345)))</formula>
    </cfRule>
  </conditionalFormatting>
  <conditionalFormatting sqref="G346">
    <cfRule type="expression" dxfId="0" priority="1641">
      <formula>COUNTIF(I346:BG346,"&lt;&gt;" &amp; "")&gt;0</formula>
    </cfRule>
    <cfRule type="expression" dxfId="1" priority="1642">
      <formula>AND(COUNTIF(I346:BG346,"&lt;&gt;" &amp; "")&gt;0,NOT(ISBLANK(G346)))</formula>
    </cfRule>
  </conditionalFormatting>
  <conditionalFormatting sqref="G347">
    <cfRule type="expression" dxfId="0" priority="1644">
      <formula>COUNTIF(I347:BG347,"&lt;&gt;" &amp; "")&gt;0</formula>
    </cfRule>
    <cfRule type="expression" dxfId="1" priority="1645">
      <formula>AND(COUNTIF(I347:BG347,"&lt;&gt;" &amp; "")&gt;0,NOT(ISBLANK(G347)))</formula>
    </cfRule>
  </conditionalFormatting>
  <conditionalFormatting sqref="G348">
    <cfRule type="expression" dxfId="0" priority="1647">
      <formula>COUNTIF(I348:BG348,"&lt;&gt;" &amp; "")&gt;0</formula>
    </cfRule>
    <cfRule type="expression" dxfId="1" priority="1648">
      <formula>AND(COUNTIF(I348:BG348,"&lt;&gt;" &amp; "")&gt;0,NOT(ISBLANK(G348)))</formula>
    </cfRule>
  </conditionalFormatting>
  <conditionalFormatting sqref="G349">
    <cfRule type="expression" dxfId="0" priority="1650">
      <formula>COUNTIF(I349:BG349,"&lt;&gt;" &amp; "")&gt;0</formula>
    </cfRule>
    <cfRule type="expression" dxfId="1" priority="1651">
      <formula>AND(COUNTIF(I349:BG349,"&lt;&gt;" &amp; "")&gt;0,NOT(ISBLANK(G349)))</formula>
    </cfRule>
  </conditionalFormatting>
  <conditionalFormatting sqref="G35">
    <cfRule type="expression" dxfId="0" priority="407">
      <formula>COUNTIF(I35:BG35,"&lt;&gt;" &amp; "")&gt;0</formula>
    </cfRule>
    <cfRule type="expression" dxfId="1" priority="408">
      <formula>AND(COUNTIF(I35:BG35,"&lt;&gt;" &amp; "")&gt;0,NOT(ISBLANK(G35)))</formula>
    </cfRule>
  </conditionalFormatting>
  <conditionalFormatting sqref="G350">
    <cfRule type="expression" dxfId="0" priority="1653">
      <formula>COUNTIF(I350:BG350,"&lt;&gt;" &amp; "")&gt;0</formula>
    </cfRule>
    <cfRule type="expression" dxfId="1" priority="1654">
      <formula>AND(COUNTIF(I350:BG350,"&lt;&gt;" &amp; "")&gt;0,NOT(ISBLANK(G350)))</formula>
    </cfRule>
  </conditionalFormatting>
  <conditionalFormatting sqref="G351">
    <cfRule type="expression" dxfId="0" priority="1656">
      <formula>COUNTIF(I351:BG351,"&lt;&gt;" &amp; "")&gt;0</formula>
    </cfRule>
    <cfRule type="expression" dxfId="1" priority="1657">
      <formula>AND(COUNTIF(I351:BG351,"&lt;&gt;" &amp; "")&gt;0,NOT(ISBLANK(G351)))</formula>
    </cfRule>
  </conditionalFormatting>
  <conditionalFormatting sqref="G352">
    <cfRule type="expression" dxfId="0" priority="1659">
      <formula>COUNTIF(I352:BG352,"&lt;&gt;" &amp; "")&gt;0</formula>
    </cfRule>
    <cfRule type="expression" dxfId="1" priority="1660">
      <formula>AND(COUNTIF(I352:BG352,"&lt;&gt;" &amp; "")&gt;0,NOT(ISBLANK(G352)))</formula>
    </cfRule>
  </conditionalFormatting>
  <conditionalFormatting sqref="G353">
    <cfRule type="expression" dxfId="0" priority="1662">
      <formula>COUNTIF(I353:BG353,"&lt;&gt;" &amp; "")&gt;0</formula>
    </cfRule>
    <cfRule type="expression" dxfId="1" priority="1663">
      <formula>AND(COUNTIF(I353:BG353,"&lt;&gt;" &amp; "")&gt;0,NOT(ISBLANK(G353)))</formula>
    </cfRule>
  </conditionalFormatting>
  <conditionalFormatting sqref="G354">
    <cfRule type="expression" dxfId="0" priority="1665">
      <formula>COUNTIF(I354:BG354,"&lt;&gt;" &amp; "")&gt;0</formula>
    </cfRule>
    <cfRule type="expression" dxfId="1" priority="1666">
      <formula>AND(COUNTIF(I354:BG354,"&lt;&gt;" &amp; "")&gt;0,NOT(ISBLANK(G354)))</formula>
    </cfRule>
  </conditionalFormatting>
  <conditionalFormatting sqref="G355">
    <cfRule type="expression" dxfId="0" priority="1668">
      <formula>COUNTIF(I355:BG355,"&lt;&gt;" &amp; "")&gt;0</formula>
    </cfRule>
    <cfRule type="expression" dxfId="1" priority="1669">
      <formula>AND(COUNTIF(I355:BG355,"&lt;&gt;" &amp; "")&gt;0,NOT(ISBLANK(G355)))</formula>
    </cfRule>
  </conditionalFormatting>
  <conditionalFormatting sqref="G356">
    <cfRule type="expression" dxfId="0" priority="1671">
      <formula>COUNTIF(I356:BG356,"&lt;&gt;" &amp; "")&gt;0</formula>
    </cfRule>
    <cfRule type="expression" dxfId="1" priority="1672">
      <formula>AND(COUNTIF(I356:BG356,"&lt;&gt;" &amp; "")&gt;0,NOT(ISBLANK(G356)))</formula>
    </cfRule>
  </conditionalFormatting>
  <conditionalFormatting sqref="G357">
    <cfRule type="expression" dxfId="0" priority="1674">
      <formula>COUNTIF(I357:BG357,"&lt;&gt;" &amp; "")&gt;0</formula>
    </cfRule>
    <cfRule type="expression" dxfId="1" priority="1675">
      <formula>AND(COUNTIF(I357:BG357,"&lt;&gt;" &amp; "")&gt;0,NOT(ISBLANK(G357)))</formula>
    </cfRule>
  </conditionalFormatting>
  <conditionalFormatting sqref="G358">
    <cfRule type="expression" dxfId="0" priority="1677">
      <formula>COUNTIF(I358:BG358,"&lt;&gt;" &amp; "")&gt;0</formula>
    </cfRule>
    <cfRule type="expression" dxfId="1" priority="1678">
      <formula>AND(COUNTIF(I358:BG358,"&lt;&gt;" &amp; "")&gt;0,NOT(ISBLANK(G358)))</formula>
    </cfRule>
  </conditionalFormatting>
  <conditionalFormatting sqref="G359">
    <cfRule type="expression" dxfId="0" priority="1680">
      <formula>COUNTIF(I359:BG359,"&lt;&gt;" &amp; "")&gt;0</formula>
    </cfRule>
    <cfRule type="expression" dxfId="1" priority="1681">
      <formula>AND(COUNTIF(I359:BG359,"&lt;&gt;" &amp; "")&gt;0,NOT(ISBLANK(G359)))</formula>
    </cfRule>
  </conditionalFormatting>
  <conditionalFormatting sqref="G36">
    <cfRule type="expression" dxfId="0" priority="410">
      <formula>COUNTIF(I36:BG36,"&lt;&gt;" &amp; "")&gt;0</formula>
    </cfRule>
    <cfRule type="expression" dxfId="1" priority="411">
      <formula>AND(COUNTIF(I36:BG36,"&lt;&gt;" &amp; "")&gt;0,NOT(ISBLANK(G36)))</formula>
    </cfRule>
  </conditionalFormatting>
  <conditionalFormatting sqref="G360">
    <cfRule type="expression" dxfId="0" priority="1683">
      <formula>COUNTIF(I360:BG360,"&lt;&gt;" &amp; "")&gt;0</formula>
    </cfRule>
    <cfRule type="expression" dxfId="1" priority="1684">
      <formula>AND(COUNTIF(I360:BG360,"&lt;&gt;" &amp; "")&gt;0,NOT(ISBLANK(G360)))</formula>
    </cfRule>
  </conditionalFormatting>
  <conditionalFormatting sqref="G361">
    <cfRule type="expression" dxfId="0" priority="1686">
      <formula>COUNTIF(I361:BG361,"&lt;&gt;" &amp; "")&gt;0</formula>
    </cfRule>
    <cfRule type="expression" dxfId="1" priority="1687">
      <formula>AND(COUNTIF(I361:BG361,"&lt;&gt;" &amp; "")&gt;0,NOT(ISBLANK(G361)))</formula>
    </cfRule>
  </conditionalFormatting>
  <conditionalFormatting sqref="G362">
    <cfRule type="expression" dxfId="0" priority="1689">
      <formula>COUNTIF(I362:BG362,"&lt;&gt;" &amp; "")&gt;0</formula>
    </cfRule>
    <cfRule type="expression" dxfId="1" priority="1690">
      <formula>AND(COUNTIF(I362:BG362,"&lt;&gt;" &amp; "")&gt;0,NOT(ISBLANK(G362)))</formula>
    </cfRule>
  </conditionalFormatting>
  <conditionalFormatting sqref="G363">
    <cfRule type="expression" dxfId="0" priority="1692">
      <formula>COUNTIF(I363:BG363,"&lt;&gt;" &amp; "")&gt;0</formula>
    </cfRule>
    <cfRule type="expression" dxfId="1" priority="1693">
      <formula>AND(COUNTIF(I363:BG363,"&lt;&gt;" &amp; "")&gt;0,NOT(ISBLANK(G363)))</formula>
    </cfRule>
  </conditionalFormatting>
  <conditionalFormatting sqref="G364">
    <cfRule type="expression" dxfId="0" priority="1695">
      <formula>COUNTIF(I364:BG364,"&lt;&gt;" &amp; "")&gt;0</formula>
    </cfRule>
    <cfRule type="expression" dxfId="1" priority="1696">
      <formula>AND(COUNTIF(I364:BG364,"&lt;&gt;" &amp; "")&gt;0,NOT(ISBLANK(G364)))</formula>
    </cfRule>
  </conditionalFormatting>
  <conditionalFormatting sqref="G365">
    <cfRule type="expression" dxfId="0" priority="1698">
      <formula>COUNTIF(I365:BG365,"&lt;&gt;" &amp; "")&gt;0</formula>
    </cfRule>
    <cfRule type="expression" dxfId="1" priority="1699">
      <formula>AND(COUNTIF(I365:BG365,"&lt;&gt;" &amp; "")&gt;0,NOT(ISBLANK(G365)))</formula>
    </cfRule>
  </conditionalFormatting>
  <conditionalFormatting sqref="G366">
    <cfRule type="expression" dxfId="0" priority="1701">
      <formula>COUNTIF(I366:BG366,"&lt;&gt;" &amp; "")&gt;0</formula>
    </cfRule>
    <cfRule type="expression" dxfId="1" priority="1702">
      <formula>AND(COUNTIF(I366:BG366,"&lt;&gt;" &amp; "")&gt;0,NOT(ISBLANK(G366)))</formula>
    </cfRule>
  </conditionalFormatting>
  <conditionalFormatting sqref="G367">
    <cfRule type="expression" dxfId="0" priority="1704">
      <formula>COUNTIF(I367:BG367,"&lt;&gt;" &amp; "")&gt;0</formula>
    </cfRule>
    <cfRule type="expression" dxfId="1" priority="1705">
      <formula>AND(COUNTIF(I367:BG367,"&lt;&gt;" &amp; "")&gt;0,NOT(ISBLANK(G367)))</formula>
    </cfRule>
  </conditionalFormatting>
  <conditionalFormatting sqref="G368">
    <cfRule type="expression" dxfId="0" priority="1707">
      <formula>COUNTIF(I368:BG368,"&lt;&gt;" &amp; "")&gt;0</formula>
    </cfRule>
    <cfRule type="expression" dxfId="1" priority="1708">
      <formula>AND(COUNTIF(I368:BG368,"&lt;&gt;" &amp; "")&gt;0,NOT(ISBLANK(G368)))</formula>
    </cfRule>
  </conditionalFormatting>
  <conditionalFormatting sqref="G369">
    <cfRule type="expression" dxfId="0" priority="1710">
      <formula>COUNTIF(I369:BG369,"&lt;&gt;" &amp; "")&gt;0</formula>
    </cfRule>
    <cfRule type="expression" dxfId="1" priority="1711">
      <formula>AND(COUNTIF(I369:BG369,"&lt;&gt;" &amp; "")&gt;0,NOT(ISBLANK(G369)))</formula>
    </cfRule>
  </conditionalFormatting>
  <conditionalFormatting sqref="G37">
    <cfRule type="expression" dxfId="0" priority="413">
      <formula>COUNTIF(I37:BG37,"&lt;&gt;" &amp; "")&gt;0</formula>
    </cfRule>
    <cfRule type="expression" dxfId="1" priority="414">
      <formula>AND(COUNTIF(I37:BG37,"&lt;&gt;" &amp; "")&gt;0,NOT(ISBLANK(G37)))</formula>
    </cfRule>
  </conditionalFormatting>
  <conditionalFormatting sqref="G370">
    <cfRule type="expression" dxfId="0" priority="1713">
      <formula>COUNTIF(I370:BG370,"&lt;&gt;" &amp; "")&gt;0</formula>
    </cfRule>
    <cfRule type="expression" dxfId="1" priority="1714">
      <formula>AND(COUNTIF(I370:BG370,"&lt;&gt;" &amp; "")&gt;0,NOT(ISBLANK(G370)))</formula>
    </cfRule>
  </conditionalFormatting>
  <conditionalFormatting sqref="G371">
    <cfRule type="expression" dxfId="0" priority="1716">
      <formula>COUNTIF(I371:BG371,"&lt;&gt;" &amp; "")&gt;0</formula>
    </cfRule>
    <cfRule type="expression" dxfId="1" priority="1717">
      <formula>AND(COUNTIF(I371:BG371,"&lt;&gt;" &amp; "")&gt;0,NOT(ISBLANK(G371)))</formula>
    </cfRule>
  </conditionalFormatting>
  <conditionalFormatting sqref="G372">
    <cfRule type="expression" dxfId="0" priority="1719">
      <formula>COUNTIF(I372:BG372,"&lt;&gt;" &amp; "")&gt;0</formula>
    </cfRule>
    <cfRule type="expression" dxfId="1" priority="1720">
      <formula>AND(COUNTIF(I372:BG372,"&lt;&gt;" &amp; "")&gt;0,NOT(ISBLANK(G372)))</formula>
    </cfRule>
  </conditionalFormatting>
  <conditionalFormatting sqref="G373">
    <cfRule type="expression" dxfId="0" priority="1722">
      <formula>COUNTIF(I373:BG373,"&lt;&gt;" &amp; "")&gt;0</formula>
    </cfRule>
    <cfRule type="expression" dxfId="1" priority="1723">
      <formula>AND(COUNTIF(I373:BG373,"&lt;&gt;" &amp; "")&gt;0,NOT(ISBLANK(G373)))</formula>
    </cfRule>
  </conditionalFormatting>
  <conditionalFormatting sqref="G374">
    <cfRule type="expression" dxfId="0" priority="1725">
      <formula>COUNTIF(I374:BG374,"&lt;&gt;" &amp; "")&gt;0</formula>
    </cfRule>
    <cfRule type="expression" dxfId="1" priority="1726">
      <formula>AND(COUNTIF(I374:BG374,"&lt;&gt;" &amp; "")&gt;0,NOT(ISBLANK(G374)))</formula>
    </cfRule>
  </conditionalFormatting>
  <conditionalFormatting sqref="G375">
    <cfRule type="expression" dxfId="0" priority="1728">
      <formula>COUNTIF(I375:BG375,"&lt;&gt;" &amp; "")&gt;0</formula>
    </cfRule>
    <cfRule type="expression" dxfId="1" priority="1729">
      <formula>AND(COUNTIF(I375:BG375,"&lt;&gt;" &amp; "")&gt;0,NOT(ISBLANK(G375)))</formula>
    </cfRule>
  </conditionalFormatting>
  <conditionalFormatting sqref="G376">
    <cfRule type="expression" dxfId="0" priority="1731">
      <formula>COUNTIF(I376:BG376,"&lt;&gt;" &amp; "")&gt;0</formula>
    </cfRule>
    <cfRule type="expression" dxfId="1" priority="1732">
      <formula>AND(COUNTIF(I376:BG376,"&lt;&gt;" &amp; "")&gt;0,NOT(ISBLANK(G376)))</formula>
    </cfRule>
  </conditionalFormatting>
  <conditionalFormatting sqref="G377">
    <cfRule type="expression" dxfId="0" priority="1734">
      <formula>COUNTIF(I377:BG377,"&lt;&gt;" &amp; "")&gt;0</formula>
    </cfRule>
    <cfRule type="expression" dxfId="1" priority="1735">
      <formula>AND(COUNTIF(I377:BG377,"&lt;&gt;" &amp; "")&gt;0,NOT(ISBLANK(G377)))</formula>
    </cfRule>
  </conditionalFormatting>
  <conditionalFormatting sqref="G378">
    <cfRule type="expression" dxfId="0" priority="1737">
      <formula>COUNTIF(I378:BG378,"&lt;&gt;" &amp; "")&gt;0</formula>
    </cfRule>
    <cfRule type="expression" dxfId="1" priority="1738">
      <formula>AND(COUNTIF(I378:BG378,"&lt;&gt;" &amp; "")&gt;0,NOT(ISBLANK(G378)))</formula>
    </cfRule>
  </conditionalFormatting>
  <conditionalFormatting sqref="G379">
    <cfRule type="expression" dxfId="0" priority="1740">
      <formula>COUNTIF(I379:BG379,"&lt;&gt;" &amp; "")&gt;0</formula>
    </cfRule>
    <cfRule type="expression" dxfId="1" priority="1741">
      <formula>AND(COUNTIF(I379:BG379,"&lt;&gt;" &amp; "")&gt;0,NOT(ISBLANK(G379)))</formula>
    </cfRule>
  </conditionalFormatting>
  <conditionalFormatting sqref="G38">
    <cfRule type="expression" dxfId="0" priority="416">
      <formula>COUNTIF(I38:BG38,"&lt;&gt;" &amp; "")&gt;0</formula>
    </cfRule>
    <cfRule type="expression" dxfId="1" priority="417">
      <formula>AND(COUNTIF(I38:BG38,"&lt;&gt;" &amp; "")&gt;0,NOT(ISBLANK(G38)))</formula>
    </cfRule>
  </conditionalFormatting>
  <conditionalFormatting sqref="G380">
    <cfRule type="expression" dxfId="0" priority="1743">
      <formula>COUNTIF(I380:BG380,"&lt;&gt;" &amp; "")&gt;0</formula>
    </cfRule>
    <cfRule type="expression" dxfId="1" priority="1744">
      <formula>AND(COUNTIF(I380:BG380,"&lt;&gt;" &amp; "")&gt;0,NOT(ISBLANK(G380)))</formula>
    </cfRule>
  </conditionalFormatting>
  <conditionalFormatting sqref="G381">
    <cfRule type="expression" dxfId="0" priority="1746">
      <formula>COUNTIF(I381:BG381,"&lt;&gt;" &amp; "")&gt;0</formula>
    </cfRule>
    <cfRule type="expression" dxfId="1" priority="1747">
      <formula>AND(COUNTIF(I381:BG381,"&lt;&gt;" &amp; "")&gt;0,NOT(ISBLANK(G381)))</formula>
    </cfRule>
  </conditionalFormatting>
  <conditionalFormatting sqref="G382">
    <cfRule type="expression" dxfId="0" priority="1749">
      <formula>COUNTIF(I382:BG382,"&lt;&gt;" &amp; "")&gt;0</formula>
    </cfRule>
    <cfRule type="expression" dxfId="1" priority="1750">
      <formula>AND(COUNTIF(I382:BG382,"&lt;&gt;" &amp; "")&gt;0,NOT(ISBLANK(G382)))</formula>
    </cfRule>
  </conditionalFormatting>
  <conditionalFormatting sqref="G383">
    <cfRule type="expression" dxfId="0" priority="1752">
      <formula>COUNTIF(I383:BG383,"&lt;&gt;" &amp; "")&gt;0</formula>
    </cfRule>
    <cfRule type="expression" dxfId="1" priority="1753">
      <formula>AND(COUNTIF(I383:BG383,"&lt;&gt;" &amp; "")&gt;0,NOT(ISBLANK(G383)))</formula>
    </cfRule>
  </conditionalFormatting>
  <conditionalFormatting sqref="G384">
    <cfRule type="expression" dxfId="0" priority="1755">
      <formula>COUNTIF(I384:BG384,"&lt;&gt;" &amp; "")&gt;0</formula>
    </cfRule>
    <cfRule type="expression" dxfId="1" priority="1756">
      <formula>AND(COUNTIF(I384:BG384,"&lt;&gt;" &amp; "")&gt;0,NOT(ISBLANK(G384)))</formula>
    </cfRule>
  </conditionalFormatting>
  <conditionalFormatting sqref="G385">
    <cfRule type="expression" dxfId="0" priority="1758">
      <formula>COUNTIF(I385:BG385,"&lt;&gt;" &amp; "")&gt;0</formula>
    </cfRule>
    <cfRule type="expression" dxfId="1" priority="1759">
      <formula>AND(COUNTIF(I385:BG385,"&lt;&gt;" &amp; "")&gt;0,NOT(ISBLANK(G385)))</formula>
    </cfRule>
  </conditionalFormatting>
  <conditionalFormatting sqref="G386">
    <cfRule type="expression" dxfId="0" priority="1761">
      <formula>COUNTIF(I386:BG386,"&lt;&gt;" &amp; "")&gt;0</formula>
    </cfRule>
    <cfRule type="expression" dxfId="1" priority="1762">
      <formula>AND(COUNTIF(I386:BG386,"&lt;&gt;" &amp; "")&gt;0,NOT(ISBLANK(G386)))</formula>
    </cfRule>
  </conditionalFormatting>
  <conditionalFormatting sqref="G387">
    <cfRule type="expression" dxfId="0" priority="1764">
      <formula>COUNTIF(I387:BG387,"&lt;&gt;" &amp; "")&gt;0</formula>
    </cfRule>
    <cfRule type="expression" dxfId="1" priority="1765">
      <formula>AND(COUNTIF(I387:BG387,"&lt;&gt;" &amp; "")&gt;0,NOT(ISBLANK(G387)))</formula>
    </cfRule>
  </conditionalFormatting>
  <conditionalFormatting sqref="G388">
    <cfRule type="expression" dxfId="0" priority="1767">
      <formula>COUNTIF(I388:BG388,"&lt;&gt;" &amp; "")&gt;0</formula>
    </cfRule>
    <cfRule type="expression" dxfId="1" priority="1768">
      <formula>AND(COUNTIF(I388:BG388,"&lt;&gt;" &amp; "")&gt;0,NOT(ISBLANK(G388)))</formula>
    </cfRule>
  </conditionalFormatting>
  <conditionalFormatting sqref="G389">
    <cfRule type="expression" dxfId="0" priority="1770">
      <formula>COUNTIF(I389:BG389,"&lt;&gt;" &amp; "")&gt;0</formula>
    </cfRule>
    <cfRule type="expression" dxfId="1" priority="1771">
      <formula>AND(COUNTIF(I389:BG389,"&lt;&gt;" &amp; "")&gt;0,NOT(ISBLANK(G389)))</formula>
    </cfRule>
  </conditionalFormatting>
  <conditionalFormatting sqref="G39">
    <cfRule type="expression" dxfId="0" priority="419">
      <formula>COUNTIF(I39:BG39,"&lt;&gt;" &amp; "")&gt;0</formula>
    </cfRule>
    <cfRule type="expression" dxfId="1" priority="420">
      <formula>AND(COUNTIF(I39:BG39,"&lt;&gt;" &amp; "")&gt;0,NOT(ISBLANK(G39)))</formula>
    </cfRule>
  </conditionalFormatting>
  <conditionalFormatting sqref="G390">
    <cfRule type="expression" dxfId="0" priority="1773">
      <formula>COUNTIF(I390:BG390,"&lt;&gt;" &amp; "")&gt;0</formula>
    </cfRule>
    <cfRule type="expression" dxfId="1" priority="1774">
      <formula>AND(COUNTIF(I390:BG390,"&lt;&gt;" &amp; "")&gt;0,NOT(ISBLANK(G390)))</formula>
    </cfRule>
  </conditionalFormatting>
  <conditionalFormatting sqref="G391">
    <cfRule type="expression" dxfId="0" priority="1776">
      <formula>COUNTIF(I391:BG391,"&lt;&gt;" &amp; "")&gt;0</formula>
    </cfRule>
    <cfRule type="expression" dxfId="1" priority="1777">
      <formula>AND(COUNTIF(I391:BG391,"&lt;&gt;" &amp; "")&gt;0,NOT(ISBLANK(G391)))</formula>
    </cfRule>
  </conditionalFormatting>
  <conditionalFormatting sqref="G392">
    <cfRule type="expression" dxfId="0" priority="1779">
      <formula>COUNTIF(I392:BG392,"&lt;&gt;" &amp; "")&gt;0</formula>
    </cfRule>
    <cfRule type="expression" dxfId="1" priority="1780">
      <formula>AND(COUNTIF(I392:BG392,"&lt;&gt;" &amp; "")&gt;0,NOT(ISBLANK(G392)))</formula>
    </cfRule>
  </conditionalFormatting>
  <conditionalFormatting sqref="G393">
    <cfRule type="expression" dxfId="0" priority="1782">
      <formula>COUNTIF(I393:BG393,"&lt;&gt;" &amp; "")&gt;0</formula>
    </cfRule>
    <cfRule type="expression" dxfId="1" priority="1783">
      <formula>AND(COUNTIF(I393:BG393,"&lt;&gt;" &amp; "")&gt;0,NOT(ISBLANK(G393)))</formula>
    </cfRule>
  </conditionalFormatting>
  <conditionalFormatting sqref="G394">
    <cfRule type="expression" dxfId="0" priority="1785">
      <formula>COUNTIF(I394:BG394,"&lt;&gt;" &amp; "")&gt;0</formula>
    </cfRule>
    <cfRule type="expression" dxfId="1" priority="1786">
      <formula>AND(COUNTIF(I394:BG394,"&lt;&gt;" &amp; "")&gt;0,NOT(ISBLANK(G394)))</formula>
    </cfRule>
  </conditionalFormatting>
  <conditionalFormatting sqref="G395">
    <cfRule type="expression" dxfId="0" priority="1788">
      <formula>COUNTIF(I395:BG395,"&lt;&gt;" &amp; "")&gt;0</formula>
    </cfRule>
    <cfRule type="expression" dxfId="1" priority="1789">
      <formula>AND(COUNTIF(I395:BG395,"&lt;&gt;" &amp; "")&gt;0,NOT(ISBLANK(G395)))</formula>
    </cfRule>
  </conditionalFormatting>
  <conditionalFormatting sqref="G396">
    <cfRule type="expression" dxfId="0" priority="1791">
      <formula>COUNTIF(I396:BG396,"&lt;&gt;" &amp; "")&gt;0</formula>
    </cfRule>
    <cfRule type="expression" dxfId="1" priority="1792">
      <formula>AND(COUNTIF(I396:BG396,"&lt;&gt;" &amp; "")&gt;0,NOT(ISBLANK(G396)))</formula>
    </cfRule>
  </conditionalFormatting>
  <conditionalFormatting sqref="G397">
    <cfRule type="expression" dxfId="0" priority="1794">
      <formula>COUNTIF(I397:BG397,"&lt;&gt;" &amp; "")&gt;0</formula>
    </cfRule>
    <cfRule type="expression" dxfId="1" priority="1795">
      <formula>AND(COUNTIF(I397:BG397,"&lt;&gt;" &amp; "")&gt;0,NOT(ISBLANK(G397)))</formula>
    </cfRule>
  </conditionalFormatting>
  <conditionalFormatting sqref="G398">
    <cfRule type="expression" dxfId="0" priority="1797">
      <formula>COUNTIF(I398:BG398,"&lt;&gt;" &amp; "")&gt;0</formula>
    </cfRule>
    <cfRule type="expression" dxfId="1" priority="1798">
      <formula>AND(COUNTIF(I398:BG398,"&lt;&gt;" &amp; "")&gt;0,NOT(ISBLANK(G398)))</formula>
    </cfRule>
  </conditionalFormatting>
  <conditionalFormatting sqref="G399">
    <cfRule type="expression" dxfId="0" priority="1800">
      <formula>COUNTIF(I399:BG399,"&lt;&gt;" &amp; "")&gt;0</formula>
    </cfRule>
    <cfRule type="expression" dxfId="1" priority="1801">
      <formula>AND(COUNTIF(I399:BG399,"&lt;&gt;" &amp; "")&gt;0,NOT(ISBLANK(G399)))</formula>
    </cfRule>
  </conditionalFormatting>
  <conditionalFormatting sqref="G40">
    <cfRule type="expression" dxfId="0" priority="422">
      <formula>COUNTIF(I40:BG40,"&lt;&gt;" &amp; "")&gt;0</formula>
    </cfRule>
    <cfRule type="expression" dxfId="1" priority="423">
      <formula>AND(COUNTIF(I40:BG40,"&lt;&gt;" &amp; "")&gt;0,NOT(ISBLANK(G40)))</formula>
    </cfRule>
  </conditionalFormatting>
  <conditionalFormatting sqref="G400">
    <cfRule type="expression" dxfId="0" priority="1803">
      <formula>COUNTIF(I400:BG400,"&lt;&gt;" &amp; "")&gt;0</formula>
    </cfRule>
    <cfRule type="expression" dxfId="1" priority="1804">
      <formula>AND(COUNTIF(I400:BG400,"&lt;&gt;" &amp; "")&gt;0,NOT(ISBLANK(G400)))</formula>
    </cfRule>
  </conditionalFormatting>
  <conditionalFormatting sqref="G401">
    <cfRule type="expression" dxfId="0" priority="1806">
      <formula>COUNTIF(I401:BG401,"&lt;&gt;" &amp; "")&gt;0</formula>
    </cfRule>
    <cfRule type="expression" dxfId="1" priority="1807">
      <formula>AND(COUNTIF(I401:BG401,"&lt;&gt;" &amp; "")&gt;0,NOT(ISBLANK(G401)))</formula>
    </cfRule>
  </conditionalFormatting>
  <conditionalFormatting sqref="G402">
    <cfRule type="expression" dxfId="0" priority="1809">
      <formula>COUNTIF(I402:BG402,"&lt;&gt;" &amp; "")&gt;0</formula>
    </cfRule>
    <cfRule type="expression" dxfId="1" priority="1810">
      <formula>AND(COUNTIF(I402:BG402,"&lt;&gt;" &amp; "")&gt;0,NOT(ISBLANK(G402)))</formula>
    </cfRule>
  </conditionalFormatting>
  <conditionalFormatting sqref="G403">
    <cfRule type="expression" dxfId="0" priority="1812">
      <formula>COUNTIF(I403:BG403,"&lt;&gt;" &amp; "")&gt;0</formula>
    </cfRule>
    <cfRule type="expression" dxfId="1" priority="1813">
      <formula>AND(COUNTIF(I403:BG403,"&lt;&gt;" &amp; "")&gt;0,NOT(ISBLANK(G403)))</formula>
    </cfRule>
  </conditionalFormatting>
  <conditionalFormatting sqref="G404">
    <cfRule type="expression" dxfId="0" priority="1815">
      <formula>COUNTIF(I404:BG404,"&lt;&gt;" &amp; "")&gt;0</formula>
    </cfRule>
    <cfRule type="expression" dxfId="1" priority="1816">
      <formula>AND(COUNTIF(I404:BG404,"&lt;&gt;" &amp; "")&gt;0,NOT(ISBLANK(G404)))</formula>
    </cfRule>
  </conditionalFormatting>
  <conditionalFormatting sqref="G405">
    <cfRule type="expression" dxfId="0" priority="1818">
      <formula>COUNTIF(I405:BG405,"&lt;&gt;" &amp; "")&gt;0</formula>
    </cfRule>
    <cfRule type="expression" dxfId="1" priority="1819">
      <formula>AND(COUNTIF(I405:BG405,"&lt;&gt;" &amp; "")&gt;0,NOT(ISBLANK(G405)))</formula>
    </cfRule>
  </conditionalFormatting>
  <conditionalFormatting sqref="G406">
    <cfRule type="expression" dxfId="0" priority="1821">
      <formula>COUNTIF(I406:BG406,"&lt;&gt;" &amp; "")&gt;0</formula>
    </cfRule>
    <cfRule type="expression" dxfId="1" priority="1822">
      <formula>AND(COUNTIF(I406:BG406,"&lt;&gt;" &amp; "")&gt;0,NOT(ISBLANK(G406)))</formula>
    </cfRule>
  </conditionalFormatting>
  <conditionalFormatting sqref="G407">
    <cfRule type="expression" dxfId="0" priority="1824">
      <formula>COUNTIF(I407:BG407,"&lt;&gt;" &amp; "")&gt;0</formula>
    </cfRule>
    <cfRule type="expression" dxfId="1" priority="1825">
      <formula>AND(COUNTIF(I407:BG407,"&lt;&gt;" &amp; "")&gt;0,NOT(ISBLANK(G407)))</formula>
    </cfRule>
  </conditionalFormatting>
  <conditionalFormatting sqref="G408">
    <cfRule type="expression" dxfId="0" priority="1827">
      <formula>COUNTIF(I408:BG408,"&lt;&gt;" &amp; "")&gt;0</formula>
    </cfRule>
    <cfRule type="expression" dxfId="1" priority="1828">
      <formula>AND(COUNTIF(I408:BG408,"&lt;&gt;" &amp; "")&gt;0,NOT(ISBLANK(G408)))</formula>
    </cfRule>
  </conditionalFormatting>
  <conditionalFormatting sqref="G409">
    <cfRule type="expression" dxfId="0" priority="1830">
      <formula>COUNTIF(I409:BG409,"&lt;&gt;" &amp; "")&gt;0</formula>
    </cfRule>
    <cfRule type="expression" dxfId="1" priority="1831">
      <formula>AND(COUNTIF(I409:BG409,"&lt;&gt;" &amp; "")&gt;0,NOT(ISBLANK(G409)))</formula>
    </cfRule>
  </conditionalFormatting>
  <conditionalFormatting sqref="G41">
    <cfRule type="expression" dxfId="0" priority="425">
      <formula>COUNTIF(I41:BG41,"&lt;&gt;" &amp; "")&gt;0</formula>
    </cfRule>
    <cfRule type="expression" dxfId="1" priority="426">
      <formula>AND(COUNTIF(I41:BG41,"&lt;&gt;" &amp; "")&gt;0,NOT(ISBLANK(G41)))</formula>
    </cfRule>
  </conditionalFormatting>
  <conditionalFormatting sqref="G410">
    <cfRule type="expression" dxfId="0" priority="1833">
      <formula>COUNTIF(I410:BG410,"&lt;&gt;" &amp; "")&gt;0</formula>
    </cfRule>
    <cfRule type="expression" dxfId="1" priority="1834">
      <formula>AND(COUNTIF(I410:BG410,"&lt;&gt;" &amp; "")&gt;0,NOT(ISBLANK(G410)))</formula>
    </cfRule>
  </conditionalFormatting>
  <conditionalFormatting sqref="G411">
    <cfRule type="expression" dxfId="0" priority="1836">
      <formula>COUNTIF(I411:BG411,"&lt;&gt;" &amp; "")&gt;0</formula>
    </cfRule>
    <cfRule type="expression" dxfId="1" priority="1837">
      <formula>AND(COUNTIF(I411:BG411,"&lt;&gt;" &amp; "")&gt;0,NOT(ISBLANK(G411)))</formula>
    </cfRule>
  </conditionalFormatting>
  <conditionalFormatting sqref="G412">
    <cfRule type="expression" dxfId="0" priority="1839">
      <formula>COUNTIF(I412:BG412,"&lt;&gt;" &amp; "")&gt;0</formula>
    </cfRule>
    <cfRule type="expression" dxfId="1" priority="1840">
      <formula>AND(COUNTIF(I412:BG412,"&lt;&gt;" &amp; "")&gt;0,NOT(ISBLANK(G412)))</formula>
    </cfRule>
  </conditionalFormatting>
  <conditionalFormatting sqref="G413">
    <cfRule type="expression" dxfId="0" priority="1842">
      <formula>COUNTIF(I413:BG413,"&lt;&gt;" &amp; "")&gt;0</formula>
    </cfRule>
    <cfRule type="expression" dxfId="1" priority="1843">
      <formula>AND(COUNTIF(I413:BG413,"&lt;&gt;" &amp; "")&gt;0,NOT(ISBLANK(G413)))</formula>
    </cfRule>
  </conditionalFormatting>
  <conditionalFormatting sqref="G414">
    <cfRule type="expression" dxfId="0" priority="1845">
      <formula>COUNTIF(I414:BG414,"&lt;&gt;" &amp; "")&gt;0</formula>
    </cfRule>
    <cfRule type="expression" dxfId="1" priority="1846">
      <formula>AND(COUNTIF(I414:BG414,"&lt;&gt;" &amp; "")&gt;0,NOT(ISBLANK(G414)))</formula>
    </cfRule>
  </conditionalFormatting>
  <conditionalFormatting sqref="G415">
    <cfRule type="expression" dxfId="0" priority="1848">
      <formula>COUNTIF(I415:BG415,"&lt;&gt;" &amp; "")&gt;0</formula>
    </cfRule>
    <cfRule type="expression" dxfId="1" priority="1849">
      <formula>AND(COUNTIF(I415:BG415,"&lt;&gt;" &amp; "")&gt;0,NOT(ISBLANK(G415)))</formula>
    </cfRule>
  </conditionalFormatting>
  <conditionalFormatting sqref="G416">
    <cfRule type="expression" dxfId="0" priority="1851">
      <formula>COUNTIF(I416:BG416,"&lt;&gt;" &amp; "")&gt;0</formula>
    </cfRule>
    <cfRule type="expression" dxfId="1" priority="1852">
      <formula>AND(COUNTIF(I416:BG416,"&lt;&gt;" &amp; "")&gt;0,NOT(ISBLANK(G416)))</formula>
    </cfRule>
  </conditionalFormatting>
  <conditionalFormatting sqref="G417">
    <cfRule type="expression" dxfId="0" priority="1854">
      <formula>COUNTIF(I417:BG417,"&lt;&gt;" &amp; "")&gt;0</formula>
    </cfRule>
    <cfRule type="expression" dxfId="1" priority="1855">
      <formula>AND(COUNTIF(I417:BG417,"&lt;&gt;" &amp; "")&gt;0,NOT(ISBLANK(G417)))</formula>
    </cfRule>
  </conditionalFormatting>
  <conditionalFormatting sqref="G418">
    <cfRule type="expression" dxfId="0" priority="1857">
      <formula>COUNTIF(I418:BG418,"&lt;&gt;" &amp; "")&gt;0</formula>
    </cfRule>
    <cfRule type="expression" dxfId="1" priority="1858">
      <formula>AND(COUNTIF(I418:BG418,"&lt;&gt;" &amp; "")&gt;0,NOT(ISBLANK(G418)))</formula>
    </cfRule>
  </conditionalFormatting>
  <conditionalFormatting sqref="G419">
    <cfRule type="expression" dxfId="0" priority="1860">
      <formula>COUNTIF(I419:BG419,"&lt;&gt;" &amp; "")&gt;0</formula>
    </cfRule>
    <cfRule type="expression" dxfId="1" priority="1861">
      <formula>AND(COUNTIF(I419:BG419,"&lt;&gt;" &amp; "")&gt;0,NOT(ISBLANK(G419)))</formula>
    </cfRule>
  </conditionalFormatting>
  <conditionalFormatting sqref="G42">
    <cfRule type="expression" dxfId="0" priority="428">
      <formula>COUNTIF(I42:BG42,"&lt;&gt;" &amp; "")&gt;0</formula>
    </cfRule>
    <cfRule type="expression" dxfId="1" priority="429">
      <formula>AND(COUNTIF(I42:BG42,"&lt;&gt;" &amp; "")&gt;0,NOT(ISBLANK(G42)))</formula>
    </cfRule>
  </conditionalFormatting>
  <conditionalFormatting sqref="G420">
    <cfRule type="expression" dxfId="0" priority="1863">
      <formula>COUNTIF(I420:BG420,"&lt;&gt;" &amp; "")&gt;0</formula>
    </cfRule>
    <cfRule type="expression" dxfId="1" priority="1864">
      <formula>AND(COUNTIF(I420:BG420,"&lt;&gt;" &amp; "")&gt;0,NOT(ISBLANK(G420)))</formula>
    </cfRule>
  </conditionalFormatting>
  <conditionalFormatting sqref="G421">
    <cfRule type="expression" dxfId="0" priority="1866">
      <formula>COUNTIF(I421:BG421,"&lt;&gt;" &amp; "")&gt;0</formula>
    </cfRule>
    <cfRule type="expression" dxfId="1" priority="1867">
      <formula>AND(COUNTIF(I421:BG421,"&lt;&gt;" &amp; "")&gt;0,NOT(ISBLANK(G421)))</formula>
    </cfRule>
  </conditionalFormatting>
  <conditionalFormatting sqref="G422">
    <cfRule type="expression" dxfId="0" priority="1869">
      <formula>COUNTIF(I422:BG422,"&lt;&gt;" &amp; "")&gt;0</formula>
    </cfRule>
    <cfRule type="expression" dxfId="1" priority="1870">
      <formula>AND(COUNTIF(I422:BG422,"&lt;&gt;" &amp; "")&gt;0,NOT(ISBLANK(G422)))</formula>
    </cfRule>
  </conditionalFormatting>
  <conditionalFormatting sqref="G423">
    <cfRule type="expression" dxfId="0" priority="1872">
      <formula>COUNTIF(I423:BG423,"&lt;&gt;" &amp; "")&gt;0</formula>
    </cfRule>
    <cfRule type="expression" dxfId="1" priority="1873">
      <formula>AND(COUNTIF(I423:BG423,"&lt;&gt;" &amp; "")&gt;0,NOT(ISBLANK(G423)))</formula>
    </cfRule>
  </conditionalFormatting>
  <conditionalFormatting sqref="G424">
    <cfRule type="expression" dxfId="0" priority="1875">
      <formula>COUNTIF(I424:BG424,"&lt;&gt;" &amp; "")&gt;0</formula>
    </cfRule>
    <cfRule type="expression" dxfId="1" priority="1876">
      <formula>AND(COUNTIF(I424:BG424,"&lt;&gt;" &amp; "")&gt;0,NOT(ISBLANK(G424)))</formula>
    </cfRule>
  </conditionalFormatting>
  <conditionalFormatting sqref="G425">
    <cfRule type="expression" dxfId="0" priority="1878">
      <formula>COUNTIF(I425:BG425,"&lt;&gt;" &amp; "")&gt;0</formula>
    </cfRule>
    <cfRule type="expression" dxfId="1" priority="1879">
      <formula>AND(COUNTIF(I425:BG425,"&lt;&gt;" &amp; "")&gt;0,NOT(ISBLANK(G425)))</formula>
    </cfRule>
  </conditionalFormatting>
  <conditionalFormatting sqref="G426">
    <cfRule type="expression" dxfId="0" priority="1881">
      <formula>COUNTIF(I426:BG426,"&lt;&gt;" &amp; "")&gt;0</formula>
    </cfRule>
    <cfRule type="expression" dxfId="1" priority="1882">
      <formula>AND(COUNTIF(I426:BG426,"&lt;&gt;" &amp; "")&gt;0,NOT(ISBLANK(G426)))</formula>
    </cfRule>
  </conditionalFormatting>
  <conditionalFormatting sqref="G427">
    <cfRule type="expression" dxfId="0" priority="1884">
      <formula>COUNTIF(I427:BG427,"&lt;&gt;" &amp; "")&gt;0</formula>
    </cfRule>
    <cfRule type="expression" dxfId="1" priority="1885">
      <formula>AND(COUNTIF(I427:BG427,"&lt;&gt;" &amp; "")&gt;0,NOT(ISBLANK(G427)))</formula>
    </cfRule>
  </conditionalFormatting>
  <conditionalFormatting sqref="G428">
    <cfRule type="expression" dxfId="0" priority="1887">
      <formula>COUNTIF(I428:BG428,"&lt;&gt;" &amp; "")&gt;0</formula>
    </cfRule>
    <cfRule type="expression" dxfId="1" priority="1888">
      <formula>AND(COUNTIF(I428:BG428,"&lt;&gt;" &amp; "")&gt;0,NOT(ISBLANK(G428)))</formula>
    </cfRule>
  </conditionalFormatting>
  <conditionalFormatting sqref="G429">
    <cfRule type="expression" dxfId="0" priority="1890">
      <formula>COUNTIF(I429:BG429,"&lt;&gt;" &amp; "")&gt;0</formula>
    </cfRule>
    <cfRule type="expression" dxfId="1" priority="1891">
      <formula>AND(COUNTIF(I429:BG429,"&lt;&gt;" &amp; "")&gt;0,NOT(ISBLANK(G429)))</formula>
    </cfRule>
  </conditionalFormatting>
  <conditionalFormatting sqref="G43">
    <cfRule type="expression" dxfId="0" priority="431">
      <formula>COUNTIF(I43:BG43,"&lt;&gt;" &amp; "")&gt;0</formula>
    </cfRule>
    <cfRule type="expression" dxfId="1" priority="432">
      <formula>AND(COUNTIF(I43:BG43,"&lt;&gt;" &amp; "")&gt;0,NOT(ISBLANK(G43)))</formula>
    </cfRule>
  </conditionalFormatting>
  <conditionalFormatting sqref="G430">
    <cfRule type="expression" dxfId="0" priority="1893">
      <formula>COUNTIF(I430:BG430,"&lt;&gt;" &amp; "")&gt;0</formula>
    </cfRule>
    <cfRule type="expression" dxfId="1" priority="1894">
      <formula>AND(COUNTIF(I430:BG430,"&lt;&gt;" &amp; "")&gt;0,NOT(ISBLANK(G430)))</formula>
    </cfRule>
  </conditionalFormatting>
  <conditionalFormatting sqref="G431">
    <cfRule type="expression" dxfId="0" priority="1896">
      <formula>COUNTIF(I431:BG431,"&lt;&gt;" &amp; "")&gt;0</formula>
    </cfRule>
    <cfRule type="expression" dxfId="1" priority="1897">
      <formula>AND(COUNTIF(I431:BG431,"&lt;&gt;" &amp; "")&gt;0,NOT(ISBLANK(G431)))</formula>
    </cfRule>
  </conditionalFormatting>
  <conditionalFormatting sqref="G432">
    <cfRule type="expression" dxfId="0" priority="1899">
      <formula>COUNTIF(I432:BG432,"&lt;&gt;" &amp; "")&gt;0</formula>
    </cfRule>
    <cfRule type="expression" dxfId="1" priority="1900">
      <formula>AND(COUNTIF(I432:BG432,"&lt;&gt;" &amp; "")&gt;0,NOT(ISBLANK(G432)))</formula>
    </cfRule>
  </conditionalFormatting>
  <conditionalFormatting sqref="G433">
    <cfRule type="expression" dxfId="0" priority="1902">
      <formula>COUNTIF(I433:BG433,"&lt;&gt;" &amp; "")&gt;0</formula>
    </cfRule>
    <cfRule type="expression" dxfId="1" priority="1903">
      <formula>AND(COUNTIF(I433:BG433,"&lt;&gt;" &amp; "")&gt;0,NOT(ISBLANK(G433)))</formula>
    </cfRule>
  </conditionalFormatting>
  <conditionalFormatting sqref="G439">
    <cfRule type="cellIs" dxfId="2" priority="1913" operator="equal">
      <formula>"Y"</formula>
    </cfRule>
    <cfRule type="cellIs" dxfId="3" priority="1914" operator="equal">
      <formula>"N"</formula>
    </cfRule>
  </conditionalFormatting>
  <conditionalFormatting sqref="G44">
    <cfRule type="expression" dxfId="0" priority="434">
      <formula>COUNTIF(I44:BG44,"&lt;&gt;" &amp; "")&gt;0</formula>
    </cfRule>
    <cfRule type="expression" dxfId="1" priority="435">
      <formula>AND(COUNTIF(I44:BG44,"&lt;&gt;" &amp; "")&gt;0,NOT(ISBLANK(G44)))</formula>
    </cfRule>
  </conditionalFormatting>
  <conditionalFormatting sqref="G440">
    <cfRule type="cellIs" dxfId="2" priority="1939" operator="equal">
      <formula>"Y"</formula>
    </cfRule>
    <cfRule type="cellIs" dxfId="3" priority="1940" operator="equal">
      <formula>"N"</formula>
    </cfRule>
  </conditionalFormatting>
  <conditionalFormatting sqref="G441">
    <cfRule type="cellIs" dxfId="2" priority="1965" operator="equal">
      <formula>"Y"</formula>
    </cfRule>
    <cfRule type="cellIs" dxfId="3" priority="1966" operator="equal">
      <formula>"N"</formula>
    </cfRule>
  </conditionalFormatting>
  <conditionalFormatting sqref="G442">
    <cfRule type="cellIs" dxfId="2" priority="1991" operator="equal">
      <formula>"Y"</formula>
    </cfRule>
    <cfRule type="cellIs" dxfId="3" priority="1992" operator="equal">
      <formula>"N"</formula>
    </cfRule>
  </conditionalFormatting>
  <conditionalFormatting sqref="G443">
    <cfRule type="cellIs" dxfId="2" priority="2017" operator="equal">
      <formula>"Y"</formula>
    </cfRule>
    <cfRule type="cellIs" dxfId="3" priority="2018" operator="equal">
      <formula>"N"</formula>
    </cfRule>
  </conditionalFormatting>
  <conditionalFormatting sqref="G445">
    <cfRule type="cellIs" dxfId="2" priority="2071" operator="equal">
      <formula>"Y"</formula>
    </cfRule>
    <cfRule type="cellIs" dxfId="3" priority="2072" operator="equal">
      <formula>"N"</formula>
    </cfRule>
  </conditionalFormatting>
  <conditionalFormatting sqref="G446">
    <cfRule type="cellIs" dxfId="2" priority="2097" operator="equal">
      <formula>"Y"</formula>
    </cfRule>
    <cfRule type="cellIs" dxfId="3" priority="2098" operator="equal">
      <formula>"N"</formula>
    </cfRule>
  </conditionalFormatting>
  <conditionalFormatting sqref="G447">
    <cfRule type="cellIs" dxfId="2" priority="2123" operator="equal">
      <formula>"Y"</formula>
    </cfRule>
    <cfRule type="cellIs" dxfId="3" priority="2124" operator="equal">
      <formula>"N"</formula>
    </cfRule>
  </conditionalFormatting>
  <conditionalFormatting sqref="G448">
    <cfRule type="cellIs" dxfId="2" priority="2149" operator="equal">
      <formula>"Y"</formula>
    </cfRule>
    <cfRule type="cellIs" dxfId="3" priority="2150" operator="equal">
      <formula>"N"</formula>
    </cfRule>
  </conditionalFormatting>
  <conditionalFormatting sqref="G449">
    <cfRule type="cellIs" dxfId="2" priority="2175" operator="equal">
      <formula>"Y"</formula>
    </cfRule>
    <cfRule type="cellIs" dxfId="3" priority="2176" operator="equal">
      <formula>"N"</formula>
    </cfRule>
  </conditionalFormatting>
  <conditionalFormatting sqref="G45">
    <cfRule type="expression" dxfId="0" priority="437">
      <formula>COUNTIF(I45:BG45,"&lt;&gt;" &amp; "")&gt;0</formula>
    </cfRule>
    <cfRule type="expression" dxfId="1" priority="438">
      <formula>AND(COUNTIF(I45:BG45,"&lt;&gt;" &amp; "")&gt;0,NOT(ISBLANK(G45)))</formula>
    </cfRule>
  </conditionalFormatting>
  <conditionalFormatting sqref="G450">
    <cfRule type="cellIs" dxfId="2" priority="2201" operator="equal">
      <formula>"Y"</formula>
    </cfRule>
    <cfRule type="cellIs" dxfId="3" priority="2202" operator="equal">
      <formula>"N"</formula>
    </cfRule>
  </conditionalFormatting>
  <conditionalFormatting sqref="G451">
    <cfRule type="cellIs" dxfId="2" priority="2227" operator="equal">
      <formula>"Y"</formula>
    </cfRule>
    <cfRule type="cellIs" dxfId="3" priority="2228" operator="equal">
      <formula>"N"</formula>
    </cfRule>
  </conditionalFormatting>
  <conditionalFormatting sqref="G452">
    <cfRule type="cellIs" dxfId="2" priority="2253" operator="equal">
      <formula>"Y"</formula>
    </cfRule>
    <cfRule type="cellIs" dxfId="3" priority="2254" operator="equal">
      <formula>"N"</formula>
    </cfRule>
  </conditionalFormatting>
  <conditionalFormatting sqref="G455">
    <cfRule type="expression" dxfId="0" priority="2269">
      <formula>COUNTIF(I455:BG455,"&lt;&gt;" &amp; "")&gt;0</formula>
    </cfRule>
    <cfRule type="expression" dxfId="1" priority="2270">
      <formula>AND(COUNTIF(I455:BG455,"&lt;&gt;" &amp; "")&gt;0,NOT(ISBLANK(G455)))</formula>
    </cfRule>
  </conditionalFormatting>
  <conditionalFormatting sqref="G456">
    <cfRule type="expression" dxfId="0" priority="2272">
      <formula>COUNTIF(I456:BG456,"&lt;&gt;" &amp; "")&gt;0</formula>
    </cfRule>
    <cfRule type="expression" dxfId="1" priority="2273">
      <formula>AND(COUNTIF(I456:BG456,"&lt;&gt;" &amp; "")&gt;0,NOT(ISBLANK(G456)))</formula>
    </cfRule>
  </conditionalFormatting>
  <conditionalFormatting sqref="G457">
    <cfRule type="expression" dxfId="0" priority="2275">
      <formula>COUNTIF(I457:BG457,"&lt;&gt;" &amp; "")&gt;0</formula>
    </cfRule>
    <cfRule type="expression" dxfId="1" priority="2276">
      <formula>AND(COUNTIF(I457:BG457,"&lt;&gt;" &amp; "")&gt;0,NOT(ISBLANK(G457)))</formula>
    </cfRule>
  </conditionalFormatting>
  <conditionalFormatting sqref="G458">
    <cfRule type="expression" dxfId="0" priority="2278">
      <formula>COUNTIF(I458:BG458,"&lt;&gt;" &amp; "")&gt;0</formula>
    </cfRule>
    <cfRule type="expression" dxfId="1" priority="2279">
      <formula>AND(COUNTIF(I458:BG458,"&lt;&gt;" &amp; "")&gt;0,NOT(ISBLANK(G458)))</formula>
    </cfRule>
  </conditionalFormatting>
  <conditionalFormatting sqref="G459">
    <cfRule type="expression" dxfId="0" priority="2281">
      <formula>COUNTIF(I459:BG459,"&lt;&gt;" &amp; "")&gt;0</formula>
    </cfRule>
    <cfRule type="expression" dxfId="1" priority="2282">
      <formula>AND(COUNTIF(I459:BG459,"&lt;&gt;" &amp; "")&gt;0,NOT(ISBLANK(G459)))</formula>
    </cfRule>
  </conditionalFormatting>
  <conditionalFormatting sqref="G46">
    <cfRule type="expression" dxfId="0" priority="440">
      <formula>COUNTIF(I46:BG46,"&lt;&gt;" &amp; "")&gt;0</formula>
    </cfRule>
    <cfRule type="expression" dxfId="1" priority="441">
      <formula>AND(COUNTIF(I46:BG46,"&lt;&gt;" &amp; "")&gt;0,NOT(ISBLANK(G46)))</formula>
    </cfRule>
  </conditionalFormatting>
  <conditionalFormatting sqref="G460">
    <cfRule type="expression" dxfId="0" priority="2284">
      <formula>COUNTIF(I460:BG460,"&lt;&gt;" &amp; "")&gt;0</formula>
    </cfRule>
    <cfRule type="expression" dxfId="1" priority="2285">
      <formula>AND(COUNTIF(I460:BG460,"&lt;&gt;" &amp; "")&gt;0,NOT(ISBLANK(G460)))</formula>
    </cfRule>
  </conditionalFormatting>
  <conditionalFormatting sqref="G461">
    <cfRule type="expression" dxfId="0" priority="2287">
      <formula>COUNTIF(I461:BG461,"&lt;&gt;" &amp; "")&gt;0</formula>
    </cfRule>
    <cfRule type="expression" dxfId="1" priority="2288">
      <formula>AND(COUNTIF(I461:BG461,"&lt;&gt;" &amp; "")&gt;0,NOT(ISBLANK(G461)))</formula>
    </cfRule>
  </conditionalFormatting>
  <conditionalFormatting sqref="G462">
    <cfRule type="expression" dxfId="0" priority="2290">
      <formula>COUNTIF(I462:BG462,"&lt;&gt;" &amp; "")&gt;0</formula>
    </cfRule>
    <cfRule type="expression" dxfId="1" priority="2291">
      <formula>AND(COUNTIF(I462:BG462,"&lt;&gt;" &amp; "")&gt;0,NOT(ISBLANK(G462)))</formula>
    </cfRule>
  </conditionalFormatting>
  <conditionalFormatting sqref="G463">
    <cfRule type="expression" dxfId="0" priority="2293">
      <formula>COUNTIF(I463:BG463,"&lt;&gt;" &amp; "")&gt;0</formula>
    </cfRule>
    <cfRule type="expression" dxfId="1" priority="2294">
      <formula>AND(COUNTIF(I463:BG463,"&lt;&gt;" &amp; "")&gt;0,NOT(ISBLANK(G463)))</formula>
    </cfRule>
  </conditionalFormatting>
  <conditionalFormatting sqref="G464">
    <cfRule type="expression" dxfId="0" priority="2296">
      <formula>COUNTIF(I464:BG464,"&lt;&gt;" &amp; "")&gt;0</formula>
    </cfRule>
    <cfRule type="expression" dxfId="1" priority="2297">
      <formula>AND(COUNTIF(I464:BG464,"&lt;&gt;" &amp; "")&gt;0,NOT(ISBLANK(G464)))</formula>
    </cfRule>
  </conditionalFormatting>
  <conditionalFormatting sqref="G465">
    <cfRule type="expression" dxfId="0" priority="2299">
      <formula>COUNTIF(I465:BG465,"&lt;&gt;" &amp; "")&gt;0</formula>
    </cfRule>
    <cfRule type="expression" dxfId="1" priority="2300">
      <formula>AND(COUNTIF(I465:BG465,"&lt;&gt;" &amp; "")&gt;0,NOT(ISBLANK(G465)))</formula>
    </cfRule>
  </conditionalFormatting>
  <conditionalFormatting sqref="G466">
    <cfRule type="expression" dxfId="0" priority="2302">
      <formula>COUNTIF(I466:BG466,"&lt;&gt;" &amp; "")&gt;0</formula>
    </cfRule>
    <cfRule type="expression" dxfId="1" priority="2303">
      <formula>AND(COUNTIF(I466:BG466,"&lt;&gt;" &amp; "")&gt;0,NOT(ISBLANK(G466)))</formula>
    </cfRule>
  </conditionalFormatting>
  <conditionalFormatting sqref="G467">
    <cfRule type="expression" dxfId="0" priority="2305">
      <formula>COUNTIF(I467:BG467,"&lt;&gt;" &amp; "")&gt;0</formula>
    </cfRule>
    <cfRule type="expression" dxfId="1" priority="2306">
      <formula>AND(COUNTIF(I467:BG467,"&lt;&gt;" &amp; "")&gt;0,NOT(ISBLANK(G467)))</formula>
    </cfRule>
  </conditionalFormatting>
  <conditionalFormatting sqref="G468">
    <cfRule type="expression" dxfId="0" priority="2308">
      <formula>COUNTIF(I468:BG468,"&lt;&gt;" &amp; "")&gt;0</formula>
    </cfRule>
    <cfRule type="expression" dxfId="1" priority="2309">
      <formula>AND(COUNTIF(I468:BG468,"&lt;&gt;" &amp; "")&gt;0,NOT(ISBLANK(G468)))</formula>
    </cfRule>
  </conditionalFormatting>
  <conditionalFormatting sqref="G469">
    <cfRule type="expression" dxfId="0" priority="2311">
      <formula>COUNTIF(I469:BG469,"&lt;&gt;" &amp; "")&gt;0</formula>
    </cfRule>
    <cfRule type="expression" dxfId="1" priority="2312">
      <formula>AND(COUNTIF(I469:BG469,"&lt;&gt;" &amp; "")&gt;0,NOT(ISBLANK(G469)))</formula>
    </cfRule>
  </conditionalFormatting>
  <conditionalFormatting sqref="G47">
    <cfRule type="expression" dxfId="0" priority="443">
      <formula>COUNTIF(I47:BG47,"&lt;&gt;" &amp; "")&gt;0</formula>
    </cfRule>
    <cfRule type="expression" dxfId="1" priority="444">
      <formula>AND(COUNTIF(I47:BG47,"&lt;&gt;" &amp; "")&gt;0,NOT(ISBLANK(G47)))</formula>
    </cfRule>
  </conditionalFormatting>
  <conditionalFormatting sqref="G470">
    <cfRule type="expression" dxfId="0" priority="2314">
      <formula>COUNTIF(I470:BG470,"&lt;&gt;" &amp; "")&gt;0</formula>
    </cfRule>
    <cfRule type="expression" dxfId="1" priority="2315">
      <formula>AND(COUNTIF(I470:BG470,"&lt;&gt;" &amp; "")&gt;0,NOT(ISBLANK(G470)))</formula>
    </cfRule>
  </conditionalFormatting>
  <conditionalFormatting sqref="G471">
    <cfRule type="expression" dxfId="0" priority="2317">
      <formula>COUNTIF(I471:BG471,"&lt;&gt;" &amp; "")&gt;0</formula>
    </cfRule>
    <cfRule type="expression" dxfId="1" priority="2318">
      <formula>AND(COUNTIF(I471:BG471,"&lt;&gt;" &amp; "")&gt;0,NOT(ISBLANK(G471)))</formula>
    </cfRule>
  </conditionalFormatting>
  <conditionalFormatting sqref="G472">
    <cfRule type="expression" dxfId="0" priority="2320">
      <formula>COUNTIF(I472:BG472,"&lt;&gt;" &amp; "")&gt;0</formula>
    </cfRule>
    <cfRule type="expression" dxfId="1" priority="2321">
      <formula>AND(COUNTIF(I472:BG472,"&lt;&gt;" &amp; "")&gt;0,NOT(ISBLANK(G472)))</formula>
    </cfRule>
  </conditionalFormatting>
  <conditionalFormatting sqref="G473">
    <cfRule type="expression" dxfId="0" priority="2323">
      <formula>COUNTIF(I473:BG473,"&lt;&gt;" &amp; "")&gt;0</formula>
    </cfRule>
    <cfRule type="expression" dxfId="1" priority="2324">
      <formula>AND(COUNTIF(I473:BG473,"&lt;&gt;" &amp; "")&gt;0,NOT(ISBLANK(G473)))</formula>
    </cfRule>
  </conditionalFormatting>
  <conditionalFormatting sqref="G474">
    <cfRule type="expression" dxfId="0" priority="2326">
      <formula>COUNTIF(I474:BG474,"&lt;&gt;" &amp; "")&gt;0</formula>
    </cfRule>
    <cfRule type="expression" dxfId="1" priority="2327">
      <formula>AND(COUNTIF(I474:BG474,"&lt;&gt;" &amp; "")&gt;0,NOT(ISBLANK(G474)))</formula>
    </cfRule>
  </conditionalFormatting>
  <conditionalFormatting sqref="G475">
    <cfRule type="expression" dxfId="0" priority="2329">
      <formula>COUNTIF(I475:BG475,"&lt;&gt;" &amp; "")&gt;0</formula>
    </cfRule>
    <cfRule type="expression" dxfId="1" priority="2330">
      <formula>AND(COUNTIF(I475:BG475,"&lt;&gt;" &amp; "")&gt;0,NOT(ISBLANK(G475)))</formula>
    </cfRule>
  </conditionalFormatting>
  <conditionalFormatting sqref="G476">
    <cfRule type="expression" dxfId="0" priority="2332">
      <formula>COUNTIF(I476:BG476,"&lt;&gt;" &amp; "")&gt;0</formula>
    </cfRule>
    <cfRule type="expression" dxfId="1" priority="2333">
      <formula>AND(COUNTIF(I476:BG476,"&lt;&gt;" &amp; "")&gt;0,NOT(ISBLANK(G476)))</formula>
    </cfRule>
  </conditionalFormatting>
  <conditionalFormatting sqref="G477">
    <cfRule type="expression" dxfId="0" priority="2335">
      <formula>COUNTIF(I477:BG477,"&lt;&gt;" &amp; "")&gt;0</formula>
    </cfRule>
    <cfRule type="expression" dxfId="1" priority="2336">
      <formula>AND(COUNTIF(I477:BG477,"&lt;&gt;" &amp; "")&gt;0,NOT(ISBLANK(G477)))</formula>
    </cfRule>
  </conditionalFormatting>
  <conditionalFormatting sqref="G478">
    <cfRule type="expression" dxfId="0" priority="2338">
      <formula>COUNTIF(I478:BG478,"&lt;&gt;" &amp; "")&gt;0</formula>
    </cfRule>
    <cfRule type="expression" dxfId="1" priority="2339">
      <formula>AND(COUNTIF(I478:BG478,"&lt;&gt;" &amp; "")&gt;0,NOT(ISBLANK(G478)))</formula>
    </cfRule>
  </conditionalFormatting>
  <conditionalFormatting sqref="G479">
    <cfRule type="expression" dxfId="0" priority="2341">
      <formula>COUNTIF(I479:BG479,"&lt;&gt;" &amp; "")&gt;0</formula>
    </cfRule>
    <cfRule type="expression" dxfId="1" priority="2342">
      <formula>AND(COUNTIF(I479:BG479,"&lt;&gt;" &amp; "")&gt;0,NOT(ISBLANK(G479)))</formula>
    </cfRule>
  </conditionalFormatting>
  <conditionalFormatting sqref="G48">
    <cfRule type="expression" dxfId="0" priority="446">
      <formula>COUNTIF(I48:BG48,"&lt;&gt;" &amp; "")&gt;0</formula>
    </cfRule>
    <cfRule type="expression" dxfId="1" priority="447">
      <formula>AND(COUNTIF(I48:BG48,"&lt;&gt;" &amp; "")&gt;0,NOT(ISBLANK(G48)))</formula>
    </cfRule>
  </conditionalFormatting>
  <conditionalFormatting sqref="G480">
    <cfRule type="expression" dxfId="0" priority="2344">
      <formula>COUNTIF(I480:BG480,"&lt;&gt;" &amp; "")&gt;0</formula>
    </cfRule>
    <cfRule type="expression" dxfId="1" priority="2345">
      <formula>AND(COUNTIF(I480:BG480,"&lt;&gt;" &amp; "")&gt;0,NOT(ISBLANK(G480)))</formula>
    </cfRule>
  </conditionalFormatting>
  <conditionalFormatting sqref="G481">
    <cfRule type="expression" dxfId="0" priority="2347">
      <formula>COUNTIF(I481:BG481,"&lt;&gt;" &amp; "")&gt;0</formula>
    </cfRule>
    <cfRule type="expression" dxfId="1" priority="2348">
      <formula>AND(COUNTIF(I481:BG481,"&lt;&gt;" &amp; "")&gt;0,NOT(ISBLANK(G481)))</formula>
    </cfRule>
  </conditionalFormatting>
  <conditionalFormatting sqref="G482">
    <cfRule type="expression" dxfId="0" priority="2350">
      <formula>COUNTIF(I482:BG482,"&lt;&gt;" &amp; "")&gt;0</formula>
    </cfRule>
    <cfRule type="expression" dxfId="1" priority="2351">
      <formula>AND(COUNTIF(I482:BG482,"&lt;&gt;" &amp; "")&gt;0,NOT(ISBLANK(G482)))</formula>
    </cfRule>
  </conditionalFormatting>
  <conditionalFormatting sqref="G483">
    <cfRule type="expression" dxfId="0" priority="2353">
      <formula>COUNTIF(I483:BG483,"&lt;&gt;" &amp; "")&gt;0</formula>
    </cfRule>
    <cfRule type="expression" dxfId="1" priority="2354">
      <formula>AND(COUNTIF(I483:BG483,"&lt;&gt;" &amp; "")&gt;0,NOT(ISBLANK(G483)))</formula>
    </cfRule>
  </conditionalFormatting>
  <conditionalFormatting sqref="G484">
    <cfRule type="expression" dxfId="0" priority="2356">
      <formula>COUNTIF(I484:BG484,"&lt;&gt;" &amp; "")&gt;0</formula>
    </cfRule>
    <cfRule type="expression" dxfId="1" priority="2357">
      <formula>AND(COUNTIF(I484:BG484,"&lt;&gt;" &amp; "")&gt;0,NOT(ISBLANK(G484)))</formula>
    </cfRule>
  </conditionalFormatting>
  <conditionalFormatting sqref="G485">
    <cfRule type="expression" dxfId="0" priority="2359">
      <formula>COUNTIF(I485:BG485,"&lt;&gt;" &amp; "")&gt;0</formula>
    </cfRule>
    <cfRule type="expression" dxfId="1" priority="2360">
      <formula>AND(COUNTIF(I485:BG485,"&lt;&gt;" &amp; "")&gt;0,NOT(ISBLANK(G485)))</formula>
    </cfRule>
  </conditionalFormatting>
  <conditionalFormatting sqref="G486">
    <cfRule type="expression" dxfId="0" priority="2362">
      <formula>COUNTIF(I486:BG486,"&lt;&gt;" &amp; "")&gt;0</formula>
    </cfRule>
    <cfRule type="expression" dxfId="1" priority="2363">
      <formula>AND(COUNTIF(I486:BG486,"&lt;&gt;" &amp; "")&gt;0,NOT(ISBLANK(G486)))</formula>
    </cfRule>
  </conditionalFormatting>
  <conditionalFormatting sqref="G487">
    <cfRule type="expression" dxfId="0" priority="2365">
      <formula>COUNTIF(I487:BG487,"&lt;&gt;" &amp; "")&gt;0</formula>
    </cfRule>
    <cfRule type="expression" dxfId="1" priority="2366">
      <formula>AND(COUNTIF(I487:BG487,"&lt;&gt;" &amp; "")&gt;0,NOT(ISBLANK(G487)))</formula>
    </cfRule>
  </conditionalFormatting>
  <conditionalFormatting sqref="G488">
    <cfRule type="expression" dxfId="0" priority="2368">
      <formula>COUNTIF(I488:BG488,"&lt;&gt;" &amp; "")&gt;0</formula>
    </cfRule>
    <cfRule type="expression" dxfId="1" priority="2369">
      <formula>AND(COUNTIF(I488:BG488,"&lt;&gt;" &amp; "")&gt;0,NOT(ISBLANK(G488)))</formula>
    </cfRule>
  </conditionalFormatting>
  <conditionalFormatting sqref="G489">
    <cfRule type="expression" dxfId="0" priority="2371">
      <formula>COUNTIF(I489:BG489,"&lt;&gt;" &amp; "")&gt;0</formula>
    </cfRule>
    <cfRule type="expression" dxfId="1" priority="2372">
      <formula>AND(COUNTIF(I489:BG489,"&lt;&gt;" &amp; "")&gt;0,NOT(ISBLANK(G489)))</formula>
    </cfRule>
  </conditionalFormatting>
  <conditionalFormatting sqref="G49">
    <cfRule type="expression" dxfId="0" priority="449">
      <formula>COUNTIF(I49:BG49,"&lt;&gt;" &amp; "")&gt;0</formula>
    </cfRule>
    <cfRule type="expression" dxfId="1" priority="450">
      <formula>AND(COUNTIF(I49:BG49,"&lt;&gt;" &amp; "")&gt;0,NOT(ISBLANK(G49)))</formula>
    </cfRule>
  </conditionalFormatting>
  <conditionalFormatting sqref="G490">
    <cfRule type="expression" dxfId="0" priority="2374">
      <formula>COUNTIF(I490:BG490,"&lt;&gt;" &amp; "")&gt;0</formula>
    </cfRule>
    <cfRule type="expression" dxfId="1" priority="2375">
      <formula>AND(COUNTIF(I490:BG490,"&lt;&gt;" &amp; "")&gt;0,NOT(ISBLANK(G490)))</formula>
    </cfRule>
  </conditionalFormatting>
  <conditionalFormatting sqref="G491">
    <cfRule type="expression" dxfId="0" priority="2377">
      <formula>COUNTIF(I491:BG491,"&lt;&gt;" &amp; "")&gt;0</formula>
    </cfRule>
    <cfRule type="expression" dxfId="1" priority="2378">
      <formula>AND(COUNTIF(I491:BG491,"&lt;&gt;" &amp; "")&gt;0,NOT(ISBLANK(G491)))</formula>
    </cfRule>
  </conditionalFormatting>
  <conditionalFormatting sqref="G492">
    <cfRule type="expression" dxfId="0" priority="2380">
      <formula>COUNTIF(I492:BG492,"&lt;&gt;" &amp; "")&gt;0</formula>
    </cfRule>
    <cfRule type="expression" dxfId="1" priority="2381">
      <formula>AND(COUNTIF(I492:BG492,"&lt;&gt;" &amp; "")&gt;0,NOT(ISBLANK(G492)))</formula>
    </cfRule>
  </conditionalFormatting>
  <conditionalFormatting sqref="G493">
    <cfRule type="expression" dxfId="0" priority="2383">
      <formula>COUNTIF(I493:BG493,"&lt;&gt;" &amp; "")&gt;0</formula>
    </cfRule>
    <cfRule type="expression" dxfId="1" priority="2384">
      <formula>AND(COUNTIF(I493:BG493,"&lt;&gt;" &amp; "")&gt;0,NOT(ISBLANK(G493)))</formula>
    </cfRule>
  </conditionalFormatting>
  <conditionalFormatting sqref="G494">
    <cfRule type="expression" dxfId="0" priority="2386">
      <formula>COUNTIF(I494:BG494,"&lt;&gt;" &amp; "")&gt;0</formula>
    </cfRule>
    <cfRule type="expression" dxfId="1" priority="2387">
      <formula>AND(COUNTIF(I494:BG494,"&lt;&gt;" &amp; "")&gt;0,NOT(ISBLANK(G494)))</formula>
    </cfRule>
  </conditionalFormatting>
  <conditionalFormatting sqref="G495">
    <cfRule type="expression" dxfId="0" priority="2389">
      <formula>COUNTIF(I495:BG495,"&lt;&gt;" &amp; "")&gt;0</formula>
    </cfRule>
    <cfRule type="expression" dxfId="1" priority="2390">
      <formula>AND(COUNTIF(I495:BG495,"&lt;&gt;" &amp; "")&gt;0,NOT(ISBLANK(G495)))</formula>
    </cfRule>
  </conditionalFormatting>
  <conditionalFormatting sqref="G496">
    <cfRule type="expression" dxfId="0" priority="2392">
      <formula>COUNTIF(I496:BG496,"&lt;&gt;" &amp; "")&gt;0</formula>
    </cfRule>
    <cfRule type="expression" dxfId="1" priority="2393">
      <formula>AND(COUNTIF(I496:BG496,"&lt;&gt;" &amp; "")&gt;0,NOT(ISBLANK(G496)))</formula>
    </cfRule>
  </conditionalFormatting>
  <conditionalFormatting sqref="G497">
    <cfRule type="expression" dxfId="0" priority="2395">
      <formula>COUNTIF(I497:BG497,"&lt;&gt;" &amp; "")&gt;0</formula>
    </cfRule>
    <cfRule type="expression" dxfId="1" priority="2396">
      <formula>AND(COUNTIF(I497:BG497,"&lt;&gt;" &amp; "")&gt;0,NOT(ISBLANK(G497)))</formula>
    </cfRule>
  </conditionalFormatting>
  <conditionalFormatting sqref="G498">
    <cfRule type="expression" dxfId="0" priority="2398">
      <formula>COUNTIF(I498:BG498,"&lt;&gt;" &amp; "")&gt;0</formula>
    </cfRule>
    <cfRule type="expression" dxfId="1" priority="2399">
      <formula>AND(COUNTIF(I498:BG498,"&lt;&gt;" &amp; "")&gt;0,NOT(ISBLANK(G498)))</formula>
    </cfRule>
  </conditionalFormatting>
  <conditionalFormatting sqref="G499">
    <cfRule type="expression" dxfId="0" priority="2401">
      <formula>COUNTIF(I499:BG499,"&lt;&gt;" &amp; "")&gt;0</formula>
    </cfRule>
    <cfRule type="expression" dxfId="1" priority="2402">
      <formula>AND(COUNTIF(I499:BG499,"&lt;&gt;" &amp; "")&gt;0,NOT(ISBLANK(G499)))</formula>
    </cfRule>
  </conditionalFormatting>
  <conditionalFormatting sqref="G5">
    <cfRule type="cellIs" dxfId="2" priority="9" operator="equal">
      <formula>"Y"</formula>
    </cfRule>
    <cfRule type="cellIs" dxfId="3" priority="10" operator="equal">
      <formula>"N"</formula>
    </cfRule>
  </conditionalFormatting>
  <conditionalFormatting sqref="G50">
    <cfRule type="expression" dxfId="0" priority="452">
      <formula>COUNTIF(I50:BG50,"&lt;&gt;" &amp; "")&gt;0</formula>
    </cfRule>
    <cfRule type="expression" dxfId="1" priority="453">
      <formula>AND(COUNTIF(I50:BG50,"&lt;&gt;" &amp; "")&gt;0,NOT(ISBLANK(G50)))</formula>
    </cfRule>
  </conditionalFormatting>
  <conditionalFormatting sqref="G500">
    <cfRule type="expression" dxfId="0" priority="2404">
      <formula>COUNTIF(I500:BG500,"&lt;&gt;" &amp; "")&gt;0</formula>
    </cfRule>
    <cfRule type="expression" dxfId="1" priority="2405">
      <formula>AND(COUNTIF(I500:BG500,"&lt;&gt;" &amp; "")&gt;0,NOT(ISBLANK(G500)))</formula>
    </cfRule>
  </conditionalFormatting>
  <conditionalFormatting sqref="G501">
    <cfRule type="expression" dxfId="0" priority="2407">
      <formula>COUNTIF(I501:BG501,"&lt;&gt;" &amp; "")&gt;0</formula>
    </cfRule>
    <cfRule type="expression" dxfId="1" priority="2408">
      <formula>AND(COUNTIF(I501:BG501,"&lt;&gt;" &amp; "")&gt;0,NOT(ISBLANK(G501)))</formula>
    </cfRule>
  </conditionalFormatting>
  <conditionalFormatting sqref="G502">
    <cfRule type="expression" dxfId="0" priority="2410">
      <formula>COUNTIF(I502:BG502,"&lt;&gt;" &amp; "")&gt;0</formula>
    </cfRule>
    <cfRule type="expression" dxfId="1" priority="2411">
      <formula>AND(COUNTIF(I502:BG502,"&lt;&gt;" &amp; "")&gt;0,NOT(ISBLANK(G502)))</formula>
    </cfRule>
  </conditionalFormatting>
  <conditionalFormatting sqref="G503">
    <cfRule type="expression" dxfId="0" priority="2413">
      <formula>COUNTIF(I503:BG503,"&lt;&gt;" &amp; "")&gt;0</formula>
    </cfRule>
    <cfRule type="expression" dxfId="1" priority="2414">
      <formula>AND(COUNTIF(I503:BG503,"&lt;&gt;" &amp; "")&gt;0,NOT(ISBLANK(G503)))</formula>
    </cfRule>
  </conditionalFormatting>
  <conditionalFormatting sqref="G504">
    <cfRule type="expression" dxfId="0" priority="2416">
      <formula>COUNTIF(I504:BG504,"&lt;&gt;" &amp; "")&gt;0</formula>
    </cfRule>
    <cfRule type="expression" dxfId="1" priority="2417">
      <formula>AND(COUNTIF(I504:BG504,"&lt;&gt;" &amp; "")&gt;0,NOT(ISBLANK(G504)))</formula>
    </cfRule>
  </conditionalFormatting>
  <conditionalFormatting sqref="G505">
    <cfRule type="expression" dxfId="0" priority="2419">
      <formula>COUNTIF(I505:BG505,"&lt;&gt;" &amp; "")&gt;0</formula>
    </cfRule>
    <cfRule type="expression" dxfId="1" priority="2420">
      <formula>AND(COUNTIF(I505:BG505,"&lt;&gt;" &amp; "")&gt;0,NOT(ISBLANK(G505)))</formula>
    </cfRule>
  </conditionalFormatting>
  <conditionalFormatting sqref="G506">
    <cfRule type="expression" dxfId="0" priority="2422">
      <formula>COUNTIF(I506:BG506,"&lt;&gt;" &amp; "")&gt;0</formula>
    </cfRule>
    <cfRule type="expression" dxfId="1" priority="2423">
      <formula>AND(COUNTIF(I506:BG506,"&lt;&gt;" &amp; "")&gt;0,NOT(ISBLANK(G506)))</formula>
    </cfRule>
  </conditionalFormatting>
  <conditionalFormatting sqref="G507">
    <cfRule type="expression" dxfId="0" priority="2425">
      <formula>COUNTIF(I507:BG507,"&lt;&gt;" &amp; "")&gt;0</formula>
    </cfRule>
    <cfRule type="expression" dxfId="1" priority="2426">
      <formula>AND(COUNTIF(I507:BG507,"&lt;&gt;" &amp; "")&gt;0,NOT(ISBLANK(G507)))</formula>
    </cfRule>
  </conditionalFormatting>
  <conditionalFormatting sqref="G508">
    <cfRule type="expression" dxfId="0" priority="2428">
      <formula>COUNTIF(I508:BG508,"&lt;&gt;" &amp; "")&gt;0</formula>
    </cfRule>
    <cfRule type="expression" dxfId="1" priority="2429">
      <formula>AND(COUNTIF(I508:BG508,"&lt;&gt;" &amp; "")&gt;0,NOT(ISBLANK(G508)))</formula>
    </cfRule>
  </conditionalFormatting>
  <conditionalFormatting sqref="G509">
    <cfRule type="expression" dxfId="0" priority="2431">
      <formula>COUNTIF(I509:BG509,"&lt;&gt;" &amp; "")&gt;0</formula>
    </cfRule>
    <cfRule type="expression" dxfId="1" priority="2432">
      <formula>AND(COUNTIF(I509:BG509,"&lt;&gt;" &amp; "")&gt;0,NOT(ISBLANK(G509)))</formula>
    </cfRule>
  </conditionalFormatting>
  <conditionalFormatting sqref="G51">
    <cfRule type="expression" dxfId="0" priority="455">
      <formula>COUNTIF(I51:BG51,"&lt;&gt;" &amp; "")&gt;0</formula>
    </cfRule>
    <cfRule type="expression" dxfId="1" priority="456">
      <formula>AND(COUNTIF(I51:BG51,"&lt;&gt;" &amp; "")&gt;0,NOT(ISBLANK(G51)))</formula>
    </cfRule>
  </conditionalFormatting>
  <conditionalFormatting sqref="G510">
    <cfRule type="expression" dxfId="0" priority="2434">
      <formula>COUNTIF(I510:BG510,"&lt;&gt;" &amp; "")&gt;0</formula>
    </cfRule>
    <cfRule type="expression" dxfId="1" priority="2435">
      <formula>AND(COUNTIF(I510:BG510,"&lt;&gt;" &amp; "")&gt;0,NOT(ISBLANK(G510)))</formula>
    </cfRule>
  </conditionalFormatting>
  <conditionalFormatting sqref="G511">
    <cfRule type="expression" dxfId="0" priority="2437">
      <formula>COUNTIF(I511:BG511,"&lt;&gt;" &amp; "")&gt;0</formula>
    </cfRule>
    <cfRule type="expression" dxfId="1" priority="2438">
      <formula>AND(COUNTIF(I511:BG511,"&lt;&gt;" &amp; "")&gt;0,NOT(ISBLANK(G511)))</formula>
    </cfRule>
  </conditionalFormatting>
  <conditionalFormatting sqref="G512">
    <cfRule type="expression" dxfId="0" priority="2440">
      <formula>COUNTIF(I512:BG512,"&lt;&gt;" &amp; "")&gt;0</formula>
    </cfRule>
    <cfRule type="expression" dxfId="1" priority="2441">
      <formula>AND(COUNTIF(I512:BG512,"&lt;&gt;" &amp; "")&gt;0,NOT(ISBLANK(G512)))</formula>
    </cfRule>
  </conditionalFormatting>
  <conditionalFormatting sqref="G513">
    <cfRule type="expression" dxfId="0" priority="2443">
      <formula>COUNTIF(I513:BG513,"&lt;&gt;" &amp; "")&gt;0</formula>
    </cfRule>
    <cfRule type="expression" dxfId="1" priority="2444">
      <formula>AND(COUNTIF(I513:BG513,"&lt;&gt;" &amp; "")&gt;0,NOT(ISBLANK(G513)))</formula>
    </cfRule>
  </conditionalFormatting>
  <conditionalFormatting sqref="G514">
    <cfRule type="expression" dxfId="0" priority="2446">
      <formula>COUNTIF(I514:BG514,"&lt;&gt;" &amp; "")&gt;0</formula>
    </cfRule>
    <cfRule type="expression" dxfId="1" priority="2447">
      <formula>AND(COUNTIF(I514:BG514,"&lt;&gt;" &amp; "")&gt;0,NOT(ISBLANK(G514)))</formula>
    </cfRule>
  </conditionalFormatting>
  <conditionalFormatting sqref="G515">
    <cfRule type="expression" dxfId="0" priority="2449">
      <formula>COUNTIF(I515:BG515,"&lt;&gt;" &amp; "")&gt;0</formula>
    </cfRule>
    <cfRule type="expression" dxfId="1" priority="2450">
      <formula>AND(COUNTIF(I515:BG515,"&lt;&gt;" &amp; "")&gt;0,NOT(ISBLANK(G515)))</formula>
    </cfRule>
  </conditionalFormatting>
  <conditionalFormatting sqref="G516">
    <cfRule type="expression" dxfId="0" priority="2452">
      <formula>COUNTIF(I516:BG516,"&lt;&gt;" &amp; "")&gt;0</formula>
    </cfRule>
    <cfRule type="expression" dxfId="1" priority="2453">
      <formula>AND(COUNTIF(I516:BG516,"&lt;&gt;" &amp; "")&gt;0,NOT(ISBLANK(G516)))</formula>
    </cfRule>
  </conditionalFormatting>
  <conditionalFormatting sqref="G517">
    <cfRule type="expression" dxfId="0" priority="2455">
      <formula>COUNTIF(I517:BG517,"&lt;&gt;" &amp; "")&gt;0</formula>
    </cfRule>
    <cfRule type="expression" dxfId="1" priority="2456">
      <formula>AND(COUNTIF(I517:BG517,"&lt;&gt;" &amp; "")&gt;0,NOT(ISBLANK(G517)))</formula>
    </cfRule>
  </conditionalFormatting>
  <conditionalFormatting sqref="G518">
    <cfRule type="expression" dxfId="0" priority="2458">
      <formula>COUNTIF(I518:BG518,"&lt;&gt;" &amp; "")&gt;0</formula>
    </cfRule>
    <cfRule type="expression" dxfId="1" priority="2459">
      <formula>AND(COUNTIF(I518:BG518,"&lt;&gt;" &amp; "")&gt;0,NOT(ISBLANK(G518)))</formula>
    </cfRule>
  </conditionalFormatting>
  <conditionalFormatting sqref="G519">
    <cfRule type="expression" dxfId="0" priority="2461">
      <formula>COUNTIF(I519:BG519,"&lt;&gt;" &amp; "")&gt;0</formula>
    </cfRule>
    <cfRule type="expression" dxfId="1" priority="2462">
      <formula>AND(COUNTIF(I519:BG519,"&lt;&gt;" &amp; "")&gt;0,NOT(ISBLANK(G519)))</formula>
    </cfRule>
  </conditionalFormatting>
  <conditionalFormatting sqref="G52">
    <cfRule type="expression" dxfId="0" priority="458">
      <formula>COUNTIF(I52:BG52,"&lt;&gt;" &amp; "")&gt;0</formula>
    </cfRule>
    <cfRule type="expression" dxfId="1" priority="459">
      <formula>AND(COUNTIF(I52:BG52,"&lt;&gt;" &amp; "")&gt;0,NOT(ISBLANK(G52)))</formula>
    </cfRule>
  </conditionalFormatting>
  <conditionalFormatting sqref="G520">
    <cfRule type="expression" dxfId="0" priority="2464">
      <formula>COUNTIF(I520:BG520,"&lt;&gt;" &amp; "")&gt;0</formula>
    </cfRule>
    <cfRule type="expression" dxfId="1" priority="2465">
      <formula>AND(COUNTIF(I520:BG520,"&lt;&gt;" &amp; "")&gt;0,NOT(ISBLANK(G520)))</formula>
    </cfRule>
  </conditionalFormatting>
  <conditionalFormatting sqref="G521">
    <cfRule type="expression" dxfId="0" priority="2467">
      <formula>COUNTIF(I521:BG521,"&lt;&gt;" &amp; "")&gt;0</formula>
    </cfRule>
    <cfRule type="expression" dxfId="1" priority="2468">
      <formula>AND(COUNTIF(I521:BG521,"&lt;&gt;" &amp; "")&gt;0,NOT(ISBLANK(G521)))</formula>
    </cfRule>
  </conditionalFormatting>
  <conditionalFormatting sqref="G522">
    <cfRule type="expression" dxfId="0" priority="2470">
      <formula>COUNTIF(I522:BG522,"&lt;&gt;" &amp; "")&gt;0</formula>
    </cfRule>
    <cfRule type="expression" dxfId="1" priority="2471">
      <formula>AND(COUNTIF(I522:BG522,"&lt;&gt;" &amp; "")&gt;0,NOT(ISBLANK(G522)))</formula>
    </cfRule>
  </conditionalFormatting>
  <conditionalFormatting sqref="G523">
    <cfRule type="expression" dxfId="0" priority="2473">
      <formula>COUNTIF(I523:BG523,"&lt;&gt;" &amp; "")&gt;0</formula>
    </cfRule>
    <cfRule type="expression" dxfId="1" priority="2474">
      <formula>AND(COUNTIF(I523:BG523,"&lt;&gt;" &amp; "")&gt;0,NOT(ISBLANK(G523)))</formula>
    </cfRule>
  </conditionalFormatting>
  <conditionalFormatting sqref="G524">
    <cfRule type="expression" dxfId="0" priority="2476">
      <formula>COUNTIF(I524:BG524,"&lt;&gt;" &amp; "")&gt;0</formula>
    </cfRule>
    <cfRule type="expression" dxfId="1" priority="2477">
      <formula>AND(COUNTIF(I524:BG524,"&lt;&gt;" &amp; "")&gt;0,NOT(ISBLANK(G524)))</formula>
    </cfRule>
  </conditionalFormatting>
  <conditionalFormatting sqref="G525">
    <cfRule type="expression" dxfId="0" priority="2479">
      <formula>COUNTIF(I525:BG525,"&lt;&gt;" &amp; "")&gt;0</formula>
    </cfRule>
    <cfRule type="expression" dxfId="1" priority="2480">
      <formula>AND(COUNTIF(I525:BG525,"&lt;&gt;" &amp; "")&gt;0,NOT(ISBLANK(G525)))</formula>
    </cfRule>
  </conditionalFormatting>
  <conditionalFormatting sqref="G526">
    <cfRule type="expression" dxfId="0" priority="2482">
      <formula>COUNTIF(I526:BG526,"&lt;&gt;" &amp; "")&gt;0</formula>
    </cfRule>
    <cfRule type="expression" dxfId="1" priority="2483">
      <formula>AND(COUNTIF(I526:BG526,"&lt;&gt;" &amp; "")&gt;0,NOT(ISBLANK(G526)))</formula>
    </cfRule>
  </conditionalFormatting>
  <conditionalFormatting sqref="G527">
    <cfRule type="expression" dxfId="0" priority="2485">
      <formula>COUNTIF(I527:BG527,"&lt;&gt;" &amp; "")&gt;0</formula>
    </cfRule>
    <cfRule type="expression" dxfId="1" priority="2486">
      <formula>AND(COUNTIF(I527:BG527,"&lt;&gt;" &amp; "")&gt;0,NOT(ISBLANK(G527)))</formula>
    </cfRule>
  </conditionalFormatting>
  <conditionalFormatting sqref="G528">
    <cfRule type="expression" dxfId="0" priority="2488">
      <formula>COUNTIF(I528:BG528,"&lt;&gt;" &amp; "")&gt;0</formula>
    </cfRule>
    <cfRule type="expression" dxfId="1" priority="2489">
      <formula>AND(COUNTIF(I528:BG528,"&lt;&gt;" &amp; "")&gt;0,NOT(ISBLANK(G528)))</formula>
    </cfRule>
  </conditionalFormatting>
  <conditionalFormatting sqref="G529">
    <cfRule type="expression" dxfId="0" priority="2491">
      <formula>COUNTIF(I529:BG529,"&lt;&gt;" &amp; "")&gt;0</formula>
    </cfRule>
    <cfRule type="expression" dxfId="1" priority="2492">
      <formula>AND(COUNTIF(I529:BG529,"&lt;&gt;" &amp; "")&gt;0,NOT(ISBLANK(G529)))</formula>
    </cfRule>
  </conditionalFormatting>
  <conditionalFormatting sqref="G53">
    <cfRule type="expression" dxfId="0" priority="461">
      <formula>COUNTIF(I53:BG53,"&lt;&gt;" &amp; "")&gt;0</formula>
    </cfRule>
    <cfRule type="expression" dxfId="1" priority="462">
      <formula>AND(COUNTIF(I53:BG53,"&lt;&gt;" &amp; "")&gt;0,NOT(ISBLANK(G53)))</formula>
    </cfRule>
  </conditionalFormatting>
  <conditionalFormatting sqref="G530">
    <cfRule type="expression" dxfId="0" priority="2494">
      <formula>COUNTIF(I530:BG530,"&lt;&gt;" &amp; "")&gt;0</formula>
    </cfRule>
    <cfRule type="expression" dxfId="1" priority="2495">
      <formula>AND(COUNTIF(I530:BG530,"&lt;&gt;" &amp; "")&gt;0,NOT(ISBLANK(G530)))</formula>
    </cfRule>
  </conditionalFormatting>
  <conditionalFormatting sqref="G531">
    <cfRule type="expression" dxfId="0" priority="2497">
      <formula>COUNTIF(I531:BG531,"&lt;&gt;" &amp; "")&gt;0</formula>
    </cfRule>
    <cfRule type="expression" dxfId="1" priority="2498">
      <formula>AND(COUNTIF(I531:BG531,"&lt;&gt;" &amp; "")&gt;0,NOT(ISBLANK(G531)))</formula>
    </cfRule>
  </conditionalFormatting>
  <conditionalFormatting sqref="G532">
    <cfRule type="expression" dxfId="0" priority="2500">
      <formula>COUNTIF(I532:BG532,"&lt;&gt;" &amp; "")&gt;0</formula>
    </cfRule>
    <cfRule type="expression" dxfId="1" priority="2501">
      <formula>AND(COUNTIF(I532:BG532,"&lt;&gt;" &amp; "")&gt;0,NOT(ISBLANK(G532)))</formula>
    </cfRule>
  </conditionalFormatting>
  <conditionalFormatting sqref="G533">
    <cfRule type="expression" dxfId="0" priority="2503">
      <formula>COUNTIF(I533:BG533,"&lt;&gt;" &amp; "")&gt;0</formula>
    </cfRule>
    <cfRule type="expression" dxfId="1" priority="2504">
      <formula>AND(COUNTIF(I533:BG533,"&lt;&gt;" &amp; "")&gt;0,NOT(ISBLANK(G533)))</formula>
    </cfRule>
  </conditionalFormatting>
  <conditionalFormatting sqref="G534">
    <cfRule type="expression" dxfId="0" priority="2506">
      <formula>COUNTIF(I534:BG534,"&lt;&gt;" &amp; "")&gt;0</formula>
    </cfRule>
    <cfRule type="expression" dxfId="1" priority="2507">
      <formula>AND(COUNTIF(I534:BG534,"&lt;&gt;" &amp; "")&gt;0,NOT(ISBLANK(G534)))</formula>
    </cfRule>
  </conditionalFormatting>
  <conditionalFormatting sqref="G535">
    <cfRule type="expression" dxfId="0" priority="2509">
      <formula>COUNTIF(I535:BG535,"&lt;&gt;" &amp; "")&gt;0</formula>
    </cfRule>
    <cfRule type="expression" dxfId="1" priority="2510">
      <formula>AND(COUNTIF(I535:BG535,"&lt;&gt;" &amp; "")&gt;0,NOT(ISBLANK(G535)))</formula>
    </cfRule>
  </conditionalFormatting>
  <conditionalFormatting sqref="G536">
    <cfRule type="expression" dxfId="0" priority="2512">
      <formula>COUNTIF(I536:BG536,"&lt;&gt;" &amp; "")&gt;0</formula>
    </cfRule>
    <cfRule type="expression" dxfId="1" priority="2513">
      <formula>AND(COUNTIF(I536:BG536,"&lt;&gt;" &amp; "")&gt;0,NOT(ISBLANK(G536)))</formula>
    </cfRule>
  </conditionalFormatting>
  <conditionalFormatting sqref="G537">
    <cfRule type="expression" dxfId="0" priority="2515">
      <formula>COUNTIF(I537:BG537,"&lt;&gt;" &amp; "")&gt;0</formula>
    </cfRule>
    <cfRule type="expression" dxfId="1" priority="2516">
      <formula>AND(COUNTIF(I537:BG537,"&lt;&gt;" &amp; "")&gt;0,NOT(ISBLANK(G537)))</formula>
    </cfRule>
  </conditionalFormatting>
  <conditionalFormatting sqref="G538">
    <cfRule type="expression" dxfId="0" priority="2518">
      <formula>COUNTIF(I538:BG538,"&lt;&gt;" &amp; "")&gt;0</formula>
    </cfRule>
    <cfRule type="expression" dxfId="1" priority="2519">
      <formula>AND(COUNTIF(I538:BG538,"&lt;&gt;" &amp; "")&gt;0,NOT(ISBLANK(G538)))</formula>
    </cfRule>
  </conditionalFormatting>
  <conditionalFormatting sqref="G539">
    <cfRule type="expression" dxfId="0" priority="2521">
      <formula>COUNTIF(I539:BG539,"&lt;&gt;" &amp; "")&gt;0</formula>
    </cfRule>
    <cfRule type="expression" dxfId="1" priority="2522">
      <formula>AND(COUNTIF(I539:BG539,"&lt;&gt;" &amp; "")&gt;0,NOT(ISBLANK(G539)))</formula>
    </cfRule>
  </conditionalFormatting>
  <conditionalFormatting sqref="G54">
    <cfRule type="expression" dxfId="0" priority="464">
      <formula>COUNTIF(I54:BG54,"&lt;&gt;" &amp; "")&gt;0</formula>
    </cfRule>
    <cfRule type="expression" dxfId="1" priority="465">
      <formula>AND(COUNTIF(I54:BG54,"&lt;&gt;" &amp; "")&gt;0,NOT(ISBLANK(G54)))</formula>
    </cfRule>
  </conditionalFormatting>
  <conditionalFormatting sqref="G540">
    <cfRule type="expression" dxfId="0" priority="2524">
      <formula>COUNTIF(I540:BG540,"&lt;&gt;" &amp; "")&gt;0</formula>
    </cfRule>
    <cfRule type="expression" dxfId="1" priority="2525">
      <formula>AND(COUNTIF(I540:BG540,"&lt;&gt;" &amp; "")&gt;0,NOT(ISBLANK(G540)))</formula>
    </cfRule>
  </conditionalFormatting>
  <conditionalFormatting sqref="G541">
    <cfRule type="expression" dxfId="0" priority="2527">
      <formula>COUNTIF(I541:BG541,"&lt;&gt;" &amp; "")&gt;0</formula>
    </cfRule>
    <cfRule type="expression" dxfId="1" priority="2528">
      <formula>AND(COUNTIF(I541:BG541,"&lt;&gt;" &amp; "")&gt;0,NOT(ISBLANK(G541)))</formula>
    </cfRule>
  </conditionalFormatting>
  <conditionalFormatting sqref="G542">
    <cfRule type="expression" dxfId="0" priority="2530">
      <formula>COUNTIF(I542:BG542,"&lt;&gt;" &amp; "")&gt;0</formula>
    </cfRule>
    <cfRule type="expression" dxfId="1" priority="2531">
      <formula>AND(COUNTIF(I542:BG542,"&lt;&gt;" &amp; "")&gt;0,NOT(ISBLANK(G542)))</formula>
    </cfRule>
  </conditionalFormatting>
  <conditionalFormatting sqref="G543">
    <cfRule type="expression" dxfId="0" priority="2533">
      <formula>COUNTIF(I543:BG543,"&lt;&gt;" &amp; "")&gt;0</formula>
    </cfRule>
    <cfRule type="expression" dxfId="1" priority="2534">
      <formula>AND(COUNTIF(I543:BG543,"&lt;&gt;" &amp; "")&gt;0,NOT(ISBLANK(G543)))</formula>
    </cfRule>
  </conditionalFormatting>
  <conditionalFormatting sqref="G544">
    <cfRule type="expression" dxfId="0" priority="2536">
      <formula>COUNTIF(I544:BG544,"&lt;&gt;" &amp; "")&gt;0</formula>
    </cfRule>
    <cfRule type="expression" dxfId="1" priority="2537">
      <formula>AND(COUNTIF(I544:BG544,"&lt;&gt;" &amp; "")&gt;0,NOT(ISBLANK(G544)))</formula>
    </cfRule>
  </conditionalFormatting>
  <conditionalFormatting sqref="G545">
    <cfRule type="expression" dxfId="0" priority="2539">
      <formula>COUNTIF(I545:BG545,"&lt;&gt;" &amp; "")&gt;0</formula>
    </cfRule>
    <cfRule type="expression" dxfId="1" priority="2540">
      <formula>AND(COUNTIF(I545:BG545,"&lt;&gt;" &amp; "")&gt;0,NOT(ISBLANK(G545)))</formula>
    </cfRule>
  </conditionalFormatting>
  <conditionalFormatting sqref="G546">
    <cfRule type="expression" dxfId="0" priority="2542">
      <formula>COUNTIF(I546:BG546,"&lt;&gt;" &amp; "")&gt;0</formula>
    </cfRule>
    <cfRule type="expression" dxfId="1" priority="2543">
      <formula>AND(COUNTIF(I546:BG546,"&lt;&gt;" &amp; "")&gt;0,NOT(ISBLANK(G546)))</formula>
    </cfRule>
  </conditionalFormatting>
  <conditionalFormatting sqref="G547">
    <cfRule type="expression" dxfId="0" priority="2545">
      <formula>COUNTIF(I547:BG547,"&lt;&gt;" &amp; "")&gt;0</formula>
    </cfRule>
    <cfRule type="expression" dxfId="1" priority="2546">
      <formula>AND(COUNTIF(I547:BG547,"&lt;&gt;" &amp; "")&gt;0,NOT(ISBLANK(G547)))</formula>
    </cfRule>
  </conditionalFormatting>
  <conditionalFormatting sqref="G548">
    <cfRule type="expression" dxfId="0" priority="2548">
      <formula>COUNTIF(I548:BG548,"&lt;&gt;" &amp; "")&gt;0</formula>
    </cfRule>
    <cfRule type="expression" dxfId="1" priority="2549">
      <formula>AND(COUNTIF(I548:BG548,"&lt;&gt;" &amp; "")&gt;0,NOT(ISBLANK(G548)))</formula>
    </cfRule>
  </conditionalFormatting>
  <conditionalFormatting sqref="G549">
    <cfRule type="expression" dxfId="0" priority="2551">
      <formula>COUNTIF(I549:BG549,"&lt;&gt;" &amp; "")&gt;0</formula>
    </cfRule>
    <cfRule type="expression" dxfId="1" priority="2552">
      <formula>AND(COUNTIF(I549:BG549,"&lt;&gt;" &amp; "")&gt;0,NOT(ISBLANK(G549)))</formula>
    </cfRule>
  </conditionalFormatting>
  <conditionalFormatting sqref="G55">
    <cfRule type="expression" dxfId="0" priority="467">
      <formula>COUNTIF(I55:BG55,"&lt;&gt;" &amp; "")&gt;0</formula>
    </cfRule>
    <cfRule type="expression" dxfId="1" priority="468">
      <formula>AND(COUNTIF(I55:BG55,"&lt;&gt;" &amp; "")&gt;0,NOT(ISBLANK(G55)))</formula>
    </cfRule>
  </conditionalFormatting>
  <conditionalFormatting sqref="G550">
    <cfRule type="expression" dxfId="0" priority="2554">
      <formula>COUNTIF(I550:BG550,"&lt;&gt;" &amp; "")&gt;0</formula>
    </cfRule>
    <cfRule type="expression" dxfId="1" priority="2555">
      <formula>AND(COUNTIF(I550:BG550,"&lt;&gt;" &amp; "")&gt;0,NOT(ISBLANK(G550)))</formula>
    </cfRule>
  </conditionalFormatting>
  <conditionalFormatting sqref="G551">
    <cfRule type="expression" dxfId="0" priority="2557">
      <formula>COUNTIF(I551:BG551,"&lt;&gt;" &amp; "")&gt;0</formula>
    </cfRule>
    <cfRule type="expression" dxfId="1" priority="2558">
      <formula>AND(COUNTIF(I551:BG551,"&lt;&gt;" &amp; "")&gt;0,NOT(ISBLANK(G551)))</formula>
    </cfRule>
  </conditionalFormatting>
  <conditionalFormatting sqref="G552">
    <cfRule type="expression" dxfId="0" priority="2560">
      <formula>COUNTIF(I552:BG552,"&lt;&gt;" &amp; "")&gt;0</formula>
    </cfRule>
    <cfRule type="expression" dxfId="1" priority="2561">
      <formula>AND(COUNTIF(I552:BG552,"&lt;&gt;" &amp; "")&gt;0,NOT(ISBLANK(G552)))</formula>
    </cfRule>
  </conditionalFormatting>
  <conditionalFormatting sqref="G553">
    <cfRule type="expression" dxfId="0" priority="2563">
      <formula>COUNTIF(I553:BG553,"&lt;&gt;" &amp; "")&gt;0</formula>
    </cfRule>
    <cfRule type="expression" dxfId="1" priority="2564">
      <formula>AND(COUNTIF(I553:BG553,"&lt;&gt;" &amp; "")&gt;0,NOT(ISBLANK(G553)))</formula>
    </cfRule>
  </conditionalFormatting>
  <conditionalFormatting sqref="G554">
    <cfRule type="expression" dxfId="0" priority="2566">
      <formula>COUNTIF(I554:BG554,"&lt;&gt;" &amp; "")&gt;0</formula>
    </cfRule>
    <cfRule type="expression" dxfId="1" priority="2567">
      <formula>AND(COUNTIF(I554:BG554,"&lt;&gt;" &amp; "")&gt;0,NOT(ISBLANK(G554)))</formula>
    </cfRule>
  </conditionalFormatting>
  <conditionalFormatting sqref="G555">
    <cfRule type="expression" dxfId="0" priority="2569">
      <formula>COUNTIF(I555:BG555,"&lt;&gt;" &amp; "")&gt;0</formula>
    </cfRule>
    <cfRule type="expression" dxfId="1" priority="2570">
      <formula>AND(COUNTIF(I555:BG555,"&lt;&gt;" &amp; "")&gt;0,NOT(ISBLANK(G555)))</formula>
    </cfRule>
  </conditionalFormatting>
  <conditionalFormatting sqref="G556">
    <cfRule type="expression" dxfId="0" priority="2572">
      <formula>COUNTIF(I556:BG556,"&lt;&gt;" &amp; "")&gt;0</formula>
    </cfRule>
    <cfRule type="expression" dxfId="1" priority="2573">
      <formula>AND(COUNTIF(I556:BG556,"&lt;&gt;" &amp; "")&gt;0,NOT(ISBLANK(G556)))</formula>
    </cfRule>
  </conditionalFormatting>
  <conditionalFormatting sqref="G557">
    <cfRule type="expression" dxfId="0" priority="2575">
      <formula>COUNTIF(I557:BG557,"&lt;&gt;" &amp; "")&gt;0</formula>
    </cfRule>
    <cfRule type="expression" dxfId="1" priority="2576">
      <formula>AND(COUNTIF(I557:BG557,"&lt;&gt;" &amp; "")&gt;0,NOT(ISBLANK(G557)))</formula>
    </cfRule>
  </conditionalFormatting>
  <conditionalFormatting sqref="G558">
    <cfRule type="expression" dxfId="0" priority="2578">
      <formula>COUNTIF(I558:BG558,"&lt;&gt;" &amp; "")&gt;0</formula>
    </cfRule>
    <cfRule type="expression" dxfId="1" priority="2579">
      <formula>AND(COUNTIF(I558:BG558,"&lt;&gt;" &amp; "")&gt;0,NOT(ISBLANK(G558)))</formula>
    </cfRule>
  </conditionalFormatting>
  <conditionalFormatting sqref="G559">
    <cfRule type="expression" dxfId="0" priority="2581">
      <formula>COUNTIF(I559:BG559,"&lt;&gt;" &amp; "")&gt;0</formula>
    </cfRule>
    <cfRule type="expression" dxfId="1" priority="2582">
      <formula>AND(COUNTIF(I559:BG559,"&lt;&gt;" &amp; "")&gt;0,NOT(ISBLANK(G559)))</formula>
    </cfRule>
  </conditionalFormatting>
  <conditionalFormatting sqref="G56">
    <cfRule type="expression" dxfId="0" priority="470">
      <formula>COUNTIF(I56:BG56,"&lt;&gt;" &amp; "")&gt;0</formula>
    </cfRule>
    <cfRule type="expression" dxfId="1" priority="471">
      <formula>AND(COUNTIF(I56:BG56,"&lt;&gt;" &amp; "")&gt;0,NOT(ISBLANK(G56)))</formula>
    </cfRule>
  </conditionalFormatting>
  <conditionalFormatting sqref="G560">
    <cfRule type="expression" dxfId="0" priority="2584">
      <formula>COUNTIF(I560:BG560,"&lt;&gt;" &amp; "")&gt;0</formula>
    </cfRule>
    <cfRule type="expression" dxfId="1" priority="2585">
      <formula>AND(COUNTIF(I560:BG560,"&lt;&gt;" &amp; "")&gt;0,NOT(ISBLANK(G560)))</formula>
    </cfRule>
  </conditionalFormatting>
  <conditionalFormatting sqref="G561">
    <cfRule type="expression" dxfId="0" priority="2587">
      <formula>COUNTIF(I561:BG561,"&lt;&gt;" &amp; "")&gt;0</formula>
    </cfRule>
    <cfRule type="expression" dxfId="1" priority="2588">
      <formula>AND(COUNTIF(I561:BG561,"&lt;&gt;" &amp; "")&gt;0,NOT(ISBLANK(G561)))</formula>
    </cfRule>
  </conditionalFormatting>
  <conditionalFormatting sqref="G562">
    <cfRule type="expression" dxfId="0" priority="2590">
      <formula>COUNTIF(I562:BG562,"&lt;&gt;" &amp; "")&gt;0</formula>
    </cfRule>
    <cfRule type="expression" dxfId="1" priority="2591">
      <formula>AND(COUNTIF(I562:BG562,"&lt;&gt;" &amp; "")&gt;0,NOT(ISBLANK(G562)))</formula>
    </cfRule>
  </conditionalFormatting>
  <conditionalFormatting sqref="G563">
    <cfRule type="expression" dxfId="0" priority="2593">
      <formula>COUNTIF(I563:BG563,"&lt;&gt;" &amp; "")&gt;0</formula>
    </cfRule>
    <cfRule type="expression" dxfId="1" priority="2594">
      <formula>AND(COUNTIF(I563:BG563,"&lt;&gt;" &amp; "")&gt;0,NOT(ISBLANK(G563)))</formula>
    </cfRule>
  </conditionalFormatting>
  <conditionalFormatting sqref="G564">
    <cfRule type="expression" dxfId="0" priority="2596">
      <formula>COUNTIF(I564:BG564,"&lt;&gt;" &amp; "")&gt;0</formula>
    </cfRule>
    <cfRule type="expression" dxfId="1" priority="2597">
      <formula>AND(COUNTIF(I564:BG564,"&lt;&gt;" &amp; "")&gt;0,NOT(ISBLANK(G564)))</formula>
    </cfRule>
  </conditionalFormatting>
  <conditionalFormatting sqref="G565">
    <cfRule type="expression" dxfId="0" priority="2599">
      <formula>COUNTIF(I565:BG565,"&lt;&gt;" &amp; "")&gt;0</formula>
    </cfRule>
    <cfRule type="expression" dxfId="1" priority="2600">
      <formula>AND(COUNTIF(I565:BG565,"&lt;&gt;" &amp; "")&gt;0,NOT(ISBLANK(G565)))</formula>
    </cfRule>
  </conditionalFormatting>
  <conditionalFormatting sqref="G566">
    <cfRule type="expression" dxfId="0" priority="2602">
      <formula>COUNTIF(I566:BG566,"&lt;&gt;" &amp; "")&gt;0</formula>
    </cfRule>
    <cfRule type="expression" dxfId="1" priority="2603">
      <formula>AND(COUNTIF(I566:BG566,"&lt;&gt;" &amp; "")&gt;0,NOT(ISBLANK(G566)))</formula>
    </cfRule>
  </conditionalFormatting>
  <conditionalFormatting sqref="G567">
    <cfRule type="expression" dxfId="0" priority="2605">
      <formula>COUNTIF(I567:BG567,"&lt;&gt;" &amp; "")&gt;0</formula>
    </cfRule>
    <cfRule type="expression" dxfId="1" priority="2606">
      <formula>AND(COUNTIF(I567:BG567,"&lt;&gt;" &amp; "")&gt;0,NOT(ISBLANK(G567)))</formula>
    </cfRule>
  </conditionalFormatting>
  <conditionalFormatting sqref="G568">
    <cfRule type="expression" dxfId="0" priority="2608">
      <formula>COUNTIF(I568:BG568,"&lt;&gt;" &amp; "")&gt;0</formula>
    </cfRule>
    <cfRule type="expression" dxfId="1" priority="2609">
      <formula>AND(COUNTIF(I568:BG568,"&lt;&gt;" &amp; "")&gt;0,NOT(ISBLANK(G568)))</formula>
    </cfRule>
  </conditionalFormatting>
  <conditionalFormatting sqref="G569">
    <cfRule type="expression" dxfId="0" priority="2611">
      <formula>COUNTIF(I569:BG569,"&lt;&gt;" &amp; "")&gt;0</formula>
    </cfRule>
    <cfRule type="expression" dxfId="1" priority="2612">
      <formula>AND(COUNTIF(I569:BG569,"&lt;&gt;" &amp; "")&gt;0,NOT(ISBLANK(G569)))</formula>
    </cfRule>
  </conditionalFormatting>
  <conditionalFormatting sqref="G57">
    <cfRule type="expression" dxfId="0" priority="473">
      <formula>COUNTIF(I57:BG57,"&lt;&gt;" &amp; "")&gt;0</formula>
    </cfRule>
    <cfRule type="expression" dxfId="1" priority="474">
      <formula>AND(COUNTIF(I57:BG57,"&lt;&gt;" &amp; "")&gt;0,NOT(ISBLANK(G57)))</formula>
    </cfRule>
  </conditionalFormatting>
  <conditionalFormatting sqref="G570">
    <cfRule type="expression" dxfId="0" priority="2614">
      <formula>COUNTIF(I570:BG570,"&lt;&gt;" &amp; "")&gt;0</formula>
    </cfRule>
    <cfRule type="expression" dxfId="1" priority="2615">
      <formula>AND(COUNTIF(I570:BG570,"&lt;&gt;" &amp; "")&gt;0,NOT(ISBLANK(G570)))</formula>
    </cfRule>
  </conditionalFormatting>
  <conditionalFormatting sqref="G571">
    <cfRule type="expression" dxfId="0" priority="2617">
      <formula>COUNTIF(I571:BG571,"&lt;&gt;" &amp; "")&gt;0</formula>
    </cfRule>
    <cfRule type="expression" dxfId="1" priority="2618">
      <formula>AND(COUNTIF(I571:BG571,"&lt;&gt;" &amp; "")&gt;0,NOT(ISBLANK(G571)))</formula>
    </cfRule>
  </conditionalFormatting>
  <conditionalFormatting sqref="G572">
    <cfRule type="expression" dxfId="0" priority="2620">
      <formula>COUNTIF(I572:BG572,"&lt;&gt;" &amp; "")&gt;0</formula>
    </cfRule>
    <cfRule type="expression" dxfId="1" priority="2621">
      <formula>AND(COUNTIF(I572:BG572,"&lt;&gt;" &amp; "")&gt;0,NOT(ISBLANK(G572)))</formula>
    </cfRule>
  </conditionalFormatting>
  <conditionalFormatting sqref="G573">
    <cfRule type="expression" dxfId="0" priority="2623">
      <formula>COUNTIF(I573:BG573,"&lt;&gt;" &amp; "")&gt;0</formula>
    </cfRule>
    <cfRule type="expression" dxfId="1" priority="2624">
      <formula>AND(COUNTIF(I573:BG573,"&lt;&gt;" &amp; "")&gt;0,NOT(ISBLANK(G573)))</formula>
    </cfRule>
  </conditionalFormatting>
  <conditionalFormatting sqref="G574">
    <cfRule type="expression" dxfId="0" priority="2626">
      <formula>COUNTIF(I574:BG574,"&lt;&gt;" &amp; "")&gt;0</formula>
    </cfRule>
    <cfRule type="expression" dxfId="1" priority="2627">
      <formula>AND(COUNTIF(I574:BG574,"&lt;&gt;" &amp; "")&gt;0,NOT(ISBLANK(G574)))</formula>
    </cfRule>
  </conditionalFormatting>
  <conditionalFormatting sqref="G575">
    <cfRule type="expression" dxfId="0" priority="2629">
      <formula>COUNTIF(I575:BG575,"&lt;&gt;" &amp; "")&gt;0</formula>
    </cfRule>
    <cfRule type="expression" dxfId="1" priority="2630">
      <formula>AND(COUNTIF(I575:BG575,"&lt;&gt;" &amp; "")&gt;0,NOT(ISBLANK(G575)))</formula>
    </cfRule>
  </conditionalFormatting>
  <conditionalFormatting sqref="G576">
    <cfRule type="expression" dxfId="0" priority="2632">
      <formula>COUNTIF(I576:BG576,"&lt;&gt;" &amp; "")&gt;0</formula>
    </cfRule>
    <cfRule type="expression" dxfId="1" priority="2633">
      <formula>AND(COUNTIF(I576:BG576,"&lt;&gt;" &amp; "")&gt;0,NOT(ISBLANK(G576)))</formula>
    </cfRule>
  </conditionalFormatting>
  <conditionalFormatting sqref="G577">
    <cfRule type="expression" dxfId="0" priority="2635">
      <formula>COUNTIF(I577:BG577,"&lt;&gt;" &amp; "")&gt;0</formula>
    </cfRule>
    <cfRule type="expression" dxfId="1" priority="2636">
      <formula>AND(COUNTIF(I577:BG577,"&lt;&gt;" &amp; "")&gt;0,NOT(ISBLANK(G577)))</formula>
    </cfRule>
  </conditionalFormatting>
  <conditionalFormatting sqref="G578">
    <cfRule type="expression" dxfId="0" priority="2638">
      <formula>COUNTIF(I578:BG578,"&lt;&gt;" &amp; "")&gt;0</formula>
    </cfRule>
    <cfRule type="expression" dxfId="1" priority="2639">
      <formula>AND(COUNTIF(I578:BG578,"&lt;&gt;" &amp; "")&gt;0,NOT(ISBLANK(G578)))</formula>
    </cfRule>
  </conditionalFormatting>
  <conditionalFormatting sqref="G579">
    <cfRule type="expression" dxfId="0" priority="2641">
      <formula>COUNTIF(I579:BG579,"&lt;&gt;" &amp; "")&gt;0</formula>
    </cfRule>
    <cfRule type="expression" dxfId="1" priority="2642">
      <formula>AND(COUNTIF(I579:BG579,"&lt;&gt;" &amp; "")&gt;0,NOT(ISBLANK(G579)))</formula>
    </cfRule>
  </conditionalFormatting>
  <conditionalFormatting sqref="G58">
    <cfRule type="expression" dxfId="0" priority="476">
      <formula>COUNTIF(I58:BG58,"&lt;&gt;" &amp; "")&gt;0</formula>
    </cfRule>
    <cfRule type="expression" dxfId="1" priority="477">
      <formula>AND(COUNTIF(I58:BG58,"&lt;&gt;" &amp; "")&gt;0,NOT(ISBLANK(G58)))</formula>
    </cfRule>
  </conditionalFormatting>
  <conditionalFormatting sqref="G580">
    <cfRule type="expression" dxfId="0" priority="2644">
      <formula>COUNTIF(I580:BG580,"&lt;&gt;" &amp; "")&gt;0</formula>
    </cfRule>
    <cfRule type="expression" dxfId="1" priority="2645">
      <formula>AND(COUNTIF(I580:BG580,"&lt;&gt;" &amp; "")&gt;0,NOT(ISBLANK(G580)))</formula>
    </cfRule>
  </conditionalFormatting>
  <conditionalFormatting sqref="G581">
    <cfRule type="expression" dxfId="0" priority="2647">
      <formula>COUNTIF(I581:BG581,"&lt;&gt;" &amp; "")&gt;0</formula>
    </cfRule>
    <cfRule type="expression" dxfId="1" priority="2648">
      <formula>AND(COUNTIF(I581:BG581,"&lt;&gt;" &amp; "")&gt;0,NOT(ISBLANK(G581)))</formula>
    </cfRule>
  </conditionalFormatting>
  <conditionalFormatting sqref="G582">
    <cfRule type="expression" dxfId="0" priority="2650">
      <formula>COUNTIF(I582:BG582,"&lt;&gt;" &amp; "")&gt;0</formula>
    </cfRule>
    <cfRule type="expression" dxfId="1" priority="2651">
      <formula>AND(COUNTIF(I582:BG582,"&lt;&gt;" &amp; "")&gt;0,NOT(ISBLANK(G582)))</formula>
    </cfRule>
  </conditionalFormatting>
  <conditionalFormatting sqref="G583">
    <cfRule type="expression" dxfId="0" priority="2653">
      <formula>COUNTIF(I583:BG583,"&lt;&gt;" &amp; "")&gt;0</formula>
    </cfRule>
    <cfRule type="expression" dxfId="1" priority="2654">
      <formula>AND(COUNTIF(I583:BG583,"&lt;&gt;" &amp; "")&gt;0,NOT(ISBLANK(G583)))</formula>
    </cfRule>
  </conditionalFormatting>
  <conditionalFormatting sqref="G584">
    <cfRule type="expression" dxfId="0" priority="2656">
      <formula>COUNTIF(I584:BG584,"&lt;&gt;" &amp; "")&gt;0</formula>
    </cfRule>
    <cfRule type="expression" dxfId="1" priority="2657">
      <formula>AND(COUNTIF(I584:BG584,"&lt;&gt;" &amp; "")&gt;0,NOT(ISBLANK(G584)))</formula>
    </cfRule>
  </conditionalFormatting>
  <conditionalFormatting sqref="G585">
    <cfRule type="expression" dxfId="0" priority="2659">
      <formula>COUNTIF(I585:BG585,"&lt;&gt;" &amp; "")&gt;0</formula>
    </cfRule>
    <cfRule type="expression" dxfId="1" priority="2660">
      <formula>AND(COUNTIF(I585:BG585,"&lt;&gt;" &amp; "")&gt;0,NOT(ISBLANK(G585)))</formula>
    </cfRule>
  </conditionalFormatting>
  <conditionalFormatting sqref="G586">
    <cfRule type="expression" dxfId="0" priority="2662">
      <formula>COUNTIF(I586:BG586,"&lt;&gt;" &amp; "")&gt;0</formula>
    </cfRule>
    <cfRule type="expression" dxfId="1" priority="2663">
      <formula>AND(COUNTIF(I586:BG586,"&lt;&gt;" &amp; "")&gt;0,NOT(ISBLANK(G586)))</formula>
    </cfRule>
  </conditionalFormatting>
  <conditionalFormatting sqref="G587">
    <cfRule type="expression" dxfId="0" priority="2665">
      <formula>COUNTIF(I587:BG587,"&lt;&gt;" &amp; "")&gt;0</formula>
    </cfRule>
    <cfRule type="expression" dxfId="1" priority="2666">
      <formula>AND(COUNTIF(I587:BG587,"&lt;&gt;" &amp; "")&gt;0,NOT(ISBLANK(G587)))</formula>
    </cfRule>
  </conditionalFormatting>
  <conditionalFormatting sqref="G588">
    <cfRule type="expression" dxfId="0" priority="2668">
      <formula>COUNTIF(I588:BG588,"&lt;&gt;" &amp; "")&gt;0</formula>
    </cfRule>
    <cfRule type="expression" dxfId="1" priority="2669">
      <formula>AND(COUNTIF(I588:BG588,"&lt;&gt;" &amp; "")&gt;0,NOT(ISBLANK(G588)))</formula>
    </cfRule>
  </conditionalFormatting>
  <conditionalFormatting sqref="G589">
    <cfRule type="expression" dxfId="0" priority="2671">
      <formula>COUNTIF(I589:BG589,"&lt;&gt;" &amp; "")&gt;0</formula>
    </cfRule>
    <cfRule type="expression" dxfId="1" priority="2672">
      <formula>AND(COUNTIF(I589:BG589,"&lt;&gt;" &amp; "")&gt;0,NOT(ISBLANK(G589)))</formula>
    </cfRule>
  </conditionalFormatting>
  <conditionalFormatting sqref="G59">
    <cfRule type="expression" dxfId="0" priority="479">
      <formula>COUNTIF(I59:BG59,"&lt;&gt;" &amp; "")&gt;0</formula>
    </cfRule>
    <cfRule type="expression" dxfId="1" priority="480">
      <formula>AND(COUNTIF(I59:BG59,"&lt;&gt;" &amp; "")&gt;0,NOT(ISBLANK(G59)))</formula>
    </cfRule>
  </conditionalFormatting>
  <conditionalFormatting sqref="G590">
    <cfRule type="expression" dxfId="0" priority="2674">
      <formula>COUNTIF(I590:BG590,"&lt;&gt;" &amp; "")&gt;0</formula>
    </cfRule>
    <cfRule type="expression" dxfId="1" priority="2675">
      <formula>AND(COUNTIF(I590:BG590,"&lt;&gt;" &amp; "")&gt;0,NOT(ISBLANK(G590)))</formula>
    </cfRule>
  </conditionalFormatting>
  <conditionalFormatting sqref="G591">
    <cfRule type="expression" dxfId="0" priority="2677">
      <formula>COUNTIF(I591:BG591,"&lt;&gt;" &amp; "")&gt;0</formula>
    </cfRule>
    <cfRule type="expression" dxfId="1" priority="2678">
      <formula>AND(COUNTIF(I591:BG591,"&lt;&gt;" &amp; "")&gt;0,NOT(ISBLANK(G591)))</formula>
    </cfRule>
  </conditionalFormatting>
  <conditionalFormatting sqref="G592">
    <cfRule type="expression" dxfId="0" priority="2680">
      <formula>COUNTIF(I592:BG592,"&lt;&gt;" &amp; "")&gt;0</formula>
    </cfRule>
    <cfRule type="expression" dxfId="1" priority="2681">
      <formula>AND(COUNTIF(I592:BG592,"&lt;&gt;" &amp; "")&gt;0,NOT(ISBLANK(G592)))</formula>
    </cfRule>
  </conditionalFormatting>
  <conditionalFormatting sqref="G593">
    <cfRule type="expression" dxfId="0" priority="2683">
      <formula>COUNTIF(I593:BG593,"&lt;&gt;" &amp; "")&gt;0</formula>
    </cfRule>
    <cfRule type="expression" dxfId="1" priority="2684">
      <formula>AND(COUNTIF(I593:BG593,"&lt;&gt;" &amp; "")&gt;0,NOT(ISBLANK(G593)))</formula>
    </cfRule>
  </conditionalFormatting>
  <conditionalFormatting sqref="G594">
    <cfRule type="expression" dxfId="0" priority="2686">
      <formula>COUNTIF(I594:BG594,"&lt;&gt;" &amp; "")&gt;0</formula>
    </cfRule>
    <cfRule type="expression" dxfId="1" priority="2687">
      <formula>AND(COUNTIF(I594:BG594,"&lt;&gt;" &amp; "")&gt;0,NOT(ISBLANK(G594)))</formula>
    </cfRule>
  </conditionalFormatting>
  <conditionalFormatting sqref="G595">
    <cfRule type="expression" dxfId="0" priority="2689">
      <formula>COUNTIF(I595:BG595,"&lt;&gt;" &amp; "")&gt;0</formula>
    </cfRule>
    <cfRule type="expression" dxfId="1" priority="2690">
      <formula>AND(COUNTIF(I595:BG595,"&lt;&gt;" &amp; "")&gt;0,NOT(ISBLANK(G595)))</formula>
    </cfRule>
  </conditionalFormatting>
  <conditionalFormatting sqref="G596">
    <cfRule type="expression" dxfId="0" priority="2692">
      <formula>COUNTIF(I596:BG596,"&lt;&gt;" &amp; "")&gt;0</formula>
    </cfRule>
    <cfRule type="expression" dxfId="1" priority="2693">
      <formula>AND(COUNTIF(I596:BG596,"&lt;&gt;" &amp; "")&gt;0,NOT(ISBLANK(G596)))</formula>
    </cfRule>
  </conditionalFormatting>
  <conditionalFormatting sqref="G597">
    <cfRule type="expression" dxfId="0" priority="2695">
      <formula>COUNTIF(I597:BG597,"&lt;&gt;" &amp; "")&gt;0</formula>
    </cfRule>
    <cfRule type="expression" dxfId="1" priority="2696">
      <formula>AND(COUNTIF(I597:BG597,"&lt;&gt;" &amp; "")&gt;0,NOT(ISBLANK(G597)))</formula>
    </cfRule>
  </conditionalFormatting>
  <conditionalFormatting sqref="G598">
    <cfRule type="expression" dxfId="0" priority="2698">
      <formula>COUNTIF(I598:BG598,"&lt;&gt;" &amp; "")&gt;0</formula>
    </cfRule>
    <cfRule type="expression" dxfId="1" priority="2699">
      <formula>AND(COUNTIF(I598:BG598,"&lt;&gt;" &amp; "")&gt;0,NOT(ISBLANK(G598)))</formula>
    </cfRule>
  </conditionalFormatting>
  <conditionalFormatting sqref="G599">
    <cfRule type="expression" dxfId="0" priority="2701">
      <formula>COUNTIF(I599:BG599,"&lt;&gt;" &amp; "")&gt;0</formula>
    </cfRule>
    <cfRule type="expression" dxfId="1" priority="2702">
      <formula>AND(COUNTIF(I599:BG599,"&lt;&gt;" &amp; "")&gt;0,NOT(ISBLANK(G599)))</formula>
    </cfRule>
  </conditionalFormatting>
  <conditionalFormatting sqref="G6">
    <cfRule type="cellIs" dxfId="2" priority="35" operator="equal">
      <formula>"Y"</formula>
    </cfRule>
    <cfRule type="cellIs" dxfId="3" priority="36" operator="equal">
      <formula>"N"</formula>
    </cfRule>
  </conditionalFormatting>
  <conditionalFormatting sqref="G60">
    <cfRule type="expression" dxfId="0" priority="482">
      <formula>COUNTIF(I60:BG60,"&lt;&gt;" &amp; "")&gt;0</formula>
    </cfRule>
    <cfRule type="expression" dxfId="1" priority="483">
      <formula>AND(COUNTIF(I60:BG60,"&lt;&gt;" &amp; "")&gt;0,NOT(ISBLANK(G60)))</formula>
    </cfRule>
  </conditionalFormatting>
  <conditionalFormatting sqref="G600">
    <cfRule type="expression" dxfId="0" priority="2704">
      <formula>COUNTIF(I600:BG600,"&lt;&gt;" &amp; "")&gt;0</formula>
    </cfRule>
    <cfRule type="expression" dxfId="1" priority="2705">
      <formula>AND(COUNTIF(I600:BG600,"&lt;&gt;" &amp; "")&gt;0,NOT(ISBLANK(G600)))</formula>
    </cfRule>
  </conditionalFormatting>
  <conditionalFormatting sqref="G601">
    <cfRule type="expression" dxfId="0" priority="2707">
      <formula>COUNTIF(I601:BG601,"&lt;&gt;" &amp; "")&gt;0</formula>
    </cfRule>
    <cfRule type="expression" dxfId="1" priority="2708">
      <formula>AND(COUNTIF(I601:BG601,"&lt;&gt;" &amp; "")&gt;0,NOT(ISBLANK(G601)))</formula>
    </cfRule>
  </conditionalFormatting>
  <conditionalFormatting sqref="G602">
    <cfRule type="expression" dxfId="0" priority="2710">
      <formula>COUNTIF(I602:BG602,"&lt;&gt;" &amp; "")&gt;0</formula>
    </cfRule>
    <cfRule type="expression" dxfId="1" priority="2711">
      <formula>AND(COUNTIF(I602:BG602,"&lt;&gt;" &amp; "")&gt;0,NOT(ISBLANK(G602)))</formula>
    </cfRule>
  </conditionalFormatting>
  <conditionalFormatting sqref="G603">
    <cfRule type="expression" dxfId="0" priority="2713">
      <formula>COUNTIF(I603:BG603,"&lt;&gt;" &amp; "")&gt;0</formula>
    </cfRule>
    <cfRule type="expression" dxfId="1" priority="2714">
      <formula>AND(COUNTIF(I603:BG603,"&lt;&gt;" &amp; "")&gt;0,NOT(ISBLANK(G603)))</formula>
    </cfRule>
  </conditionalFormatting>
  <conditionalFormatting sqref="G604">
    <cfRule type="expression" dxfId="0" priority="2716">
      <formula>COUNTIF(I604:BG604,"&lt;&gt;" &amp; "")&gt;0</formula>
    </cfRule>
    <cfRule type="expression" dxfId="1" priority="2717">
      <formula>AND(COUNTIF(I604:BG604,"&lt;&gt;" &amp; "")&gt;0,NOT(ISBLANK(G604)))</formula>
    </cfRule>
  </conditionalFormatting>
  <conditionalFormatting sqref="G605">
    <cfRule type="expression" dxfId="0" priority="2719">
      <formula>COUNTIF(I605:BG605,"&lt;&gt;" &amp; "")&gt;0</formula>
    </cfRule>
    <cfRule type="expression" dxfId="1" priority="2720">
      <formula>AND(COUNTIF(I605:BG605,"&lt;&gt;" &amp; "")&gt;0,NOT(ISBLANK(G605)))</formula>
    </cfRule>
  </conditionalFormatting>
  <conditionalFormatting sqref="G606">
    <cfRule type="expression" dxfId="0" priority="2722">
      <formula>COUNTIF(I606:BG606,"&lt;&gt;" &amp; "")&gt;0</formula>
    </cfRule>
    <cfRule type="expression" dxfId="1" priority="2723">
      <formula>AND(COUNTIF(I606:BG606,"&lt;&gt;" &amp; "")&gt;0,NOT(ISBLANK(G606)))</formula>
    </cfRule>
  </conditionalFormatting>
  <conditionalFormatting sqref="G607">
    <cfRule type="expression" dxfId="0" priority="2725">
      <formula>COUNTIF(I607:BG607,"&lt;&gt;" &amp; "")&gt;0</formula>
    </cfRule>
    <cfRule type="expression" dxfId="1" priority="2726">
      <formula>AND(COUNTIF(I607:BG607,"&lt;&gt;" &amp; "")&gt;0,NOT(ISBLANK(G607)))</formula>
    </cfRule>
  </conditionalFormatting>
  <conditionalFormatting sqref="G608">
    <cfRule type="expression" dxfId="0" priority="2728">
      <formula>COUNTIF(I608:BG608,"&lt;&gt;" &amp; "")&gt;0</formula>
    </cfRule>
    <cfRule type="expression" dxfId="1" priority="2729">
      <formula>AND(COUNTIF(I608:BG608,"&lt;&gt;" &amp; "")&gt;0,NOT(ISBLANK(G608)))</formula>
    </cfRule>
  </conditionalFormatting>
  <conditionalFormatting sqref="G609">
    <cfRule type="expression" dxfId="0" priority="2731">
      <formula>COUNTIF(I609:BG609,"&lt;&gt;" &amp; "")&gt;0</formula>
    </cfRule>
    <cfRule type="expression" dxfId="1" priority="2732">
      <formula>AND(COUNTIF(I609:BG609,"&lt;&gt;" &amp; "")&gt;0,NOT(ISBLANK(G609)))</formula>
    </cfRule>
  </conditionalFormatting>
  <conditionalFormatting sqref="G61">
    <cfRule type="expression" dxfId="0" priority="485">
      <formula>COUNTIF(I61:BG61,"&lt;&gt;" &amp; "")&gt;0</formula>
    </cfRule>
    <cfRule type="expression" dxfId="1" priority="486">
      <formula>AND(COUNTIF(I61:BG61,"&lt;&gt;" &amp; "")&gt;0,NOT(ISBLANK(G61)))</formula>
    </cfRule>
  </conditionalFormatting>
  <conditionalFormatting sqref="G610">
    <cfRule type="expression" dxfId="0" priority="2734">
      <formula>COUNTIF(I610:BG610,"&lt;&gt;" &amp; "")&gt;0</formula>
    </cfRule>
    <cfRule type="expression" dxfId="1" priority="2735">
      <formula>AND(COUNTIF(I610:BG610,"&lt;&gt;" &amp; "")&gt;0,NOT(ISBLANK(G610)))</formula>
    </cfRule>
  </conditionalFormatting>
  <conditionalFormatting sqref="G611">
    <cfRule type="expression" dxfId="0" priority="2737">
      <formula>COUNTIF(I611:BG611,"&lt;&gt;" &amp; "")&gt;0</formula>
    </cfRule>
    <cfRule type="expression" dxfId="1" priority="2738">
      <formula>AND(COUNTIF(I611:BG611,"&lt;&gt;" &amp; "")&gt;0,NOT(ISBLANK(G611)))</formula>
    </cfRule>
  </conditionalFormatting>
  <conditionalFormatting sqref="G612">
    <cfRule type="expression" dxfId="0" priority="2740">
      <formula>COUNTIF(I612:BG612,"&lt;&gt;" &amp; "")&gt;0</formula>
    </cfRule>
    <cfRule type="expression" dxfId="1" priority="2741">
      <formula>AND(COUNTIF(I612:BG612,"&lt;&gt;" &amp; "")&gt;0,NOT(ISBLANK(G612)))</formula>
    </cfRule>
  </conditionalFormatting>
  <conditionalFormatting sqref="G613">
    <cfRule type="expression" dxfId="0" priority="2743">
      <formula>COUNTIF(I613:BG613,"&lt;&gt;" &amp; "")&gt;0</formula>
    </cfRule>
    <cfRule type="expression" dxfId="1" priority="2744">
      <formula>AND(COUNTIF(I613:BG613,"&lt;&gt;" &amp; "")&gt;0,NOT(ISBLANK(G613)))</formula>
    </cfRule>
  </conditionalFormatting>
  <conditionalFormatting sqref="G614">
    <cfRule type="expression" dxfId="0" priority="2746">
      <formula>COUNTIF(I614:BG614,"&lt;&gt;" &amp; "")&gt;0</formula>
    </cfRule>
    <cfRule type="expression" dxfId="1" priority="2747">
      <formula>AND(COUNTIF(I614:BG614,"&lt;&gt;" &amp; "")&gt;0,NOT(ISBLANK(G614)))</formula>
    </cfRule>
  </conditionalFormatting>
  <conditionalFormatting sqref="G615">
    <cfRule type="expression" dxfId="0" priority="2749">
      <formula>COUNTIF(I615:BG615,"&lt;&gt;" &amp; "")&gt;0</formula>
    </cfRule>
    <cfRule type="expression" dxfId="1" priority="2750">
      <formula>AND(COUNTIF(I615:BG615,"&lt;&gt;" &amp; "")&gt;0,NOT(ISBLANK(G615)))</formula>
    </cfRule>
  </conditionalFormatting>
  <conditionalFormatting sqref="G616">
    <cfRule type="expression" dxfId="0" priority="2752">
      <formula>COUNTIF(I616:BG616,"&lt;&gt;" &amp; "")&gt;0</formula>
    </cfRule>
    <cfRule type="expression" dxfId="1" priority="2753">
      <formula>AND(COUNTIF(I616:BG616,"&lt;&gt;" &amp; "")&gt;0,NOT(ISBLANK(G616)))</formula>
    </cfRule>
  </conditionalFormatting>
  <conditionalFormatting sqref="G617">
    <cfRule type="expression" dxfId="0" priority="2755">
      <formula>COUNTIF(I617:BG617,"&lt;&gt;" &amp; "")&gt;0</formula>
    </cfRule>
    <cfRule type="expression" dxfId="1" priority="2756">
      <formula>AND(COUNTIF(I617:BG617,"&lt;&gt;" &amp; "")&gt;0,NOT(ISBLANK(G617)))</formula>
    </cfRule>
  </conditionalFormatting>
  <conditionalFormatting sqref="G618">
    <cfRule type="expression" dxfId="0" priority="2758">
      <formula>COUNTIF(I618:BG618,"&lt;&gt;" &amp; "")&gt;0</formula>
    </cfRule>
    <cfRule type="expression" dxfId="1" priority="2759">
      <formula>AND(COUNTIF(I618:BG618,"&lt;&gt;" &amp; "")&gt;0,NOT(ISBLANK(G618)))</formula>
    </cfRule>
  </conditionalFormatting>
  <conditionalFormatting sqref="G619">
    <cfRule type="expression" dxfId="0" priority="2761">
      <formula>COUNTIF(I619:BG619,"&lt;&gt;" &amp; "")&gt;0</formula>
    </cfRule>
    <cfRule type="expression" dxfId="1" priority="2762">
      <formula>AND(COUNTIF(I619:BG619,"&lt;&gt;" &amp; "")&gt;0,NOT(ISBLANK(G619)))</formula>
    </cfRule>
  </conditionalFormatting>
  <conditionalFormatting sqref="G62">
    <cfRule type="expression" dxfId="0" priority="488">
      <formula>COUNTIF(I62:BG62,"&lt;&gt;" &amp; "")&gt;0</formula>
    </cfRule>
    <cfRule type="expression" dxfId="1" priority="489">
      <formula>AND(COUNTIF(I62:BG62,"&lt;&gt;" &amp; "")&gt;0,NOT(ISBLANK(G62)))</formula>
    </cfRule>
  </conditionalFormatting>
  <conditionalFormatting sqref="G620">
    <cfRule type="expression" dxfId="0" priority="2764">
      <formula>COUNTIF(I620:BG620,"&lt;&gt;" &amp; "")&gt;0</formula>
    </cfRule>
    <cfRule type="expression" dxfId="1" priority="2765">
      <formula>AND(COUNTIF(I620:BG620,"&lt;&gt;" &amp; "")&gt;0,NOT(ISBLANK(G620)))</formula>
    </cfRule>
  </conditionalFormatting>
  <conditionalFormatting sqref="G621">
    <cfRule type="expression" dxfId="0" priority="2767">
      <formula>COUNTIF(I621:BG621,"&lt;&gt;" &amp; "")&gt;0</formula>
    </cfRule>
    <cfRule type="expression" dxfId="1" priority="2768">
      <formula>AND(COUNTIF(I621:BG621,"&lt;&gt;" &amp; "")&gt;0,NOT(ISBLANK(G621)))</formula>
    </cfRule>
  </conditionalFormatting>
  <conditionalFormatting sqref="G622">
    <cfRule type="expression" dxfId="0" priority="2770">
      <formula>COUNTIF(I622:BG622,"&lt;&gt;" &amp; "")&gt;0</formula>
    </cfRule>
    <cfRule type="expression" dxfId="1" priority="2771">
      <formula>AND(COUNTIF(I622:BG622,"&lt;&gt;" &amp; "")&gt;0,NOT(ISBLANK(G622)))</formula>
    </cfRule>
  </conditionalFormatting>
  <conditionalFormatting sqref="G623">
    <cfRule type="expression" dxfId="0" priority="2773">
      <formula>COUNTIF(I623:BG623,"&lt;&gt;" &amp; "")&gt;0</formula>
    </cfRule>
    <cfRule type="expression" dxfId="1" priority="2774">
      <formula>AND(COUNTIF(I623:BG623,"&lt;&gt;" &amp; "")&gt;0,NOT(ISBLANK(G623)))</formula>
    </cfRule>
  </conditionalFormatting>
  <conditionalFormatting sqref="G624">
    <cfRule type="expression" dxfId="0" priority="2776">
      <formula>COUNTIF(I624:BG624,"&lt;&gt;" &amp; "")&gt;0</formula>
    </cfRule>
    <cfRule type="expression" dxfId="1" priority="2777">
      <formula>AND(COUNTIF(I624:BG624,"&lt;&gt;" &amp; "")&gt;0,NOT(ISBLANK(G624)))</formula>
    </cfRule>
  </conditionalFormatting>
  <conditionalFormatting sqref="G625">
    <cfRule type="expression" dxfId="0" priority="2779">
      <formula>COUNTIF(I625:BG625,"&lt;&gt;" &amp; "")&gt;0</formula>
    </cfRule>
    <cfRule type="expression" dxfId="1" priority="2780">
      <formula>AND(COUNTIF(I625:BG625,"&lt;&gt;" &amp; "")&gt;0,NOT(ISBLANK(G625)))</formula>
    </cfRule>
  </conditionalFormatting>
  <conditionalFormatting sqref="G626">
    <cfRule type="expression" dxfId="0" priority="2782">
      <formula>COUNTIF(I626:BG626,"&lt;&gt;" &amp; "")&gt;0</formula>
    </cfRule>
    <cfRule type="expression" dxfId="1" priority="2783">
      <formula>AND(COUNTIF(I626:BG626,"&lt;&gt;" &amp; "")&gt;0,NOT(ISBLANK(G626)))</formula>
    </cfRule>
  </conditionalFormatting>
  <conditionalFormatting sqref="G627">
    <cfRule type="expression" dxfId="0" priority="2785">
      <formula>COUNTIF(I627:BG627,"&lt;&gt;" &amp; "")&gt;0</formula>
    </cfRule>
    <cfRule type="expression" dxfId="1" priority="2786">
      <formula>AND(COUNTIF(I627:BG627,"&lt;&gt;" &amp; "")&gt;0,NOT(ISBLANK(G627)))</formula>
    </cfRule>
  </conditionalFormatting>
  <conditionalFormatting sqref="G628">
    <cfRule type="expression" dxfId="0" priority="2788">
      <formula>COUNTIF(I628:BG628,"&lt;&gt;" &amp; "")&gt;0</formula>
    </cfRule>
    <cfRule type="expression" dxfId="1" priority="2789">
      <formula>AND(COUNTIF(I628:BG628,"&lt;&gt;" &amp; "")&gt;0,NOT(ISBLANK(G628)))</formula>
    </cfRule>
  </conditionalFormatting>
  <conditionalFormatting sqref="G629">
    <cfRule type="expression" dxfId="0" priority="2791">
      <formula>COUNTIF(I629:BG629,"&lt;&gt;" &amp; "")&gt;0</formula>
    </cfRule>
    <cfRule type="expression" dxfId="1" priority="2792">
      <formula>AND(COUNTIF(I629:BG629,"&lt;&gt;" &amp; "")&gt;0,NOT(ISBLANK(G629)))</formula>
    </cfRule>
  </conditionalFormatting>
  <conditionalFormatting sqref="G63">
    <cfRule type="expression" dxfId="0" priority="491">
      <formula>COUNTIF(I63:BG63,"&lt;&gt;" &amp; "")&gt;0</formula>
    </cfRule>
    <cfRule type="expression" dxfId="1" priority="492">
      <formula>AND(COUNTIF(I63:BG63,"&lt;&gt;" &amp; "")&gt;0,NOT(ISBLANK(G63)))</formula>
    </cfRule>
  </conditionalFormatting>
  <conditionalFormatting sqref="G630">
    <cfRule type="expression" dxfId="0" priority="2794">
      <formula>COUNTIF(I630:BG630,"&lt;&gt;" &amp; "")&gt;0</formula>
    </cfRule>
    <cfRule type="expression" dxfId="1" priority="2795">
      <formula>AND(COUNTIF(I630:BG630,"&lt;&gt;" &amp; "")&gt;0,NOT(ISBLANK(G630)))</formula>
    </cfRule>
  </conditionalFormatting>
  <conditionalFormatting sqref="G631">
    <cfRule type="expression" dxfId="0" priority="2797">
      <formula>COUNTIF(I631:BG631,"&lt;&gt;" &amp; "")&gt;0</formula>
    </cfRule>
    <cfRule type="expression" dxfId="1" priority="2798">
      <formula>AND(COUNTIF(I631:BG631,"&lt;&gt;" &amp; "")&gt;0,NOT(ISBLANK(G631)))</formula>
    </cfRule>
  </conditionalFormatting>
  <conditionalFormatting sqref="G632">
    <cfRule type="expression" dxfId="0" priority="2800">
      <formula>COUNTIF(I632:BG632,"&lt;&gt;" &amp; "")&gt;0</formula>
    </cfRule>
    <cfRule type="expression" dxfId="1" priority="2801">
      <formula>AND(COUNTIF(I632:BG632,"&lt;&gt;" &amp; "")&gt;0,NOT(ISBLANK(G632)))</formula>
    </cfRule>
  </conditionalFormatting>
  <conditionalFormatting sqref="G633">
    <cfRule type="expression" dxfId="0" priority="2803">
      <formula>COUNTIF(I633:BG633,"&lt;&gt;" &amp; "")&gt;0</formula>
    </cfRule>
    <cfRule type="expression" dxfId="1" priority="2804">
      <formula>AND(COUNTIF(I633:BG633,"&lt;&gt;" &amp; "")&gt;0,NOT(ISBLANK(G633)))</formula>
    </cfRule>
  </conditionalFormatting>
  <conditionalFormatting sqref="G634">
    <cfRule type="expression" dxfId="0" priority="2806">
      <formula>COUNTIF(I634:BG634,"&lt;&gt;" &amp; "")&gt;0</formula>
    </cfRule>
    <cfRule type="expression" dxfId="1" priority="2807">
      <formula>AND(COUNTIF(I634:BG634,"&lt;&gt;" &amp; "")&gt;0,NOT(ISBLANK(G634)))</formula>
    </cfRule>
  </conditionalFormatting>
  <conditionalFormatting sqref="G635">
    <cfRule type="expression" dxfId="0" priority="2809">
      <formula>COUNTIF(I635:BG635,"&lt;&gt;" &amp; "")&gt;0</formula>
    </cfRule>
    <cfRule type="expression" dxfId="1" priority="2810">
      <formula>AND(COUNTIF(I635:BG635,"&lt;&gt;" &amp; "")&gt;0,NOT(ISBLANK(G635)))</formula>
    </cfRule>
  </conditionalFormatting>
  <conditionalFormatting sqref="G636">
    <cfRule type="expression" dxfId="0" priority="2812">
      <formula>COUNTIF(I636:BG636,"&lt;&gt;" &amp; "")&gt;0</formula>
    </cfRule>
    <cfRule type="expression" dxfId="1" priority="2813">
      <formula>AND(COUNTIF(I636:BG636,"&lt;&gt;" &amp; "")&gt;0,NOT(ISBLANK(G636)))</formula>
    </cfRule>
  </conditionalFormatting>
  <conditionalFormatting sqref="G637">
    <cfRule type="expression" dxfId="0" priority="2815">
      <formula>COUNTIF(I637:BG637,"&lt;&gt;" &amp; "")&gt;0</formula>
    </cfRule>
    <cfRule type="expression" dxfId="1" priority="2816">
      <formula>AND(COUNTIF(I637:BG637,"&lt;&gt;" &amp; "")&gt;0,NOT(ISBLANK(G637)))</formula>
    </cfRule>
  </conditionalFormatting>
  <conditionalFormatting sqref="G638">
    <cfRule type="expression" dxfId="0" priority="2818">
      <formula>COUNTIF(I638:BG638,"&lt;&gt;" &amp; "")&gt;0</formula>
    </cfRule>
    <cfRule type="expression" dxfId="1" priority="2819">
      <formula>AND(COUNTIF(I638:BG638,"&lt;&gt;" &amp; "")&gt;0,NOT(ISBLANK(G638)))</formula>
    </cfRule>
  </conditionalFormatting>
  <conditionalFormatting sqref="G639">
    <cfRule type="expression" dxfId="0" priority="2821">
      <formula>COUNTIF(I639:BG639,"&lt;&gt;" &amp; "")&gt;0</formula>
    </cfRule>
    <cfRule type="expression" dxfId="1" priority="2822">
      <formula>AND(COUNTIF(I639:BG639,"&lt;&gt;" &amp; "")&gt;0,NOT(ISBLANK(G639)))</formula>
    </cfRule>
  </conditionalFormatting>
  <conditionalFormatting sqref="G64">
    <cfRule type="expression" dxfId="0" priority="494">
      <formula>COUNTIF(I64:BG64,"&lt;&gt;" &amp; "")&gt;0</formula>
    </cfRule>
    <cfRule type="expression" dxfId="1" priority="495">
      <formula>AND(COUNTIF(I64:BG64,"&lt;&gt;" &amp; "")&gt;0,NOT(ISBLANK(G64)))</formula>
    </cfRule>
  </conditionalFormatting>
  <conditionalFormatting sqref="G640">
    <cfRule type="expression" dxfId="0" priority="2824">
      <formula>COUNTIF(I640:BG640,"&lt;&gt;" &amp; "")&gt;0</formula>
    </cfRule>
    <cfRule type="expression" dxfId="1" priority="2825">
      <formula>AND(COUNTIF(I640:BG640,"&lt;&gt;" &amp; "")&gt;0,NOT(ISBLANK(G640)))</formula>
    </cfRule>
  </conditionalFormatting>
  <conditionalFormatting sqref="G641">
    <cfRule type="expression" dxfId="0" priority="2827">
      <formula>COUNTIF(I641:BG641,"&lt;&gt;" &amp; "")&gt;0</formula>
    </cfRule>
    <cfRule type="expression" dxfId="1" priority="2828">
      <formula>AND(COUNTIF(I641:BG641,"&lt;&gt;" &amp; "")&gt;0,NOT(ISBLANK(G641)))</formula>
    </cfRule>
  </conditionalFormatting>
  <conditionalFormatting sqref="G642">
    <cfRule type="expression" dxfId="0" priority="2830">
      <formula>COUNTIF(I642:BG642,"&lt;&gt;" &amp; "")&gt;0</formula>
    </cfRule>
    <cfRule type="expression" dxfId="1" priority="2831">
      <formula>AND(COUNTIF(I642:BG642,"&lt;&gt;" &amp; "")&gt;0,NOT(ISBLANK(G642)))</formula>
    </cfRule>
  </conditionalFormatting>
  <conditionalFormatting sqref="G643">
    <cfRule type="expression" dxfId="0" priority="2833">
      <formula>COUNTIF(I643:BG643,"&lt;&gt;" &amp; "")&gt;0</formula>
    </cfRule>
    <cfRule type="expression" dxfId="1" priority="2834">
      <formula>AND(COUNTIF(I643:BG643,"&lt;&gt;" &amp; "")&gt;0,NOT(ISBLANK(G643)))</formula>
    </cfRule>
  </conditionalFormatting>
  <conditionalFormatting sqref="G644">
    <cfRule type="expression" dxfId="0" priority="2836">
      <formula>COUNTIF(I644:BG644,"&lt;&gt;" &amp; "")&gt;0</formula>
    </cfRule>
    <cfRule type="expression" dxfId="1" priority="2837">
      <formula>AND(COUNTIF(I644:BG644,"&lt;&gt;" &amp; "")&gt;0,NOT(ISBLANK(G644)))</formula>
    </cfRule>
  </conditionalFormatting>
  <conditionalFormatting sqref="G645">
    <cfRule type="expression" dxfId="0" priority="2839">
      <formula>COUNTIF(I645:BG645,"&lt;&gt;" &amp; "")&gt;0</formula>
    </cfRule>
    <cfRule type="expression" dxfId="1" priority="2840">
      <formula>AND(COUNTIF(I645:BG645,"&lt;&gt;" &amp; "")&gt;0,NOT(ISBLANK(G645)))</formula>
    </cfRule>
  </conditionalFormatting>
  <conditionalFormatting sqref="G646">
    <cfRule type="expression" dxfId="0" priority="2842">
      <formula>COUNTIF(I646:BG646,"&lt;&gt;" &amp; "")&gt;0</formula>
    </cfRule>
    <cfRule type="expression" dxfId="1" priority="2843">
      <formula>AND(COUNTIF(I646:BG646,"&lt;&gt;" &amp; "")&gt;0,NOT(ISBLANK(G646)))</formula>
    </cfRule>
  </conditionalFormatting>
  <conditionalFormatting sqref="G647">
    <cfRule type="expression" dxfId="0" priority="2845">
      <formula>COUNTIF(I647:BG647,"&lt;&gt;" &amp; "")&gt;0</formula>
    </cfRule>
    <cfRule type="expression" dxfId="1" priority="2846">
      <formula>AND(COUNTIF(I647:BG647,"&lt;&gt;" &amp; "")&gt;0,NOT(ISBLANK(G647)))</formula>
    </cfRule>
  </conditionalFormatting>
  <conditionalFormatting sqref="G648">
    <cfRule type="expression" dxfId="0" priority="2848">
      <formula>COUNTIF(I648:BG648,"&lt;&gt;" &amp; "")&gt;0</formula>
    </cfRule>
    <cfRule type="expression" dxfId="1" priority="2849">
      <formula>AND(COUNTIF(I648:BG648,"&lt;&gt;" &amp; "")&gt;0,NOT(ISBLANK(G648)))</formula>
    </cfRule>
  </conditionalFormatting>
  <conditionalFormatting sqref="G649">
    <cfRule type="expression" dxfId="0" priority="2851">
      <formula>COUNTIF(I649:BG649,"&lt;&gt;" &amp; "")&gt;0</formula>
    </cfRule>
    <cfRule type="expression" dxfId="1" priority="2852">
      <formula>AND(COUNTIF(I649:BG649,"&lt;&gt;" &amp; "")&gt;0,NOT(ISBLANK(G649)))</formula>
    </cfRule>
  </conditionalFormatting>
  <conditionalFormatting sqref="G65">
    <cfRule type="expression" dxfId="0" priority="497">
      <formula>COUNTIF(I65:BG65,"&lt;&gt;" &amp; "")&gt;0</formula>
    </cfRule>
    <cfRule type="expression" dxfId="1" priority="498">
      <formula>AND(COUNTIF(I65:BG65,"&lt;&gt;" &amp; "")&gt;0,NOT(ISBLANK(G65)))</formula>
    </cfRule>
  </conditionalFormatting>
  <conditionalFormatting sqref="G650">
    <cfRule type="expression" dxfId="0" priority="2854">
      <formula>COUNTIF(I650:BG650,"&lt;&gt;" &amp; "")&gt;0</formula>
    </cfRule>
    <cfRule type="expression" dxfId="1" priority="2855">
      <formula>AND(COUNTIF(I650:BG650,"&lt;&gt;" &amp; "")&gt;0,NOT(ISBLANK(G650)))</formula>
    </cfRule>
  </conditionalFormatting>
  <conditionalFormatting sqref="G66">
    <cfRule type="expression" dxfId="0" priority="500">
      <formula>COUNTIF(I66:BG66,"&lt;&gt;" &amp; "")&gt;0</formula>
    </cfRule>
    <cfRule type="expression" dxfId="1" priority="501">
      <formula>AND(COUNTIF(I66:BG66,"&lt;&gt;" &amp; "")&gt;0,NOT(ISBLANK(G66)))</formula>
    </cfRule>
  </conditionalFormatting>
  <conditionalFormatting sqref="G67">
    <cfRule type="expression" dxfId="0" priority="503">
      <formula>COUNTIF(I67:BG67,"&lt;&gt;" &amp; "")&gt;0</formula>
    </cfRule>
    <cfRule type="expression" dxfId="1" priority="504">
      <formula>AND(COUNTIF(I67:BG67,"&lt;&gt;" &amp; "")&gt;0,NOT(ISBLANK(G67)))</formula>
    </cfRule>
  </conditionalFormatting>
  <conditionalFormatting sqref="G68">
    <cfRule type="expression" dxfId="0" priority="506">
      <formula>COUNTIF(I68:BG68,"&lt;&gt;" &amp; "")&gt;0</formula>
    </cfRule>
    <cfRule type="expression" dxfId="1" priority="507">
      <formula>AND(COUNTIF(I68:BG68,"&lt;&gt;" &amp; "")&gt;0,NOT(ISBLANK(G68)))</formula>
    </cfRule>
  </conditionalFormatting>
  <conditionalFormatting sqref="G69">
    <cfRule type="expression" dxfId="0" priority="509">
      <formula>COUNTIF(I69:BG69,"&lt;&gt;" &amp; "")&gt;0</formula>
    </cfRule>
    <cfRule type="expression" dxfId="1" priority="510">
      <formula>AND(COUNTIF(I69:BG69,"&lt;&gt;" &amp; "")&gt;0,NOT(ISBLANK(G69)))</formula>
    </cfRule>
  </conditionalFormatting>
  <conditionalFormatting sqref="G7">
    <cfRule type="cellIs" dxfId="2" priority="61" operator="equal">
      <formula>"Y"</formula>
    </cfRule>
    <cfRule type="cellIs" dxfId="3" priority="62" operator="equal">
      <formula>"N"</formula>
    </cfRule>
  </conditionalFormatting>
  <conditionalFormatting sqref="G70">
    <cfRule type="expression" dxfId="0" priority="512">
      <formula>COUNTIF(I70:BG70,"&lt;&gt;" &amp; "")&gt;0</formula>
    </cfRule>
    <cfRule type="expression" dxfId="1" priority="513">
      <formula>AND(COUNTIF(I70:BG70,"&lt;&gt;" &amp; "")&gt;0,NOT(ISBLANK(G70)))</formula>
    </cfRule>
  </conditionalFormatting>
  <conditionalFormatting sqref="G71">
    <cfRule type="expression" dxfId="0" priority="515">
      <formula>COUNTIF(I71:BG71,"&lt;&gt;" &amp; "")&gt;0</formula>
    </cfRule>
    <cfRule type="expression" dxfId="1" priority="516">
      <formula>AND(COUNTIF(I71:BG71,"&lt;&gt;" &amp; "")&gt;0,NOT(ISBLANK(G71)))</formula>
    </cfRule>
  </conditionalFormatting>
  <conditionalFormatting sqref="G72">
    <cfRule type="expression" dxfId="0" priority="518">
      <formula>COUNTIF(I72:BG72,"&lt;&gt;" &amp; "")&gt;0</formula>
    </cfRule>
    <cfRule type="expression" dxfId="1" priority="519">
      <formula>AND(COUNTIF(I72:BG72,"&lt;&gt;" &amp; "")&gt;0,NOT(ISBLANK(G72)))</formula>
    </cfRule>
  </conditionalFormatting>
  <conditionalFormatting sqref="G73">
    <cfRule type="expression" dxfId="0" priority="521">
      <formula>COUNTIF(I73:BG73,"&lt;&gt;" &amp; "")&gt;0</formula>
    </cfRule>
    <cfRule type="expression" dxfId="1" priority="522">
      <formula>AND(COUNTIF(I73:BG73,"&lt;&gt;" &amp; "")&gt;0,NOT(ISBLANK(G73)))</formula>
    </cfRule>
  </conditionalFormatting>
  <conditionalFormatting sqref="G74">
    <cfRule type="expression" dxfId="0" priority="524">
      <formula>COUNTIF(I74:BG74,"&lt;&gt;" &amp; "")&gt;0</formula>
    </cfRule>
    <cfRule type="expression" dxfId="1" priority="525">
      <formula>AND(COUNTIF(I74:BG74,"&lt;&gt;" &amp; "")&gt;0,NOT(ISBLANK(G74)))</formula>
    </cfRule>
  </conditionalFormatting>
  <conditionalFormatting sqref="G75">
    <cfRule type="expression" dxfId="0" priority="527">
      <formula>COUNTIF(I75:BG75,"&lt;&gt;" &amp; "")&gt;0</formula>
    </cfRule>
    <cfRule type="expression" dxfId="1" priority="528">
      <formula>AND(COUNTIF(I75:BG75,"&lt;&gt;" &amp; "")&gt;0,NOT(ISBLANK(G75)))</formula>
    </cfRule>
  </conditionalFormatting>
  <conditionalFormatting sqref="G76">
    <cfRule type="expression" dxfId="0" priority="530">
      <formula>COUNTIF(I76:BG76,"&lt;&gt;" &amp; "")&gt;0</formula>
    </cfRule>
    <cfRule type="expression" dxfId="1" priority="531">
      <formula>AND(COUNTIF(I76:BG76,"&lt;&gt;" &amp; "")&gt;0,NOT(ISBLANK(G76)))</formula>
    </cfRule>
  </conditionalFormatting>
  <conditionalFormatting sqref="G77">
    <cfRule type="expression" dxfId="0" priority="533">
      <formula>COUNTIF(I77:BG77,"&lt;&gt;" &amp; "")&gt;0</formula>
    </cfRule>
    <cfRule type="expression" dxfId="1" priority="534">
      <formula>AND(COUNTIF(I77:BG77,"&lt;&gt;" &amp; "")&gt;0,NOT(ISBLANK(G77)))</formula>
    </cfRule>
  </conditionalFormatting>
  <conditionalFormatting sqref="G78">
    <cfRule type="expression" dxfId="0" priority="536">
      <formula>COUNTIF(I78:BG78,"&lt;&gt;" &amp; "")&gt;0</formula>
    </cfRule>
    <cfRule type="expression" dxfId="1" priority="537">
      <formula>AND(COUNTIF(I78:BG78,"&lt;&gt;" &amp; "")&gt;0,NOT(ISBLANK(G78)))</formula>
    </cfRule>
  </conditionalFormatting>
  <conditionalFormatting sqref="G79">
    <cfRule type="expression" dxfId="0" priority="539">
      <formula>COUNTIF(I79:BG79,"&lt;&gt;" &amp; "")&gt;0</formula>
    </cfRule>
    <cfRule type="expression" dxfId="1" priority="540">
      <formula>AND(COUNTIF(I79:BG79,"&lt;&gt;" &amp; "")&gt;0,NOT(ISBLANK(G79)))</formula>
    </cfRule>
  </conditionalFormatting>
  <conditionalFormatting sqref="G8">
    <cfRule type="cellIs" dxfId="2" priority="87" operator="equal">
      <formula>"Y"</formula>
    </cfRule>
    <cfRule type="cellIs" dxfId="3" priority="88" operator="equal">
      <formula>"N"</formula>
    </cfRule>
  </conditionalFormatting>
  <conditionalFormatting sqref="G80">
    <cfRule type="expression" dxfId="0" priority="542">
      <formula>COUNTIF(I80:BG80,"&lt;&gt;" &amp; "")&gt;0</formula>
    </cfRule>
    <cfRule type="expression" dxfId="1" priority="543">
      <formula>AND(COUNTIF(I80:BG80,"&lt;&gt;" &amp; "")&gt;0,NOT(ISBLANK(G80)))</formula>
    </cfRule>
  </conditionalFormatting>
  <conditionalFormatting sqref="G81">
    <cfRule type="expression" dxfId="0" priority="545">
      <formula>COUNTIF(I81:BG81,"&lt;&gt;" &amp; "")&gt;0</formula>
    </cfRule>
    <cfRule type="expression" dxfId="1" priority="546">
      <formula>AND(COUNTIF(I81:BG81,"&lt;&gt;" &amp; "")&gt;0,NOT(ISBLANK(G81)))</formula>
    </cfRule>
  </conditionalFormatting>
  <conditionalFormatting sqref="G82">
    <cfRule type="expression" dxfId="0" priority="548">
      <formula>COUNTIF(I82:BG82,"&lt;&gt;" &amp; "")&gt;0</formula>
    </cfRule>
    <cfRule type="expression" dxfId="1" priority="549">
      <formula>AND(COUNTIF(I82:BG82,"&lt;&gt;" &amp; "")&gt;0,NOT(ISBLANK(G82)))</formula>
    </cfRule>
  </conditionalFormatting>
  <conditionalFormatting sqref="G83">
    <cfRule type="expression" dxfId="0" priority="551">
      <formula>COUNTIF(I83:BG83,"&lt;&gt;" &amp; "")&gt;0</formula>
    </cfRule>
    <cfRule type="expression" dxfId="1" priority="552">
      <formula>AND(COUNTIF(I83:BG83,"&lt;&gt;" &amp; "")&gt;0,NOT(ISBLANK(G83)))</formula>
    </cfRule>
  </conditionalFormatting>
  <conditionalFormatting sqref="G84">
    <cfRule type="expression" dxfId="0" priority="554">
      <formula>COUNTIF(I84:BG84,"&lt;&gt;" &amp; "")&gt;0</formula>
    </cfRule>
    <cfRule type="expression" dxfId="1" priority="555">
      <formula>AND(COUNTIF(I84:BG84,"&lt;&gt;" &amp; "")&gt;0,NOT(ISBLANK(G84)))</formula>
    </cfRule>
  </conditionalFormatting>
  <conditionalFormatting sqref="G85">
    <cfRule type="expression" dxfId="0" priority="557">
      <formula>COUNTIF(I85:BG85,"&lt;&gt;" &amp; "")&gt;0</formula>
    </cfRule>
    <cfRule type="expression" dxfId="1" priority="558">
      <formula>AND(COUNTIF(I85:BG85,"&lt;&gt;" &amp; "")&gt;0,NOT(ISBLANK(G85)))</formula>
    </cfRule>
  </conditionalFormatting>
  <conditionalFormatting sqref="G86">
    <cfRule type="expression" dxfId="0" priority="560">
      <formula>COUNTIF(I86:BG86,"&lt;&gt;" &amp; "")&gt;0</formula>
    </cfRule>
    <cfRule type="expression" dxfId="1" priority="561">
      <formula>AND(COUNTIF(I86:BG86,"&lt;&gt;" &amp; "")&gt;0,NOT(ISBLANK(G86)))</formula>
    </cfRule>
  </conditionalFormatting>
  <conditionalFormatting sqref="G87">
    <cfRule type="expression" dxfId="0" priority="563">
      <formula>COUNTIF(I87:BG87,"&lt;&gt;" &amp; "")&gt;0</formula>
    </cfRule>
    <cfRule type="expression" dxfId="1" priority="564">
      <formula>AND(COUNTIF(I87:BG87,"&lt;&gt;" &amp; "")&gt;0,NOT(ISBLANK(G87)))</formula>
    </cfRule>
  </conditionalFormatting>
  <conditionalFormatting sqref="G88">
    <cfRule type="expression" dxfId="0" priority="566">
      <formula>COUNTIF(I88:BG88,"&lt;&gt;" &amp; "")&gt;0</formula>
    </cfRule>
    <cfRule type="expression" dxfId="1" priority="567">
      <formula>AND(COUNTIF(I88:BG88,"&lt;&gt;" &amp; "")&gt;0,NOT(ISBLANK(G88)))</formula>
    </cfRule>
  </conditionalFormatting>
  <conditionalFormatting sqref="G89">
    <cfRule type="expression" dxfId="0" priority="569">
      <formula>COUNTIF(I89:BG89,"&lt;&gt;" &amp; "")&gt;0</formula>
    </cfRule>
    <cfRule type="expression" dxfId="1" priority="570">
      <formula>AND(COUNTIF(I89:BG89,"&lt;&gt;" &amp; "")&gt;0,NOT(ISBLANK(G89)))</formula>
    </cfRule>
  </conditionalFormatting>
  <conditionalFormatting sqref="G9">
    <cfRule type="cellIs" dxfId="2" priority="113" operator="equal">
      <formula>"Y"</formula>
    </cfRule>
    <cfRule type="cellIs" dxfId="3" priority="114" operator="equal">
      <formula>"N"</formula>
    </cfRule>
  </conditionalFormatting>
  <conditionalFormatting sqref="G90">
    <cfRule type="expression" dxfId="0" priority="572">
      <formula>COUNTIF(I90:BG90,"&lt;&gt;" &amp; "")&gt;0</formula>
    </cfRule>
    <cfRule type="expression" dxfId="1" priority="573">
      <formula>AND(COUNTIF(I90:BG90,"&lt;&gt;" &amp; "")&gt;0,NOT(ISBLANK(G90)))</formula>
    </cfRule>
  </conditionalFormatting>
  <conditionalFormatting sqref="G91">
    <cfRule type="expression" dxfId="0" priority="575">
      <formula>COUNTIF(I91:BG91,"&lt;&gt;" &amp; "")&gt;0</formula>
    </cfRule>
    <cfRule type="expression" dxfId="1" priority="576">
      <formula>AND(COUNTIF(I91:BG91,"&lt;&gt;" &amp; "")&gt;0,NOT(ISBLANK(G91)))</formula>
    </cfRule>
  </conditionalFormatting>
  <conditionalFormatting sqref="G92">
    <cfRule type="expression" dxfId="0" priority="578">
      <formula>COUNTIF(I92:BG92,"&lt;&gt;" &amp; "")&gt;0</formula>
    </cfRule>
    <cfRule type="expression" dxfId="1" priority="579">
      <formula>AND(COUNTIF(I92:BG92,"&lt;&gt;" &amp; "")&gt;0,NOT(ISBLANK(G92)))</formula>
    </cfRule>
  </conditionalFormatting>
  <conditionalFormatting sqref="G93">
    <cfRule type="expression" dxfId="0" priority="581">
      <formula>COUNTIF(I93:BG93,"&lt;&gt;" &amp; "")&gt;0</formula>
    </cfRule>
    <cfRule type="expression" dxfId="1" priority="582">
      <formula>AND(COUNTIF(I93:BG93,"&lt;&gt;" &amp; "")&gt;0,NOT(ISBLANK(G93)))</formula>
    </cfRule>
  </conditionalFormatting>
  <conditionalFormatting sqref="G94">
    <cfRule type="expression" dxfId="0" priority="584">
      <formula>COUNTIF(I94:BG94,"&lt;&gt;" &amp; "")&gt;0</formula>
    </cfRule>
    <cfRule type="expression" dxfId="1" priority="585">
      <formula>AND(COUNTIF(I94:BG94,"&lt;&gt;" &amp; "")&gt;0,NOT(ISBLANK(G94)))</formula>
    </cfRule>
  </conditionalFormatting>
  <conditionalFormatting sqref="G95">
    <cfRule type="expression" dxfId="0" priority="587">
      <formula>COUNTIF(I95:BG95,"&lt;&gt;" &amp; "")&gt;0</formula>
    </cfRule>
    <cfRule type="expression" dxfId="1" priority="588">
      <formula>AND(COUNTIF(I95:BG95,"&lt;&gt;" &amp; "")&gt;0,NOT(ISBLANK(G95)))</formula>
    </cfRule>
  </conditionalFormatting>
  <conditionalFormatting sqref="G96">
    <cfRule type="expression" dxfId="0" priority="590">
      <formula>COUNTIF(I96:BG96,"&lt;&gt;" &amp; "")&gt;0</formula>
    </cfRule>
    <cfRule type="expression" dxfId="1" priority="591">
      <formula>AND(COUNTIF(I96:BG96,"&lt;&gt;" &amp; "")&gt;0,NOT(ISBLANK(G96)))</formula>
    </cfRule>
  </conditionalFormatting>
  <conditionalFormatting sqref="G97">
    <cfRule type="expression" dxfId="0" priority="593">
      <formula>COUNTIF(I97:BG97,"&lt;&gt;" &amp; "")&gt;0</formula>
    </cfRule>
    <cfRule type="expression" dxfId="1" priority="594">
      <formula>AND(COUNTIF(I97:BG97,"&lt;&gt;" &amp; "")&gt;0,NOT(ISBLANK(G97)))</formula>
    </cfRule>
  </conditionalFormatting>
  <conditionalFormatting sqref="G98">
    <cfRule type="expression" dxfId="0" priority="596">
      <formula>COUNTIF(I98:BG98,"&lt;&gt;" &amp; "")&gt;0</formula>
    </cfRule>
    <cfRule type="expression" dxfId="1" priority="597">
      <formula>AND(COUNTIF(I98:BG98,"&lt;&gt;" &amp; "")&gt;0,NOT(ISBLANK(G98)))</formula>
    </cfRule>
  </conditionalFormatting>
  <conditionalFormatting sqref="G99">
    <cfRule type="expression" dxfId="0" priority="599">
      <formula>COUNTIF(I99:BG99,"&lt;&gt;" &amp; "")&gt;0</formula>
    </cfRule>
    <cfRule type="expression" dxfId="1" priority="600">
      <formula>AND(COUNTIF(I99:BG99,"&lt;&gt;" &amp; "")&gt;0,NOT(ISBLANK(G99)))</formula>
    </cfRule>
  </conditionalFormatting>
  <conditionalFormatting sqref="H10">
    <cfRule type="cellIs" dxfId="2" priority="141" operator="equal">
      <formula>"Y"</formula>
    </cfRule>
    <cfRule type="cellIs" dxfId="3" priority="142" operator="equal">
      <formula>"N"</formula>
    </cfRule>
  </conditionalFormatting>
  <conditionalFormatting sqref="H12">
    <cfRule type="cellIs" dxfId="2" priority="195" operator="equal">
      <formula>"Y"</formula>
    </cfRule>
    <cfRule type="cellIs" dxfId="3" priority="196" operator="equal">
      <formula>"N"</formula>
    </cfRule>
  </conditionalFormatting>
  <conditionalFormatting sqref="H13">
    <cfRule type="cellIs" dxfId="2" priority="221" operator="equal">
      <formula>"Y"</formula>
    </cfRule>
    <cfRule type="cellIs" dxfId="3" priority="222" operator="equal">
      <formula>"N"</formula>
    </cfRule>
  </conditionalFormatting>
  <conditionalFormatting sqref="H14">
    <cfRule type="cellIs" dxfId="2" priority="247" operator="equal">
      <formula>"Y"</formula>
    </cfRule>
    <cfRule type="cellIs" dxfId="3" priority="248" operator="equal">
      <formula>"N"</formula>
    </cfRule>
  </conditionalFormatting>
  <conditionalFormatting sqref="H15">
    <cfRule type="cellIs" dxfId="2" priority="273" operator="equal">
      <formula>"Y"</formula>
    </cfRule>
    <cfRule type="cellIs" dxfId="3" priority="274" operator="equal">
      <formula>"N"</formula>
    </cfRule>
  </conditionalFormatting>
  <conditionalFormatting sqref="H16">
    <cfRule type="cellIs" dxfId="2" priority="299" operator="equal">
      <formula>"Y"</formula>
    </cfRule>
    <cfRule type="cellIs" dxfId="3" priority="300" operator="equal">
      <formula>"N"</formula>
    </cfRule>
  </conditionalFormatting>
  <conditionalFormatting sqref="H17">
    <cfRule type="cellIs" dxfId="2" priority="325" operator="equal">
      <formula>"Y"</formula>
    </cfRule>
    <cfRule type="cellIs" dxfId="3" priority="326" operator="equal">
      <formula>"N"</formula>
    </cfRule>
  </conditionalFormatting>
  <conditionalFormatting sqref="H18">
    <cfRule type="cellIs" dxfId="2" priority="351" operator="equal">
      <formula>"Y"</formula>
    </cfRule>
    <cfRule type="cellIs" dxfId="3" priority="352" operator="equal">
      <formula>"N"</formula>
    </cfRule>
  </conditionalFormatting>
  <conditionalFormatting sqref="H222">
    <cfRule type="cellIs" dxfId="2" priority="963" operator="equal">
      <formula>"Y"</formula>
    </cfRule>
    <cfRule type="cellIs" dxfId="3" priority="964" operator="equal">
      <formula>"N"</formula>
    </cfRule>
  </conditionalFormatting>
  <conditionalFormatting sqref="H223">
    <cfRule type="cellIs" dxfId="2" priority="989" operator="equal">
      <formula>"Y"</formula>
    </cfRule>
    <cfRule type="cellIs" dxfId="3" priority="990" operator="equal">
      <formula>"N"</formula>
    </cfRule>
  </conditionalFormatting>
  <conditionalFormatting sqref="H224">
    <cfRule type="cellIs" dxfId="2" priority="1015" operator="equal">
      <formula>"Y"</formula>
    </cfRule>
    <cfRule type="cellIs" dxfId="3" priority="1016" operator="equal">
      <formula>"N"</formula>
    </cfRule>
  </conditionalFormatting>
  <conditionalFormatting sqref="H225">
    <cfRule type="cellIs" dxfId="2" priority="1041" operator="equal">
      <formula>"Y"</formula>
    </cfRule>
    <cfRule type="cellIs" dxfId="3" priority="1042" operator="equal">
      <formula>"N"</formula>
    </cfRule>
  </conditionalFormatting>
  <conditionalFormatting sqref="H226">
    <cfRule type="cellIs" dxfId="2" priority="1067" operator="equal">
      <formula>"Y"</formula>
    </cfRule>
    <cfRule type="cellIs" dxfId="3" priority="1068" operator="equal">
      <formula>"N"</formula>
    </cfRule>
  </conditionalFormatting>
  <conditionalFormatting sqref="H227">
    <cfRule type="cellIs" dxfId="2" priority="1093" operator="equal">
      <formula>"Y"</formula>
    </cfRule>
    <cfRule type="cellIs" dxfId="3" priority="1094" operator="equal">
      <formula>"N"</formula>
    </cfRule>
  </conditionalFormatting>
  <conditionalFormatting sqref="H229">
    <cfRule type="cellIs" dxfId="2" priority="1147" operator="equal">
      <formula>"Y"</formula>
    </cfRule>
    <cfRule type="cellIs" dxfId="3" priority="1148" operator="equal">
      <formula>"N"</formula>
    </cfRule>
  </conditionalFormatting>
  <conditionalFormatting sqref="H230">
    <cfRule type="cellIs" dxfId="2" priority="1173" operator="equal">
      <formula>"Y"</formula>
    </cfRule>
    <cfRule type="cellIs" dxfId="3" priority="1174" operator="equal">
      <formula>"N"</formula>
    </cfRule>
  </conditionalFormatting>
  <conditionalFormatting sqref="H231">
    <cfRule type="cellIs" dxfId="2" priority="1199" operator="equal">
      <formula>"Y"</formula>
    </cfRule>
    <cfRule type="cellIs" dxfId="3" priority="1200" operator="equal">
      <formula>"N"</formula>
    </cfRule>
  </conditionalFormatting>
  <conditionalFormatting sqref="H232">
    <cfRule type="cellIs" dxfId="2" priority="1225" operator="equal">
      <formula>"Y"</formula>
    </cfRule>
    <cfRule type="cellIs" dxfId="3" priority="1226" operator="equal">
      <formula>"N"</formula>
    </cfRule>
  </conditionalFormatting>
  <conditionalFormatting sqref="H233">
    <cfRule type="cellIs" dxfId="2" priority="1251" operator="equal">
      <formula>"Y"</formula>
    </cfRule>
    <cfRule type="cellIs" dxfId="3" priority="1252" operator="equal">
      <formula>"N"</formula>
    </cfRule>
  </conditionalFormatting>
  <conditionalFormatting sqref="H234">
    <cfRule type="cellIs" dxfId="2" priority="1277" operator="equal">
      <formula>"Y"</formula>
    </cfRule>
    <cfRule type="cellIs" dxfId="3" priority="1278" operator="equal">
      <formula>"N"</formula>
    </cfRule>
  </conditionalFormatting>
  <conditionalFormatting sqref="H235">
    <cfRule type="cellIs" dxfId="2" priority="1303" operator="equal">
      <formula>"Y"</formula>
    </cfRule>
    <cfRule type="cellIs" dxfId="3" priority="1304" operator="equal">
      <formula>"N"</formula>
    </cfRule>
  </conditionalFormatting>
  <conditionalFormatting sqref="H439">
    <cfRule type="cellIs" dxfId="2" priority="1915" operator="equal">
      <formula>"Y"</formula>
    </cfRule>
    <cfRule type="cellIs" dxfId="3" priority="1916" operator="equal">
      <formula>"N"</formula>
    </cfRule>
  </conditionalFormatting>
  <conditionalFormatting sqref="H440">
    <cfRule type="cellIs" dxfId="2" priority="1941" operator="equal">
      <formula>"Y"</formula>
    </cfRule>
    <cfRule type="cellIs" dxfId="3" priority="1942" operator="equal">
      <formula>"N"</formula>
    </cfRule>
  </conditionalFormatting>
  <conditionalFormatting sqref="H441">
    <cfRule type="cellIs" dxfId="2" priority="1967" operator="equal">
      <formula>"Y"</formula>
    </cfRule>
    <cfRule type="cellIs" dxfId="3" priority="1968" operator="equal">
      <formula>"N"</formula>
    </cfRule>
  </conditionalFormatting>
  <conditionalFormatting sqref="H442">
    <cfRule type="cellIs" dxfId="2" priority="1993" operator="equal">
      <formula>"Y"</formula>
    </cfRule>
    <cfRule type="cellIs" dxfId="3" priority="1994" operator="equal">
      <formula>"N"</formula>
    </cfRule>
  </conditionalFormatting>
  <conditionalFormatting sqref="H443">
    <cfRule type="cellIs" dxfId="2" priority="2019" operator="equal">
      <formula>"Y"</formula>
    </cfRule>
    <cfRule type="cellIs" dxfId="3" priority="2020" operator="equal">
      <formula>"N"</formula>
    </cfRule>
  </conditionalFormatting>
  <conditionalFormatting sqref="H444">
    <cfRule type="cellIs" dxfId="2" priority="2045" operator="equal">
      <formula>"Y"</formula>
    </cfRule>
    <cfRule type="cellIs" dxfId="3" priority="2046" operator="equal">
      <formula>"N"</formula>
    </cfRule>
  </conditionalFormatting>
  <conditionalFormatting sqref="H446">
    <cfRule type="cellIs" dxfId="2" priority="2099" operator="equal">
      <formula>"Y"</formula>
    </cfRule>
    <cfRule type="cellIs" dxfId="3" priority="2100" operator="equal">
      <formula>"N"</formula>
    </cfRule>
  </conditionalFormatting>
  <conditionalFormatting sqref="H447">
    <cfRule type="cellIs" dxfId="2" priority="2125" operator="equal">
      <formula>"Y"</formula>
    </cfRule>
    <cfRule type="cellIs" dxfId="3" priority="2126" operator="equal">
      <formula>"N"</formula>
    </cfRule>
  </conditionalFormatting>
  <conditionalFormatting sqref="H448">
    <cfRule type="cellIs" dxfId="2" priority="2151" operator="equal">
      <formula>"Y"</formula>
    </cfRule>
    <cfRule type="cellIs" dxfId="3" priority="2152" operator="equal">
      <formula>"N"</formula>
    </cfRule>
  </conditionalFormatting>
  <conditionalFormatting sqref="H449">
    <cfRule type="cellIs" dxfId="2" priority="2177" operator="equal">
      <formula>"Y"</formula>
    </cfRule>
    <cfRule type="cellIs" dxfId="3" priority="2178" operator="equal">
      <formula>"N"</formula>
    </cfRule>
  </conditionalFormatting>
  <conditionalFormatting sqref="H450">
    <cfRule type="cellIs" dxfId="2" priority="2203" operator="equal">
      <formula>"Y"</formula>
    </cfRule>
    <cfRule type="cellIs" dxfId="3" priority="2204" operator="equal">
      <formula>"N"</formula>
    </cfRule>
  </conditionalFormatting>
  <conditionalFormatting sqref="H451">
    <cfRule type="cellIs" dxfId="2" priority="2229" operator="equal">
      <formula>"Y"</formula>
    </cfRule>
    <cfRule type="cellIs" dxfId="3" priority="2230" operator="equal">
      <formula>"N"</formula>
    </cfRule>
  </conditionalFormatting>
  <conditionalFormatting sqref="H452">
    <cfRule type="cellIs" dxfId="2" priority="2255" operator="equal">
      <formula>"Y"</formula>
    </cfRule>
    <cfRule type="cellIs" dxfId="3" priority="2256" operator="equal">
      <formula>"N"</formula>
    </cfRule>
  </conditionalFormatting>
  <conditionalFormatting sqref="H5">
    <cfRule type="cellIs" dxfId="2" priority="11" operator="equal">
      <formula>"Y"</formula>
    </cfRule>
    <cfRule type="cellIs" dxfId="3" priority="12" operator="equal">
      <formula>"N"</formula>
    </cfRule>
  </conditionalFormatting>
  <conditionalFormatting sqref="H6">
    <cfRule type="cellIs" dxfId="2" priority="37" operator="equal">
      <formula>"Y"</formula>
    </cfRule>
    <cfRule type="cellIs" dxfId="3" priority="38" operator="equal">
      <formula>"N"</formula>
    </cfRule>
  </conditionalFormatting>
  <conditionalFormatting sqref="H7">
    <cfRule type="cellIs" dxfId="2" priority="63" operator="equal">
      <formula>"Y"</formula>
    </cfRule>
    <cfRule type="cellIs" dxfId="3" priority="64" operator="equal">
      <formula>"N"</formula>
    </cfRule>
  </conditionalFormatting>
  <conditionalFormatting sqref="H8">
    <cfRule type="cellIs" dxfId="2" priority="89" operator="equal">
      <formula>"Y"</formula>
    </cfRule>
    <cfRule type="cellIs" dxfId="3" priority="90" operator="equal">
      <formula>"N"</formula>
    </cfRule>
  </conditionalFormatting>
  <conditionalFormatting sqref="H9">
    <cfRule type="cellIs" dxfId="2" priority="115" operator="equal">
      <formula>"Y"</formula>
    </cfRule>
    <cfRule type="cellIs" dxfId="3" priority="116" operator="equal">
      <formula>"N"</formula>
    </cfRule>
  </conditionalFormatting>
  <conditionalFormatting sqref="I10">
    <cfRule type="cellIs" dxfId="2" priority="143" operator="equal">
      <formula>"Y"</formula>
    </cfRule>
    <cfRule type="cellIs" dxfId="3" priority="144" operator="equal">
      <formula>"N"</formula>
    </cfRule>
  </conditionalFormatting>
  <conditionalFormatting sqref="I11">
    <cfRule type="cellIs" dxfId="2" priority="169" operator="equal">
      <formula>"Y"</formula>
    </cfRule>
    <cfRule type="cellIs" dxfId="3" priority="170" operator="equal">
      <formula>"N"</formula>
    </cfRule>
  </conditionalFormatting>
  <conditionalFormatting sqref="I13">
    <cfRule type="cellIs" dxfId="2" priority="223" operator="equal">
      <formula>"Y"</formula>
    </cfRule>
    <cfRule type="cellIs" dxfId="3" priority="224" operator="equal">
      <formula>"N"</formula>
    </cfRule>
  </conditionalFormatting>
  <conditionalFormatting sqref="I14">
    <cfRule type="cellIs" dxfId="2" priority="249" operator="equal">
      <formula>"Y"</formula>
    </cfRule>
    <cfRule type="cellIs" dxfId="3" priority="250" operator="equal">
      <formula>"N"</formula>
    </cfRule>
  </conditionalFormatting>
  <conditionalFormatting sqref="I15">
    <cfRule type="cellIs" dxfId="2" priority="275" operator="equal">
      <formula>"Y"</formula>
    </cfRule>
    <cfRule type="cellIs" dxfId="3" priority="276" operator="equal">
      <formula>"N"</formula>
    </cfRule>
  </conditionalFormatting>
  <conditionalFormatting sqref="I16">
    <cfRule type="cellIs" dxfId="2" priority="301" operator="equal">
      <formula>"Y"</formula>
    </cfRule>
    <cfRule type="cellIs" dxfId="3" priority="302" operator="equal">
      <formula>"N"</formula>
    </cfRule>
  </conditionalFormatting>
  <conditionalFormatting sqref="I17">
    <cfRule type="cellIs" dxfId="2" priority="327" operator="equal">
      <formula>"Y"</formula>
    </cfRule>
    <cfRule type="cellIs" dxfId="3" priority="328" operator="equal">
      <formula>"N"</formula>
    </cfRule>
  </conditionalFormatting>
  <conditionalFormatting sqref="I18">
    <cfRule type="cellIs" dxfId="2" priority="353" operator="equal">
      <formula>"Y"</formula>
    </cfRule>
    <cfRule type="cellIs" dxfId="3" priority="354" operator="equal">
      <formula>"N"</formula>
    </cfRule>
  </conditionalFormatting>
  <conditionalFormatting sqref="I222">
    <cfRule type="cellIs" dxfId="2" priority="965" operator="equal">
      <formula>"Y"</formula>
    </cfRule>
    <cfRule type="cellIs" dxfId="3" priority="966" operator="equal">
      <formula>"N"</formula>
    </cfRule>
  </conditionalFormatting>
  <conditionalFormatting sqref="I223">
    <cfRule type="cellIs" dxfId="2" priority="991" operator="equal">
      <formula>"Y"</formula>
    </cfRule>
    <cfRule type="cellIs" dxfId="3" priority="992" operator="equal">
      <formula>"N"</formula>
    </cfRule>
  </conditionalFormatting>
  <conditionalFormatting sqref="I224">
    <cfRule type="cellIs" dxfId="2" priority="1017" operator="equal">
      <formula>"Y"</formula>
    </cfRule>
    <cfRule type="cellIs" dxfId="3" priority="1018" operator="equal">
      <formula>"N"</formula>
    </cfRule>
  </conditionalFormatting>
  <conditionalFormatting sqref="I225">
    <cfRule type="cellIs" dxfId="2" priority="1043" operator="equal">
      <formula>"Y"</formula>
    </cfRule>
    <cfRule type="cellIs" dxfId="3" priority="1044" operator="equal">
      <formula>"N"</formula>
    </cfRule>
  </conditionalFormatting>
  <conditionalFormatting sqref="I226">
    <cfRule type="cellIs" dxfId="2" priority="1069" operator="equal">
      <formula>"Y"</formula>
    </cfRule>
    <cfRule type="cellIs" dxfId="3" priority="1070" operator="equal">
      <formula>"N"</formula>
    </cfRule>
  </conditionalFormatting>
  <conditionalFormatting sqref="I227">
    <cfRule type="cellIs" dxfId="2" priority="1095" operator="equal">
      <formula>"Y"</formula>
    </cfRule>
    <cfRule type="cellIs" dxfId="3" priority="1096" operator="equal">
      <formula>"N"</formula>
    </cfRule>
  </conditionalFormatting>
  <conditionalFormatting sqref="I228">
    <cfRule type="cellIs" dxfId="2" priority="1121" operator="equal">
      <formula>"Y"</formula>
    </cfRule>
    <cfRule type="cellIs" dxfId="3" priority="1122" operator="equal">
      <formula>"N"</formula>
    </cfRule>
  </conditionalFormatting>
  <conditionalFormatting sqref="I230">
    <cfRule type="cellIs" dxfId="2" priority="1175" operator="equal">
      <formula>"Y"</formula>
    </cfRule>
    <cfRule type="cellIs" dxfId="3" priority="1176" operator="equal">
      <formula>"N"</formula>
    </cfRule>
  </conditionalFormatting>
  <conditionalFormatting sqref="I231">
    <cfRule type="cellIs" dxfId="2" priority="1201" operator="equal">
      <formula>"Y"</formula>
    </cfRule>
    <cfRule type="cellIs" dxfId="3" priority="1202" operator="equal">
      <formula>"N"</formula>
    </cfRule>
  </conditionalFormatting>
  <conditionalFormatting sqref="I232">
    <cfRule type="cellIs" dxfId="2" priority="1227" operator="equal">
      <formula>"Y"</formula>
    </cfRule>
    <cfRule type="cellIs" dxfId="3" priority="1228" operator="equal">
      <formula>"N"</formula>
    </cfRule>
  </conditionalFormatting>
  <conditionalFormatting sqref="I233">
    <cfRule type="cellIs" dxfId="2" priority="1253" operator="equal">
      <formula>"Y"</formula>
    </cfRule>
    <cfRule type="cellIs" dxfId="3" priority="1254" operator="equal">
      <formula>"N"</formula>
    </cfRule>
  </conditionalFormatting>
  <conditionalFormatting sqref="I234">
    <cfRule type="cellIs" dxfId="2" priority="1279" operator="equal">
      <formula>"Y"</formula>
    </cfRule>
    <cfRule type="cellIs" dxfId="3" priority="1280" operator="equal">
      <formula>"N"</formula>
    </cfRule>
  </conditionalFormatting>
  <conditionalFormatting sqref="I235">
    <cfRule type="cellIs" dxfId="2" priority="1305" operator="equal">
      <formula>"Y"</formula>
    </cfRule>
    <cfRule type="cellIs" dxfId="3" priority="1306" operator="equal">
      <formula>"N"</formula>
    </cfRule>
  </conditionalFormatting>
  <conditionalFormatting sqref="I439">
    <cfRule type="cellIs" dxfId="2" priority="1917" operator="equal">
      <formula>"Y"</formula>
    </cfRule>
    <cfRule type="cellIs" dxfId="3" priority="1918" operator="equal">
      <formula>"N"</formula>
    </cfRule>
  </conditionalFormatting>
  <conditionalFormatting sqref="I440">
    <cfRule type="cellIs" dxfId="2" priority="1943" operator="equal">
      <formula>"Y"</formula>
    </cfRule>
    <cfRule type="cellIs" dxfId="3" priority="1944" operator="equal">
      <formula>"N"</formula>
    </cfRule>
  </conditionalFormatting>
  <conditionalFormatting sqref="I441">
    <cfRule type="cellIs" dxfId="2" priority="1969" operator="equal">
      <formula>"Y"</formula>
    </cfRule>
    <cfRule type="cellIs" dxfId="3" priority="1970" operator="equal">
      <formula>"N"</formula>
    </cfRule>
  </conditionalFormatting>
  <conditionalFormatting sqref="I442">
    <cfRule type="cellIs" dxfId="2" priority="1995" operator="equal">
      <formula>"Y"</formula>
    </cfRule>
    <cfRule type="cellIs" dxfId="3" priority="1996" operator="equal">
      <formula>"N"</formula>
    </cfRule>
  </conditionalFormatting>
  <conditionalFormatting sqref="I443">
    <cfRule type="cellIs" dxfId="2" priority="2021" operator="equal">
      <formula>"Y"</formula>
    </cfRule>
    <cfRule type="cellIs" dxfId="3" priority="2022" operator="equal">
      <formula>"N"</formula>
    </cfRule>
  </conditionalFormatting>
  <conditionalFormatting sqref="I444">
    <cfRule type="cellIs" dxfId="2" priority="2047" operator="equal">
      <formula>"Y"</formula>
    </cfRule>
    <cfRule type="cellIs" dxfId="3" priority="2048" operator="equal">
      <formula>"N"</formula>
    </cfRule>
  </conditionalFormatting>
  <conditionalFormatting sqref="I445">
    <cfRule type="cellIs" dxfId="2" priority="2073" operator="equal">
      <formula>"Y"</formula>
    </cfRule>
    <cfRule type="cellIs" dxfId="3" priority="2074" operator="equal">
      <formula>"N"</formula>
    </cfRule>
  </conditionalFormatting>
  <conditionalFormatting sqref="I447">
    <cfRule type="cellIs" dxfId="2" priority="2127" operator="equal">
      <formula>"Y"</formula>
    </cfRule>
    <cfRule type="cellIs" dxfId="3" priority="2128" operator="equal">
      <formula>"N"</formula>
    </cfRule>
  </conditionalFormatting>
  <conditionalFormatting sqref="I448">
    <cfRule type="cellIs" dxfId="2" priority="2153" operator="equal">
      <formula>"Y"</formula>
    </cfRule>
    <cfRule type="cellIs" dxfId="3" priority="2154" operator="equal">
      <formula>"N"</formula>
    </cfRule>
  </conditionalFormatting>
  <conditionalFormatting sqref="I449">
    <cfRule type="cellIs" dxfId="2" priority="2179" operator="equal">
      <formula>"Y"</formula>
    </cfRule>
    <cfRule type="cellIs" dxfId="3" priority="2180" operator="equal">
      <formula>"N"</formula>
    </cfRule>
  </conditionalFormatting>
  <conditionalFormatting sqref="I450">
    <cfRule type="cellIs" dxfId="2" priority="2205" operator="equal">
      <formula>"Y"</formula>
    </cfRule>
    <cfRule type="cellIs" dxfId="3" priority="2206" operator="equal">
      <formula>"N"</formula>
    </cfRule>
  </conditionalFormatting>
  <conditionalFormatting sqref="I451">
    <cfRule type="cellIs" dxfId="2" priority="2231" operator="equal">
      <formula>"Y"</formula>
    </cfRule>
    <cfRule type="cellIs" dxfId="3" priority="2232" operator="equal">
      <formula>"N"</formula>
    </cfRule>
  </conditionalFormatting>
  <conditionalFormatting sqref="I452">
    <cfRule type="cellIs" dxfId="2" priority="2257" operator="equal">
      <formula>"Y"</formula>
    </cfRule>
    <cfRule type="cellIs" dxfId="3" priority="2258" operator="equal">
      <formula>"N"</formula>
    </cfRule>
  </conditionalFormatting>
  <conditionalFormatting sqref="I5">
    <cfRule type="cellIs" dxfId="2" priority="13" operator="equal">
      <formula>"Y"</formula>
    </cfRule>
    <cfRule type="cellIs" dxfId="3" priority="14" operator="equal">
      <formula>"N"</formula>
    </cfRule>
  </conditionalFormatting>
  <conditionalFormatting sqref="I6">
    <cfRule type="cellIs" dxfId="2" priority="39" operator="equal">
      <formula>"Y"</formula>
    </cfRule>
    <cfRule type="cellIs" dxfId="3" priority="40" operator="equal">
      <formula>"N"</formula>
    </cfRule>
  </conditionalFormatting>
  <conditionalFormatting sqref="I7">
    <cfRule type="cellIs" dxfId="2" priority="65" operator="equal">
      <formula>"Y"</formula>
    </cfRule>
    <cfRule type="cellIs" dxfId="3" priority="66" operator="equal">
      <formula>"N"</formula>
    </cfRule>
  </conditionalFormatting>
  <conditionalFormatting sqref="I8">
    <cfRule type="cellIs" dxfId="2" priority="91" operator="equal">
      <formula>"Y"</formula>
    </cfRule>
    <cfRule type="cellIs" dxfId="3" priority="92" operator="equal">
      <formula>"N"</formula>
    </cfRule>
  </conditionalFormatting>
  <conditionalFormatting sqref="I9">
    <cfRule type="cellIs" dxfId="2" priority="117" operator="equal">
      <formula>"Y"</formula>
    </cfRule>
    <cfRule type="cellIs" dxfId="3" priority="118" operator="equal">
      <formula>"N"</formula>
    </cfRule>
  </conditionalFormatting>
  <conditionalFormatting sqref="J10">
    <cfRule type="cellIs" dxfId="2" priority="145" operator="equal">
      <formula>"Y"</formula>
    </cfRule>
    <cfRule type="cellIs" dxfId="3" priority="146" operator="equal">
      <formula>"N"</formula>
    </cfRule>
  </conditionalFormatting>
  <conditionalFormatting sqref="J11">
    <cfRule type="cellIs" dxfId="2" priority="171" operator="equal">
      <formula>"Y"</formula>
    </cfRule>
    <cfRule type="cellIs" dxfId="3" priority="172" operator="equal">
      <formula>"N"</formula>
    </cfRule>
  </conditionalFormatting>
  <conditionalFormatting sqref="J12">
    <cfRule type="cellIs" dxfId="2" priority="197" operator="equal">
      <formula>"Y"</formula>
    </cfRule>
    <cfRule type="cellIs" dxfId="3" priority="198" operator="equal">
      <formula>"N"</formula>
    </cfRule>
  </conditionalFormatting>
  <conditionalFormatting sqref="J14">
    <cfRule type="cellIs" dxfId="2" priority="251" operator="equal">
      <formula>"Y"</formula>
    </cfRule>
    <cfRule type="cellIs" dxfId="3" priority="252" operator="equal">
      <formula>"N"</formula>
    </cfRule>
  </conditionalFormatting>
  <conditionalFormatting sqref="J15">
    <cfRule type="cellIs" dxfId="2" priority="277" operator="equal">
      <formula>"Y"</formula>
    </cfRule>
    <cfRule type="cellIs" dxfId="3" priority="278" operator="equal">
      <formula>"N"</formula>
    </cfRule>
  </conditionalFormatting>
  <conditionalFormatting sqref="J16">
    <cfRule type="cellIs" dxfId="2" priority="303" operator="equal">
      <formula>"Y"</formula>
    </cfRule>
    <cfRule type="cellIs" dxfId="3" priority="304" operator="equal">
      <formula>"N"</formula>
    </cfRule>
  </conditionalFormatting>
  <conditionalFormatting sqref="J17">
    <cfRule type="cellIs" dxfId="2" priority="329" operator="equal">
      <formula>"Y"</formula>
    </cfRule>
    <cfRule type="cellIs" dxfId="3" priority="330" operator="equal">
      <formula>"N"</formula>
    </cfRule>
  </conditionalFormatting>
  <conditionalFormatting sqref="J18">
    <cfRule type="cellIs" dxfId="2" priority="355" operator="equal">
      <formula>"Y"</formula>
    </cfRule>
    <cfRule type="cellIs" dxfId="3" priority="356" operator="equal">
      <formula>"N"</formula>
    </cfRule>
  </conditionalFormatting>
  <conditionalFormatting sqref="J222">
    <cfRule type="cellIs" dxfId="2" priority="967" operator="equal">
      <formula>"Y"</formula>
    </cfRule>
    <cfRule type="cellIs" dxfId="3" priority="968" operator="equal">
      <formula>"N"</formula>
    </cfRule>
  </conditionalFormatting>
  <conditionalFormatting sqref="J223">
    <cfRule type="cellIs" dxfId="2" priority="993" operator="equal">
      <formula>"Y"</formula>
    </cfRule>
    <cfRule type="cellIs" dxfId="3" priority="994" operator="equal">
      <formula>"N"</formula>
    </cfRule>
  </conditionalFormatting>
  <conditionalFormatting sqref="J224">
    <cfRule type="cellIs" dxfId="2" priority="1019" operator="equal">
      <formula>"Y"</formula>
    </cfRule>
    <cfRule type="cellIs" dxfId="3" priority="1020" operator="equal">
      <formula>"N"</formula>
    </cfRule>
  </conditionalFormatting>
  <conditionalFormatting sqref="J225">
    <cfRule type="cellIs" dxfId="2" priority="1045" operator="equal">
      <formula>"Y"</formula>
    </cfRule>
    <cfRule type="cellIs" dxfId="3" priority="1046" operator="equal">
      <formula>"N"</formula>
    </cfRule>
  </conditionalFormatting>
  <conditionalFormatting sqref="J226">
    <cfRule type="cellIs" dxfId="2" priority="1071" operator="equal">
      <formula>"Y"</formula>
    </cfRule>
    <cfRule type="cellIs" dxfId="3" priority="1072" operator="equal">
      <formula>"N"</formula>
    </cfRule>
  </conditionalFormatting>
  <conditionalFormatting sqref="J227">
    <cfRule type="cellIs" dxfId="2" priority="1097" operator="equal">
      <formula>"Y"</formula>
    </cfRule>
    <cfRule type="cellIs" dxfId="3" priority="1098" operator="equal">
      <formula>"N"</formula>
    </cfRule>
  </conditionalFormatting>
  <conditionalFormatting sqref="J228">
    <cfRule type="cellIs" dxfId="2" priority="1123" operator="equal">
      <formula>"Y"</formula>
    </cfRule>
    <cfRule type="cellIs" dxfId="3" priority="1124" operator="equal">
      <formula>"N"</formula>
    </cfRule>
  </conditionalFormatting>
  <conditionalFormatting sqref="J229">
    <cfRule type="cellIs" dxfId="2" priority="1149" operator="equal">
      <formula>"Y"</formula>
    </cfRule>
    <cfRule type="cellIs" dxfId="3" priority="1150" operator="equal">
      <formula>"N"</formula>
    </cfRule>
  </conditionalFormatting>
  <conditionalFormatting sqref="J231">
    <cfRule type="cellIs" dxfId="2" priority="1203" operator="equal">
      <formula>"Y"</formula>
    </cfRule>
    <cfRule type="cellIs" dxfId="3" priority="1204" operator="equal">
      <formula>"N"</formula>
    </cfRule>
  </conditionalFormatting>
  <conditionalFormatting sqref="J232">
    <cfRule type="cellIs" dxfId="2" priority="1229" operator="equal">
      <formula>"Y"</formula>
    </cfRule>
    <cfRule type="cellIs" dxfId="3" priority="1230" operator="equal">
      <formula>"N"</formula>
    </cfRule>
  </conditionalFormatting>
  <conditionalFormatting sqref="J233">
    <cfRule type="cellIs" dxfId="2" priority="1255" operator="equal">
      <formula>"Y"</formula>
    </cfRule>
    <cfRule type="cellIs" dxfId="3" priority="1256" operator="equal">
      <formula>"N"</formula>
    </cfRule>
  </conditionalFormatting>
  <conditionalFormatting sqref="J234">
    <cfRule type="cellIs" dxfId="2" priority="1281" operator="equal">
      <formula>"Y"</formula>
    </cfRule>
    <cfRule type="cellIs" dxfId="3" priority="1282" operator="equal">
      <formula>"N"</formula>
    </cfRule>
  </conditionalFormatting>
  <conditionalFormatting sqref="J235">
    <cfRule type="cellIs" dxfId="2" priority="1307" operator="equal">
      <formula>"Y"</formula>
    </cfRule>
    <cfRule type="cellIs" dxfId="3" priority="1308" operator="equal">
      <formula>"N"</formula>
    </cfRule>
  </conditionalFormatting>
  <conditionalFormatting sqref="J439">
    <cfRule type="cellIs" dxfId="2" priority="1919" operator="equal">
      <formula>"Y"</formula>
    </cfRule>
    <cfRule type="cellIs" dxfId="3" priority="1920" operator="equal">
      <formula>"N"</formula>
    </cfRule>
  </conditionalFormatting>
  <conditionalFormatting sqref="J440">
    <cfRule type="cellIs" dxfId="2" priority="1945" operator="equal">
      <formula>"Y"</formula>
    </cfRule>
    <cfRule type="cellIs" dxfId="3" priority="1946" operator="equal">
      <formula>"N"</formula>
    </cfRule>
  </conditionalFormatting>
  <conditionalFormatting sqref="J441">
    <cfRule type="cellIs" dxfId="2" priority="1971" operator="equal">
      <formula>"Y"</formula>
    </cfRule>
    <cfRule type="cellIs" dxfId="3" priority="1972" operator="equal">
      <formula>"N"</formula>
    </cfRule>
  </conditionalFormatting>
  <conditionalFormatting sqref="J442">
    <cfRule type="cellIs" dxfId="2" priority="1997" operator="equal">
      <formula>"Y"</formula>
    </cfRule>
    <cfRule type="cellIs" dxfId="3" priority="1998" operator="equal">
      <formula>"N"</formula>
    </cfRule>
  </conditionalFormatting>
  <conditionalFormatting sqref="J443">
    <cfRule type="cellIs" dxfId="2" priority="2023" operator="equal">
      <formula>"Y"</formula>
    </cfRule>
    <cfRule type="cellIs" dxfId="3" priority="2024" operator="equal">
      <formula>"N"</formula>
    </cfRule>
  </conditionalFormatting>
  <conditionalFormatting sqref="J444">
    <cfRule type="cellIs" dxfId="2" priority="2049" operator="equal">
      <formula>"Y"</formula>
    </cfRule>
    <cfRule type="cellIs" dxfId="3" priority="2050" operator="equal">
      <formula>"N"</formula>
    </cfRule>
  </conditionalFormatting>
  <conditionalFormatting sqref="J445">
    <cfRule type="cellIs" dxfId="2" priority="2075" operator="equal">
      <formula>"Y"</formula>
    </cfRule>
    <cfRule type="cellIs" dxfId="3" priority="2076" operator="equal">
      <formula>"N"</formula>
    </cfRule>
  </conditionalFormatting>
  <conditionalFormatting sqref="J446">
    <cfRule type="cellIs" dxfId="2" priority="2101" operator="equal">
      <formula>"Y"</formula>
    </cfRule>
    <cfRule type="cellIs" dxfId="3" priority="2102" operator="equal">
      <formula>"N"</formula>
    </cfRule>
  </conditionalFormatting>
  <conditionalFormatting sqref="J448">
    <cfRule type="cellIs" dxfId="2" priority="2155" operator="equal">
      <formula>"Y"</formula>
    </cfRule>
    <cfRule type="cellIs" dxfId="3" priority="2156" operator="equal">
      <formula>"N"</formula>
    </cfRule>
  </conditionalFormatting>
  <conditionalFormatting sqref="J449">
    <cfRule type="cellIs" dxfId="2" priority="2181" operator="equal">
      <formula>"Y"</formula>
    </cfRule>
    <cfRule type="cellIs" dxfId="3" priority="2182" operator="equal">
      <formula>"N"</formula>
    </cfRule>
  </conditionalFormatting>
  <conditionalFormatting sqref="J450">
    <cfRule type="cellIs" dxfId="2" priority="2207" operator="equal">
      <formula>"Y"</formula>
    </cfRule>
    <cfRule type="cellIs" dxfId="3" priority="2208" operator="equal">
      <formula>"N"</formula>
    </cfRule>
  </conditionalFormatting>
  <conditionalFormatting sqref="J451">
    <cfRule type="cellIs" dxfId="2" priority="2233" operator="equal">
      <formula>"Y"</formula>
    </cfRule>
    <cfRule type="cellIs" dxfId="3" priority="2234" operator="equal">
      <formula>"N"</formula>
    </cfRule>
  </conditionalFormatting>
  <conditionalFormatting sqref="J452">
    <cfRule type="cellIs" dxfId="2" priority="2259" operator="equal">
      <formula>"Y"</formula>
    </cfRule>
    <cfRule type="cellIs" dxfId="3" priority="2260" operator="equal">
      <formula>"N"</formula>
    </cfRule>
  </conditionalFormatting>
  <conditionalFormatting sqref="J5">
    <cfRule type="cellIs" dxfId="2" priority="15" operator="equal">
      <formula>"Y"</formula>
    </cfRule>
    <cfRule type="cellIs" dxfId="3" priority="16" operator="equal">
      <formula>"N"</formula>
    </cfRule>
  </conditionalFormatting>
  <conditionalFormatting sqref="J6">
    <cfRule type="cellIs" dxfId="2" priority="41" operator="equal">
      <formula>"Y"</formula>
    </cfRule>
    <cfRule type="cellIs" dxfId="3" priority="42" operator="equal">
      <formula>"N"</formula>
    </cfRule>
  </conditionalFormatting>
  <conditionalFormatting sqref="J7">
    <cfRule type="cellIs" dxfId="2" priority="67" operator="equal">
      <formula>"Y"</formula>
    </cfRule>
    <cfRule type="cellIs" dxfId="3" priority="68" operator="equal">
      <formula>"N"</formula>
    </cfRule>
  </conditionalFormatting>
  <conditionalFormatting sqref="J8">
    <cfRule type="cellIs" dxfId="2" priority="93" operator="equal">
      <formula>"Y"</formula>
    </cfRule>
    <cfRule type="cellIs" dxfId="3" priority="94" operator="equal">
      <formula>"N"</formula>
    </cfRule>
  </conditionalFormatting>
  <conditionalFormatting sqref="J9">
    <cfRule type="cellIs" dxfId="2" priority="119" operator="equal">
      <formula>"Y"</formula>
    </cfRule>
    <cfRule type="cellIs" dxfId="3" priority="120" operator="equal">
      <formula>"N"</formula>
    </cfRule>
  </conditionalFormatting>
  <conditionalFormatting sqref="K10">
    <cfRule type="cellIs" dxfId="2" priority="147" operator="equal">
      <formula>"Y"</formula>
    </cfRule>
    <cfRule type="cellIs" dxfId="3" priority="148" operator="equal">
      <formula>"N"</formula>
    </cfRule>
  </conditionalFormatting>
  <conditionalFormatting sqref="K11">
    <cfRule type="cellIs" dxfId="2" priority="173" operator="equal">
      <formula>"Y"</formula>
    </cfRule>
    <cfRule type="cellIs" dxfId="3" priority="174" operator="equal">
      <formula>"N"</formula>
    </cfRule>
  </conditionalFormatting>
  <conditionalFormatting sqref="K12">
    <cfRule type="cellIs" dxfId="2" priority="199" operator="equal">
      <formula>"Y"</formula>
    </cfRule>
    <cfRule type="cellIs" dxfId="3" priority="200" operator="equal">
      <formula>"N"</formula>
    </cfRule>
  </conditionalFormatting>
  <conditionalFormatting sqref="K13">
    <cfRule type="cellIs" dxfId="2" priority="225" operator="equal">
      <formula>"Y"</formula>
    </cfRule>
    <cfRule type="cellIs" dxfId="3" priority="226" operator="equal">
      <formula>"N"</formula>
    </cfRule>
  </conditionalFormatting>
  <conditionalFormatting sqref="K15">
    <cfRule type="cellIs" dxfId="2" priority="279" operator="equal">
      <formula>"Y"</formula>
    </cfRule>
    <cfRule type="cellIs" dxfId="3" priority="280" operator="equal">
      <formula>"N"</formula>
    </cfRule>
  </conditionalFormatting>
  <conditionalFormatting sqref="K16">
    <cfRule type="cellIs" dxfId="2" priority="305" operator="equal">
      <formula>"Y"</formula>
    </cfRule>
    <cfRule type="cellIs" dxfId="3" priority="306" operator="equal">
      <formula>"N"</formula>
    </cfRule>
  </conditionalFormatting>
  <conditionalFormatting sqref="K17">
    <cfRule type="cellIs" dxfId="2" priority="331" operator="equal">
      <formula>"Y"</formula>
    </cfRule>
    <cfRule type="cellIs" dxfId="3" priority="332" operator="equal">
      <formula>"N"</formula>
    </cfRule>
  </conditionalFormatting>
  <conditionalFormatting sqref="K18">
    <cfRule type="cellIs" dxfId="2" priority="357" operator="equal">
      <formula>"Y"</formula>
    </cfRule>
    <cfRule type="cellIs" dxfId="3" priority="358" operator="equal">
      <formula>"N"</formula>
    </cfRule>
  </conditionalFormatting>
  <conditionalFormatting sqref="K222">
    <cfRule type="cellIs" dxfId="2" priority="969" operator="equal">
      <formula>"Y"</formula>
    </cfRule>
    <cfRule type="cellIs" dxfId="3" priority="970" operator="equal">
      <formula>"N"</formula>
    </cfRule>
  </conditionalFormatting>
  <conditionalFormatting sqref="K223">
    <cfRule type="cellIs" dxfId="2" priority="995" operator="equal">
      <formula>"Y"</formula>
    </cfRule>
    <cfRule type="cellIs" dxfId="3" priority="996" operator="equal">
      <formula>"N"</formula>
    </cfRule>
  </conditionalFormatting>
  <conditionalFormatting sqref="K224">
    <cfRule type="cellIs" dxfId="2" priority="1021" operator="equal">
      <formula>"Y"</formula>
    </cfRule>
    <cfRule type="cellIs" dxfId="3" priority="1022" operator="equal">
      <formula>"N"</formula>
    </cfRule>
  </conditionalFormatting>
  <conditionalFormatting sqref="K225">
    <cfRule type="cellIs" dxfId="2" priority="1047" operator="equal">
      <formula>"Y"</formula>
    </cfRule>
    <cfRule type="cellIs" dxfId="3" priority="1048" operator="equal">
      <formula>"N"</formula>
    </cfRule>
  </conditionalFormatting>
  <conditionalFormatting sqref="K226">
    <cfRule type="cellIs" dxfId="2" priority="1073" operator="equal">
      <formula>"Y"</formula>
    </cfRule>
    <cfRule type="cellIs" dxfId="3" priority="1074" operator="equal">
      <formula>"N"</formula>
    </cfRule>
  </conditionalFormatting>
  <conditionalFormatting sqref="K227">
    <cfRule type="cellIs" dxfId="2" priority="1099" operator="equal">
      <formula>"Y"</formula>
    </cfRule>
    <cfRule type="cellIs" dxfId="3" priority="1100" operator="equal">
      <formula>"N"</formula>
    </cfRule>
  </conditionalFormatting>
  <conditionalFormatting sqref="K228">
    <cfRule type="cellIs" dxfId="2" priority="1125" operator="equal">
      <formula>"Y"</formula>
    </cfRule>
    <cfRule type="cellIs" dxfId="3" priority="1126" operator="equal">
      <formula>"N"</formula>
    </cfRule>
  </conditionalFormatting>
  <conditionalFormatting sqref="K229">
    <cfRule type="cellIs" dxfId="2" priority="1151" operator="equal">
      <formula>"Y"</formula>
    </cfRule>
    <cfRule type="cellIs" dxfId="3" priority="1152" operator="equal">
      <formula>"N"</formula>
    </cfRule>
  </conditionalFormatting>
  <conditionalFormatting sqref="K230">
    <cfRule type="cellIs" dxfId="2" priority="1177" operator="equal">
      <formula>"Y"</formula>
    </cfRule>
    <cfRule type="cellIs" dxfId="3" priority="1178" operator="equal">
      <formula>"N"</formula>
    </cfRule>
  </conditionalFormatting>
  <conditionalFormatting sqref="K232">
    <cfRule type="cellIs" dxfId="2" priority="1231" operator="equal">
      <formula>"Y"</formula>
    </cfRule>
    <cfRule type="cellIs" dxfId="3" priority="1232" operator="equal">
      <formula>"N"</formula>
    </cfRule>
  </conditionalFormatting>
  <conditionalFormatting sqref="K233">
    <cfRule type="cellIs" dxfId="2" priority="1257" operator="equal">
      <formula>"Y"</formula>
    </cfRule>
    <cfRule type="cellIs" dxfId="3" priority="1258" operator="equal">
      <formula>"N"</formula>
    </cfRule>
  </conditionalFormatting>
  <conditionalFormatting sqref="K234">
    <cfRule type="cellIs" dxfId="2" priority="1283" operator="equal">
      <formula>"Y"</formula>
    </cfRule>
    <cfRule type="cellIs" dxfId="3" priority="1284" operator="equal">
      <formula>"N"</formula>
    </cfRule>
  </conditionalFormatting>
  <conditionalFormatting sqref="K235">
    <cfRule type="cellIs" dxfId="2" priority="1309" operator="equal">
      <formula>"Y"</formula>
    </cfRule>
    <cfRule type="cellIs" dxfId="3" priority="1310" operator="equal">
      <formula>"N"</formula>
    </cfRule>
  </conditionalFormatting>
  <conditionalFormatting sqref="K439">
    <cfRule type="cellIs" dxfId="2" priority="1921" operator="equal">
      <formula>"Y"</formula>
    </cfRule>
    <cfRule type="cellIs" dxfId="3" priority="1922" operator="equal">
      <formula>"N"</formula>
    </cfRule>
  </conditionalFormatting>
  <conditionalFormatting sqref="K440">
    <cfRule type="cellIs" dxfId="2" priority="1947" operator="equal">
      <formula>"Y"</formula>
    </cfRule>
    <cfRule type="cellIs" dxfId="3" priority="1948" operator="equal">
      <formula>"N"</formula>
    </cfRule>
  </conditionalFormatting>
  <conditionalFormatting sqref="K441">
    <cfRule type="cellIs" dxfId="2" priority="1973" operator="equal">
      <formula>"Y"</formula>
    </cfRule>
    <cfRule type="cellIs" dxfId="3" priority="1974" operator="equal">
      <formula>"N"</formula>
    </cfRule>
  </conditionalFormatting>
  <conditionalFormatting sqref="K442">
    <cfRule type="cellIs" dxfId="2" priority="1999" operator="equal">
      <formula>"Y"</formula>
    </cfRule>
    <cfRule type="cellIs" dxfId="3" priority="2000" operator="equal">
      <formula>"N"</formula>
    </cfRule>
  </conditionalFormatting>
  <conditionalFormatting sqref="K443">
    <cfRule type="cellIs" dxfId="2" priority="2025" operator="equal">
      <formula>"Y"</formula>
    </cfRule>
    <cfRule type="cellIs" dxfId="3" priority="2026" operator="equal">
      <formula>"N"</formula>
    </cfRule>
  </conditionalFormatting>
  <conditionalFormatting sqref="K444">
    <cfRule type="cellIs" dxfId="2" priority="2051" operator="equal">
      <formula>"Y"</formula>
    </cfRule>
    <cfRule type="cellIs" dxfId="3" priority="2052" operator="equal">
      <formula>"N"</formula>
    </cfRule>
  </conditionalFormatting>
  <conditionalFormatting sqref="K445">
    <cfRule type="cellIs" dxfId="2" priority="2077" operator="equal">
      <formula>"Y"</formula>
    </cfRule>
    <cfRule type="cellIs" dxfId="3" priority="2078" operator="equal">
      <formula>"N"</formula>
    </cfRule>
  </conditionalFormatting>
  <conditionalFormatting sqref="K446">
    <cfRule type="cellIs" dxfId="2" priority="2103" operator="equal">
      <formula>"Y"</formula>
    </cfRule>
    <cfRule type="cellIs" dxfId="3" priority="2104" operator="equal">
      <formula>"N"</formula>
    </cfRule>
  </conditionalFormatting>
  <conditionalFormatting sqref="K447">
    <cfRule type="cellIs" dxfId="2" priority="2129" operator="equal">
      <formula>"Y"</formula>
    </cfRule>
    <cfRule type="cellIs" dxfId="3" priority="2130" operator="equal">
      <formula>"N"</formula>
    </cfRule>
  </conditionalFormatting>
  <conditionalFormatting sqref="K449">
    <cfRule type="cellIs" dxfId="2" priority="2183" operator="equal">
      <formula>"Y"</formula>
    </cfRule>
    <cfRule type="cellIs" dxfId="3" priority="2184" operator="equal">
      <formula>"N"</formula>
    </cfRule>
  </conditionalFormatting>
  <conditionalFormatting sqref="K450">
    <cfRule type="cellIs" dxfId="2" priority="2209" operator="equal">
      <formula>"Y"</formula>
    </cfRule>
    <cfRule type="cellIs" dxfId="3" priority="2210" operator="equal">
      <formula>"N"</formula>
    </cfRule>
  </conditionalFormatting>
  <conditionalFormatting sqref="K451">
    <cfRule type="cellIs" dxfId="2" priority="2235" operator="equal">
      <formula>"Y"</formula>
    </cfRule>
    <cfRule type="cellIs" dxfId="3" priority="2236" operator="equal">
      <formula>"N"</formula>
    </cfRule>
  </conditionalFormatting>
  <conditionalFormatting sqref="K452">
    <cfRule type="cellIs" dxfId="2" priority="2261" operator="equal">
      <formula>"Y"</formula>
    </cfRule>
    <cfRule type="cellIs" dxfId="3" priority="2262" operator="equal">
      <formula>"N"</formula>
    </cfRule>
  </conditionalFormatting>
  <conditionalFormatting sqref="K5">
    <cfRule type="cellIs" dxfId="2" priority="17" operator="equal">
      <formula>"Y"</formula>
    </cfRule>
    <cfRule type="cellIs" dxfId="3" priority="18" operator="equal">
      <formula>"N"</formula>
    </cfRule>
  </conditionalFormatting>
  <conditionalFormatting sqref="K6">
    <cfRule type="cellIs" dxfId="2" priority="43" operator="equal">
      <formula>"Y"</formula>
    </cfRule>
    <cfRule type="cellIs" dxfId="3" priority="44" operator="equal">
      <formula>"N"</formula>
    </cfRule>
  </conditionalFormatting>
  <conditionalFormatting sqref="K7">
    <cfRule type="cellIs" dxfId="2" priority="69" operator="equal">
      <formula>"Y"</formula>
    </cfRule>
    <cfRule type="cellIs" dxfId="3" priority="70" operator="equal">
      <formula>"N"</formula>
    </cfRule>
  </conditionalFormatting>
  <conditionalFormatting sqref="K8">
    <cfRule type="cellIs" dxfId="2" priority="95" operator="equal">
      <formula>"Y"</formula>
    </cfRule>
    <cfRule type="cellIs" dxfId="3" priority="96" operator="equal">
      <formula>"N"</formula>
    </cfRule>
  </conditionalFormatting>
  <conditionalFormatting sqref="K9">
    <cfRule type="cellIs" dxfId="2" priority="121" operator="equal">
      <formula>"Y"</formula>
    </cfRule>
    <cfRule type="cellIs" dxfId="3" priority="122" operator="equal">
      <formula>"N"</formula>
    </cfRule>
  </conditionalFormatting>
  <conditionalFormatting sqref="L10">
    <cfRule type="cellIs" dxfId="2" priority="149" operator="equal">
      <formula>"Y"</formula>
    </cfRule>
    <cfRule type="cellIs" dxfId="3" priority="150" operator="equal">
      <formula>"N"</formula>
    </cfRule>
  </conditionalFormatting>
  <conditionalFormatting sqref="L11">
    <cfRule type="cellIs" dxfId="2" priority="175" operator="equal">
      <formula>"Y"</formula>
    </cfRule>
    <cfRule type="cellIs" dxfId="3" priority="176" operator="equal">
      <formula>"N"</formula>
    </cfRule>
  </conditionalFormatting>
  <conditionalFormatting sqref="L12">
    <cfRule type="cellIs" dxfId="2" priority="201" operator="equal">
      <formula>"Y"</formula>
    </cfRule>
    <cfRule type="cellIs" dxfId="3" priority="202" operator="equal">
      <formula>"N"</formula>
    </cfRule>
  </conditionalFormatting>
  <conditionalFormatting sqref="L13">
    <cfRule type="cellIs" dxfId="2" priority="227" operator="equal">
      <formula>"Y"</formula>
    </cfRule>
    <cfRule type="cellIs" dxfId="3" priority="228" operator="equal">
      <formula>"N"</formula>
    </cfRule>
  </conditionalFormatting>
  <conditionalFormatting sqref="L14">
    <cfRule type="cellIs" dxfId="2" priority="253" operator="equal">
      <formula>"Y"</formula>
    </cfRule>
    <cfRule type="cellIs" dxfId="3" priority="254" operator="equal">
      <formula>"N"</formula>
    </cfRule>
  </conditionalFormatting>
  <conditionalFormatting sqref="L16">
    <cfRule type="cellIs" dxfId="2" priority="307" operator="equal">
      <formula>"Y"</formula>
    </cfRule>
    <cfRule type="cellIs" dxfId="3" priority="308" operator="equal">
      <formula>"N"</formula>
    </cfRule>
  </conditionalFormatting>
  <conditionalFormatting sqref="L17">
    <cfRule type="cellIs" dxfId="2" priority="333" operator="equal">
      <formula>"Y"</formula>
    </cfRule>
    <cfRule type="cellIs" dxfId="3" priority="334" operator="equal">
      <formula>"N"</formula>
    </cfRule>
  </conditionalFormatting>
  <conditionalFormatting sqref="L18">
    <cfRule type="cellIs" dxfId="2" priority="359" operator="equal">
      <formula>"Y"</formula>
    </cfRule>
    <cfRule type="cellIs" dxfId="3" priority="360" operator="equal">
      <formula>"N"</formula>
    </cfRule>
  </conditionalFormatting>
  <conditionalFormatting sqref="L222">
    <cfRule type="cellIs" dxfId="2" priority="971" operator="equal">
      <formula>"Y"</formula>
    </cfRule>
    <cfRule type="cellIs" dxfId="3" priority="972" operator="equal">
      <formula>"N"</formula>
    </cfRule>
  </conditionalFormatting>
  <conditionalFormatting sqref="L223">
    <cfRule type="cellIs" dxfId="2" priority="997" operator="equal">
      <formula>"Y"</formula>
    </cfRule>
    <cfRule type="cellIs" dxfId="3" priority="998" operator="equal">
      <formula>"N"</formula>
    </cfRule>
  </conditionalFormatting>
  <conditionalFormatting sqref="L224">
    <cfRule type="cellIs" dxfId="2" priority="1023" operator="equal">
      <formula>"Y"</formula>
    </cfRule>
    <cfRule type="cellIs" dxfId="3" priority="1024" operator="equal">
      <formula>"N"</formula>
    </cfRule>
  </conditionalFormatting>
  <conditionalFormatting sqref="L225">
    <cfRule type="cellIs" dxfId="2" priority="1049" operator="equal">
      <formula>"Y"</formula>
    </cfRule>
    <cfRule type="cellIs" dxfId="3" priority="1050" operator="equal">
      <formula>"N"</formula>
    </cfRule>
  </conditionalFormatting>
  <conditionalFormatting sqref="L226">
    <cfRule type="cellIs" dxfId="2" priority="1075" operator="equal">
      <formula>"Y"</formula>
    </cfRule>
    <cfRule type="cellIs" dxfId="3" priority="1076" operator="equal">
      <formula>"N"</formula>
    </cfRule>
  </conditionalFormatting>
  <conditionalFormatting sqref="L227">
    <cfRule type="cellIs" dxfId="2" priority="1101" operator="equal">
      <formula>"Y"</formula>
    </cfRule>
    <cfRule type="cellIs" dxfId="3" priority="1102" operator="equal">
      <formula>"N"</formula>
    </cfRule>
  </conditionalFormatting>
  <conditionalFormatting sqref="L228">
    <cfRule type="cellIs" dxfId="2" priority="1127" operator="equal">
      <formula>"Y"</formula>
    </cfRule>
    <cfRule type="cellIs" dxfId="3" priority="1128" operator="equal">
      <formula>"N"</formula>
    </cfRule>
  </conditionalFormatting>
  <conditionalFormatting sqref="L229">
    <cfRule type="cellIs" dxfId="2" priority="1153" operator="equal">
      <formula>"Y"</formula>
    </cfRule>
    <cfRule type="cellIs" dxfId="3" priority="1154" operator="equal">
      <formula>"N"</formula>
    </cfRule>
  </conditionalFormatting>
  <conditionalFormatting sqref="L230">
    <cfRule type="cellIs" dxfId="2" priority="1179" operator="equal">
      <formula>"Y"</formula>
    </cfRule>
    <cfRule type="cellIs" dxfId="3" priority="1180" operator="equal">
      <formula>"N"</formula>
    </cfRule>
  </conditionalFormatting>
  <conditionalFormatting sqref="L231">
    <cfRule type="cellIs" dxfId="2" priority="1205" operator="equal">
      <formula>"Y"</formula>
    </cfRule>
    <cfRule type="cellIs" dxfId="3" priority="1206" operator="equal">
      <formula>"N"</formula>
    </cfRule>
  </conditionalFormatting>
  <conditionalFormatting sqref="L233">
    <cfRule type="cellIs" dxfId="2" priority="1259" operator="equal">
      <formula>"Y"</formula>
    </cfRule>
    <cfRule type="cellIs" dxfId="3" priority="1260" operator="equal">
      <formula>"N"</formula>
    </cfRule>
  </conditionalFormatting>
  <conditionalFormatting sqref="L234">
    <cfRule type="cellIs" dxfId="2" priority="1285" operator="equal">
      <formula>"Y"</formula>
    </cfRule>
    <cfRule type="cellIs" dxfId="3" priority="1286" operator="equal">
      <formula>"N"</formula>
    </cfRule>
  </conditionalFormatting>
  <conditionalFormatting sqref="L235">
    <cfRule type="cellIs" dxfId="2" priority="1311" operator="equal">
      <formula>"Y"</formula>
    </cfRule>
    <cfRule type="cellIs" dxfId="3" priority="1312" operator="equal">
      <formula>"N"</formula>
    </cfRule>
  </conditionalFormatting>
  <conditionalFormatting sqref="L439">
    <cfRule type="cellIs" dxfId="2" priority="1923" operator="equal">
      <formula>"Y"</formula>
    </cfRule>
    <cfRule type="cellIs" dxfId="3" priority="1924" operator="equal">
      <formula>"N"</formula>
    </cfRule>
  </conditionalFormatting>
  <conditionalFormatting sqref="L440">
    <cfRule type="cellIs" dxfId="2" priority="1949" operator="equal">
      <formula>"Y"</formula>
    </cfRule>
    <cfRule type="cellIs" dxfId="3" priority="1950" operator="equal">
      <formula>"N"</formula>
    </cfRule>
  </conditionalFormatting>
  <conditionalFormatting sqref="L441">
    <cfRule type="cellIs" dxfId="2" priority="1975" operator="equal">
      <formula>"Y"</formula>
    </cfRule>
    <cfRule type="cellIs" dxfId="3" priority="1976" operator="equal">
      <formula>"N"</formula>
    </cfRule>
  </conditionalFormatting>
  <conditionalFormatting sqref="L442">
    <cfRule type="cellIs" dxfId="2" priority="2001" operator="equal">
      <formula>"Y"</formula>
    </cfRule>
    <cfRule type="cellIs" dxfId="3" priority="2002" operator="equal">
      <formula>"N"</formula>
    </cfRule>
  </conditionalFormatting>
  <conditionalFormatting sqref="L443">
    <cfRule type="cellIs" dxfId="2" priority="2027" operator="equal">
      <formula>"Y"</formula>
    </cfRule>
    <cfRule type="cellIs" dxfId="3" priority="2028" operator="equal">
      <formula>"N"</formula>
    </cfRule>
  </conditionalFormatting>
  <conditionalFormatting sqref="L444">
    <cfRule type="cellIs" dxfId="2" priority="2053" operator="equal">
      <formula>"Y"</formula>
    </cfRule>
    <cfRule type="cellIs" dxfId="3" priority="2054" operator="equal">
      <formula>"N"</formula>
    </cfRule>
  </conditionalFormatting>
  <conditionalFormatting sqref="L445">
    <cfRule type="cellIs" dxfId="2" priority="2079" operator="equal">
      <formula>"Y"</formula>
    </cfRule>
    <cfRule type="cellIs" dxfId="3" priority="2080" operator="equal">
      <formula>"N"</formula>
    </cfRule>
  </conditionalFormatting>
  <conditionalFormatting sqref="L446">
    <cfRule type="cellIs" dxfId="2" priority="2105" operator="equal">
      <formula>"Y"</formula>
    </cfRule>
    <cfRule type="cellIs" dxfId="3" priority="2106" operator="equal">
      <formula>"N"</formula>
    </cfRule>
  </conditionalFormatting>
  <conditionalFormatting sqref="L447">
    <cfRule type="cellIs" dxfId="2" priority="2131" operator="equal">
      <formula>"Y"</formula>
    </cfRule>
    <cfRule type="cellIs" dxfId="3" priority="2132" operator="equal">
      <formula>"N"</formula>
    </cfRule>
  </conditionalFormatting>
  <conditionalFormatting sqref="L448">
    <cfRule type="cellIs" dxfId="2" priority="2157" operator="equal">
      <formula>"Y"</formula>
    </cfRule>
    <cfRule type="cellIs" dxfId="3" priority="2158" operator="equal">
      <formula>"N"</formula>
    </cfRule>
  </conditionalFormatting>
  <conditionalFormatting sqref="L450">
    <cfRule type="cellIs" dxfId="2" priority="2211" operator="equal">
      <formula>"Y"</formula>
    </cfRule>
    <cfRule type="cellIs" dxfId="3" priority="2212" operator="equal">
      <formula>"N"</formula>
    </cfRule>
  </conditionalFormatting>
  <conditionalFormatting sqref="L451">
    <cfRule type="cellIs" dxfId="2" priority="2237" operator="equal">
      <formula>"Y"</formula>
    </cfRule>
    <cfRule type="cellIs" dxfId="3" priority="2238" operator="equal">
      <formula>"N"</formula>
    </cfRule>
  </conditionalFormatting>
  <conditionalFormatting sqref="L452">
    <cfRule type="cellIs" dxfId="2" priority="2263" operator="equal">
      <formula>"Y"</formula>
    </cfRule>
    <cfRule type="cellIs" dxfId="3" priority="2264" operator="equal">
      <formula>"N"</formula>
    </cfRule>
  </conditionalFormatting>
  <conditionalFormatting sqref="L5">
    <cfRule type="cellIs" dxfId="2" priority="19" operator="equal">
      <formula>"Y"</formula>
    </cfRule>
    <cfRule type="cellIs" dxfId="3" priority="20" operator="equal">
      <formula>"N"</formula>
    </cfRule>
  </conditionalFormatting>
  <conditionalFormatting sqref="L6">
    <cfRule type="cellIs" dxfId="2" priority="45" operator="equal">
      <formula>"Y"</formula>
    </cfRule>
    <cfRule type="cellIs" dxfId="3" priority="46" operator="equal">
      <formula>"N"</formula>
    </cfRule>
  </conditionalFormatting>
  <conditionalFormatting sqref="L7">
    <cfRule type="cellIs" dxfId="2" priority="71" operator="equal">
      <formula>"Y"</formula>
    </cfRule>
    <cfRule type="cellIs" dxfId="3" priority="72" operator="equal">
      <formula>"N"</formula>
    </cfRule>
  </conditionalFormatting>
  <conditionalFormatting sqref="L8">
    <cfRule type="cellIs" dxfId="2" priority="97" operator="equal">
      <formula>"Y"</formula>
    </cfRule>
    <cfRule type="cellIs" dxfId="3" priority="98" operator="equal">
      <formula>"N"</formula>
    </cfRule>
  </conditionalFormatting>
  <conditionalFormatting sqref="L9">
    <cfRule type="cellIs" dxfId="2" priority="123" operator="equal">
      <formula>"Y"</formula>
    </cfRule>
    <cfRule type="cellIs" dxfId="3" priority="124" operator="equal">
      <formula>"N"</formula>
    </cfRule>
  </conditionalFormatting>
  <conditionalFormatting sqref="M10">
    <cfRule type="cellIs" dxfId="2" priority="151" operator="equal">
      <formula>"Y"</formula>
    </cfRule>
    <cfRule type="cellIs" dxfId="3" priority="152" operator="equal">
      <formula>"N"</formula>
    </cfRule>
  </conditionalFormatting>
  <conditionalFormatting sqref="M11">
    <cfRule type="cellIs" dxfId="2" priority="177" operator="equal">
      <formula>"Y"</formula>
    </cfRule>
    <cfRule type="cellIs" dxfId="3" priority="178" operator="equal">
      <formula>"N"</formula>
    </cfRule>
  </conditionalFormatting>
  <conditionalFormatting sqref="M12">
    <cfRule type="cellIs" dxfId="2" priority="203" operator="equal">
      <formula>"Y"</formula>
    </cfRule>
    <cfRule type="cellIs" dxfId="3" priority="204" operator="equal">
      <formula>"N"</formula>
    </cfRule>
  </conditionalFormatting>
  <conditionalFormatting sqref="M13">
    <cfRule type="cellIs" dxfId="2" priority="229" operator="equal">
      <formula>"Y"</formula>
    </cfRule>
    <cfRule type="cellIs" dxfId="3" priority="230" operator="equal">
      <formula>"N"</formula>
    </cfRule>
  </conditionalFormatting>
  <conditionalFormatting sqref="M14">
    <cfRule type="cellIs" dxfId="2" priority="255" operator="equal">
      <formula>"Y"</formula>
    </cfRule>
    <cfRule type="cellIs" dxfId="3" priority="256" operator="equal">
      <formula>"N"</formula>
    </cfRule>
  </conditionalFormatting>
  <conditionalFormatting sqref="M15">
    <cfRule type="cellIs" dxfId="2" priority="281" operator="equal">
      <formula>"Y"</formula>
    </cfRule>
    <cfRule type="cellIs" dxfId="3" priority="282" operator="equal">
      <formula>"N"</formula>
    </cfRule>
  </conditionalFormatting>
  <conditionalFormatting sqref="M17">
    <cfRule type="cellIs" dxfId="2" priority="335" operator="equal">
      <formula>"Y"</formula>
    </cfRule>
    <cfRule type="cellIs" dxfId="3" priority="336" operator="equal">
      <formula>"N"</formula>
    </cfRule>
  </conditionalFormatting>
  <conditionalFormatting sqref="M18">
    <cfRule type="cellIs" dxfId="2" priority="361" operator="equal">
      <formula>"Y"</formula>
    </cfRule>
    <cfRule type="cellIs" dxfId="3" priority="362" operator="equal">
      <formula>"N"</formula>
    </cfRule>
  </conditionalFormatting>
  <conditionalFormatting sqref="M222">
    <cfRule type="cellIs" dxfId="2" priority="973" operator="equal">
      <formula>"Y"</formula>
    </cfRule>
    <cfRule type="cellIs" dxfId="3" priority="974" operator="equal">
      <formula>"N"</formula>
    </cfRule>
  </conditionalFormatting>
  <conditionalFormatting sqref="M223">
    <cfRule type="cellIs" dxfId="2" priority="999" operator="equal">
      <formula>"Y"</formula>
    </cfRule>
    <cfRule type="cellIs" dxfId="3" priority="1000" operator="equal">
      <formula>"N"</formula>
    </cfRule>
  </conditionalFormatting>
  <conditionalFormatting sqref="M224">
    <cfRule type="cellIs" dxfId="2" priority="1025" operator="equal">
      <formula>"Y"</formula>
    </cfRule>
    <cfRule type="cellIs" dxfId="3" priority="1026" operator="equal">
      <formula>"N"</formula>
    </cfRule>
  </conditionalFormatting>
  <conditionalFormatting sqref="M225">
    <cfRule type="cellIs" dxfId="2" priority="1051" operator="equal">
      <formula>"Y"</formula>
    </cfRule>
    <cfRule type="cellIs" dxfId="3" priority="1052" operator="equal">
      <formula>"N"</formula>
    </cfRule>
  </conditionalFormatting>
  <conditionalFormatting sqref="M226">
    <cfRule type="cellIs" dxfId="2" priority="1077" operator="equal">
      <formula>"Y"</formula>
    </cfRule>
    <cfRule type="cellIs" dxfId="3" priority="1078" operator="equal">
      <formula>"N"</formula>
    </cfRule>
  </conditionalFormatting>
  <conditionalFormatting sqref="M227">
    <cfRule type="cellIs" dxfId="2" priority="1103" operator="equal">
      <formula>"Y"</formula>
    </cfRule>
    <cfRule type="cellIs" dxfId="3" priority="1104" operator="equal">
      <formula>"N"</formula>
    </cfRule>
  </conditionalFormatting>
  <conditionalFormatting sqref="M228">
    <cfRule type="cellIs" dxfId="2" priority="1129" operator="equal">
      <formula>"Y"</formula>
    </cfRule>
    <cfRule type="cellIs" dxfId="3" priority="1130" operator="equal">
      <formula>"N"</formula>
    </cfRule>
  </conditionalFormatting>
  <conditionalFormatting sqref="M229">
    <cfRule type="cellIs" dxfId="2" priority="1155" operator="equal">
      <formula>"Y"</formula>
    </cfRule>
    <cfRule type="cellIs" dxfId="3" priority="1156" operator="equal">
      <formula>"N"</formula>
    </cfRule>
  </conditionalFormatting>
  <conditionalFormatting sqref="M230">
    <cfRule type="cellIs" dxfId="2" priority="1181" operator="equal">
      <formula>"Y"</formula>
    </cfRule>
    <cfRule type="cellIs" dxfId="3" priority="1182" operator="equal">
      <formula>"N"</formula>
    </cfRule>
  </conditionalFormatting>
  <conditionalFormatting sqref="M231">
    <cfRule type="cellIs" dxfId="2" priority="1207" operator="equal">
      <formula>"Y"</formula>
    </cfRule>
    <cfRule type="cellIs" dxfId="3" priority="1208" operator="equal">
      <formula>"N"</formula>
    </cfRule>
  </conditionalFormatting>
  <conditionalFormatting sqref="M232">
    <cfRule type="cellIs" dxfId="2" priority="1233" operator="equal">
      <formula>"Y"</formula>
    </cfRule>
    <cfRule type="cellIs" dxfId="3" priority="1234" operator="equal">
      <formula>"N"</formula>
    </cfRule>
  </conditionalFormatting>
  <conditionalFormatting sqref="M234">
    <cfRule type="cellIs" dxfId="2" priority="1287" operator="equal">
      <formula>"Y"</formula>
    </cfRule>
    <cfRule type="cellIs" dxfId="3" priority="1288" operator="equal">
      <formula>"N"</formula>
    </cfRule>
  </conditionalFormatting>
  <conditionalFormatting sqref="M235">
    <cfRule type="cellIs" dxfId="2" priority="1313" operator="equal">
      <formula>"Y"</formula>
    </cfRule>
    <cfRule type="cellIs" dxfId="3" priority="1314" operator="equal">
      <formula>"N"</formula>
    </cfRule>
  </conditionalFormatting>
  <conditionalFormatting sqref="M439">
    <cfRule type="cellIs" dxfId="2" priority="1925" operator="equal">
      <formula>"Y"</formula>
    </cfRule>
    <cfRule type="cellIs" dxfId="3" priority="1926" operator="equal">
      <formula>"N"</formula>
    </cfRule>
  </conditionalFormatting>
  <conditionalFormatting sqref="M440">
    <cfRule type="cellIs" dxfId="2" priority="1951" operator="equal">
      <formula>"Y"</formula>
    </cfRule>
    <cfRule type="cellIs" dxfId="3" priority="1952" operator="equal">
      <formula>"N"</formula>
    </cfRule>
  </conditionalFormatting>
  <conditionalFormatting sqref="M441">
    <cfRule type="cellIs" dxfId="2" priority="1977" operator="equal">
      <formula>"Y"</formula>
    </cfRule>
    <cfRule type="cellIs" dxfId="3" priority="1978" operator="equal">
      <formula>"N"</formula>
    </cfRule>
  </conditionalFormatting>
  <conditionalFormatting sqref="M442">
    <cfRule type="cellIs" dxfId="2" priority="2003" operator="equal">
      <formula>"Y"</formula>
    </cfRule>
    <cfRule type="cellIs" dxfId="3" priority="2004" operator="equal">
      <formula>"N"</formula>
    </cfRule>
  </conditionalFormatting>
  <conditionalFormatting sqref="M443">
    <cfRule type="cellIs" dxfId="2" priority="2029" operator="equal">
      <formula>"Y"</formula>
    </cfRule>
    <cfRule type="cellIs" dxfId="3" priority="2030" operator="equal">
      <formula>"N"</formula>
    </cfRule>
  </conditionalFormatting>
  <conditionalFormatting sqref="M444">
    <cfRule type="cellIs" dxfId="2" priority="2055" operator="equal">
      <formula>"Y"</formula>
    </cfRule>
    <cfRule type="cellIs" dxfId="3" priority="2056" operator="equal">
      <formula>"N"</formula>
    </cfRule>
  </conditionalFormatting>
  <conditionalFormatting sqref="M445">
    <cfRule type="cellIs" dxfId="2" priority="2081" operator="equal">
      <formula>"Y"</formula>
    </cfRule>
    <cfRule type="cellIs" dxfId="3" priority="2082" operator="equal">
      <formula>"N"</formula>
    </cfRule>
  </conditionalFormatting>
  <conditionalFormatting sqref="M446">
    <cfRule type="cellIs" dxfId="2" priority="2107" operator="equal">
      <formula>"Y"</formula>
    </cfRule>
    <cfRule type="cellIs" dxfId="3" priority="2108" operator="equal">
      <formula>"N"</formula>
    </cfRule>
  </conditionalFormatting>
  <conditionalFormatting sqref="M447">
    <cfRule type="cellIs" dxfId="2" priority="2133" operator="equal">
      <formula>"Y"</formula>
    </cfRule>
    <cfRule type="cellIs" dxfId="3" priority="2134" operator="equal">
      <formula>"N"</formula>
    </cfRule>
  </conditionalFormatting>
  <conditionalFormatting sqref="M448">
    <cfRule type="cellIs" dxfId="2" priority="2159" operator="equal">
      <formula>"Y"</formula>
    </cfRule>
    <cfRule type="cellIs" dxfId="3" priority="2160" operator="equal">
      <formula>"N"</formula>
    </cfRule>
  </conditionalFormatting>
  <conditionalFormatting sqref="M449">
    <cfRule type="cellIs" dxfId="2" priority="2185" operator="equal">
      <formula>"Y"</formula>
    </cfRule>
    <cfRule type="cellIs" dxfId="3" priority="2186" operator="equal">
      <formula>"N"</formula>
    </cfRule>
  </conditionalFormatting>
  <conditionalFormatting sqref="M451">
    <cfRule type="cellIs" dxfId="2" priority="2239" operator="equal">
      <formula>"Y"</formula>
    </cfRule>
    <cfRule type="cellIs" dxfId="3" priority="2240" operator="equal">
      <formula>"N"</formula>
    </cfRule>
  </conditionalFormatting>
  <conditionalFormatting sqref="M452">
    <cfRule type="cellIs" dxfId="2" priority="2265" operator="equal">
      <formula>"Y"</formula>
    </cfRule>
    <cfRule type="cellIs" dxfId="3" priority="2266" operator="equal">
      <formula>"N"</formula>
    </cfRule>
  </conditionalFormatting>
  <conditionalFormatting sqref="M5">
    <cfRule type="cellIs" dxfId="2" priority="21" operator="equal">
      <formula>"Y"</formula>
    </cfRule>
    <cfRule type="cellIs" dxfId="3" priority="22" operator="equal">
      <formula>"N"</formula>
    </cfRule>
  </conditionalFormatting>
  <conditionalFormatting sqref="M6">
    <cfRule type="cellIs" dxfId="2" priority="47" operator="equal">
      <formula>"Y"</formula>
    </cfRule>
    <cfRule type="cellIs" dxfId="3" priority="48" operator="equal">
      <formula>"N"</formula>
    </cfRule>
  </conditionalFormatting>
  <conditionalFormatting sqref="M7">
    <cfRule type="cellIs" dxfId="2" priority="73" operator="equal">
      <formula>"Y"</formula>
    </cfRule>
    <cfRule type="cellIs" dxfId="3" priority="74" operator="equal">
      <formula>"N"</formula>
    </cfRule>
  </conditionalFormatting>
  <conditionalFormatting sqref="M8">
    <cfRule type="cellIs" dxfId="2" priority="99" operator="equal">
      <formula>"Y"</formula>
    </cfRule>
    <cfRule type="cellIs" dxfId="3" priority="100" operator="equal">
      <formula>"N"</formula>
    </cfRule>
  </conditionalFormatting>
  <conditionalFormatting sqref="M9">
    <cfRule type="cellIs" dxfId="2" priority="125" operator="equal">
      <formula>"Y"</formula>
    </cfRule>
    <cfRule type="cellIs" dxfId="3" priority="126" operator="equal">
      <formula>"N"</formula>
    </cfRule>
  </conditionalFormatting>
  <conditionalFormatting sqref="N10">
    <cfRule type="cellIs" dxfId="2" priority="153" operator="equal">
      <formula>"Y"</formula>
    </cfRule>
    <cfRule type="cellIs" dxfId="3" priority="154" operator="equal">
      <formula>"N"</formula>
    </cfRule>
  </conditionalFormatting>
  <conditionalFormatting sqref="N11">
    <cfRule type="cellIs" dxfId="2" priority="179" operator="equal">
      <formula>"Y"</formula>
    </cfRule>
    <cfRule type="cellIs" dxfId="3" priority="180" operator="equal">
      <formula>"N"</formula>
    </cfRule>
  </conditionalFormatting>
  <conditionalFormatting sqref="N12">
    <cfRule type="cellIs" dxfId="2" priority="205" operator="equal">
      <formula>"Y"</formula>
    </cfRule>
    <cfRule type="cellIs" dxfId="3" priority="206" operator="equal">
      <formula>"N"</formula>
    </cfRule>
  </conditionalFormatting>
  <conditionalFormatting sqref="N13">
    <cfRule type="cellIs" dxfId="2" priority="231" operator="equal">
      <formula>"Y"</formula>
    </cfRule>
    <cfRule type="cellIs" dxfId="3" priority="232" operator="equal">
      <formula>"N"</formula>
    </cfRule>
  </conditionalFormatting>
  <conditionalFormatting sqref="N14">
    <cfRule type="cellIs" dxfId="2" priority="257" operator="equal">
      <formula>"Y"</formula>
    </cfRule>
    <cfRule type="cellIs" dxfId="3" priority="258" operator="equal">
      <formula>"N"</formula>
    </cfRule>
  </conditionalFormatting>
  <conditionalFormatting sqref="N15">
    <cfRule type="cellIs" dxfId="2" priority="283" operator="equal">
      <formula>"Y"</formula>
    </cfRule>
    <cfRule type="cellIs" dxfId="3" priority="284" operator="equal">
      <formula>"N"</formula>
    </cfRule>
  </conditionalFormatting>
  <conditionalFormatting sqref="N16">
    <cfRule type="cellIs" dxfId="2" priority="309" operator="equal">
      <formula>"Y"</formula>
    </cfRule>
    <cfRule type="cellIs" dxfId="3" priority="310" operator="equal">
      <formula>"N"</formula>
    </cfRule>
  </conditionalFormatting>
  <conditionalFormatting sqref="N18">
    <cfRule type="cellIs" dxfId="2" priority="363" operator="equal">
      <formula>"Y"</formula>
    </cfRule>
    <cfRule type="cellIs" dxfId="3" priority="364" operator="equal">
      <formula>"N"</formula>
    </cfRule>
  </conditionalFormatting>
  <conditionalFormatting sqref="N222">
    <cfRule type="cellIs" dxfId="2" priority="975" operator="equal">
      <formula>"Y"</formula>
    </cfRule>
    <cfRule type="cellIs" dxfId="3" priority="976" operator="equal">
      <formula>"N"</formula>
    </cfRule>
  </conditionalFormatting>
  <conditionalFormatting sqref="N223">
    <cfRule type="cellIs" dxfId="2" priority="1001" operator="equal">
      <formula>"Y"</formula>
    </cfRule>
    <cfRule type="cellIs" dxfId="3" priority="1002" operator="equal">
      <formula>"N"</formula>
    </cfRule>
  </conditionalFormatting>
  <conditionalFormatting sqref="N224">
    <cfRule type="cellIs" dxfId="2" priority="1027" operator="equal">
      <formula>"Y"</formula>
    </cfRule>
    <cfRule type="cellIs" dxfId="3" priority="1028" operator="equal">
      <formula>"N"</formula>
    </cfRule>
  </conditionalFormatting>
  <conditionalFormatting sqref="N225">
    <cfRule type="cellIs" dxfId="2" priority="1053" operator="equal">
      <formula>"Y"</formula>
    </cfRule>
    <cfRule type="cellIs" dxfId="3" priority="1054" operator="equal">
      <formula>"N"</formula>
    </cfRule>
  </conditionalFormatting>
  <conditionalFormatting sqref="N226">
    <cfRule type="cellIs" dxfId="2" priority="1079" operator="equal">
      <formula>"Y"</formula>
    </cfRule>
    <cfRule type="cellIs" dxfId="3" priority="1080" operator="equal">
      <formula>"N"</formula>
    </cfRule>
  </conditionalFormatting>
  <conditionalFormatting sqref="N227">
    <cfRule type="cellIs" dxfId="2" priority="1105" operator="equal">
      <formula>"Y"</formula>
    </cfRule>
    <cfRule type="cellIs" dxfId="3" priority="1106" operator="equal">
      <formula>"N"</formula>
    </cfRule>
  </conditionalFormatting>
  <conditionalFormatting sqref="N228">
    <cfRule type="cellIs" dxfId="2" priority="1131" operator="equal">
      <formula>"Y"</formula>
    </cfRule>
    <cfRule type="cellIs" dxfId="3" priority="1132" operator="equal">
      <formula>"N"</formula>
    </cfRule>
  </conditionalFormatting>
  <conditionalFormatting sqref="N229">
    <cfRule type="cellIs" dxfId="2" priority="1157" operator="equal">
      <formula>"Y"</formula>
    </cfRule>
    <cfRule type="cellIs" dxfId="3" priority="1158" operator="equal">
      <formula>"N"</formula>
    </cfRule>
  </conditionalFormatting>
  <conditionalFormatting sqref="N230">
    <cfRule type="cellIs" dxfId="2" priority="1183" operator="equal">
      <formula>"Y"</formula>
    </cfRule>
    <cfRule type="cellIs" dxfId="3" priority="1184" operator="equal">
      <formula>"N"</formula>
    </cfRule>
  </conditionalFormatting>
  <conditionalFormatting sqref="N231">
    <cfRule type="cellIs" dxfId="2" priority="1209" operator="equal">
      <formula>"Y"</formula>
    </cfRule>
    <cfRule type="cellIs" dxfId="3" priority="1210" operator="equal">
      <formula>"N"</formula>
    </cfRule>
  </conditionalFormatting>
  <conditionalFormatting sqref="N232">
    <cfRule type="cellIs" dxfId="2" priority="1235" operator="equal">
      <formula>"Y"</formula>
    </cfRule>
    <cfRule type="cellIs" dxfId="3" priority="1236" operator="equal">
      <formula>"N"</formula>
    </cfRule>
  </conditionalFormatting>
  <conditionalFormatting sqref="N233">
    <cfRule type="cellIs" dxfId="2" priority="1261" operator="equal">
      <formula>"Y"</formula>
    </cfRule>
    <cfRule type="cellIs" dxfId="3" priority="1262" operator="equal">
      <formula>"N"</formula>
    </cfRule>
  </conditionalFormatting>
  <conditionalFormatting sqref="N235">
    <cfRule type="cellIs" dxfId="2" priority="1315" operator="equal">
      <formula>"Y"</formula>
    </cfRule>
    <cfRule type="cellIs" dxfId="3" priority="1316" operator="equal">
      <formula>"N"</formula>
    </cfRule>
  </conditionalFormatting>
  <conditionalFormatting sqref="N439">
    <cfRule type="cellIs" dxfId="2" priority="1927" operator="equal">
      <formula>"Y"</formula>
    </cfRule>
    <cfRule type="cellIs" dxfId="3" priority="1928" operator="equal">
      <formula>"N"</formula>
    </cfRule>
  </conditionalFormatting>
  <conditionalFormatting sqref="N440">
    <cfRule type="cellIs" dxfId="2" priority="1953" operator="equal">
      <formula>"Y"</formula>
    </cfRule>
    <cfRule type="cellIs" dxfId="3" priority="1954" operator="equal">
      <formula>"N"</formula>
    </cfRule>
  </conditionalFormatting>
  <conditionalFormatting sqref="N441">
    <cfRule type="cellIs" dxfId="2" priority="1979" operator="equal">
      <formula>"Y"</formula>
    </cfRule>
    <cfRule type="cellIs" dxfId="3" priority="1980" operator="equal">
      <formula>"N"</formula>
    </cfRule>
  </conditionalFormatting>
  <conditionalFormatting sqref="N442">
    <cfRule type="cellIs" dxfId="2" priority="2005" operator="equal">
      <formula>"Y"</formula>
    </cfRule>
    <cfRule type="cellIs" dxfId="3" priority="2006" operator="equal">
      <formula>"N"</formula>
    </cfRule>
  </conditionalFormatting>
  <conditionalFormatting sqref="N443">
    <cfRule type="cellIs" dxfId="2" priority="2031" operator="equal">
      <formula>"Y"</formula>
    </cfRule>
    <cfRule type="cellIs" dxfId="3" priority="2032" operator="equal">
      <formula>"N"</formula>
    </cfRule>
  </conditionalFormatting>
  <conditionalFormatting sqref="N444">
    <cfRule type="cellIs" dxfId="2" priority="2057" operator="equal">
      <formula>"Y"</formula>
    </cfRule>
    <cfRule type="cellIs" dxfId="3" priority="2058" operator="equal">
      <formula>"N"</formula>
    </cfRule>
  </conditionalFormatting>
  <conditionalFormatting sqref="N445">
    <cfRule type="cellIs" dxfId="2" priority="2083" operator="equal">
      <formula>"Y"</formula>
    </cfRule>
    <cfRule type="cellIs" dxfId="3" priority="2084" operator="equal">
      <formula>"N"</formula>
    </cfRule>
  </conditionalFormatting>
  <conditionalFormatting sqref="N446">
    <cfRule type="cellIs" dxfId="2" priority="2109" operator="equal">
      <formula>"Y"</formula>
    </cfRule>
    <cfRule type="cellIs" dxfId="3" priority="2110" operator="equal">
      <formula>"N"</formula>
    </cfRule>
  </conditionalFormatting>
  <conditionalFormatting sqref="N447">
    <cfRule type="cellIs" dxfId="2" priority="2135" operator="equal">
      <formula>"Y"</formula>
    </cfRule>
    <cfRule type="cellIs" dxfId="3" priority="2136" operator="equal">
      <formula>"N"</formula>
    </cfRule>
  </conditionalFormatting>
  <conditionalFormatting sqref="N448">
    <cfRule type="cellIs" dxfId="2" priority="2161" operator="equal">
      <formula>"Y"</formula>
    </cfRule>
    <cfRule type="cellIs" dxfId="3" priority="2162" operator="equal">
      <formula>"N"</formula>
    </cfRule>
  </conditionalFormatting>
  <conditionalFormatting sqref="N449">
    <cfRule type="cellIs" dxfId="2" priority="2187" operator="equal">
      <formula>"Y"</formula>
    </cfRule>
    <cfRule type="cellIs" dxfId="3" priority="2188" operator="equal">
      <formula>"N"</formula>
    </cfRule>
  </conditionalFormatting>
  <conditionalFormatting sqref="N450">
    <cfRule type="cellIs" dxfId="2" priority="2213" operator="equal">
      <formula>"Y"</formula>
    </cfRule>
    <cfRule type="cellIs" dxfId="3" priority="2214" operator="equal">
      <formula>"N"</formula>
    </cfRule>
  </conditionalFormatting>
  <conditionalFormatting sqref="N452">
    <cfRule type="cellIs" dxfId="2" priority="2267" operator="equal">
      <formula>"Y"</formula>
    </cfRule>
    <cfRule type="cellIs" dxfId="3" priority="2268" operator="equal">
      <formula>"N"</formula>
    </cfRule>
  </conditionalFormatting>
  <conditionalFormatting sqref="N5">
    <cfRule type="cellIs" dxfId="2" priority="23" operator="equal">
      <formula>"Y"</formula>
    </cfRule>
    <cfRule type="cellIs" dxfId="3" priority="24" operator="equal">
      <formula>"N"</formula>
    </cfRule>
  </conditionalFormatting>
  <conditionalFormatting sqref="N6">
    <cfRule type="cellIs" dxfId="2" priority="49" operator="equal">
      <formula>"Y"</formula>
    </cfRule>
    <cfRule type="cellIs" dxfId="3" priority="50" operator="equal">
      <formula>"N"</formula>
    </cfRule>
  </conditionalFormatting>
  <conditionalFormatting sqref="N7">
    <cfRule type="cellIs" dxfId="2" priority="75" operator="equal">
      <formula>"Y"</formula>
    </cfRule>
    <cfRule type="cellIs" dxfId="3" priority="76" operator="equal">
      <formula>"N"</formula>
    </cfRule>
  </conditionalFormatting>
  <conditionalFormatting sqref="N8">
    <cfRule type="cellIs" dxfId="2" priority="101" operator="equal">
      <formula>"Y"</formula>
    </cfRule>
    <cfRule type="cellIs" dxfId="3" priority="102" operator="equal">
      <formula>"N"</formula>
    </cfRule>
  </conditionalFormatting>
  <conditionalFormatting sqref="N9">
    <cfRule type="cellIs" dxfId="2" priority="127" operator="equal">
      <formula>"Y"</formula>
    </cfRule>
    <cfRule type="cellIs" dxfId="3" priority="128" operator="equal">
      <formula>"N"</formula>
    </cfRule>
  </conditionalFormatting>
  <conditionalFormatting sqref="O10">
    <cfRule type="cellIs" dxfId="2" priority="155" operator="equal">
      <formula>"Y"</formula>
    </cfRule>
    <cfRule type="cellIs" dxfId="3" priority="156" operator="equal">
      <formula>"N"</formula>
    </cfRule>
  </conditionalFormatting>
  <conditionalFormatting sqref="O11">
    <cfRule type="cellIs" dxfId="2" priority="181" operator="equal">
      <formula>"Y"</formula>
    </cfRule>
    <cfRule type="cellIs" dxfId="3" priority="182" operator="equal">
      <formula>"N"</formula>
    </cfRule>
  </conditionalFormatting>
  <conditionalFormatting sqref="O12">
    <cfRule type="cellIs" dxfId="2" priority="207" operator="equal">
      <formula>"Y"</formula>
    </cfRule>
    <cfRule type="cellIs" dxfId="3" priority="208" operator="equal">
      <formula>"N"</formula>
    </cfRule>
  </conditionalFormatting>
  <conditionalFormatting sqref="O13">
    <cfRule type="cellIs" dxfId="2" priority="233" operator="equal">
      <formula>"Y"</formula>
    </cfRule>
    <cfRule type="cellIs" dxfId="3" priority="234" operator="equal">
      <formula>"N"</formula>
    </cfRule>
  </conditionalFormatting>
  <conditionalFormatting sqref="O14">
    <cfRule type="cellIs" dxfId="2" priority="259" operator="equal">
      <formula>"Y"</formula>
    </cfRule>
    <cfRule type="cellIs" dxfId="3" priority="260" operator="equal">
      <formula>"N"</formula>
    </cfRule>
  </conditionalFormatting>
  <conditionalFormatting sqref="O15">
    <cfRule type="cellIs" dxfId="2" priority="285" operator="equal">
      <formula>"Y"</formula>
    </cfRule>
    <cfRule type="cellIs" dxfId="3" priority="286" operator="equal">
      <formula>"N"</formula>
    </cfRule>
  </conditionalFormatting>
  <conditionalFormatting sqref="O16">
    <cfRule type="cellIs" dxfId="2" priority="311" operator="equal">
      <formula>"Y"</formula>
    </cfRule>
    <cfRule type="cellIs" dxfId="3" priority="312" operator="equal">
      <formula>"N"</formula>
    </cfRule>
  </conditionalFormatting>
  <conditionalFormatting sqref="O17">
    <cfRule type="cellIs" dxfId="2" priority="337" operator="equal">
      <formula>"Y"</formula>
    </cfRule>
    <cfRule type="cellIs" dxfId="3" priority="338" operator="equal">
      <formula>"N"</formula>
    </cfRule>
  </conditionalFormatting>
  <conditionalFormatting sqref="O222">
    <cfRule type="cellIs" dxfId="2" priority="977" operator="equal">
      <formula>"Y"</formula>
    </cfRule>
    <cfRule type="cellIs" dxfId="3" priority="978" operator="equal">
      <formula>"N"</formula>
    </cfRule>
  </conditionalFormatting>
  <conditionalFormatting sqref="O223">
    <cfRule type="cellIs" dxfId="2" priority="1003" operator="equal">
      <formula>"Y"</formula>
    </cfRule>
    <cfRule type="cellIs" dxfId="3" priority="1004" operator="equal">
      <formula>"N"</formula>
    </cfRule>
  </conditionalFormatting>
  <conditionalFormatting sqref="O224">
    <cfRule type="cellIs" dxfId="2" priority="1029" operator="equal">
      <formula>"Y"</formula>
    </cfRule>
    <cfRule type="cellIs" dxfId="3" priority="1030" operator="equal">
      <formula>"N"</formula>
    </cfRule>
  </conditionalFormatting>
  <conditionalFormatting sqref="O225">
    <cfRule type="cellIs" dxfId="2" priority="1055" operator="equal">
      <formula>"Y"</formula>
    </cfRule>
    <cfRule type="cellIs" dxfId="3" priority="1056" operator="equal">
      <formula>"N"</formula>
    </cfRule>
  </conditionalFormatting>
  <conditionalFormatting sqref="O226">
    <cfRule type="cellIs" dxfId="2" priority="1081" operator="equal">
      <formula>"Y"</formula>
    </cfRule>
    <cfRule type="cellIs" dxfId="3" priority="1082" operator="equal">
      <formula>"N"</formula>
    </cfRule>
  </conditionalFormatting>
  <conditionalFormatting sqref="O227">
    <cfRule type="cellIs" dxfId="2" priority="1107" operator="equal">
      <formula>"Y"</formula>
    </cfRule>
    <cfRule type="cellIs" dxfId="3" priority="1108" operator="equal">
      <formula>"N"</formula>
    </cfRule>
  </conditionalFormatting>
  <conditionalFormatting sqref="O228">
    <cfRule type="cellIs" dxfId="2" priority="1133" operator="equal">
      <formula>"Y"</formula>
    </cfRule>
    <cfRule type="cellIs" dxfId="3" priority="1134" operator="equal">
      <formula>"N"</formula>
    </cfRule>
  </conditionalFormatting>
  <conditionalFormatting sqref="O229">
    <cfRule type="cellIs" dxfId="2" priority="1159" operator="equal">
      <formula>"Y"</formula>
    </cfRule>
    <cfRule type="cellIs" dxfId="3" priority="1160" operator="equal">
      <formula>"N"</formula>
    </cfRule>
  </conditionalFormatting>
  <conditionalFormatting sqref="O230">
    <cfRule type="cellIs" dxfId="2" priority="1185" operator="equal">
      <formula>"Y"</formula>
    </cfRule>
    <cfRule type="cellIs" dxfId="3" priority="1186" operator="equal">
      <formula>"N"</formula>
    </cfRule>
  </conditionalFormatting>
  <conditionalFormatting sqref="O231">
    <cfRule type="cellIs" dxfId="2" priority="1211" operator="equal">
      <formula>"Y"</formula>
    </cfRule>
    <cfRule type="cellIs" dxfId="3" priority="1212" operator="equal">
      <formula>"N"</formula>
    </cfRule>
  </conditionalFormatting>
  <conditionalFormatting sqref="O232">
    <cfRule type="cellIs" dxfId="2" priority="1237" operator="equal">
      <formula>"Y"</formula>
    </cfRule>
    <cfRule type="cellIs" dxfId="3" priority="1238" operator="equal">
      <formula>"N"</formula>
    </cfRule>
  </conditionalFormatting>
  <conditionalFormatting sqref="O233">
    <cfRule type="cellIs" dxfId="2" priority="1263" operator="equal">
      <formula>"Y"</formula>
    </cfRule>
    <cfRule type="cellIs" dxfId="3" priority="1264" operator="equal">
      <formula>"N"</formula>
    </cfRule>
  </conditionalFormatting>
  <conditionalFormatting sqref="O234">
    <cfRule type="cellIs" dxfId="2" priority="1289" operator="equal">
      <formula>"Y"</formula>
    </cfRule>
    <cfRule type="cellIs" dxfId="3" priority="1290" operator="equal">
      <formula>"N"</formula>
    </cfRule>
  </conditionalFormatting>
  <conditionalFormatting sqref="O439">
    <cfRule type="cellIs" dxfId="2" priority="1929" operator="equal">
      <formula>"Y"</formula>
    </cfRule>
    <cfRule type="cellIs" dxfId="3" priority="1930" operator="equal">
      <formula>"N"</formula>
    </cfRule>
  </conditionalFormatting>
  <conditionalFormatting sqref="O440">
    <cfRule type="cellIs" dxfId="2" priority="1955" operator="equal">
      <formula>"Y"</formula>
    </cfRule>
    <cfRule type="cellIs" dxfId="3" priority="1956" operator="equal">
      <formula>"N"</formula>
    </cfRule>
  </conditionalFormatting>
  <conditionalFormatting sqref="O441">
    <cfRule type="cellIs" dxfId="2" priority="1981" operator="equal">
      <formula>"Y"</formula>
    </cfRule>
    <cfRule type="cellIs" dxfId="3" priority="1982" operator="equal">
      <formula>"N"</formula>
    </cfRule>
  </conditionalFormatting>
  <conditionalFormatting sqref="O442">
    <cfRule type="cellIs" dxfId="2" priority="2007" operator="equal">
      <formula>"Y"</formula>
    </cfRule>
    <cfRule type="cellIs" dxfId="3" priority="2008" operator="equal">
      <formula>"N"</formula>
    </cfRule>
  </conditionalFormatting>
  <conditionalFormatting sqref="O443">
    <cfRule type="cellIs" dxfId="2" priority="2033" operator="equal">
      <formula>"Y"</formula>
    </cfRule>
    <cfRule type="cellIs" dxfId="3" priority="2034" operator="equal">
      <formula>"N"</formula>
    </cfRule>
  </conditionalFormatting>
  <conditionalFormatting sqref="O444">
    <cfRule type="cellIs" dxfId="2" priority="2059" operator="equal">
      <formula>"Y"</formula>
    </cfRule>
    <cfRule type="cellIs" dxfId="3" priority="2060" operator="equal">
      <formula>"N"</formula>
    </cfRule>
  </conditionalFormatting>
  <conditionalFormatting sqref="O445">
    <cfRule type="cellIs" dxfId="2" priority="2085" operator="equal">
      <formula>"Y"</formula>
    </cfRule>
    <cfRule type="cellIs" dxfId="3" priority="2086" operator="equal">
      <formula>"N"</formula>
    </cfRule>
  </conditionalFormatting>
  <conditionalFormatting sqref="O446">
    <cfRule type="cellIs" dxfId="2" priority="2111" operator="equal">
      <formula>"Y"</formula>
    </cfRule>
    <cfRule type="cellIs" dxfId="3" priority="2112" operator="equal">
      <formula>"N"</formula>
    </cfRule>
  </conditionalFormatting>
  <conditionalFormatting sqref="O447">
    <cfRule type="cellIs" dxfId="2" priority="2137" operator="equal">
      <formula>"Y"</formula>
    </cfRule>
    <cfRule type="cellIs" dxfId="3" priority="2138" operator="equal">
      <formula>"N"</formula>
    </cfRule>
  </conditionalFormatting>
  <conditionalFormatting sqref="O448">
    <cfRule type="cellIs" dxfId="2" priority="2163" operator="equal">
      <formula>"Y"</formula>
    </cfRule>
    <cfRule type="cellIs" dxfId="3" priority="2164" operator="equal">
      <formula>"N"</formula>
    </cfRule>
  </conditionalFormatting>
  <conditionalFormatting sqref="O449">
    <cfRule type="cellIs" dxfId="2" priority="2189" operator="equal">
      <formula>"Y"</formula>
    </cfRule>
    <cfRule type="cellIs" dxfId="3" priority="2190" operator="equal">
      <formula>"N"</formula>
    </cfRule>
  </conditionalFormatting>
  <conditionalFormatting sqref="O450">
    <cfRule type="cellIs" dxfId="2" priority="2215" operator="equal">
      <formula>"Y"</formula>
    </cfRule>
    <cfRule type="cellIs" dxfId="3" priority="2216" operator="equal">
      <formula>"N"</formula>
    </cfRule>
  </conditionalFormatting>
  <conditionalFormatting sqref="O451">
    <cfRule type="cellIs" dxfId="2" priority="2241" operator="equal">
      <formula>"Y"</formula>
    </cfRule>
    <cfRule type="cellIs" dxfId="3" priority="2242" operator="equal">
      <formula>"N"</formula>
    </cfRule>
  </conditionalFormatting>
  <conditionalFormatting sqref="O5">
    <cfRule type="cellIs" dxfId="2" priority="25" operator="equal">
      <formula>"Y"</formula>
    </cfRule>
    <cfRule type="cellIs" dxfId="3" priority="26" operator="equal">
      <formula>"N"</formula>
    </cfRule>
  </conditionalFormatting>
  <conditionalFormatting sqref="O6">
    <cfRule type="cellIs" dxfId="2" priority="51" operator="equal">
      <formula>"Y"</formula>
    </cfRule>
    <cfRule type="cellIs" dxfId="3" priority="52" operator="equal">
      <formula>"N"</formula>
    </cfRule>
  </conditionalFormatting>
  <conditionalFormatting sqref="O7">
    <cfRule type="cellIs" dxfId="2" priority="77" operator="equal">
      <formula>"Y"</formula>
    </cfRule>
    <cfRule type="cellIs" dxfId="3" priority="78" operator="equal">
      <formula>"N"</formula>
    </cfRule>
  </conditionalFormatting>
  <conditionalFormatting sqref="O8">
    <cfRule type="cellIs" dxfId="2" priority="103" operator="equal">
      <formula>"Y"</formula>
    </cfRule>
    <cfRule type="cellIs" dxfId="3" priority="104" operator="equal">
      <formula>"N"</formula>
    </cfRule>
  </conditionalFormatting>
  <conditionalFormatting sqref="O9">
    <cfRule type="cellIs" dxfId="2" priority="129" operator="equal">
      <formula>"Y"</formula>
    </cfRule>
    <cfRule type="cellIs" dxfId="3" priority="130" operator="equal">
      <formula>"N"</formula>
    </cfRule>
  </conditionalFormatting>
  <dataValidations count="1176">
    <dataValidation type="list" allowBlank="1" showInputMessage="1" showErrorMessage="1" sqref="B5">
      <formula1>"N.A."</formula1>
    </dataValidation>
    <dataValidation type="list" allowBlank="1" showInputMessage="1" showErrorMessage="1" sqref="C5">
      <formula1>"Y,N"</formula1>
    </dataValidation>
    <dataValidation type="list" allowBlank="1" showInputMessage="1" showErrorMessage="1" sqref="D5">
      <formula1>"Y,N"</formula1>
    </dataValidation>
    <dataValidation type="list" allowBlank="1" showInputMessage="1" showErrorMessage="1" sqref="E5">
      <formula1>"Y,N"</formula1>
    </dataValidation>
    <dataValidation type="list" allowBlank="1" showInputMessage="1" showErrorMessage="1" sqref="F5">
      <formula1>"Y,N"</formula1>
    </dataValidation>
    <dataValidation type="list" allowBlank="1" showInputMessage="1" showErrorMessage="1" sqref="G5">
      <formula1>"Y,N"</formula1>
    </dataValidation>
    <dataValidation type="list" allowBlank="1" showInputMessage="1" showErrorMessage="1" sqref="H5">
      <formula1>"Y,N"</formula1>
    </dataValidation>
    <dataValidation type="list" allowBlank="1" showInputMessage="1" showErrorMessage="1" sqref="I5">
      <formula1>"Y,N"</formula1>
    </dataValidation>
    <dataValidation type="list" allowBlank="1" showInputMessage="1" showErrorMessage="1" sqref="J5">
      <formula1>"Y,N"</formula1>
    </dataValidation>
    <dataValidation type="list" allowBlank="1" showInputMessage="1" showErrorMessage="1" sqref="K5">
      <formula1>"Y,N"</formula1>
    </dataValidation>
    <dataValidation type="list" allowBlank="1" showInputMessage="1" showErrorMessage="1" sqref="L5">
      <formula1>"Y,N"</formula1>
    </dataValidation>
    <dataValidation type="list" allowBlank="1" showInputMessage="1" showErrorMessage="1" sqref="M5">
      <formula1>"Y,N"</formula1>
    </dataValidation>
    <dataValidation type="list" allowBlank="1" showInputMessage="1" showErrorMessage="1" sqref="N5">
      <formula1>"Y,N"</formula1>
    </dataValidation>
    <dataValidation type="list" allowBlank="1" showInputMessage="1" showErrorMessage="1" sqref="O5">
      <formula1>"Y,N"</formula1>
    </dataValidation>
    <dataValidation type="list" allowBlank="1" showInputMessage="1" showErrorMessage="1" sqref="B6">
      <formula1>"Y,N"</formula1>
    </dataValidation>
    <dataValidation type="list" allowBlank="1" showInputMessage="1" showErrorMessage="1" sqref="C6">
      <formula1>"N.A."</formula1>
    </dataValidation>
    <dataValidation type="list" allowBlank="1" showInputMessage="1" showErrorMessage="1" sqref="D6">
      <formula1>"Y,N"</formula1>
    </dataValidation>
    <dataValidation type="list" allowBlank="1" showInputMessage="1" showErrorMessage="1" sqref="E6">
      <formula1>"Y,N"</formula1>
    </dataValidation>
    <dataValidation type="list" allowBlank="1" showInputMessage="1" showErrorMessage="1" sqref="F6">
      <formula1>"Y,N"</formula1>
    </dataValidation>
    <dataValidation type="list" allowBlank="1" showInputMessage="1" showErrorMessage="1" sqref="G6">
      <formula1>"Y,N"</formula1>
    </dataValidation>
    <dataValidation type="list" allowBlank="1" showInputMessage="1" showErrorMessage="1" sqref="H6">
      <formula1>"Y,N"</formula1>
    </dataValidation>
    <dataValidation type="list" allowBlank="1" showInputMessage="1" showErrorMessage="1" sqref="I6">
      <formula1>"Y,N"</formula1>
    </dataValidation>
    <dataValidation type="list" allowBlank="1" showInputMessage="1" showErrorMessage="1" sqref="J6">
      <formula1>"Y,N"</formula1>
    </dataValidation>
    <dataValidation type="list" allowBlank="1" showInputMessage="1" showErrorMessage="1" sqref="K6">
      <formula1>"Y,N"</formula1>
    </dataValidation>
    <dataValidation type="list" allowBlank="1" showInputMessage="1" showErrorMessage="1" sqref="L6">
      <formula1>"Y,N"</formula1>
    </dataValidation>
    <dataValidation type="list" allowBlank="1" showInputMessage="1" showErrorMessage="1" sqref="M6">
      <formula1>"Y,N"</formula1>
    </dataValidation>
    <dataValidation type="list" allowBlank="1" showInputMessage="1" showErrorMessage="1" sqref="N6">
      <formula1>"Y,N"</formula1>
    </dataValidation>
    <dataValidation type="list" allowBlank="1" showInputMessage="1" showErrorMessage="1" sqref="O6">
      <formula1>"Y,N"</formula1>
    </dataValidation>
    <dataValidation type="list" allowBlank="1" showInputMessage="1" showErrorMessage="1" sqref="B7">
      <formula1>"Y,N"</formula1>
    </dataValidation>
    <dataValidation type="list" allowBlank="1" showInputMessage="1" showErrorMessage="1" sqref="C7">
      <formula1>"Y,N"</formula1>
    </dataValidation>
    <dataValidation type="list" allowBlank="1" showInputMessage="1" showErrorMessage="1" sqref="D7">
      <formula1>"N.A."</formula1>
    </dataValidation>
    <dataValidation type="list" allowBlank="1" showInputMessage="1" showErrorMessage="1" sqref="E7">
      <formula1>"Y,N"</formula1>
    </dataValidation>
    <dataValidation type="list" allowBlank="1" showInputMessage="1" showErrorMessage="1" sqref="F7">
      <formula1>"Y,N"</formula1>
    </dataValidation>
    <dataValidation type="list" allowBlank="1" showInputMessage="1" showErrorMessage="1" sqref="G7">
      <formula1>"Y,N"</formula1>
    </dataValidation>
    <dataValidation type="list" allowBlank="1" showInputMessage="1" showErrorMessage="1" sqref="H7">
      <formula1>"Y,N"</formula1>
    </dataValidation>
    <dataValidation type="list" allowBlank="1" showInputMessage="1" showErrorMessage="1" sqref="I7">
      <formula1>"Y,N"</formula1>
    </dataValidation>
    <dataValidation type="list" allowBlank="1" showInputMessage="1" showErrorMessage="1" sqref="J7">
      <formula1>"Y,N"</formula1>
    </dataValidation>
    <dataValidation type="list" allowBlank="1" showInputMessage="1" showErrorMessage="1" sqref="K7">
      <formula1>"Y,N"</formula1>
    </dataValidation>
    <dataValidation type="list" allowBlank="1" showInputMessage="1" showErrorMessage="1" sqref="L7">
      <formula1>"Y,N"</formula1>
    </dataValidation>
    <dataValidation type="list" allowBlank="1" showInputMessage="1" showErrorMessage="1" sqref="M7">
      <formula1>"Y,N"</formula1>
    </dataValidation>
    <dataValidation type="list" allowBlank="1" showInputMessage="1" showErrorMessage="1" sqref="N7">
      <formula1>"Y,N"</formula1>
    </dataValidation>
    <dataValidation type="list" allowBlank="1" showInputMessage="1" showErrorMessage="1" sqref="O7">
      <formula1>"Y,N"</formula1>
    </dataValidation>
    <dataValidation type="list" allowBlank="1" showInputMessage="1" showErrorMessage="1" sqref="B8">
      <formula1>"Y,N"</formula1>
    </dataValidation>
    <dataValidation type="list" allowBlank="1" showInputMessage="1" showErrorMessage="1" sqref="C8">
      <formula1>"Y,N"</formula1>
    </dataValidation>
    <dataValidation type="list" allowBlank="1" showInputMessage="1" showErrorMessage="1" sqref="D8">
      <formula1>"Y,N"</formula1>
    </dataValidation>
    <dataValidation type="list" allowBlank="1" showInputMessage="1" showErrorMessage="1" sqref="E8">
      <formula1>"N.A."</formula1>
    </dataValidation>
    <dataValidation type="list" allowBlank="1" showInputMessage="1" showErrorMessage="1" sqref="F8">
      <formula1>"Y,N"</formula1>
    </dataValidation>
    <dataValidation type="list" allowBlank="1" showInputMessage="1" showErrorMessage="1" sqref="G8">
      <formula1>"Y,N"</formula1>
    </dataValidation>
    <dataValidation type="list" allowBlank="1" showInputMessage="1" showErrorMessage="1" sqref="H8">
      <formula1>"Y,N"</formula1>
    </dataValidation>
    <dataValidation type="list" allowBlank="1" showInputMessage="1" showErrorMessage="1" sqref="I8">
      <formula1>"Y,N"</formula1>
    </dataValidation>
    <dataValidation type="list" allowBlank="1" showInputMessage="1" showErrorMessage="1" sqref="J8">
      <formula1>"Y,N"</formula1>
    </dataValidation>
    <dataValidation type="list" allowBlank="1" showInputMessage="1" showErrorMessage="1" sqref="K8">
      <formula1>"Y,N"</formula1>
    </dataValidation>
    <dataValidation type="list" allowBlank="1" showInputMessage="1" showErrorMessage="1" sqref="L8">
      <formula1>"Y,N"</formula1>
    </dataValidation>
    <dataValidation type="list" allowBlank="1" showInputMessage="1" showErrorMessage="1" sqref="M8">
      <formula1>"Y,N"</formula1>
    </dataValidation>
    <dataValidation type="list" allowBlank="1" showInputMessage="1" showErrorMessage="1" sqref="N8">
      <formula1>"Y,N"</formula1>
    </dataValidation>
    <dataValidation type="list" allowBlank="1" showInputMessage="1" showErrorMessage="1" sqref="O8">
      <formula1>"Y,N"</formula1>
    </dataValidation>
    <dataValidation type="list" allowBlank="1" showInputMessage="1" showErrorMessage="1" sqref="B9">
      <formula1>"Y,N"</formula1>
    </dataValidation>
    <dataValidation type="list" allowBlank="1" showInputMessage="1" showErrorMessage="1" sqref="C9">
      <formula1>"Y,N"</formula1>
    </dataValidation>
    <dataValidation type="list" allowBlank="1" showInputMessage="1" showErrorMessage="1" sqref="D9">
      <formula1>"Y,N"</formula1>
    </dataValidation>
    <dataValidation type="list" allowBlank="1" showInputMessage="1" showErrorMessage="1" sqref="E9">
      <formula1>"Y,N"</formula1>
    </dataValidation>
    <dataValidation type="list" allowBlank="1" showInputMessage="1" showErrorMessage="1" sqref="F9">
      <formula1>"N.A."</formula1>
    </dataValidation>
    <dataValidation type="list" allowBlank="1" showInputMessage="1" showErrorMessage="1" sqref="G9">
      <formula1>"Y,N"</formula1>
    </dataValidation>
    <dataValidation type="list" allowBlank="1" showInputMessage="1" showErrorMessage="1" sqref="H9">
      <formula1>"Y,N"</formula1>
    </dataValidation>
    <dataValidation type="list" allowBlank="1" showInputMessage="1" showErrorMessage="1" sqref="I9">
      <formula1>"Y,N"</formula1>
    </dataValidation>
    <dataValidation type="list" allowBlank="1" showInputMessage="1" showErrorMessage="1" sqref="J9">
      <formula1>"Y,N"</formula1>
    </dataValidation>
    <dataValidation type="list" allowBlank="1" showInputMessage="1" showErrorMessage="1" sqref="K9">
      <formula1>"Y,N"</formula1>
    </dataValidation>
    <dataValidation type="list" allowBlank="1" showInputMessage="1" showErrorMessage="1" sqref="L9">
      <formula1>"Y,N"</formula1>
    </dataValidation>
    <dataValidation type="list" allowBlank="1" showInputMessage="1" showErrorMessage="1" sqref="M9">
      <formula1>"Y,N"</formula1>
    </dataValidation>
    <dataValidation type="list" allowBlank="1" showInputMessage="1" showErrorMessage="1" sqref="N9">
      <formula1>"Y,N"</formula1>
    </dataValidation>
    <dataValidation type="list" allowBlank="1" showInputMessage="1" showErrorMessage="1" sqref="O9">
      <formula1>"Y,N"</formula1>
    </dataValidation>
    <dataValidation type="list" allowBlank="1" showInputMessage="1" showErrorMessage="1" sqref="B10">
      <formula1>"Y,N"</formula1>
    </dataValidation>
    <dataValidation type="list" allowBlank="1" showInputMessage="1" showErrorMessage="1" sqref="C10">
      <formula1>"Y,N"</formula1>
    </dataValidation>
    <dataValidation type="list" allowBlank="1" showInputMessage="1" showErrorMessage="1" sqref="D10">
      <formula1>"Y,N"</formula1>
    </dataValidation>
    <dataValidation type="list" allowBlank="1" showInputMessage="1" showErrorMessage="1" sqref="E10">
      <formula1>"Y,N"</formula1>
    </dataValidation>
    <dataValidation type="list" allowBlank="1" showInputMessage="1" showErrorMessage="1" sqref="F10">
      <formula1>"Y,N"</formula1>
    </dataValidation>
    <dataValidation type="list" allowBlank="1" showInputMessage="1" showErrorMessage="1" sqref="G10">
      <formula1>"N.A."</formula1>
    </dataValidation>
    <dataValidation type="list" allowBlank="1" showInputMessage="1" showErrorMessage="1" sqref="H10">
      <formula1>"Y,N"</formula1>
    </dataValidation>
    <dataValidation type="list" allowBlank="1" showInputMessage="1" showErrorMessage="1" sqref="I10">
      <formula1>"Y,N"</formula1>
    </dataValidation>
    <dataValidation type="list" allowBlank="1" showInputMessage="1" showErrorMessage="1" sqref="J10">
      <formula1>"Y,N"</formula1>
    </dataValidation>
    <dataValidation type="list" allowBlank="1" showInputMessage="1" showErrorMessage="1" sqref="K10">
      <formula1>"Y,N"</formula1>
    </dataValidation>
    <dataValidation type="list" allowBlank="1" showInputMessage="1" showErrorMessage="1" sqref="L10">
      <formula1>"Y,N"</formula1>
    </dataValidation>
    <dataValidation type="list" allowBlank="1" showInputMessage="1" showErrorMessage="1" sqref="M10">
      <formula1>"Y,N"</formula1>
    </dataValidation>
    <dataValidation type="list" allowBlank="1" showInputMessage="1" showErrorMessage="1" sqref="N10">
      <formula1>"Y,N"</formula1>
    </dataValidation>
    <dataValidation type="list" allowBlank="1" showInputMessage="1" showErrorMessage="1" sqref="O10">
      <formula1>"Y,N"</formula1>
    </dataValidation>
    <dataValidation type="list" allowBlank="1" showInputMessage="1" showErrorMessage="1" sqref="B11">
      <formula1>"Y,N"</formula1>
    </dataValidation>
    <dataValidation type="list" allowBlank="1" showInputMessage="1" showErrorMessage="1" sqref="C11">
      <formula1>"Y,N"</formula1>
    </dataValidation>
    <dataValidation type="list" allowBlank="1" showInputMessage="1" showErrorMessage="1" sqref="D11">
      <formula1>"Y,N"</formula1>
    </dataValidation>
    <dataValidation type="list" allowBlank="1" showInputMessage="1" showErrorMessage="1" sqref="E11">
      <formula1>"Y,N"</formula1>
    </dataValidation>
    <dataValidation type="list" allowBlank="1" showInputMessage="1" showErrorMessage="1" sqref="F11">
      <formula1>"Y,N"</formula1>
    </dataValidation>
    <dataValidation type="list" allowBlank="1" showInputMessage="1" showErrorMessage="1" sqref="G11">
      <formula1>"Y,N"</formula1>
    </dataValidation>
    <dataValidation type="list" allowBlank="1" showInputMessage="1" showErrorMessage="1" sqref="H11">
      <formula1>"N.A."</formula1>
    </dataValidation>
    <dataValidation type="list" allowBlank="1" showInputMessage="1" showErrorMessage="1" sqref="I11">
      <formula1>"Y,N"</formula1>
    </dataValidation>
    <dataValidation type="list" allowBlank="1" showInputMessage="1" showErrorMessage="1" sqref="J11">
      <formula1>"Y,N"</formula1>
    </dataValidation>
    <dataValidation type="list" allowBlank="1" showInputMessage="1" showErrorMessage="1" sqref="K11">
      <formula1>"Y,N"</formula1>
    </dataValidation>
    <dataValidation type="list" allowBlank="1" showInputMessage="1" showErrorMessage="1" sqref="L11">
      <formula1>"Y,N"</formula1>
    </dataValidation>
    <dataValidation type="list" allowBlank="1" showInputMessage="1" showErrorMessage="1" sqref="M11">
      <formula1>"Y,N"</formula1>
    </dataValidation>
    <dataValidation type="list" allowBlank="1" showInputMessage="1" showErrorMessage="1" sqref="N11">
      <formula1>"Y,N"</formula1>
    </dataValidation>
    <dataValidation type="list" allowBlank="1" showInputMessage="1" showErrorMessage="1" sqref="O11">
      <formula1>"Y,N"</formula1>
    </dataValidation>
    <dataValidation type="list" allowBlank="1" showInputMessage="1" showErrorMessage="1" sqref="B12">
      <formula1>"Y,N"</formula1>
    </dataValidation>
    <dataValidation type="list" allowBlank="1" showInputMessage="1" showErrorMessage="1" sqref="C12">
      <formula1>"Y,N"</formula1>
    </dataValidation>
    <dataValidation type="list" allowBlank="1" showInputMessage="1" showErrorMessage="1" sqref="D12">
      <formula1>"Y,N"</formula1>
    </dataValidation>
    <dataValidation type="list" allowBlank="1" showInputMessage="1" showErrorMessage="1" sqref="E12">
      <formula1>"Y,N"</formula1>
    </dataValidation>
    <dataValidation type="list" allowBlank="1" showInputMessage="1" showErrorMessage="1" sqref="F12">
      <formula1>"Y,N"</formula1>
    </dataValidation>
    <dataValidation type="list" allowBlank="1" showInputMessage="1" showErrorMessage="1" sqref="G12">
      <formula1>"Y,N"</formula1>
    </dataValidation>
    <dataValidation type="list" allowBlank="1" showInputMessage="1" showErrorMessage="1" sqref="H12">
      <formula1>"Y,N"</formula1>
    </dataValidation>
    <dataValidation type="list" allowBlank="1" showInputMessage="1" showErrorMessage="1" sqref="I12">
      <formula1>"N.A."</formula1>
    </dataValidation>
    <dataValidation type="list" allowBlank="1" showInputMessage="1" showErrorMessage="1" sqref="J12">
      <formula1>"Y,N"</formula1>
    </dataValidation>
    <dataValidation type="list" allowBlank="1" showInputMessage="1" showErrorMessage="1" sqref="K12">
      <formula1>"Y,N"</formula1>
    </dataValidation>
    <dataValidation type="list" allowBlank="1" showInputMessage="1" showErrorMessage="1" sqref="L12">
      <formula1>"Y,N"</formula1>
    </dataValidation>
    <dataValidation type="list" allowBlank="1" showInputMessage="1" showErrorMessage="1" sqref="M12">
      <formula1>"Y,N"</formula1>
    </dataValidation>
    <dataValidation type="list" allowBlank="1" showInputMessage="1" showErrorMessage="1" sqref="N12">
      <formula1>"Y,N"</formula1>
    </dataValidation>
    <dataValidation type="list" allowBlank="1" showInputMessage="1" showErrorMessage="1" sqref="O12">
      <formula1>"Y,N"</formula1>
    </dataValidation>
    <dataValidation type="list" allowBlank="1" showInputMessage="1" showErrorMessage="1" sqref="B13">
      <formula1>"Y,N"</formula1>
    </dataValidation>
    <dataValidation type="list" allowBlank="1" showInputMessage="1" showErrorMessage="1" sqref="C13">
      <formula1>"Y,N"</formula1>
    </dataValidation>
    <dataValidation type="list" allowBlank="1" showInputMessage="1" showErrorMessage="1" sqref="D13">
      <formula1>"Y,N"</formula1>
    </dataValidation>
    <dataValidation type="list" allowBlank="1" showInputMessage="1" showErrorMessage="1" sqref="E13">
      <formula1>"Y,N"</formula1>
    </dataValidation>
    <dataValidation type="list" allowBlank="1" showInputMessage="1" showErrorMessage="1" sqref="F13">
      <formula1>"Y,N"</formula1>
    </dataValidation>
    <dataValidation type="list" allowBlank="1" showInputMessage="1" showErrorMessage="1" sqref="G13">
      <formula1>"Y,N"</formula1>
    </dataValidation>
    <dataValidation type="list" allowBlank="1" showInputMessage="1" showErrorMessage="1" sqref="H13">
      <formula1>"Y,N"</formula1>
    </dataValidation>
    <dataValidation type="list" allowBlank="1" showInputMessage="1" showErrorMessage="1" sqref="I13">
      <formula1>"Y,N"</formula1>
    </dataValidation>
    <dataValidation type="list" allowBlank="1" showInputMessage="1" showErrorMessage="1" sqref="J13">
      <formula1>"N.A."</formula1>
    </dataValidation>
    <dataValidation type="list" allowBlank="1" showInputMessage="1" showErrorMessage="1" sqref="K13">
      <formula1>"Y,N"</formula1>
    </dataValidation>
    <dataValidation type="list" allowBlank="1" showInputMessage="1" showErrorMessage="1" sqref="L13">
      <formula1>"Y,N"</formula1>
    </dataValidation>
    <dataValidation type="list" allowBlank="1" showInputMessage="1" showErrorMessage="1" sqref="M13">
      <formula1>"Y,N"</formula1>
    </dataValidation>
    <dataValidation type="list" allowBlank="1" showInputMessage="1" showErrorMessage="1" sqref="N13">
      <formula1>"Y,N"</formula1>
    </dataValidation>
    <dataValidation type="list" allowBlank="1" showInputMessage="1" showErrorMessage="1" sqref="O13">
      <formula1>"Y,N"</formula1>
    </dataValidation>
    <dataValidation type="list" allowBlank="1" showInputMessage="1" showErrorMessage="1" sqref="B14">
      <formula1>"Y,N"</formula1>
    </dataValidation>
    <dataValidation type="list" allowBlank="1" showInputMessage="1" showErrorMessage="1" sqref="C14">
      <formula1>"Y,N"</formula1>
    </dataValidation>
    <dataValidation type="list" allowBlank="1" showInputMessage="1" showErrorMessage="1" sqref="D14">
      <formula1>"Y,N"</formula1>
    </dataValidation>
    <dataValidation type="list" allowBlank="1" showInputMessage="1" showErrorMessage="1" sqref="E14">
      <formula1>"Y,N"</formula1>
    </dataValidation>
    <dataValidation type="list" allowBlank="1" showInputMessage="1" showErrorMessage="1" sqref="F14">
      <formula1>"Y,N"</formula1>
    </dataValidation>
    <dataValidation type="list" allowBlank="1" showInputMessage="1" showErrorMessage="1" sqref="G14">
      <formula1>"Y,N"</formula1>
    </dataValidation>
    <dataValidation type="list" allowBlank="1" showInputMessage="1" showErrorMessage="1" sqref="H14">
      <formula1>"Y,N"</formula1>
    </dataValidation>
    <dataValidation type="list" allowBlank="1" showInputMessage="1" showErrorMessage="1" sqref="I14">
      <formula1>"Y,N"</formula1>
    </dataValidation>
    <dataValidation type="list" allowBlank="1" showInputMessage="1" showErrorMessage="1" sqref="J14">
      <formula1>"Y,N"</formula1>
    </dataValidation>
    <dataValidation type="list" allowBlank="1" showInputMessage="1" showErrorMessage="1" sqref="K14">
      <formula1>"N.A."</formula1>
    </dataValidation>
    <dataValidation type="list" allowBlank="1" showInputMessage="1" showErrorMessage="1" sqref="L14">
      <formula1>"Y,N"</formula1>
    </dataValidation>
    <dataValidation type="list" allowBlank="1" showInputMessage="1" showErrorMessage="1" sqref="M14">
      <formula1>"Y,N"</formula1>
    </dataValidation>
    <dataValidation type="list" allowBlank="1" showInputMessage="1" showErrorMessage="1" sqref="N14">
      <formula1>"Y,N"</formula1>
    </dataValidation>
    <dataValidation type="list" allowBlank="1" showInputMessage="1" showErrorMessage="1" sqref="O14">
      <formula1>"Y,N"</formula1>
    </dataValidation>
    <dataValidation type="list" allowBlank="1" showInputMessage="1" showErrorMessage="1" sqref="B15">
      <formula1>"Y,N"</formula1>
    </dataValidation>
    <dataValidation type="list" allowBlank="1" showInputMessage="1" showErrorMessage="1" sqref="C15">
      <formula1>"Y,N"</formula1>
    </dataValidation>
    <dataValidation type="list" allowBlank="1" showInputMessage="1" showErrorMessage="1" sqref="D15">
      <formula1>"Y,N"</formula1>
    </dataValidation>
    <dataValidation type="list" allowBlank="1" showInputMessage="1" showErrorMessage="1" sqref="E15">
      <formula1>"Y,N"</formula1>
    </dataValidation>
    <dataValidation type="list" allowBlank="1" showInputMessage="1" showErrorMessage="1" sqref="F15">
      <formula1>"Y,N"</formula1>
    </dataValidation>
    <dataValidation type="list" allowBlank="1" showInputMessage="1" showErrorMessage="1" sqref="G15">
      <formula1>"Y,N"</formula1>
    </dataValidation>
    <dataValidation type="list" allowBlank="1" showInputMessage="1" showErrorMessage="1" sqref="H15">
      <formula1>"Y,N"</formula1>
    </dataValidation>
    <dataValidation type="list" allowBlank="1" showInputMessage="1" showErrorMessage="1" sqref="I15">
      <formula1>"Y,N"</formula1>
    </dataValidation>
    <dataValidation type="list" allowBlank="1" showInputMessage="1" showErrorMessage="1" sqref="J15">
      <formula1>"Y,N"</formula1>
    </dataValidation>
    <dataValidation type="list" allowBlank="1" showInputMessage="1" showErrorMessage="1" sqref="K15">
      <formula1>"Y,N"</formula1>
    </dataValidation>
    <dataValidation type="list" allowBlank="1" showInputMessage="1" showErrorMessage="1" sqref="L15">
      <formula1>"N.A."</formula1>
    </dataValidation>
    <dataValidation type="list" allowBlank="1" showInputMessage="1" showErrorMessage="1" sqref="M15">
      <formula1>"Y,N"</formula1>
    </dataValidation>
    <dataValidation type="list" allowBlank="1" showInputMessage="1" showErrorMessage="1" sqref="N15">
      <formula1>"Y,N"</formula1>
    </dataValidation>
    <dataValidation type="list" allowBlank="1" showInputMessage="1" showErrorMessage="1" sqref="O15">
      <formula1>"Y,N"</formula1>
    </dataValidation>
    <dataValidation type="list" allowBlank="1" showInputMessage="1" showErrorMessage="1" sqref="B16">
      <formula1>"Y,N"</formula1>
    </dataValidation>
    <dataValidation type="list" allowBlank="1" showInputMessage="1" showErrorMessage="1" sqref="C16">
      <formula1>"Y,N"</formula1>
    </dataValidation>
    <dataValidation type="list" allowBlank="1" showInputMessage="1" showErrorMessage="1" sqref="D16">
      <formula1>"Y,N"</formula1>
    </dataValidation>
    <dataValidation type="list" allowBlank="1" showInputMessage="1" showErrorMessage="1" sqref="E16">
      <formula1>"Y,N"</formula1>
    </dataValidation>
    <dataValidation type="list" allowBlank="1" showInputMessage="1" showErrorMessage="1" sqref="F16">
      <formula1>"Y,N"</formula1>
    </dataValidation>
    <dataValidation type="list" allowBlank="1" showInputMessage="1" showErrorMessage="1" sqref="G16">
      <formula1>"Y,N"</formula1>
    </dataValidation>
    <dataValidation type="list" allowBlank="1" showInputMessage="1" showErrorMessage="1" sqref="H16">
      <formula1>"Y,N"</formula1>
    </dataValidation>
    <dataValidation type="list" allowBlank="1" showInputMessage="1" showErrorMessage="1" sqref="I16">
      <formula1>"Y,N"</formula1>
    </dataValidation>
    <dataValidation type="list" allowBlank="1" showInputMessage="1" showErrorMessage="1" sqref="J16">
      <formula1>"Y,N"</formula1>
    </dataValidation>
    <dataValidation type="list" allowBlank="1" showInputMessage="1" showErrorMessage="1" sqref="K16">
      <formula1>"Y,N"</formula1>
    </dataValidation>
    <dataValidation type="list" allowBlank="1" showInputMessage="1" showErrorMessage="1" sqref="L16">
      <formula1>"Y,N"</formula1>
    </dataValidation>
    <dataValidation type="list" allowBlank="1" showInputMessage="1" showErrorMessage="1" sqref="M16">
      <formula1>"N.A."</formula1>
    </dataValidation>
    <dataValidation type="list" allowBlank="1" showInputMessage="1" showErrorMessage="1" sqref="N16">
      <formula1>"Y,N"</formula1>
    </dataValidation>
    <dataValidation type="list" allowBlank="1" showInputMessage="1" showErrorMessage="1" sqref="O16">
      <formula1>"Y,N"</formula1>
    </dataValidation>
    <dataValidation type="list" allowBlank="1" showInputMessage="1" showErrorMessage="1" sqref="B17">
      <formula1>"Y,N"</formula1>
    </dataValidation>
    <dataValidation type="list" allowBlank="1" showInputMessage="1" showErrorMessage="1" sqref="C17">
      <formula1>"Y,N"</formula1>
    </dataValidation>
    <dataValidation type="list" allowBlank="1" showInputMessage="1" showErrorMessage="1" sqref="D17">
      <formula1>"Y,N"</formula1>
    </dataValidation>
    <dataValidation type="list" allowBlank="1" showInputMessage="1" showErrorMessage="1" sqref="E17">
      <formula1>"Y,N"</formula1>
    </dataValidation>
    <dataValidation type="list" allowBlank="1" showInputMessage="1" showErrorMessage="1" sqref="F17">
      <formula1>"Y,N"</formula1>
    </dataValidation>
    <dataValidation type="list" allowBlank="1" showInputMessage="1" showErrorMessage="1" sqref="G17">
      <formula1>"Y,N"</formula1>
    </dataValidation>
    <dataValidation type="list" allowBlank="1" showInputMessage="1" showErrorMessage="1" sqref="H17">
      <formula1>"Y,N"</formula1>
    </dataValidation>
    <dataValidation type="list" allowBlank="1" showInputMessage="1" showErrorMessage="1" sqref="I17">
      <formula1>"Y,N"</formula1>
    </dataValidation>
    <dataValidation type="list" allowBlank="1" showInputMessage="1" showErrorMessage="1" sqref="J17">
      <formula1>"Y,N"</formula1>
    </dataValidation>
    <dataValidation type="list" allowBlank="1" showInputMessage="1" showErrorMessage="1" sqref="K17">
      <formula1>"Y,N"</formula1>
    </dataValidation>
    <dataValidation type="list" allowBlank="1" showInputMessage="1" showErrorMessage="1" sqref="L17">
      <formula1>"Y,N"</formula1>
    </dataValidation>
    <dataValidation type="list" allowBlank="1" showInputMessage="1" showErrorMessage="1" sqref="M17">
      <formula1>"Y,N"</formula1>
    </dataValidation>
    <dataValidation type="list" allowBlank="1" showInputMessage="1" showErrorMessage="1" sqref="N17">
      <formula1>"N.A."</formula1>
    </dataValidation>
    <dataValidation type="list" allowBlank="1" showInputMessage="1" showErrorMessage="1" sqref="O17">
      <formula1>"Y,N"</formula1>
    </dataValidation>
    <dataValidation type="list" allowBlank="1" showInputMessage="1" showErrorMessage="1" sqref="B18">
      <formula1>"Y,N"</formula1>
    </dataValidation>
    <dataValidation type="list" allowBlank="1" showInputMessage="1" showErrorMessage="1" sqref="C18">
      <formula1>"Y,N"</formula1>
    </dataValidation>
    <dataValidation type="list" allowBlank="1" showInputMessage="1" showErrorMessage="1" sqref="D18">
      <formula1>"Y,N"</formula1>
    </dataValidation>
    <dataValidation type="list" allowBlank="1" showInputMessage="1" showErrorMessage="1" sqref="E18">
      <formula1>"Y,N"</formula1>
    </dataValidation>
    <dataValidation type="list" allowBlank="1" showInputMessage="1" showErrorMessage="1" sqref="F18">
      <formula1>"Y,N"</formula1>
    </dataValidation>
    <dataValidation type="list" allowBlank="1" showInputMessage="1" showErrorMessage="1" sqref="G18">
      <formula1>"Y,N"</formula1>
    </dataValidation>
    <dataValidation type="list" allowBlank="1" showInputMessage="1" showErrorMessage="1" sqref="H18">
      <formula1>"Y,N"</formula1>
    </dataValidation>
    <dataValidation type="list" allowBlank="1" showInputMessage="1" showErrorMessage="1" sqref="I18">
      <formula1>"Y,N"</formula1>
    </dataValidation>
    <dataValidation type="list" allowBlank="1" showInputMessage="1" showErrorMessage="1" sqref="J18">
      <formula1>"Y,N"</formula1>
    </dataValidation>
    <dataValidation type="list" allowBlank="1" showInputMessage="1" showErrorMessage="1" sqref="K18">
      <formula1>"Y,N"</formula1>
    </dataValidation>
    <dataValidation type="list" allowBlank="1" showInputMessage="1" showErrorMessage="1" sqref="L18">
      <formula1>"Y,N"</formula1>
    </dataValidation>
    <dataValidation type="list" allowBlank="1" showInputMessage="1" showErrorMessage="1" sqref="M18">
      <formula1>"Y,N"</formula1>
    </dataValidation>
    <dataValidation type="list" allowBlank="1" showInputMessage="1" showErrorMessage="1" sqref="N18">
      <formula1>"Y,N"</formula1>
    </dataValidation>
    <dataValidation type="list" allowBlank="1" showInputMessage="1" showErrorMessage="1" sqref="O18">
      <formula1>"N.A."</formula1>
    </dataValidation>
    <dataValidation type="list" allowBlank="1" showInputMessage="1" showErrorMessage="1" sqref="E21">
      <formula1>"Number (years),Rate (per year),Duration (years)"</formula1>
    </dataValidation>
    <dataValidation type="list" allowBlank="1" showInputMessage="1" showErrorMessage="1" sqref="E22">
      <formula1>"Number (years),Rate (per year),Duration (years)"</formula1>
    </dataValidation>
    <dataValidation type="list" allowBlank="1" showInputMessage="1" showErrorMessage="1" sqref="E23">
      <formula1>"Number (years),Rate (per year),Duration (years)"</formula1>
    </dataValidation>
    <dataValidation type="list" allowBlank="1" showInputMessage="1" showErrorMessage="1" sqref="E24">
      <formula1>"Number (years),Rate (per year),Duration (years)"</formula1>
    </dataValidation>
    <dataValidation type="list" allowBlank="1" showInputMessage="1" showErrorMessage="1" sqref="E25">
      <formula1>"Number (years),Rate (per year),Duration (years)"</formula1>
    </dataValidation>
    <dataValidation type="list" allowBlank="1" showInputMessage="1" showErrorMessage="1" sqref="E26">
      <formula1>"Number (years),Rate (per year),Duration (years)"</formula1>
    </dataValidation>
    <dataValidation type="list" allowBlank="1" showInputMessage="1" showErrorMessage="1" sqref="E27">
      <formula1>"Number (years),Rate (per year),Duration (years)"</formula1>
    </dataValidation>
    <dataValidation type="list" allowBlank="1" showInputMessage="1" showErrorMessage="1" sqref="E28">
      <formula1>"Number (years),Rate (per year),Duration (years)"</formula1>
    </dataValidation>
    <dataValidation type="list" allowBlank="1" showInputMessage="1" showErrorMessage="1" sqref="E29">
      <formula1>"Number (years),Rate (per year),Duration (years)"</formula1>
    </dataValidation>
    <dataValidation type="list" allowBlank="1" showInputMessage="1" showErrorMessage="1" sqref="E30">
      <formula1>"Number (years),Rate (per year),Duration (years)"</formula1>
    </dataValidation>
    <dataValidation type="list" allowBlank="1" showInputMessage="1" showErrorMessage="1" sqref="E31">
      <formula1>"Number (years),Rate (per year),Duration (years)"</formula1>
    </dataValidation>
    <dataValidation type="list" allowBlank="1" showInputMessage="1" showErrorMessage="1" sqref="E32">
      <formula1>"Number (years),Rate (per year),Duration (years)"</formula1>
    </dataValidation>
    <dataValidation type="list" allowBlank="1" showInputMessage="1" showErrorMessage="1" sqref="E33">
      <formula1>"Number (years),Rate (per year),Duration (years)"</formula1>
    </dataValidation>
    <dataValidation type="list" allowBlank="1" showInputMessage="1" showErrorMessage="1" sqref="E34">
      <formula1>"Number (years),Rate (per year),Duration (years)"</formula1>
    </dataValidation>
    <dataValidation type="list" allowBlank="1" showInputMessage="1" showErrorMessage="1" sqref="E35">
      <formula1>"Number (years),Rate (per year),Duration (years)"</formula1>
    </dataValidation>
    <dataValidation type="list" allowBlank="1" showInputMessage="1" showErrorMessage="1" sqref="E36">
      <formula1>"Number (years),Rate (per year),Duration (years)"</formula1>
    </dataValidation>
    <dataValidation type="list" allowBlank="1" showInputMessage="1" showErrorMessage="1" sqref="E37">
      <formula1>"Number (years),Rate (per year),Duration (years)"</formula1>
    </dataValidation>
    <dataValidation type="list" allowBlank="1" showInputMessage="1" showErrorMessage="1" sqref="E38">
      <formula1>"Number (years),Rate (per year),Duration (years)"</formula1>
    </dataValidation>
    <dataValidation type="list" allowBlank="1" showInputMessage="1" showErrorMessage="1" sqref="E39">
      <formula1>"Number (years),Rate (per year),Duration (years)"</formula1>
    </dataValidation>
    <dataValidation type="list" allowBlank="1" showInputMessage="1" showErrorMessage="1" sqref="E40">
      <formula1>"Number (years),Rate (per year),Duration (years)"</formula1>
    </dataValidation>
    <dataValidation type="list" allowBlank="1" showInputMessage="1" showErrorMessage="1" sqref="E41">
      <formula1>"Number (years),Rate (per year),Duration (years)"</formula1>
    </dataValidation>
    <dataValidation type="list" allowBlank="1" showInputMessage="1" showErrorMessage="1" sqref="E42">
      <formula1>"Number (years),Rate (per year),Duration (years)"</formula1>
    </dataValidation>
    <dataValidation type="list" allowBlank="1" showInputMessage="1" showErrorMessage="1" sqref="E43">
      <formula1>"Number (years),Rate (per year),Duration (years)"</formula1>
    </dataValidation>
    <dataValidation type="list" allowBlank="1" showInputMessage="1" showErrorMessage="1" sqref="E44">
      <formula1>"Number (years),Rate (per year),Duration (years)"</formula1>
    </dataValidation>
    <dataValidation type="list" allowBlank="1" showInputMessage="1" showErrorMessage="1" sqref="E45">
      <formula1>"Number (years),Rate (per year),Duration (years)"</formula1>
    </dataValidation>
    <dataValidation type="list" allowBlank="1" showInputMessage="1" showErrorMessage="1" sqref="E46">
      <formula1>"Number (years),Rate (per year),Duration (years)"</formula1>
    </dataValidation>
    <dataValidation type="list" allowBlank="1" showInputMessage="1" showErrorMessage="1" sqref="E47">
      <formula1>"Number (years),Rate (per year),Duration (years)"</formula1>
    </dataValidation>
    <dataValidation type="list" allowBlank="1" showInputMessage="1" showErrorMessage="1" sqref="E48">
      <formula1>"Number (years),Rate (per year),Duration (years)"</formula1>
    </dataValidation>
    <dataValidation type="list" allowBlank="1" showInputMessage="1" showErrorMessage="1" sqref="E49">
      <formula1>"Number (years),Rate (per year),Duration (years)"</formula1>
    </dataValidation>
    <dataValidation type="list" allowBlank="1" showInputMessage="1" showErrorMessage="1" sqref="E50">
      <formula1>"Number (years),Rate (per year),Duration (years)"</formula1>
    </dataValidation>
    <dataValidation type="list" allowBlank="1" showInputMessage="1" showErrorMessage="1" sqref="E51">
      <formula1>"Number (years),Rate (per year),Duration (years)"</formula1>
    </dataValidation>
    <dataValidation type="list" allowBlank="1" showInputMessage="1" showErrorMessage="1" sqref="E52">
      <formula1>"Number (years),Rate (per year),Duration (years)"</formula1>
    </dataValidation>
    <dataValidation type="list" allowBlank="1" showInputMessage="1" showErrorMessage="1" sqref="E53">
      <formula1>"Number (years),Rate (per year),Duration (years)"</formula1>
    </dataValidation>
    <dataValidation type="list" allowBlank="1" showInputMessage="1" showErrorMessage="1" sqref="E54">
      <formula1>"Number (years),Rate (per year),Duration (years)"</formula1>
    </dataValidation>
    <dataValidation type="list" allowBlank="1" showInputMessage="1" showErrorMessage="1" sqref="E55">
      <formula1>"Number (years),Rate (per year),Duration (years)"</formula1>
    </dataValidation>
    <dataValidation type="list" allowBlank="1" showInputMessage="1" showErrorMessage="1" sqref="E56">
      <formula1>"Number (years),Rate (per year),Duration (years)"</formula1>
    </dataValidation>
    <dataValidation type="list" allowBlank="1" showInputMessage="1" showErrorMessage="1" sqref="E57">
      <formula1>"Number (years),Rate (per year),Duration (years)"</formula1>
    </dataValidation>
    <dataValidation type="list" allowBlank="1" showInputMessage="1" showErrorMessage="1" sqref="E58">
      <formula1>"Number (years),Rate (per year),Duration (years)"</formula1>
    </dataValidation>
    <dataValidation type="list" allowBlank="1" showInputMessage="1" showErrorMessage="1" sqref="E59">
      <formula1>"Number (years),Rate (per year),Duration (years)"</formula1>
    </dataValidation>
    <dataValidation type="list" allowBlank="1" showInputMessage="1" showErrorMessage="1" sqref="E60">
      <formula1>"Number (years),Rate (per year),Duration (years)"</formula1>
    </dataValidation>
    <dataValidation type="list" allowBlank="1" showInputMessage="1" showErrorMessage="1" sqref="E61">
      <formula1>"Number (years),Rate (per year),Duration (years)"</formula1>
    </dataValidation>
    <dataValidation type="list" allowBlank="1" showInputMessage="1" showErrorMessage="1" sqref="E62">
      <formula1>"Number (years),Rate (per year),Duration (years)"</formula1>
    </dataValidation>
    <dataValidation type="list" allowBlank="1" showInputMessage="1" showErrorMessage="1" sqref="E63">
      <formula1>"Number (years),Rate (per year),Duration (years)"</formula1>
    </dataValidation>
    <dataValidation type="list" allowBlank="1" showInputMessage="1" showErrorMessage="1" sqref="E64">
      <formula1>"Number (years),Rate (per year),Duration (years)"</formula1>
    </dataValidation>
    <dataValidation type="list" allowBlank="1" showInputMessage="1" showErrorMessage="1" sqref="E65">
      <formula1>"Number (years),Rate (per year),Duration (years)"</formula1>
    </dataValidation>
    <dataValidation type="list" allowBlank="1" showInputMessage="1" showErrorMessage="1" sqref="E66">
      <formula1>"Number (years),Rate (per year),Duration (years)"</formula1>
    </dataValidation>
    <dataValidation type="list" allowBlank="1" showInputMessage="1" showErrorMessage="1" sqref="E67">
      <formula1>"Number (years),Rate (per year),Duration (years)"</formula1>
    </dataValidation>
    <dataValidation type="list" allowBlank="1" showInputMessage="1" showErrorMessage="1" sqref="E68">
      <formula1>"Number (years),Rate (per year),Duration (years)"</formula1>
    </dataValidation>
    <dataValidation type="list" allowBlank="1" showInputMessage="1" showErrorMessage="1" sqref="E69">
      <formula1>"Number (years),Rate (per year),Duration (years)"</formula1>
    </dataValidation>
    <dataValidation type="list" allowBlank="1" showInputMessage="1" showErrorMessage="1" sqref="E70">
      <formula1>"Number (years),Rate (per year),Duration (years)"</formula1>
    </dataValidation>
    <dataValidation type="list" allowBlank="1" showInputMessage="1" showErrorMessage="1" sqref="E71">
      <formula1>"Number (years),Rate (per year),Duration (years)"</formula1>
    </dataValidation>
    <dataValidation type="list" allowBlank="1" showInputMessage="1" showErrorMessage="1" sqref="E72">
      <formula1>"Number (years),Rate (per year),Duration (years)"</formula1>
    </dataValidation>
    <dataValidation type="list" allowBlank="1" showInputMessage="1" showErrorMessage="1" sqref="E73">
      <formula1>"Number (years),Rate (per year),Duration (years)"</formula1>
    </dataValidation>
    <dataValidation type="list" allowBlank="1" showInputMessage="1" showErrorMessage="1" sqref="E74">
      <formula1>"Number (years),Rate (per year),Duration (years)"</formula1>
    </dataValidation>
    <dataValidation type="list" allowBlank="1" showInputMessage="1" showErrorMessage="1" sqref="E75">
      <formula1>"Number (years),Rate (per year),Duration (years)"</formula1>
    </dataValidation>
    <dataValidation type="list" allowBlank="1" showInputMessage="1" showErrorMessage="1" sqref="E76">
      <formula1>"Number (years),Rate (per year),Duration (years)"</formula1>
    </dataValidation>
    <dataValidation type="list" allowBlank="1" showInputMessage="1" showErrorMessage="1" sqref="E77">
      <formula1>"Number (years),Rate (per year),Duration (years)"</formula1>
    </dataValidation>
    <dataValidation type="list" allowBlank="1" showInputMessage="1" showErrorMessage="1" sqref="E78">
      <formula1>"Number (years),Rate (per year),Duration (years)"</formula1>
    </dataValidation>
    <dataValidation type="list" allowBlank="1" showInputMessage="1" showErrorMessage="1" sqref="E79">
      <formula1>"Number (years),Rate (per year),Duration (years)"</formula1>
    </dataValidation>
    <dataValidation type="list" allowBlank="1" showInputMessage="1" showErrorMessage="1" sqref="E80">
      <formula1>"Number (years),Rate (per year),Duration (years)"</formula1>
    </dataValidation>
    <dataValidation type="list" allowBlank="1" showInputMessage="1" showErrorMessage="1" sqref="E81">
      <formula1>"Number (years),Rate (per year),Duration (years)"</formula1>
    </dataValidation>
    <dataValidation type="list" allowBlank="1" showInputMessage="1" showErrorMessage="1" sqref="E82">
      <formula1>"Number (years),Rate (per year),Duration (years)"</formula1>
    </dataValidation>
    <dataValidation type="list" allowBlank="1" showInputMessage="1" showErrorMessage="1" sqref="E83">
      <formula1>"Number (years),Rate (per year),Duration (years)"</formula1>
    </dataValidation>
    <dataValidation type="list" allowBlank="1" showInputMessage="1" showErrorMessage="1" sqref="E84">
      <formula1>"Number (years),Rate (per year),Duration (years)"</formula1>
    </dataValidation>
    <dataValidation type="list" allowBlank="1" showInputMessage="1" showErrorMessage="1" sqref="E85">
      <formula1>"Number (years),Rate (per year),Duration (years)"</formula1>
    </dataValidation>
    <dataValidation type="list" allowBlank="1" showInputMessage="1" showErrorMessage="1" sqref="E86">
      <formula1>"Number (years),Rate (per year),Duration (years)"</formula1>
    </dataValidation>
    <dataValidation type="list" allowBlank="1" showInputMessage="1" showErrorMessage="1" sqref="E87">
      <formula1>"Number (years),Rate (per year),Duration (years)"</formula1>
    </dataValidation>
    <dataValidation type="list" allowBlank="1" showInputMessage="1" showErrorMessage="1" sqref="E88">
      <formula1>"Number (years),Rate (per year),Duration (years)"</formula1>
    </dataValidation>
    <dataValidation type="list" allowBlank="1" showInputMessage="1" showErrorMessage="1" sqref="E89">
      <formula1>"Number (years),Rate (per year),Duration (years)"</formula1>
    </dataValidation>
    <dataValidation type="list" allowBlank="1" showInputMessage="1" showErrorMessage="1" sqref="E90">
      <formula1>"Number (years),Rate (per year),Duration (years)"</formula1>
    </dataValidation>
    <dataValidation type="list" allowBlank="1" showInputMessage="1" showErrorMessage="1" sqref="E91">
      <formula1>"Number (years),Rate (per year),Duration (years)"</formula1>
    </dataValidation>
    <dataValidation type="list" allowBlank="1" showInputMessage="1" showErrorMessage="1" sqref="E92">
      <formula1>"Number (years),Rate (per year),Duration (years)"</formula1>
    </dataValidation>
    <dataValidation type="list" allowBlank="1" showInputMessage="1" showErrorMessage="1" sqref="E93">
      <formula1>"Number (years),Rate (per year),Duration (years)"</formula1>
    </dataValidation>
    <dataValidation type="list" allowBlank="1" showInputMessage="1" showErrorMessage="1" sqref="E94">
      <formula1>"Number (years),Rate (per year),Duration (years)"</formula1>
    </dataValidation>
    <dataValidation type="list" allowBlank="1" showInputMessage="1" showErrorMessage="1" sqref="E95">
      <formula1>"Number (years),Rate (per year),Duration (years)"</formula1>
    </dataValidation>
    <dataValidation type="list" allowBlank="1" showInputMessage="1" showErrorMessage="1" sqref="E96">
      <formula1>"Number (years),Rate (per year),Duration (years)"</formula1>
    </dataValidation>
    <dataValidation type="list" allowBlank="1" showInputMessage="1" showErrorMessage="1" sqref="E97">
      <formula1>"Number (years),Rate (per year),Duration (years)"</formula1>
    </dataValidation>
    <dataValidation type="list" allowBlank="1" showInputMessage="1" showErrorMessage="1" sqref="E98">
      <formula1>"Number (years),Rate (per year),Duration (years)"</formula1>
    </dataValidation>
    <dataValidation type="list" allowBlank="1" showInputMessage="1" showErrorMessage="1" sqref="E99">
      <formula1>"Number (years),Rate (per year),Duration (years)"</formula1>
    </dataValidation>
    <dataValidation type="list" allowBlank="1" showInputMessage="1" showErrorMessage="1" sqref="E100">
      <formula1>"Number (years),Rate (per year),Duration (years)"</formula1>
    </dataValidation>
    <dataValidation type="list" allowBlank="1" showInputMessage="1" showErrorMessage="1" sqref="E101">
      <formula1>"Number (years),Rate (per year),Duration (years)"</formula1>
    </dataValidation>
    <dataValidation type="list" allowBlank="1" showInputMessage="1" showErrorMessage="1" sqref="E102">
      <formula1>"Number (years),Rate (per year),Duration (years)"</formula1>
    </dataValidation>
    <dataValidation type="list" allowBlank="1" showInputMessage="1" showErrorMessage="1" sqref="E103">
      <formula1>"Number (years),Rate (per year),Duration (years)"</formula1>
    </dataValidation>
    <dataValidation type="list" allowBlank="1" showInputMessage="1" showErrorMessage="1" sqref="E104">
      <formula1>"Number (years),Rate (per year),Duration (years)"</formula1>
    </dataValidation>
    <dataValidation type="list" allowBlank="1" showInputMessage="1" showErrorMessage="1" sqref="E105">
      <formula1>"Number (years),Rate (per year),Duration (years)"</formula1>
    </dataValidation>
    <dataValidation type="list" allowBlank="1" showInputMessage="1" showErrorMessage="1" sqref="E106">
      <formula1>"Number (years),Rate (per year),Duration (years)"</formula1>
    </dataValidation>
    <dataValidation type="list" allowBlank="1" showInputMessage="1" showErrorMessage="1" sqref="E107">
      <formula1>"Number (years),Rate (per year),Duration (years)"</formula1>
    </dataValidation>
    <dataValidation type="list" allowBlank="1" showInputMessage="1" showErrorMessage="1" sqref="E108">
      <formula1>"Number (years),Rate (per year),Duration (years)"</formula1>
    </dataValidation>
    <dataValidation type="list" allowBlank="1" showInputMessage="1" showErrorMessage="1" sqref="E109">
      <formula1>"Number (years),Rate (per year),Duration (years)"</formula1>
    </dataValidation>
    <dataValidation type="list" allowBlank="1" showInputMessage="1" showErrorMessage="1" sqref="E110">
      <formula1>"Number (years),Rate (per year),Duration (years)"</formula1>
    </dataValidation>
    <dataValidation type="list" allowBlank="1" showInputMessage="1" showErrorMessage="1" sqref="E111">
      <formula1>"Number (years),Rate (per year),Duration (years)"</formula1>
    </dataValidation>
    <dataValidation type="list" allowBlank="1" showInputMessage="1" showErrorMessage="1" sqref="E112">
      <formula1>"Number (years),Rate (per year),Duration (years)"</formula1>
    </dataValidation>
    <dataValidation type="list" allowBlank="1" showInputMessage="1" showErrorMessage="1" sqref="E113">
      <formula1>"Number (years),Rate (per year),Duration (years)"</formula1>
    </dataValidation>
    <dataValidation type="list" allowBlank="1" showInputMessage="1" showErrorMessage="1" sqref="E114">
      <formula1>"Number (years),Rate (per year),Duration (years)"</formula1>
    </dataValidation>
    <dataValidation type="list" allowBlank="1" showInputMessage="1" showErrorMessage="1" sqref="E115">
      <formula1>"Number (years),Rate (per year),Duration (years)"</formula1>
    </dataValidation>
    <dataValidation type="list" allowBlank="1" showInputMessage="1" showErrorMessage="1" sqref="E116">
      <formula1>"Number (years),Rate (per year),Duration (years)"</formula1>
    </dataValidation>
    <dataValidation type="list" allowBlank="1" showInputMessage="1" showErrorMessage="1" sqref="E117">
      <formula1>"Number (years),Rate (per year),Duration (years)"</formula1>
    </dataValidation>
    <dataValidation type="list" allowBlank="1" showInputMessage="1" showErrorMessage="1" sqref="E118">
      <formula1>"Number (years),Rate (per year),Duration (years)"</formula1>
    </dataValidation>
    <dataValidation type="list" allowBlank="1" showInputMessage="1" showErrorMessage="1" sqref="E119">
      <formula1>"Number (years),Rate (per year),Duration (years)"</formula1>
    </dataValidation>
    <dataValidation type="list" allowBlank="1" showInputMessage="1" showErrorMessage="1" sqref="E120">
      <formula1>"Number (years),Rate (per year),Duration (years)"</formula1>
    </dataValidation>
    <dataValidation type="list" allowBlank="1" showInputMessage="1" showErrorMessage="1" sqref="E121">
      <formula1>"Number (years),Rate (per year),Duration (years)"</formula1>
    </dataValidation>
    <dataValidation type="list" allowBlank="1" showInputMessage="1" showErrorMessage="1" sqref="E122">
      <formula1>"Number (years),Rate (per year),Duration (years)"</formula1>
    </dataValidation>
    <dataValidation type="list" allowBlank="1" showInputMessage="1" showErrorMessage="1" sqref="E123">
      <formula1>"Number (years),Rate (per year),Duration (years)"</formula1>
    </dataValidation>
    <dataValidation type="list" allowBlank="1" showInputMessage="1" showErrorMessage="1" sqref="E124">
      <formula1>"Number (years),Rate (per year),Duration (years)"</formula1>
    </dataValidation>
    <dataValidation type="list" allowBlank="1" showInputMessage="1" showErrorMessage="1" sqref="E125">
      <formula1>"Number (years),Rate (per year),Duration (years)"</formula1>
    </dataValidation>
    <dataValidation type="list" allowBlank="1" showInputMessage="1" showErrorMessage="1" sqref="E126">
      <formula1>"Number (years),Rate (per year),Duration (years)"</formula1>
    </dataValidation>
    <dataValidation type="list" allowBlank="1" showInputMessage="1" showErrorMessage="1" sqref="E127">
      <formula1>"Number (years),Rate (per year),Duration (years)"</formula1>
    </dataValidation>
    <dataValidation type="list" allowBlank="1" showInputMessage="1" showErrorMessage="1" sqref="E128">
      <formula1>"Number (years),Rate (per year),Duration (years)"</formula1>
    </dataValidation>
    <dataValidation type="list" allowBlank="1" showInputMessage="1" showErrorMessage="1" sqref="E129">
      <formula1>"Number (years),Rate (per year),Duration (years)"</formula1>
    </dataValidation>
    <dataValidation type="list" allowBlank="1" showInputMessage="1" showErrorMessage="1" sqref="E130">
      <formula1>"Number (years),Rate (per year),Duration (years)"</formula1>
    </dataValidation>
    <dataValidation type="list" allowBlank="1" showInputMessage="1" showErrorMessage="1" sqref="E131">
      <formula1>"Number (years),Rate (per year),Duration (years)"</formula1>
    </dataValidation>
    <dataValidation type="list" allowBlank="1" showInputMessage="1" showErrorMessage="1" sqref="E132">
      <formula1>"Number (years),Rate (per year),Duration (years)"</formula1>
    </dataValidation>
    <dataValidation type="list" allowBlank="1" showInputMessage="1" showErrorMessage="1" sqref="E133">
      <formula1>"Number (years),Rate (per year),Duration (years)"</formula1>
    </dataValidation>
    <dataValidation type="list" allowBlank="1" showInputMessage="1" showErrorMessage="1" sqref="E134">
      <formula1>"Number (years),Rate (per year),Duration (years)"</formula1>
    </dataValidation>
    <dataValidation type="list" allowBlank="1" showInputMessage="1" showErrorMessage="1" sqref="E135">
      <formula1>"Number (years),Rate (per year),Duration (years)"</formula1>
    </dataValidation>
    <dataValidation type="list" allowBlank="1" showInputMessage="1" showErrorMessage="1" sqref="E136">
      <formula1>"Number (years),Rate (per year),Duration (years)"</formula1>
    </dataValidation>
    <dataValidation type="list" allowBlank="1" showInputMessage="1" showErrorMessage="1" sqref="E137">
      <formula1>"Number (years),Rate (per year),Duration (years)"</formula1>
    </dataValidation>
    <dataValidation type="list" allowBlank="1" showInputMessage="1" showErrorMessage="1" sqref="E138">
      <formula1>"Number (years),Rate (per year),Duration (years)"</formula1>
    </dataValidation>
    <dataValidation type="list" allowBlank="1" showInputMessage="1" showErrorMessage="1" sqref="E139">
      <formula1>"Number (years),Rate (per year),Duration (years)"</formula1>
    </dataValidation>
    <dataValidation type="list" allowBlank="1" showInputMessage="1" showErrorMessage="1" sqref="E140">
      <formula1>"Number (years),Rate (per year),Duration (years)"</formula1>
    </dataValidation>
    <dataValidation type="list" allowBlank="1" showInputMessage="1" showErrorMessage="1" sqref="E141">
      <formula1>"Number (years),Rate (per year),Duration (years)"</formula1>
    </dataValidation>
    <dataValidation type="list" allowBlank="1" showInputMessage="1" showErrorMessage="1" sqref="E142">
      <formula1>"Number (years),Rate (per year),Duration (years)"</formula1>
    </dataValidation>
    <dataValidation type="list" allowBlank="1" showInputMessage="1" showErrorMessage="1" sqref="E143">
      <formula1>"Number (years),Rate (per year),Duration (years)"</formula1>
    </dataValidation>
    <dataValidation type="list" allowBlank="1" showInputMessage="1" showErrorMessage="1" sqref="E144">
      <formula1>"Number (years),Rate (per year),Duration (years)"</formula1>
    </dataValidation>
    <dataValidation type="list" allowBlank="1" showInputMessage="1" showErrorMessage="1" sqref="E145">
      <formula1>"Number (years),Rate (per year),Duration (years)"</formula1>
    </dataValidation>
    <dataValidation type="list" allowBlank="1" showInputMessage="1" showErrorMessage="1" sqref="E146">
      <formula1>"Number (years),Rate (per year),Duration (years)"</formula1>
    </dataValidation>
    <dataValidation type="list" allowBlank="1" showInputMessage="1" showErrorMessage="1" sqref="E147">
      <formula1>"Number (years),Rate (per year),Duration (years)"</formula1>
    </dataValidation>
    <dataValidation type="list" allowBlank="1" showInputMessage="1" showErrorMessage="1" sqref="E148">
      <formula1>"Number (years),Rate (per year),Duration (years)"</formula1>
    </dataValidation>
    <dataValidation type="list" allowBlank="1" showInputMessage="1" showErrorMessage="1" sqref="E149">
      <formula1>"Number (years),Rate (per year),Duration (years)"</formula1>
    </dataValidation>
    <dataValidation type="list" allowBlank="1" showInputMessage="1" showErrorMessage="1" sqref="E150">
      <formula1>"Number (years),Rate (per year),Duration (years)"</formula1>
    </dataValidation>
    <dataValidation type="list" allowBlank="1" showInputMessage="1" showErrorMessage="1" sqref="E151">
      <formula1>"Number (years),Rate (per year),Duration (years)"</formula1>
    </dataValidation>
    <dataValidation type="list" allowBlank="1" showInputMessage="1" showErrorMessage="1" sqref="E152">
      <formula1>"Number (years),Rate (per year),Duration (years)"</formula1>
    </dataValidation>
    <dataValidation type="list" allowBlank="1" showInputMessage="1" showErrorMessage="1" sqref="E153">
      <formula1>"Number (years),Rate (per year),Duration (years)"</formula1>
    </dataValidation>
    <dataValidation type="list" allowBlank="1" showInputMessage="1" showErrorMessage="1" sqref="E154">
      <formula1>"Number (years),Rate (per year),Duration (years)"</formula1>
    </dataValidation>
    <dataValidation type="list" allowBlank="1" showInputMessage="1" showErrorMessage="1" sqref="E155">
      <formula1>"Number (years),Rate (per year),Duration (years)"</formula1>
    </dataValidation>
    <dataValidation type="list" allowBlank="1" showInputMessage="1" showErrorMessage="1" sqref="E156">
      <formula1>"Number (years),Rate (per year),Duration (years)"</formula1>
    </dataValidation>
    <dataValidation type="list" allowBlank="1" showInputMessage="1" showErrorMessage="1" sqref="E157">
      <formula1>"Number (years),Rate (per year),Duration (years)"</formula1>
    </dataValidation>
    <dataValidation type="list" allowBlank="1" showInputMessage="1" showErrorMessage="1" sqref="E158">
      <formula1>"Number (years),Rate (per year),Duration (years)"</formula1>
    </dataValidation>
    <dataValidation type="list" allowBlank="1" showInputMessage="1" showErrorMessage="1" sqref="E159">
      <formula1>"Number (years),Rate (per year),Duration (years)"</formula1>
    </dataValidation>
    <dataValidation type="list" allowBlank="1" showInputMessage="1" showErrorMessage="1" sqref="E160">
      <formula1>"Number (years),Rate (per year),Duration (years)"</formula1>
    </dataValidation>
    <dataValidation type="list" allowBlank="1" showInputMessage="1" showErrorMessage="1" sqref="E161">
      <formula1>"Number (years),Rate (per year),Duration (years)"</formula1>
    </dataValidation>
    <dataValidation type="list" allowBlank="1" showInputMessage="1" showErrorMessage="1" sqref="E162">
      <formula1>"Number (years),Rate (per year),Duration (years)"</formula1>
    </dataValidation>
    <dataValidation type="list" allowBlank="1" showInputMessage="1" showErrorMessage="1" sqref="E163">
      <formula1>"Number (years),Rate (per year),Duration (years)"</formula1>
    </dataValidation>
    <dataValidation type="list" allowBlank="1" showInputMessage="1" showErrorMessage="1" sqref="E164">
      <formula1>"Number (years),Rate (per year),Duration (years)"</formula1>
    </dataValidation>
    <dataValidation type="list" allowBlank="1" showInputMessage="1" showErrorMessage="1" sqref="E165">
      <formula1>"Number (years),Rate (per year),Duration (years)"</formula1>
    </dataValidation>
    <dataValidation type="list" allowBlank="1" showInputMessage="1" showErrorMessage="1" sqref="E166">
      <formula1>"Number (years),Rate (per year),Duration (years)"</formula1>
    </dataValidation>
    <dataValidation type="list" allowBlank="1" showInputMessage="1" showErrorMessage="1" sqref="E167">
      <formula1>"Number (years),Rate (per year),Duration (years)"</formula1>
    </dataValidation>
    <dataValidation type="list" allowBlank="1" showInputMessage="1" showErrorMessage="1" sqref="E168">
      <formula1>"Number (years),Rate (per year),Duration (years)"</formula1>
    </dataValidation>
    <dataValidation type="list" allowBlank="1" showInputMessage="1" showErrorMessage="1" sqref="E169">
      <formula1>"Number (years),Rate (per year),Duration (years)"</formula1>
    </dataValidation>
    <dataValidation type="list" allowBlank="1" showInputMessage="1" showErrorMessage="1" sqref="E170">
      <formula1>"Number (years),Rate (per year),Duration (years)"</formula1>
    </dataValidation>
    <dataValidation type="list" allowBlank="1" showInputMessage="1" showErrorMessage="1" sqref="E171">
      <formula1>"Number (years),Rate (per year),Duration (years)"</formula1>
    </dataValidation>
    <dataValidation type="list" allowBlank="1" showInputMessage="1" showErrorMessage="1" sqref="E172">
      <formula1>"Number (years),Rate (per year),Duration (years)"</formula1>
    </dataValidation>
    <dataValidation type="list" allowBlank="1" showInputMessage="1" showErrorMessage="1" sqref="E173">
      <formula1>"Number (years),Rate (per year),Duration (years)"</formula1>
    </dataValidation>
    <dataValidation type="list" allowBlank="1" showInputMessage="1" showErrorMessage="1" sqref="E174">
      <formula1>"Number (years),Rate (per year),Duration (years)"</formula1>
    </dataValidation>
    <dataValidation type="list" allowBlank="1" showInputMessage="1" showErrorMessage="1" sqref="E175">
      <formula1>"Number (years),Rate (per year),Duration (years)"</formula1>
    </dataValidation>
    <dataValidation type="list" allowBlank="1" showInputMessage="1" showErrorMessage="1" sqref="E176">
      <formula1>"Number (years),Rate (per year),Duration (years)"</formula1>
    </dataValidation>
    <dataValidation type="list" allowBlank="1" showInputMessage="1" showErrorMessage="1" sqref="E177">
      <formula1>"Number (years),Rate (per year),Duration (years)"</formula1>
    </dataValidation>
    <dataValidation type="list" allowBlank="1" showInputMessage="1" showErrorMessage="1" sqref="E178">
      <formula1>"Number (years),Rate (per year),Duration (years)"</formula1>
    </dataValidation>
    <dataValidation type="list" allowBlank="1" showInputMessage="1" showErrorMessage="1" sqref="E179">
      <formula1>"Number (years),Rate (per year),Duration (years)"</formula1>
    </dataValidation>
    <dataValidation type="list" allowBlank="1" showInputMessage="1" showErrorMessage="1" sqref="E180">
      <formula1>"Number (years),Rate (per year),Duration (years)"</formula1>
    </dataValidation>
    <dataValidation type="list" allowBlank="1" showInputMessage="1" showErrorMessage="1" sqref="E181">
      <formula1>"Number (years),Rate (per year),Duration (years)"</formula1>
    </dataValidation>
    <dataValidation type="list" allowBlank="1" showInputMessage="1" showErrorMessage="1" sqref="E182">
      <formula1>"Number (years),Rate (per year),Duration (years)"</formula1>
    </dataValidation>
    <dataValidation type="list" allowBlank="1" showInputMessage="1" showErrorMessage="1" sqref="E183">
      <formula1>"Number (years),Rate (per year),Duration (years)"</formula1>
    </dataValidation>
    <dataValidation type="list" allowBlank="1" showInputMessage="1" showErrorMessage="1" sqref="E184">
      <formula1>"Number (years),Rate (per year),Duration (years)"</formula1>
    </dataValidation>
    <dataValidation type="list" allowBlank="1" showInputMessage="1" showErrorMessage="1" sqref="E185">
      <formula1>"Number (years),Rate (per year),Duration (years)"</formula1>
    </dataValidation>
    <dataValidation type="list" allowBlank="1" showInputMessage="1" showErrorMessage="1" sqref="E186">
      <formula1>"Number (years),Rate (per year),Duration (years)"</formula1>
    </dataValidation>
    <dataValidation type="list" allowBlank="1" showInputMessage="1" showErrorMessage="1" sqref="E187">
      <formula1>"Number (years),Rate (per year),Duration (years)"</formula1>
    </dataValidation>
    <dataValidation type="list" allowBlank="1" showInputMessage="1" showErrorMessage="1" sqref="E188">
      <formula1>"Number (years),Rate (per year),Duration (years)"</formula1>
    </dataValidation>
    <dataValidation type="list" allowBlank="1" showInputMessage="1" showErrorMessage="1" sqref="E189">
      <formula1>"Number (years),Rate (per year),Duration (years)"</formula1>
    </dataValidation>
    <dataValidation type="list" allowBlank="1" showInputMessage="1" showErrorMessage="1" sqref="E190">
      <formula1>"Number (years),Rate (per year),Duration (years)"</formula1>
    </dataValidation>
    <dataValidation type="list" allowBlank="1" showInputMessage="1" showErrorMessage="1" sqref="E191">
      <formula1>"Number (years),Rate (per year),Duration (years)"</formula1>
    </dataValidation>
    <dataValidation type="list" allowBlank="1" showInputMessage="1" showErrorMessage="1" sqref="E192">
      <formula1>"Number (years),Rate (per year),Duration (years)"</formula1>
    </dataValidation>
    <dataValidation type="list" allowBlank="1" showInputMessage="1" showErrorMessage="1" sqref="E193">
      <formula1>"Number (years),Rate (per year),Duration (years)"</formula1>
    </dataValidation>
    <dataValidation type="list" allowBlank="1" showInputMessage="1" showErrorMessage="1" sqref="E194">
      <formula1>"Number (years),Rate (per year),Duration (years)"</formula1>
    </dataValidation>
    <dataValidation type="list" allowBlank="1" showInputMessage="1" showErrorMessage="1" sqref="E195">
      <formula1>"Number (years),Rate (per year),Duration (years)"</formula1>
    </dataValidation>
    <dataValidation type="list" allowBlank="1" showInputMessage="1" showErrorMessage="1" sqref="E196">
      <formula1>"Number (years),Rate (per year),Duration (years)"</formula1>
    </dataValidation>
    <dataValidation type="list" allowBlank="1" showInputMessage="1" showErrorMessage="1" sqref="E197">
      <formula1>"Number (years),Rate (per year),Duration (years)"</formula1>
    </dataValidation>
    <dataValidation type="list" allowBlank="1" showInputMessage="1" showErrorMessage="1" sqref="E198">
      <formula1>"Number (years),Rate (per year),Duration (years)"</formula1>
    </dataValidation>
    <dataValidation type="list" allowBlank="1" showInputMessage="1" showErrorMessage="1" sqref="E199">
      <formula1>"Number (years),Rate (per year),Duration (years)"</formula1>
    </dataValidation>
    <dataValidation type="list" allowBlank="1" showInputMessage="1" showErrorMessage="1" sqref="E200">
      <formula1>"Number (years),Rate (per year),Duration (years)"</formula1>
    </dataValidation>
    <dataValidation type="list" allowBlank="1" showInputMessage="1" showErrorMessage="1" sqref="E201">
      <formula1>"Number (years),Rate (per year),Duration (years)"</formula1>
    </dataValidation>
    <dataValidation type="list" allowBlank="1" showInputMessage="1" showErrorMessage="1" sqref="E202">
      <formula1>"Number (years),Rate (per year),Duration (years)"</formula1>
    </dataValidation>
    <dataValidation type="list" allowBlank="1" showInputMessage="1" showErrorMessage="1" sqref="E203">
      <formula1>"Number (years),Rate (per year),Duration (years)"</formula1>
    </dataValidation>
    <dataValidation type="list" allowBlank="1" showInputMessage="1" showErrorMessage="1" sqref="E204">
      <formula1>"Number (years),Rate (per year),Duration (years)"</formula1>
    </dataValidation>
    <dataValidation type="list" allowBlank="1" showInputMessage="1" showErrorMessage="1" sqref="E205">
      <formula1>"Number (years),Rate (per year),Duration (years)"</formula1>
    </dataValidation>
    <dataValidation type="list" allowBlank="1" showInputMessage="1" showErrorMessage="1" sqref="E206">
      <formula1>"Number (years),Rate (per year),Duration (years)"</formula1>
    </dataValidation>
    <dataValidation type="list" allowBlank="1" showInputMessage="1" showErrorMessage="1" sqref="E207">
      <formula1>"Number (years),Rate (per year),Duration (years)"</formula1>
    </dataValidation>
    <dataValidation type="list" allowBlank="1" showInputMessage="1" showErrorMessage="1" sqref="E208">
      <formula1>"Number (years),Rate (per year),Duration (years)"</formula1>
    </dataValidation>
    <dataValidation type="list" allowBlank="1" showInputMessage="1" showErrorMessage="1" sqref="E209">
      <formula1>"Number (years),Rate (per year),Duration (years)"</formula1>
    </dataValidation>
    <dataValidation type="list" allowBlank="1" showInputMessage="1" showErrorMessage="1" sqref="E210">
      <formula1>"Number (years),Rate (per year),Duration (years)"</formula1>
    </dataValidation>
    <dataValidation type="list" allowBlank="1" showInputMessage="1" showErrorMessage="1" sqref="E211">
      <formula1>"Number (years),Rate (per year),Duration (years)"</formula1>
    </dataValidation>
    <dataValidation type="list" allowBlank="1" showInputMessage="1" showErrorMessage="1" sqref="E212">
      <formula1>"Number (years),Rate (per year),Duration (years)"</formula1>
    </dataValidation>
    <dataValidation type="list" allowBlank="1" showInputMessage="1" showErrorMessage="1" sqref="E213">
      <formula1>"Number (years),Rate (per year),Duration (years)"</formula1>
    </dataValidation>
    <dataValidation type="list" allowBlank="1" showInputMessage="1" showErrorMessage="1" sqref="E214">
      <formula1>"Number (years),Rate (per year),Duration (years)"</formula1>
    </dataValidation>
    <dataValidation type="list" allowBlank="1" showInputMessage="1" showErrorMessage="1" sqref="E215">
      <formula1>"Number (years),Rate (per year),Duration (years)"</formula1>
    </dataValidation>
    <dataValidation type="list" allowBlank="1" showInputMessage="1" showErrorMessage="1" sqref="E216">
      <formula1>"Number (years),Rate (per year),Duration (years)"</formula1>
    </dataValidation>
    <dataValidation type="list" allowBlank="1" showInputMessage="1" showErrorMessage="1" sqref="B222">
      <formula1>"N.A."</formula1>
    </dataValidation>
    <dataValidation type="list" allowBlank="1" showInputMessage="1" showErrorMessage="1" sqref="C222">
      <formula1>"Y,N"</formula1>
    </dataValidation>
    <dataValidation type="list" allowBlank="1" showInputMessage="1" showErrorMessage="1" sqref="D222">
      <formula1>"Y,N"</formula1>
    </dataValidation>
    <dataValidation type="list" allowBlank="1" showInputMessage="1" showErrorMessage="1" sqref="E222">
      <formula1>"Y,N"</formula1>
    </dataValidation>
    <dataValidation type="list" allowBlank="1" showInputMessage="1" showErrorMessage="1" sqref="F222">
      <formula1>"Y,N"</formula1>
    </dataValidation>
    <dataValidation type="list" allowBlank="1" showInputMessage="1" showErrorMessage="1" sqref="G222">
      <formula1>"Y,N"</formula1>
    </dataValidation>
    <dataValidation type="list" allowBlank="1" showInputMessage="1" showErrorMessage="1" sqref="H222">
      <formula1>"Y,N"</formula1>
    </dataValidation>
    <dataValidation type="list" allowBlank="1" showInputMessage="1" showErrorMessage="1" sqref="I222">
      <formula1>"Y,N"</formula1>
    </dataValidation>
    <dataValidation type="list" allowBlank="1" showInputMessage="1" showErrorMessage="1" sqref="J222">
      <formula1>"Y,N"</formula1>
    </dataValidation>
    <dataValidation type="list" allowBlank="1" showInputMessage="1" showErrorMessage="1" sqref="K222">
      <formula1>"Y,N"</formula1>
    </dataValidation>
    <dataValidation type="list" allowBlank="1" showInputMessage="1" showErrorMessage="1" sqref="L222">
      <formula1>"Y,N"</formula1>
    </dataValidation>
    <dataValidation type="list" allowBlank="1" showInputMessage="1" showErrorMessage="1" sqref="M222">
      <formula1>"Y,N"</formula1>
    </dataValidation>
    <dataValidation type="list" allowBlank="1" showInputMessage="1" showErrorMessage="1" sqref="N222">
      <formula1>"Y,N"</formula1>
    </dataValidation>
    <dataValidation type="list" allowBlank="1" showInputMessage="1" showErrorMessage="1" sqref="O222">
      <formula1>"Y,N"</formula1>
    </dataValidation>
    <dataValidation type="list" allowBlank="1" showInputMessage="1" showErrorMessage="1" sqref="B223">
      <formula1>"Y,N"</formula1>
    </dataValidation>
    <dataValidation type="list" allowBlank="1" showInputMessage="1" showErrorMessage="1" sqref="C223">
      <formula1>"N.A."</formula1>
    </dataValidation>
    <dataValidation type="list" allowBlank="1" showInputMessage="1" showErrorMessage="1" sqref="D223">
      <formula1>"Y,N"</formula1>
    </dataValidation>
    <dataValidation type="list" allowBlank="1" showInputMessage="1" showErrorMessage="1" sqref="E223">
      <formula1>"Y,N"</formula1>
    </dataValidation>
    <dataValidation type="list" allowBlank="1" showInputMessage="1" showErrorMessage="1" sqref="F223">
      <formula1>"Y,N"</formula1>
    </dataValidation>
    <dataValidation type="list" allowBlank="1" showInputMessage="1" showErrorMessage="1" sqref="G223">
      <formula1>"Y,N"</formula1>
    </dataValidation>
    <dataValidation type="list" allowBlank="1" showInputMessage="1" showErrorMessage="1" sqref="H223">
      <formula1>"Y,N"</formula1>
    </dataValidation>
    <dataValidation type="list" allowBlank="1" showInputMessage="1" showErrorMessage="1" sqref="I223">
      <formula1>"Y,N"</formula1>
    </dataValidation>
    <dataValidation type="list" allowBlank="1" showInputMessage="1" showErrorMessage="1" sqref="J223">
      <formula1>"Y,N"</formula1>
    </dataValidation>
    <dataValidation type="list" allowBlank="1" showInputMessage="1" showErrorMessage="1" sqref="K223">
      <formula1>"Y,N"</formula1>
    </dataValidation>
    <dataValidation type="list" allowBlank="1" showInputMessage="1" showErrorMessage="1" sqref="L223">
      <formula1>"Y,N"</formula1>
    </dataValidation>
    <dataValidation type="list" allowBlank="1" showInputMessage="1" showErrorMessage="1" sqref="M223">
      <formula1>"Y,N"</formula1>
    </dataValidation>
    <dataValidation type="list" allowBlank="1" showInputMessage="1" showErrorMessage="1" sqref="N223">
      <formula1>"Y,N"</formula1>
    </dataValidation>
    <dataValidation type="list" allowBlank="1" showInputMessage="1" showErrorMessage="1" sqref="O223">
      <formula1>"Y,N"</formula1>
    </dataValidation>
    <dataValidation type="list" allowBlank="1" showInputMessage="1" showErrorMessage="1" sqref="B224">
      <formula1>"Y,N"</formula1>
    </dataValidation>
    <dataValidation type="list" allowBlank="1" showInputMessage="1" showErrorMessage="1" sqref="C224">
      <formula1>"Y,N"</formula1>
    </dataValidation>
    <dataValidation type="list" allowBlank="1" showInputMessage="1" showErrorMessage="1" sqref="D224">
      <formula1>"N.A."</formula1>
    </dataValidation>
    <dataValidation type="list" allowBlank="1" showInputMessage="1" showErrorMessage="1" sqref="E224">
      <formula1>"Y,N"</formula1>
    </dataValidation>
    <dataValidation type="list" allowBlank="1" showInputMessage="1" showErrorMessage="1" sqref="F224">
      <formula1>"Y,N"</formula1>
    </dataValidation>
    <dataValidation type="list" allowBlank="1" showInputMessage="1" showErrorMessage="1" sqref="G224">
      <formula1>"Y,N"</formula1>
    </dataValidation>
    <dataValidation type="list" allowBlank="1" showInputMessage="1" showErrorMessage="1" sqref="H224">
      <formula1>"Y,N"</formula1>
    </dataValidation>
    <dataValidation type="list" allowBlank="1" showInputMessage="1" showErrorMessage="1" sqref="I224">
      <formula1>"Y,N"</formula1>
    </dataValidation>
    <dataValidation type="list" allowBlank="1" showInputMessage="1" showErrorMessage="1" sqref="J224">
      <formula1>"Y,N"</formula1>
    </dataValidation>
    <dataValidation type="list" allowBlank="1" showInputMessage="1" showErrorMessage="1" sqref="K224">
      <formula1>"Y,N"</formula1>
    </dataValidation>
    <dataValidation type="list" allowBlank="1" showInputMessage="1" showErrorMessage="1" sqref="L224">
      <formula1>"Y,N"</formula1>
    </dataValidation>
    <dataValidation type="list" allowBlank="1" showInputMessage="1" showErrorMessage="1" sqref="M224">
      <formula1>"Y,N"</formula1>
    </dataValidation>
    <dataValidation type="list" allowBlank="1" showInputMessage="1" showErrorMessage="1" sqref="N224">
      <formula1>"Y,N"</formula1>
    </dataValidation>
    <dataValidation type="list" allowBlank="1" showInputMessage="1" showErrorMessage="1" sqref="O224">
      <formula1>"Y,N"</formula1>
    </dataValidation>
    <dataValidation type="list" allowBlank="1" showInputMessage="1" showErrorMessage="1" sqref="B225">
      <formula1>"Y,N"</formula1>
    </dataValidation>
    <dataValidation type="list" allowBlank="1" showInputMessage="1" showErrorMessage="1" sqref="C225">
      <formula1>"Y,N"</formula1>
    </dataValidation>
    <dataValidation type="list" allowBlank="1" showInputMessage="1" showErrorMessage="1" sqref="D225">
      <formula1>"Y,N"</formula1>
    </dataValidation>
    <dataValidation type="list" allowBlank="1" showInputMessage="1" showErrorMessage="1" sqref="E225">
      <formula1>"N.A."</formula1>
    </dataValidation>
    <dataValidation type="list" allowBlank="1" showInputMessage="1" showErrorMessage="1" sqref="F225">
      <formula1>"Y,N"</formula1>
    </dataValidation>
    <dataValidation type="list" allowBlank="1" showInputMessage="1" showErrorMessage="1" sqref="G225">
      <formula1>"Y,N"</formula1>
    </dataValidation>
    <dataValidation type="list" allowBlank="1" showInputMessage="1" showErrorMessage="1" sqref="H225">
      <formula1>"Y,N"</formula1>
    </dataValidation>
    <dataValidation type="list" allowBlank="1" showInputMessage="1" showErrorMessage="1" sqref="I225">
      <formula1>"Y,N"</formula1>
    </dataValidation>
    <dataValidation type="list" allowBlank="1" showInputMessage="1" showErrorMessage="1" sqref="J225">
      <formula1>"Y,N"</formula1>
    </dataValidation>
    <dataValidation type="list" allowBlank="1" showInputMessage="1" showErrorMessage="1" sqref="K225">
      <formula1>"Y,N"</formula1>
    </dataValidation>
    <dataValidation type="list" allowBlank="1" showInputMessage="1" showErrorMessage="1" sqref="L225">
      <formula1>"Y,N"</formula1>
    </dataValidation>
    <dataValidation type="list" allowBlank="1" showInputMessage="1" showErrorMessage="1" sqref="M225">
      <formula1>"Y,N"</formula1>
    </dataValidation>
    <dataValidation type="list" allowBlank="1" showInputMessage="1" showErrorMessage="1" sqref="N225">
      <formula1>"Y,N"</formula1>
    </dataValidation>
    <dataValidation type="list" allowBlank="1" showInputMessage="1" showErrorMessage="1" sqref="O225">
      <formula1>"Y,N"</formula1>
    </dataValidation>
    <dataValidation type="list" allowBlank="1" showInputMessage="1" showErrorMessage="1" sqref="B226">
      <formula1>"Y,N"</formula1>
    </dataValidation>
    <dataValidation type="list" allowBlank="1" showInputMessage="1" showErrorMessage="1" sqref="C226">
      <formula1>"Y,N"</formula1>
    </dataValidation>
    <dataValidation type="list" allowBlank="1" showInputMessage="1" showErrorMessage="1" sqref="D226">
      <formula1>"Y,N"</formula1>
    </dataValidation>
    <dataValidation type="list" allowBlank="1" showInputMessage="1" showErrorMessage="1" sqref="E226">
      <formula1>"Y,N"</formula1>
    </dataValidation>
    <dataValidation type="list" allowBlank="1" showInputMessage="1" showErrorMessage="1" sqref="F226">
      <formula1>"N.A."</formula1>
    </dataValidation>
    <dataValidation type="list" allowBlank="1" showInputMessage="1" showErrorMessage="1" sqref="G226">
      <formula1>"Y,N"</formula1>
    </dataValidation>
    <dataValidation type="list" allowBlank="1" showInputMessage="1" showErrorMessage="1" sqref="H226">
      <formula1>"Y,N"</formula1>
    </dataValidation>
    <dataValidation type="list" allowBlank="1" showInputMessage="1" showErrorMessage="1" sqref="I226">
      <formula1>"Y,N"</formula1>
    </dataValidation>
    <dataValidation type="list" allowBlank="1" showInputMessage="1" showErrorMessage="1" sqref="J226">
      <formula1>"Y,N"</formula1>
    </dataValidation>
    <dataValidation type="list" allowBlank="1" showInputMessage="1" showErrorMessage="1" sqref="K226">
      <formula1>"Y,N"</formula1>
    </dataValidation>
    <dataValidation type="list" allowBlank="1" showInputMessage="1" showErrorMessage="1" sqref="L226">
      <formula1>"Y,N"</formula1>
    </dataValidation>
    <dataValidation type="list" allowBlank="1" showInputMessage="1" showErrorMessage="1" sqref="M226">
      <formula1>"Y,N"</formula1>
    </dataValidation>
    <dataValidation type="list" allowBlank="1" showInputMessage="1" showErrorMessage="1" sqref="N226">
      <formula1>"Y,N"</formula1>
    </dataValidation>
    <dataValidation type="list" allowBlank="1" showInputMessage="1" showErrorMessage="1" sqref="O226">
      <formula1>"Y,N"</formula1>
    </dataValidation>
    <dataValidation type="list" allowBlank="1" showInputMessage="1" showErrorMessage="1" sqref="B227">
      <formula1>"Y,N"</formula1>
    </dataValidation>
    <dataValidation type="list" allowBlank="1" showInputMessage="1" showErrorMessage="1" sqref="C227">
      <formula1>"Y,N"</formula1>
    </dataValidation>
    <dataValidation type="list" allowBlank="1" showInputMessage="1" showErrorMessage="1" sqref="D227">
      <formula1>"Y,N"</formula1>
    </dataValidation>
    <dataValidation type="list" allowBlank="1" showInputMessage="1" showErrorMessage="1" sqref="E227">
      <formula1>"Y,N"</formula1>
    </dataValidation>
    <dataValidation type="list" allowBlank="1" showInputMessage="1" showErrorMessage="1" sqref="F227">
      <formula1>"Y,N"</formula1>
    </dataValidation>
    <dataValidation type="list" allowBlank="1" showInputMessage="1" showErrorMessage="1" sqref="G227">
      <formula1>"N.A."</formula1>
    </dataValidation>
    <dataValidation type="list" allowBlank="1" showInputMessage="1" showErrorMessage="1" sqref="H227">
      <formula1>"Y,N"</formula1>
    </dataValidation>
    <dataValidation type="list" allowBlank="1" showInputMessage="1" showErrorMessage="1" sqref="I227">
      <formula1>"Y,N"</formula1>
    </dataValidation>
    <dataValidation type="list" allowBlank="1" showInputMessage="1" showErrorMessage="1" sqref="J227">
      <formula1>"Y,N"</formula1>
    </dataValidation>
    <dataValidation type="list" allowBlank="1" showInputMessage="1" showErrorMessage="1" sqref="K227">
      <formula1>"Y,N"</formula1>
    </dataValidation>
    <dataValidation type="list" allowBlank="1" showInputMessage="1" showErrorMessage="1" sqref="L227">
      <formula1>"Y,N"</formula1>
    </dataValidation>
    <dataValidation type="list" allowBlank="1" showInputMessage="1" showErrorMessage="1" sqref="M227">
      <formula1>"Y,N"</formula1>
    </dataValidation>
    <dataValidation type="list" allowBlank="1" showInputMessage="1" showErrorMessage="1" sqref="N227">
      <formula1>"Y,N"</formula1>
    </dataValidation>
    <dataValidation type="list" allowBlank="1" showInputMessage="1" showErrorMessage="1" sqref="O227">
      <formula1>"Y,N"</formula1>
    </dataValidation>
    <dataValidation type="list" allowBlank="1" showInputMessage="1" showErrorMessage="1" sqref="B228">
      <formula1>"Y,N"</formula1>
    </dataValidation>
    <dataValidation type="list" allowBlank="1" showInputMessage="1" showErrorMessage="1" sqref="C228">
      <formula1>"Y,N"</formula1>
    </dataValidation>
    <dataValidation type="list" allowBlank="1" showInputMessage="1" showErrorMessage="1" sqref="D228">
      <formula1>"Y,N"</formula1>
    </dataValidation>
    <dataValidation type="list" allowBlank="1" showInputMessage="1" showErrorMessage="1" sqref="E228">
      <formula1>"Y,N"</formula1>
    </dataValidation>
    <dataValidation type="list" allowBlank="1" showInputMessage="1" showErrorMessage="1" sqref="F228">
      <formula1>"Y,N"</formula1>
    </dataValidation>
    <dataValidation type="list" allowBlank="1" showInputMessage="1" showErrorMessage="1" sqref="G228">
      <formula1>"Y,N"</formula1>
    </dataValidation>
    <dataValidation type="list" allowBlank="1" showInputMessage="1" showErrorMessage="1" sqref="H228">
      <formula1>"N.A."</formula1>
    </dataValidation>
    <dataValidation type="list" allowBlank="1" showInputMessage="1" showErrorMessage="1" sqref="I228">
      <formula1>"Y,N"</formula1>
    </dataValidation>
    <dataValidation type="list" allowBlank="1" showInputMessage="1" showErrorMessage="1" sqref="J228">
      <formula1>"Y,N"</formula1>
    </dataValidation>
    <dataValidation type="list" allowBlank="1" showInputMessage="1" showErrorMessage="1" sqref="K228">
      <formula1>"Y,N"</formula1>
    </dataValidation>
    <dataValidation type="list" allowBlank="1" showInputMessage="1" showErrorMessage="1" sqref="L228">
      <formula1>"Y,N"</formula1>
    </dataValidation>
    <dataValidation type="list" allowBlank="1" showInputMessage="1" showErrorMessage="1" sqref="M228">
      <formula1>"Y,N"</formula1>
    </dataValidation>
    <dataValidation type="list" allowBlank="1" showInputMessage="1" showErrorMessage="1" sqref="N228">
      <formula1>"Y,N"</formula1>
    </dataValidation>
    <dataValidation type="list" allowBlank="1" showInputMessage="1" showErrorMessage="1" sqref="O228">
      <formula1>"Y,N"</formula1>
    </dataValidation>
    <dataValidation type="list" allowBlank="1" showInputMessage="1" showErrorMessage="1" sqref="B229">
      <formula1>"Y,N"</formula1>
    </dataValidation>
    <dataValidation type="list" allowBlank="1" showInputMessage="1" showErrorMessage="1" sqref="C229">
      <formula1>"Y,N"</formula1>
    </dataValidation>
    <dataValidation type="list" allowBlank="1" showInputMessage="1" showErrorMessage="1" sqref="D229">
      <formula1>"Y,N"</formula1>
    </dataValidation>
    <dataValidation type="list" allowBlank="1" showInputMessage="1" showErrorMessage="1" sqref="E229">
      <formula1>"Y,N"</formula1>
    </dataValidation>
    <dataValidation type="list" allowBlank="1" showInputMessage="1" showErrorMessage="1" sqref="F229">
      <formula1>"Y,N"</formula1>
    </dataValidation>
    <dataValidation type="list" allowBlank="1" showInputMessage="1" showErrorMessage="1" sqref="G229">
      <formula1>"Y,N"</formula1>
    </dataValidation>
    <dataValidation type="list" allowBlank="1" showInputMessage="1" showErrorMessage="1" sqref="H229">
      <formula1>"Y,N"</formula1>
    </dataValidation>
    <dataValidation type="list" allowBlank="1" showInputMessage="1" showErrorMessage="1" sqref="I229">
      <formula1>"N.A."</formula1>
    </dataValidation>
    <dataValidation type="list" allowBlank="1" showInputMessage="1" showErrorMessage="1" sqref="J229">
      <formula1>"Y,N"</formula1>
    </dataValidation>
    <dataValidation type="list" allowBlank="1" showInputMessage="1" showErrorMessage="1" sqref="K229">
      <formula1>"Y,N"</formula1>
    </dataValidation>
    <dataValidation type="list" allowBlank="1" showInputMessage="1" showErrorMessage="1" sqref="L229">
      <formula1>"Y,N"</formula1>
    </dataValidation>
    <dataValidation type="list" allowBlank="1" showInputMessage="1" showErrorMessage="1" sqref="M229">
      <formula1>"Y,N"</formula1>
    </dataValidation>
    <dataValidation type="list" allowBlank="1" showInputMessage="1" showErrorMessage="1" sqref="N229">
      <formula1>"Y,N"</formula1>
    </dataValidation>
    <dataValidation type="list" allowBlank="1" showInputMessage="1" showErrorMessage="1" sqref="O229">
      <formula1>"Y,N"</formula1>
    </dataValidation>
    <dataValidation type="list" allowBlank="1" showInputMessage="1" showErrorMessage="1" sqref="B230">
      <formula1>"Y,N"</formula1>
    </dataValidation>
    <dataValidation type="list" allowBlank="1" showInputMessage="1" showErrorMessage="1" sqref="C230">
      <formula1>"Y,N"</formula1>
    </dataValidation>
    <dataValidation type="list" allowBlank="1" showInputMessage="1" showErrorMessage="1" sqref="D230">
      <formula1>"Y,N"</formula1>
    </dataValidation>
    <dataValidation type="list" allowBlank="1" showInputMessage="1" showErrorMessage="1" sqref="E230">
      <formula1>"Y,N"</formula1>
    </dataValidation>
    <dataValidation type="list" allowBlank="1" showInputMessage="1" showErrorMessage="1" sqref="F230">
      <formula1>"Y,N"</formula1>
    </dataValidation>
    <dataValidation type="list" allowBlank="1" showInputMessage="1" showErrorMessage="1" sqref="G230">
      <formula1>"Y,N"</formula1>
    </dataValidation>
    <dataValidation type="list" allowBlank="1" showInputMessage="1" showErrorMessage="1" sqref="H230">
      <formula1>"Y,N"</formula1>
    </dataValidation>
    <dataValidation type="list" allowBlank="1" showInputMessage="1" showErrorMessage="1" sqref="I230">
      <formula1>"Y,N"</formula1>
    </dataValidation>
    <dataValidation type="list" allowBlank="1" showInputMessage="1" showErrorMessage="1" sqref="J230">
      <formula1>"N.A."</formula1>
    </dataValidation>
    <dataValidation type="list" allowBlank="1" showInputMessage="1" showErrorMessage="1" sqref="K230">
      <formula1>"Y,N"</formula1>
    </dataValidation>
    <dataValidation type="list" allowBlank="1" showInputMessage="1" showErrorMessage="1" sqref="L230">
      <formula1>"Y,N"</formula1>
    </dataValidation>
    <dataValidation type="list" allowBlank="1" showInputMessage="1" showErrorMessage="1" sqref="M230">
      <formula1>"Y,N"</formula1>
    </dataValidation>
    <dataValidation type="list" allowBlank="1" showInputMessage="1" showErrorMessage="1" sqref="N230">
      <formula1>"Y,N"</formula1>
    </dataValidation>
    <dataValidation type="list" allowBlank="1" showInputMessage="1" showErrorMessage="1" sqref="O230">
      <formula1>"Y,N"</formula1>
    </dataValidation>
    <dataValidation type="list" allowBlank="1" showInputMessage="1" showErrorMessage="1" sqref="B231">
      <formula1>"Y,N"</formula1>
    </dataValidation>
    <dataValidation type="list" allowBlank="1" showInputMessage="1" showErrorMessage="1" sqref="C231">
      <formula1>"Y,N"</formula1>
    </dataValidation>
    <dataValidation type="list" allowBlank="1" showInputMessage="1" showErrorMessage="1" sqref="D231">
      <formula1>"Y,N"</formula1>
    </dataValidation>
    <dataValidation type="list" allowBlank="1" showInputMessage="1" showErrorMessage="1" sqref="E231">
      <formula1>"Y,N"</formula1>
    </dataValidation>
    <dataValidation type="list" allowBlank="1" showInputMessage="1" showErrorMessage="1" sqref="F231">
      <formula1>"Y,N"</formula1>
    </dataValidation>
    <dataValidation type="list" allowBlank="1" showInputMessage="1" showErrorMessage="1" sqref="G231">
      <formula1>"Y,N"</formula1>
    </dataValidation>
    <dataValidation type="list" allowBlank="1" showInputMessage="1" showErrorMessage="1" sqref="H231">
      <formula1>"Y,N"</formula1>
    </dataValidation>
    <dataValidation type="list" allowBlank="1" showInputMessage="1" showErrorMessage="1" sqref="I231">
      <formula1>"Y,N"</formula1>
    </dataValidation>
    <dataValidation type="list" allowBlank="1" showInputMessage="1" showErrorMessage="1" sqref="J231">
      <formula1>"Y,N"</formula1>
    </dataValidation>
    <dataValidation type="list" allowBlank="1" showInputMessage="1" showErrorMessage="1" sqref="K231">
      <formula1>"N.A."</formula1>
    </dataValidation>
    <dataValidation type="list" allowBlank="1" showInputMessage="1" showErrorMessage="1" sqref="L231">
      <formula1>"Y,N"</formula1>
    </dataValidation>
    <dataValidation type="list" allowBlank="1" showInputMessage="1" showErrorMessage="1" sqref="M231">
      <formula1>"Y,N"</formula1>
    </dataValidation>
    <dataValidation type="list" allowBlank="1" showInputMessage="1" showErrorMessage="1" sqref="N231">
      <formula1>"Y,N"</formula1>
    </dataValidation>
    <dataValidation type="list" allowBlank="1" showInputMessage="1" showErrorMessage="1" sqref="O231">
      <formula1>"Y,N"</formula1>
    </dataValidation>
    <dataValidation type="list" allowBlank="1" showInputMessage="1" showErrorMessage="1" sqref="B232">
      <formula1>"Y,N"</formula1>
    </dataValidation>
    <dataValidation type="list" allowBlank="1" showInputMessage="1" showErrorMessage="1" sqref="C232">
      <formula1>"Y,N"</formula1>
    </dataValidation>
    <dataValidation type="list" allowBlank="1" showInputMessage="1" showErrorMessage="1" sqref="D232">
      <formula1>"Y,N"</formula1>
    </dataValidation>
    <dataValidation type="list" allowBlank="1" showInputMessage="1" showErrorMessage="1" sqref="E232">
      <formula1>"Y,N"</formula1>
    </dataValidation>
    <dataValidation type="list" allowBlank="1" showInputMessage="1" showErrorMessage="1" sqref="F232">
      <formula1>"Y,N"</formula1>
    </dataValidation>
    <dataValidation type="list" allowBlank="1" showInputMessage="1" showErrorMessage="1" sqref="G232">
      <formula1>"Y,N"</formula1>
    </dataValidation>
    <dataValidation type="list" allowBlank="1" showInputMessage="1" showErrorMessage="1" sqref="H232">
      <formula1>"Y,N"</formula1>
    </dataValidation>
    <dataValidation type="list" allowBlank="1" showInputMessage="1" showErrorMessage="1" sqref="I232">
      <formula1>"Y,N"</formula1>
    </dataValidation>
    <dataValidation type="list" allowBlank="1" showInputMessage="1" showErrorMessage="1" sqref="J232">
      <formula1>"Y,N"</formula1>
    </dataValidation>
    <dataValidation type="list" allowBlank="1" showInputMessage="1" showErrorMessage="1" sqref="K232">
      <formula1>"Y,N"</formula1>
    </dataValidation>
    <dataValidation type="list" allowBlank="1" showInputMessage="1" showErrorMessage="1" sqref="L232">
      <formula1>"N.A."</formula1>
    </dataValidation>
    <dataValidation type="list" allowBlank="1" showInputMessage="1" showErrorMessage="1" sqref="M232">
      <formula1>"Y,N"</formula1>
    </dataValidation>
    <dataValidation type="list" allowBlank="1" showInputMessage="1" showErrorMessage="1" sqref="N232">
      <formula1>"Y,N"</formula1>
    </dataValidation>
    <dataValidation type="list" allowBlank="1" showInputMessage="1" showErrorMessage="1" sqref="O232">
      <formula1>"Y,N"</formula1>
    </dataValidation>
    <dataValidation type="list" allowBlank="1" showInputMessage="1" showErrorMessage="1" sqref="B233">
      <formula1>"Y,N"</formula1>
    </dataValidation>
    <dataValidation type="list" allowBlank="1" showInputMessage="1" showErrorMessage="1" sqref="C233">
      <formula1>"Y,N"</formula1>
    </dataValidation>
    <dataValidation type="list" allowBlank="1" showInputMessage="1" showErrorMessage="1" sqref="D233">
      <formula1>"Y,N"</formula1>
    </dataValidation>
    <dataValidation type="list" allowBlank="1" showInputMessage="1" showErrorMessage="1" sqref="E233">
      <formula1>"Y,N"</formula1>
    </dataValidation>
    <dataValidation type="list" allowBlank="1" showInputMessage="1" showErrorMessage="1" sqref="F233">
      <formula1>"Y,N"</formula1>
    </dataValidation>
    <dataValidation type="list" allowBlank="1" showInputMessage="1" showErrorMessage="1" sqref="G233">
      <formula1>"Y,N"</formula1>
    </dataValidation>
    <dataValidation type="list" allowBlank="1" showInputMessage="1" showErrorMessage="1" sqref="H233">
      <formula1>"Y,N"</formula1>
    </dataValidation>
    <dataValidation type="list" allowBlank="1" showInputMessage="1" showErrorMessage="1" sqref="I233">
      <formula1>"Y,N"</formula1>
    </dataValidation>
    <dataValidation type="list" allowBlank="1" showInputMessage="1" showErrorMessage="1" sqref="J233">
      <formula1>"Y,N"</formula1>
    </dataValidation>
    <dataValidation type="list" allowBlank="1" showInputMessage="1" showErrorMessage="1" sqref="K233">
      <formula1>"Y,N"</formula1>
    </dataValidation>
    <dataValidation type="list" allowBlank="1" showInputMessage="1" showErrorMessage="1" sqref="L233">
      <formula1>"Y,N"</formula1>
    </dataValidation>
    <dataValidation type="list" allowBlank="1" showInputMessage="1" showErrorMessage="1" sqref="M233">
      <formula1>"N.A."</formula1>
    </dataValidation>
    <dataValidation type="list" allowBlank="1" showInputMessage="1" showErrorMessage="1" sqref="N233">
      <formula1>"Y,N"</formula1>
    </dataValidation>
    <dataValidation type="list" allowBlank="1" showInputMessage="1" showErrorMessage="1" sqref="O233">
      <formula1>"Y,N"</formula1>
    </dataValidation>
    <dataValidation type="list" allowBlank="1" showInputMessage="1" showErrorMessage="1" sqref="B234">
      <formula1>"Y,N"</formula1>
    </dataValidation>
    <dataValidation type="list" allowBlank="1" showInputMessage="1" showErrorMessage="1" sqref="C234">
      <formula1>"Y,N"</formula1>
    </dataValidation>
    <dataValidation type="list" allowBlank="1" showInputMessage="1" showErrorMessage="1" sqref="D234">
      <formula1>"Y,N"</formula1>
    </dataValidation>
    <dataValidation type="list" allowBlank="1" showInputMessage="1" showErrorMessage="1" sqref="E234">
      <formula1>"Y,N"</formula1>
    </dataValidation>
    <dataValidation type="list" allowBlank="1" showInputMessage="1" showErrorMessage="1" sqref="F234">
      <formula1>"Y,N"</formula1>
    </dataValidation>
    <dataValidation type="list" allowBlank="1" showInputMessage="1" showErrorMessage="1" sqref="G234">
      <formula1>"Y,N"</formula1>
    </dataValidation>
    <dataValidation type="list" allowBlank="1" showInputMessage="1" showErrorMessage="1" sqref="H234">
      <formula1>"Y,N"</formula1>
    </dataValidation>
    <dataValidation type="list" allowBlank="1" showInputMessage="1" showErrorMessage="1" sqref="I234">
      <formula1>"Y,N"</formula1>
    </dataValidation>
    <dataValidation type="list" allowBlank="1" showInputMessage="1" showErrorMessage="1" sqref="J234">
      <formula1>"Y,N"</formula1>
    </dataValidation>
    <dataValidation type="list" allowBlank="1" showInputMessage="1" showErrorMessage="1" sqref="K234">
      <formula1>"Y,N"</formula1>
    </dataValidation>
    <dataValidation type="list" allowBlank="1" showInputMessage="1" showErrorMessage="1" sqref="L234">
      <formula1>"Y,N"</formula1>
    </dataValidation>
    <dataValidation type="list" allowBlank="1" showInputMessage="1" showErrorMessage="1" sqref="M234">
      <formula1>"Y,N"</formula1>
    </dataValidation>
    <dataValidation type="list" allowBlank="1" showInputMessage="1" showErrorMessage="1" sqref="N234">
      <formula1>"N.A."</formula1>
    </dataValidation>
    <dataValidation type="list" allowBlank="1" showInputMessage="1" showErrorMessage="1" sqref="O234">
      <formula1>"Y,N"</formula1>
    </dataValidation>
    <dataValidation type="list" allowBlank="1" showInputMessage="1" showErrorMessage="1" sqref="B235">
      <formula1>"Y,N"</formula1>
    </dataValidation>
    <dataValidation type="list" allowBlank="1" showInputMessage="1" showErrorMessage="1" sqref="C235">
      <formula1>"Y,N"</formula1>
    </dataValidation>
    <dataValidation type="list" allowBlank="1" showInputMessage="1" showErrorMessage="1" sqref="D235">
      <formula1>"Y,N"</formula1>
    </dataValidation>
    <dataValidation type="list" allowBlank="1" showInputMessage="1" showErrorMessage="1" sqref="E235">
      <formula1>"Y,N"</formula1>
    </dataValidation>
    <dataValidation type="list" allowBlank="1" showInputMessage="1" showErrorMessage="1" sqref="F235">
      <formula1>"Y,N"</formula1>
    </dataValidation>
    <dataValidation type="list" allowBlank="1" showInputMessage="1" showErrorMessage="1" sqref="G235">
      <formula1>"Y,N"</formula1>
    </dataValidation>
    <dataValidation type="list" allowBlank="1" showInputMessage="1" showErrorMessage="1" sqref="H235">
      <formula1>"Y,N"</formula1>
    </dataValidation>
    <dataValidation type="list" allowBlank="1" showInputMessage="1" showErrorMessage="1" sqref="I235">
      <formula1>"Y,N"</formula1>
    </dataValidation>
    <dataValidation type="list" allowBlank="1" showInputMessage="1" showErrorMessage="1" sqref="J235">
      <formula1>"Y,N"</formula1>
    </dataValidation>
    <dataValidation type="list" allowBlank="1" showInputMessage="1" showErrorMessage="1" sqref="K235">
      <formula1>"Y,N"</formula1>
    </dataValidation>
    <dataValidation type="list" allowBlank="1" showInputMessage="1" showErrorMessage="1" sqref="L235">
      <formula1>"Y,N"</formula1>
    </dataValidation>
    <dataValidation type="list" allowBlank="1" showInputMessage="1" showErrorMessage="1" sqref="M235">
      <formula1>"Y,N"</formula1>
    </dataValidation>
    <dataValidation type="list" allowBlank="1" showInputMessage="1" showErrorMessage="1" sqref="N235">
      <formula1>"Y,N"</formula1>
    </dataValidation>
    <dataValidation type="list" allowBlank="1" showInputMessage="1" showErrorMessage="1" sqref="O235">
      <formula1>"N.A."</formula1>
    </dataValidation>
    <dataValidation type="list" allowBlank="1" showInputMessage="1" showErrorMessage="1" sqref="E238">
      <formula1>"Number (years),Rate (per year),Duration (years)"</formula1>
    </dataValidation>
    <dataValidation type="list" allowBlank="1" showInputMessage="1" showErrorMessage="1" sqref="E239">
      <formula1>"Number (years),Rate (per year),Duration (years)"</formula1>
    </dataValidation>
    <dataValidation type="list" allowBlank="1" showInputMessage="1" showErrorMessage="1" sqref="E240">
      <formula1>"Number (years),Rate (per year),Duration (years)"</formula1>
    </dataValidation>
    <dataValidation type="list" allowBlank="1" showInputMessage="1" showErrorMessage="1" sqref="E241">
      <formula1>"Number (years),Rate (per year),Duration (years)"</formula1>
    </dataValidation>
    <dataValidation type="list" allowBlank="1" showInputMessage="1" showErrorMessage="1" sqref="E242">
      <formula1>"Number (years),Rate (per year),Duration (years)"</formula1>
    </dataValidation>
    <dataValidation type="list" allowBlank="1" showInputMessage="1" showErrorMessage="1" sqref="E243">
      <formula1>"Number (years),Rate (per year),Duration (years)"</formula1>
    </dataValidation>
    <dataValidation type="list" allowBlank="1" showInputMessage="1" showErrorMessage="1" sqref="E244">
      <formula1>"Number (years),Rate (per year),Duration (years)"</formula1>
    </dataValidation>
    <dataValidation type="list" allowBlank="1" showInputMessage="1" showErrorMessage="1" sqref="E245">
      <formula1>"Number (years),Rate (per year),Duration (years)"</formula1>
    </dataValidation>
    <dataValidation type="list" allowBlank="1" showInputMessage="1" showErrorMessage="1" sqref="E246">
      <formula1>"Number (years),Rate (per year),Duration (years)"</formula1>
    </dataValidation>
    <dataValidation type="list" allowBlank="1" showInputMessage="1" showErrorMessage="1" sqref="E247">
      <formula1>"Number (years),Rate (per year),Duration (years)"</formula1>
    </dataValidation>
    <dataValidation type="list" allowBlank="1" showInputMessage="1" showErrorMessage="1" sqref="E248">
      <formula1>"Number (years),Rate (per year),Duration (years)"</formula1>
    </dataValidation>
    <dataValidation type="list" allowBlank="1" showInputMessage="1" showErrorMessage="1" sqref="E249">
      <formula1>"Number (years),Rate (per year),Duration (years)"</formula1>
    </dataValidation>
    <dataValidation type="list" allowBlank="1" showInputMessage="1" showErrorMessage="1" sqref="E250">
      <formula1>"Number (years),Rate (per year),Duration (years)"</formula1>
    </dataValidation>
    <dataValidation type="list" allowBlank="1" showInputMessage="1" showErrorMessage="1" sqref="E251">
      <formula1>"Number (years),Rate (per year),Duration (years)"</formula1>
    </dataValidation>
    <dataValidation type="list" allowBlank="1" showInputMessage="1" showErrorMessage="1" sqref="E252">
      <formula1>"Number (years),Rate (per year),Duration (years)"</formula1>
    </dataValidation>
    <dataValidation type="list" allowBlank="1" showInputMessage="1" showErrorMessage="1" sqref="E253">
      <formula1>"Number (years),Rate (per year),Duration (years)"</formula1>
    </dataValidation>
    <dataValidation type="list" allowBlank="1" showInputMessage="1" showErrorMessage="1" sqref="E254">
      <formula1>"Number (years),Rate (per year),Duration (years)"</formula1>
    </dataValidation>
    <dataValidation type="list" allowBlank="1" showInputMessage="1" showErrorMessage="1" sqref="E255">
      <formula1>"Number (years),Rate (per year),Duration (years)"</formula1>
    </dataValidation>
    <dataValidation type="list" allowBlank="1" showInputMessage="1" showErrorMessage="1" sqref="E256">
      <formula1>"Number (years),Rate (per year),Duration (years)"</formula1>
    </dataValidation>
    <dataValidation type="list" allowBlank="1" showInputMessage="1" showErrorMessage="1" sqref="E257">
      <formula1>"Number (years),Rate (per year),Duration (years)"</formula1>
    </dataValidation>
    <dataValidation type="list" allowBlank="1" showInputMessage="1" showErrorMessage="1" sqref="E258">
      <formula1>"Number (years),Rate (per year),Duration (years)"</formula1>
    </dataValidation>
    <dataValidation type="list" allowBlank="1" showInputMessage="1" showErrorMessage="1" sqref="E259">
      <formula1>"Number (years),Rate (per year),Duration (years)"</formula1>
    </dataValidation>
    <dataValidation type="list" allowBlank="1" showInputMessage="1" showErrorMessage="1" sqref="E260">
      <formula1>"Number (years),Rate (per year),Duration (years)"</formula1>
    </dataValidation>
    <dataValidation type="list" allowBlank="1" showInputMessage="1" showErrorMessage="1" sqref="E261">
      <formula1>"Number (years),Rate (per year),Duration (years)"</formula1>
    </dataValidation>
    <dataValidation type="list" allowBlank="1" showInputMessage="1" showErrorMessage="1" sqref="E262">
      <formula1>"Number (years),Rate (per year),Duration (years)"</formula1>
    </dataValidation>
    <dataValidation type="list" allowBlank="1" showInputMessage="1" showErrorMessage="1" sqref="E263">
      <formula1>"Number (years),Rate (per year),Duration (years)"</formula1>
    </dataValidation>
    <dataValidation type="list" allowBlank="1" showInputMessage="1" showErrorMessage="1" sqref="E264">
      <formula1>"Number (years),Rate (per year),Duration (years)"</formula1>
    </dataValidation>
    <dataValidation type="list" allowBlank="1" showInputMessage="1" showErrorMessage="1" sqref="E265">
      <formula1>"Number (years),Rate (per year),Duration (years)"</formula1>
    </dataValidation>
    <dataValidation type="list" allowBlank="1" showInputMessage="1" showErrorMessage="1" sqref="E266">
      <formula1>"Number (years),Rate (per year),Duration (years)"</formula1>
    </dataValidation>
    <dataValidation type="list" allowBlank="1" showInputMessage="1" showErrorMessage="1" sqref="E267">
      <formula1>"Number (years),Rate (per year),Duration (years)"</formula1>
    </dataValidation>
    <dataValidation type="list" allowBlank="1" showInputMessage="1" showErrorMessage="1" sqref="E268">
      <formula1>"Number (years),Rate (per year),Duration (years)"</formula1>
    </dataValidation>
    <dataValidation type="list" allowBlank="1" showInputMessage="1" showErrorMessage="1" sqref="E269">
      <formula1>"Number (years),Rate (per year),Duration (years)"</formula1>
    </dataValidation>
    <dataValidation type="list" allowBlank="1" showInputMessage="1" showErrorMessage="1" sqref="E270">
      <formula1>"Number (years),Rate (per year),Duration (years)"</formula1>
    </dataValidation>
    <dataValidation type="list" allowBlank="1" showInputMessage="1" showErrorMessage="1" sqref="E271">
      <formula1>"Number (years),Rate (per year),Duration (years)"</formula1>
    </dataValidation>
    <dataValidation type="list" allowBlank="1" showInputMessage="1" showErrorMessage="1" sqref="E272">
      <formula1>"Number (years),Rate (per year),Duration (years)"</formula1>
    </dataValidation>
    <dataValidation type="list" allowBlank="1" showInputMessage="1" showErrorMessage="1" sqref="E273">
      <formula1>"Number (years),Rate (per year),Duration (years)"</formula1>
    </dataValidation>
    <dataValidation type="list" allowBlank="1" showInputMessage="1" showErrorMessage="1" sqref="E274">
      <formula1>"Number (years),Rate (per year),Duration (years)"</formula1>
    </dataValidation>
    <dataValidation type="list" allowBlank="1" showInputMessage="1" showErrorMessage="1" sqref="E275">
      <formula1>"Number (years),Rate (per year),Duration (years)"</formula1>
    </dataValidation>
    <dataValidation type="list" allowBlank="1" showInputMessage="1" showErrorMessage="1" sqref="E276">
      <formula1>"Number (years),Rate (per year),Duration (years)"</formula1>
    </dataValidation>
    <dataValidation type="list" allowBlank="1" showInputMessage="1" showErrorMessage="1" sqref="E277">
      <formula1>"Number (years),Rate (per year),Duration (years)"</formula1>
    </dataValidation>
    <dataValidation type="list" allowBlank="1" showInputMessage="1" showErrorMessage="1" sqref="E278">
      <formula1>"Number (years),Rate (per year),Duration (years)"</formula1>
    </dataValidation>
    <dataValidation type="list" allowBlank="1" showInputMessage="1" showErrorMessage="1" sqref="E279">
      <formula1>"Number (years),Rate (per year),Duration (years)"</formula1>
    </dataValidation>
    <dataValidation type="list" allowBlank="1" showInputMessage="1" showErrorMessage="1" sqref="E280">
      <formula1>"Number (years),Rate (per year),Duration (years)"</formula1>
    </dataValidation>
    <dataValidation type="list" allowBlank="1" showInputMessage="1" showErrorMessage="1" sqref="E281">
      <formula1>"Number (years),Rate (per year),Duration (years)"</formula1>
    </dataValidation>
    <dataValidation type="list" allowBlank="1" showInputMessage="1" showErrorMessage="1" sqref="E282">
      <formula1>"Number (years),Rate (per year),Duration (years)"</formula1>
    </dataValidation>
    <dataValidation type="list" allowBlank="1" showInputMessage="1" showErrorMessage="1" sqref="E283">
      <formula1>"Number (years),Rate (per year),Duration (years)"</formula1>
    </dataValidation>
    <dataValidation type="list" allowBlank="1" showInputMessage="1" showErrorMessage="1" sqref="E284">
      <formula1>"Number (years),Rate (per year),Duration (years)"</formula1>
    </dataValidation>
    <dataValidation type="list" allowBlank="1" showInputMessage="1" showErrorMessage="1" sqref="E285">
      <formula1>"Number (years),Rate (per year),Duration (years)"</formula1>
    </dataValidation>
    <dataValidation type="list" allowBlank="1" showInputMessage="1" showErrorMessage="1" sqref="E286">
      <formula1>"Number (years),Rate (per year),Duration (years)"</formula1>
    </dataValidation>
    <dataValidation type="list" allowBlank="1" showInputMessage="1" showErrorMessage="1" sqref="E287">
      <formula1>"Number (years),Rate (per year),Duration (years)"</formula1>
    </dataValidation>
    <dataValidation type="list" allowBlank="1" showInputMessage="1" showErrorMessage="1" sqref="E288">
      <formula1>"Number (years),Rate (per year),Duration (years)"</formula1>
    </dataValidation>
    <dataValidation type="list" allowBlank="1" showInputMessage="1" showErrorMessage="1" sqref="E289">
      <formula1>"Number (years),Rate (per year),Duration (years)"</formula1>
    </dataValidation>
    <dataValidation type="list" allowBlank="1" showInputMessage="1" showErrorMessage="1" sqref="E290">
      <formula1>"Number (years),Rate (per year),Duration (years)"</formula1>
    </dataValidation>
    <dataValidation type="list" allowBlank="1" showInputMessage="1" showErrorMessage="1" sqref="E291">
      <formula1>"Number (years),Rate (per year),Duration (years)"</formula1>
    </dataValidation>
    <dataValidation type="list" allowBlank="1" showInputMessage="1" showErrorMessage="1" sqref="E292">
      <formula1>"Number (years),Rate (per year),Duration (years)"</formula1>
    </dataValidation>
    <dataValidation type="list" allowBlank="1" showInputMessage="1" showErrorMessage="1" sqref="E293">
      <formula1>"Number (years),Rate (per year),Duration (years)"</formula1>
    </dataValidation>
    <dataValidation type="list" allowBlank="1" showInputMessage="1" showErrorMessage="1" sqref="E294">
      <formula1>"Number (years),Rate (per year),Duration (years)"</formula1>
    </dataValidation>
    <dataValidation type="list" allowBlank="1" showInputMessage="1" showErrorMessage="1" sqref="E295">
      <formula1>"Number (years),Rate (per year),Duration (years)"</formula1>
    </dataValidation>
    <dataValidation type="list" allowBlank="1" showInputMessage="1" showErrorMessage="1" sqref="E296">
      <formula1>"Number (years),Rate (per year),Duration (years)"</formula1>
    </dataValidation>
    <dataValidation type="list" allowBlank="1" showInputMessage="1" showErrorMessage="1" sqref="E297">
      <formula1>"Number (years),Rate (per year),Duration (years)"</formula1>
    </dataValidation>
    <dataValidation type="list" allowBlank="1" showInputMessage="1" showErrorMessage="1" sqref="E298">
      <formula1>"Number (years),Rate (per year),Duration (years)"</formula1>
    </dataValidation>
    <dataValidation type="list" allowBlank="1" showInputMessage="1" showErrorMessage="1" sqref="E299">
      <formula1>"Number (years),Rate (per year),Duration (years)"</formula1>
    </dataValidation>
    <dataValidation type="list" allowBlank="1" showInputMessage="1" showErrorMessage="1" sqref="E300">
      <formula1>"Number (years),Rate (per year),Duration (years)"</formula1>
    </dataValidation>
    <dataValidation type="list" allowBlank="1" showInputMessage="1" showErrorMessage="1" sqref="E301">
      <formula1>"Number (years),Rate (per year),Duration (years)"</formula1>
    </dataValidation>
    <dataValidation type="list" allowBlank="1" showInputMessage="1" showErrorMessage="1" sqref="E302">
      <formula1>"Number (years),Rate (per year),Duration (years)"</formula1>
    </dataValidation>
    <dataValidation type="list" allowBlank="1" showInputMessage="1" showErrorMessage="1" sqref="E303">
      <formula1>"Number (years),Rate (per year),Duration (years)"</formula1>
    </dataValidation>
    <dataValidation type="list" allowBlank="1" showInputMessage="1" showErrorMessage="1" sqref="E304">
      <formula1>"Number (years),Rate (per year),Duration (years)"</formula1>
    </dataValidation>
    <dataValidation type="list" allowBlank="1" showInputMessage="1" showErrorMessage="1" sqref="E305">
      <formula1>"Number (years),Rate (per year),Duration (years)"</formula1>
    </dataValidation>
    <dataValidation type="list" allowBlank="1" showInputMessage="1" showErrorMessage="1" sqref="E306">
      <formula1>"Number (years),Rate (per year),Duration (years)"</formula1>
    </dataValidation>
    <dataValidation type="list" allowBlank="1" showInputMessage="1" showErrorMessage="1" sqref="E307">
      <formula1>"Number (years),Rate (per year),Duration (years)"</formula1>
    </dataValidation>
    <dataValidation type="list" allowBlank="1" showInputMessage="1" showErrorMessage="1" sqref="E308">
      <formula1>"Number (years),Rate (per year),Duration (years)"</formula1>
    </dataValidation>
    <dataValidation type="list" allowBlank="1" showInputMessage="1" showErrorMessage="1" sqref="E309">
      <formula1>"Number (years),Rate (per year),Duration (years)"</formula1>
    </dataValidation>
    <dataValidation type="list" allowBlank="1" showInputMessage="1" showErrorMessage="1" sqref="E310">
      <formula1>"Number (years),Rate (per year),Duration (years)"</formula1>
    </dataValidation>
    <dataValidation type="list" allowBlank="1" showInputMessage="1" showErrorMessage="1" sqref="E311">
      <formula1>"Number (years),Rate (per year),Duration (years)"</formula1>
    </dataValidation>
    <dataValidation type="list" allowBlank="1" showInputMessage="1" showErrorMessage="1" sqref="E312">
      <formula1>"Number (years),Rate (per year),Duration (years)"</formula1>
    </dataValidation>
    <dataValidation type="list" allowBlank="1" showInputMessage="1" showErrorMessage="1" sqref="E313">
      <formula1>"Number (years),Rate (per year),Duration (years)"</formula1>
    </dataValidation>
    <dataValidation type="list" allowBlank="1" showInputMessage="1" showErrorMessage="1" sqref="E314">
      <formula1>"Number (years),Rate (per year),Duration (years)"</formula1>
    </dataValidation>
    <dataValidation type="list" allowBlank="1" showInputMessage="1" showErrorMessage="1" sqref="E315">
      <formula1>"Number (years),Rate (per year),Duration (years)"</formula1>
    </dataValidation>
    <dataValidation type="list" allowBlank="1" showInputMessage="1" showErrorMessage="1" sqref="E316">
      <formula1>"Number (years),Rate (per year),Duration (years)"</formula1>
    </dataValidation>
    <dataValidation type="list" allowBlank="1" showInputMessage="1" showErrorMessage="1" sqref="E317">
      <formula1>"Number (years),Rate (per year),Duration (years)"</formula1>
    </dataValidation>
    <dataValidation type="list" allowBlank="1" showInputMessage="1" showErrorMessage="1" sqref="E318">
      <formula1>"Number (years),Rate (per year),Duration (years)"</formula1>
    </dataValidation>
    <dataValidation type="list" allowBlank="1" showInputMessage="1" showErrorMessage="1" sqref="E319">
      <formula1>"Number (years),Rate (per year),Duration (years)"</formula1>
    </dataValidation>
    <dataValidation type="list" allowBlank="1" showInputMessage="1" showErrorMessage="1" sqref="E320">
      <formula1>"Number (years),Rate (per year),Duration (years)"</formula1>
    </dataValidation>
    <dataValidation type="list" allowBlank="1" showInputMessage="1" showErrorMessage="1" sqref="E321">
      <formula1>"Number (years),Rate (per year),Duration (years)"</formula1>
    </dataValidation>
    <dataValidation type="list" allowBlank="1" showInputMessage="1" showErrorMessage="1" sqref="E322">
      <formula1>"Number (years),Rate (per year),Duration (years)"</formula1>
    </dataValidation>
    <dataValidation type="list" allowBlank="1" showInputMessage="1" showErrorMessage="1" sqref="E323">
      <formula1>"Number (years),Rate (per year),Duration (years)"</formula1>
    </dataValidation>
    <dataValidation type="list" allowBlank="1" showInputMessage="1" showErrorMessage="1" sqref="E324">
      <formula1>"Number (years),Rate (per year),Duration (years)"</formula1>
    </dataValidation>
    <dataValidation type="list" allowBlank="1" showInputMessage="1" showErrorMessage="1" sqref="E325">
      <formula1>"Number (years),Rate (per year),Duration (years)"</formula1>
    </dataValidation>
    <dataValidation type="list" allowBlank="1" showInputMessage="1" showErrorMessage="1" sqref="E326">
      <formula1>"Number (years),Rate (per year),Duration (years)"</formula1>
    </dataValidation>
    <dataValidation type="list" allowBlank="1" showInputMessage="1" showErrorMessage="1" sqref="E327">
      <formula1>"Number (years),Rate (per year),Duration (years)"</formula1>
    </dataValidation>
    <dataValidation type="list" allowBlank="1" showInputMessage="1" showErrorMessage="1" sqref="E328">
      <formula1>"Number (years),Rate (per year),Duration (years)"</formula1>
    </dataValidation>
    <dataValidation type="list" allowBlank="1" showInputMessage="1" showErrorMessage="1" sqref="E329">
      <formula1>"Number (years),Rate (per year),Duration (years)"</formula1>
    </dataValidation>
    <dataValidation type="list" allowBlank="1" showInputMessage="1" showErrorMessage="1" sqref="E330">
      <formula1>"Number (years),Rate (per year),Duration (years)"</formula1>
    </dataValidation>
    <dataValidation type="list" allowBlank="1" showInputMessage="1" showErrorMessage="1" sqref="E331">
      <formula1>"Number (years),Rate (per year),Duration (years)"</formula1>
    </dataValidation>
    <dataValidation type="list" allowBlank="1" showInputMessage="1" showErrorMessage="1" sqref="E332">
      <formula1>"Number (years),Rate (per year),Duration (years)"</formula1>
    </dataValidation>
    <dataValidation type="list" allowBlank="1" showInputMessage="1" showErrorMessage="1" sqref="E333">
      <formula1>"Number (years),Rate (per year),Duration (years)"</formula1>
    </dataValidation>
    <dataValidation type="list" allowBlank="1" showInputMessage="1" showErrorMessage="1" sqref="E334">
      <formula1>"Number (years),Rate (per year),Duration (years)"</formula1>
    </dataValidation>
    <dataValidation type="list" allowBlank="1" showInputMessage="1" showErrorMessage="1" sqref="E335">
      <formula1>"Number (years),Rate (per year),Duration (years)"</formula1>
    </dataValidation>
    <dataValidation type="list" allowBlank="1" showInputMessage="1" showErrorMessage="1" sqref="E336">
      <formula1>"Number (years),Rate (per year),Duration (years)"</formula1>
    </dataValidation>
    <dataValidation type="list" allowBlank="1" showInputMessage="1" showErrorMessage="1" sqref="E337">
      <formula1>"Number (years),Rate (per year),Duration (years)"</formula1>
    </dataValidation>
    <dataValidation type="list" allowBlank="1" showInputMessage="1" showErrorMessage="1" sqref="E338">
      <formula1>"Number (years),Rate (per year),Duration (years)"</formula1>
    </dataValidation>
    <dataValidation type="list" allowBlank="1" showInputMessage="1" showErrorMessage="1" sqref="E339">
      <formula1>"Number (years),Rate (per year),Duration (years)"</formula1>
    </dataValidation>
    <dataValidation type="list" allowBlank="1" showInputMessage="1" showErrorMessage="1" sqref="E340">
      <formula1>"Number (years),Rate (per year),Duration (years)"</formula1>
    </dataValidation>
    <dataValidation type="list" allowBlank="1" showInputMessage="1" showErrorMessage="1" sqref="E341">
      <formula1>"Number (years),Rate (per year),Duration (years)"</formula1>
    </dataValidation>
    <dataValidation type="list" allowBlank="1" showInputMessage="1" showErrorMessage="1" sqref="E342">
      <formula1>"Number (years),Rate (per year),Duration (years)"</formula1>
    </dataValidation>
    <dataValidation type="list" allowBlank="1" showInputMessage="1" showErrorMessage="1" sqref="E343">
      <formula1>"Number (years),Rate (per year),Duration (years)"</formula1>
    </dataValidation>
    <dataValidation type="list" allowBlank="1" showInputMessage="1" showErrorMessage="1" sqref="E344">
      <formula1>"Number (years),Rate (per year),Duration (years)"</formula1>
    </dataValidation>
    <dataValidation type="list" allowBlank="1" showInputMessage="1" showErrorMessage="1" sqref="E345">
      <formula1>"Number (years),Rate (per year),Duration (years)"</formula1>
    </dataValidation>
    <dataValidation type="list" allowBlank="1" showInputMessage="1" showErrorMessage="1" sqref="E346">
      <formula1>"Number (years),Rate (per year),Duration (years)"</formula1>
    </dataValidation>
    <dataValidation type="list" allowBlank="1" showInputMessage="1" showErrorMessage="1" sqref="E347">
      <formula1>"Number (years),Rate (per year),Duration (years)"</formula1>
    </dataValidation>
    <dataValidation type="list" allowBlank="1" showInputMessage="1" showErrorMessage="1" sqref="E348">
      <formula1>"Number (years),Rate (per year),Duration (years)"</formula1>
    </dataValidation>
    <dataValidation type="list" allowBlank="1" showInputMessage="1" showErrorMessage="1" sqref="E349">
      <formula1>"Number (years),Rate (per year),Duration (years)"</formula1>
    </dataValidation>
    <dataValidation type="list" allowBlank="1" showInputMessage="1" showErrorMessage="1" sqref="E350">
      <formula1>"Number (years),Rate (per year),Duration (years)"</formula1>
    </dataValidation>
    <dataValidation type="list" allowBlank="1" showInputMessage="1" showErrorMessage="1" sqref="E351">
      <formula1>"Number (years),Rate (per year),Duration (years)"</formula1>
    </dataValidation>
    <dataValidation type="list" allowBlank="1" showInputMessage="1" showErrorMessage="1" sqref="E352">
      <formula1>"Number (years),Rate (per year),Duration (years)"</formula1>
    </dataValidation>
    <dataValidation type="list" allowBlank="1" showInputMessage="1" showErrorMessage="1" sqref="E353">
      <formula1>"Number (years),Rate (per year),Duration (years)"</formula1>
    </dataValidation>
    <dataValidation type="list" allowBlank="1" showInputMessage="1" showErrorMessage="1" sqref="E354">
      <formula1>"Number (years),Rate (per year),Duration (years)"</formula1>
    </dataValidation>
    <dataValidation type="list" allowBlank="1" showInputMessage="1" showErrorMessage="1" sqref="E355">
      <formula1>"Number (years),Rate (per year),Duration (years)"</formula1>
    </dataValidation>
    <dataValidation type="list" allowBlank="1" showInputMessage="1" showErrorMessage="1" sqref="E356">
      <formula1>"Number (years),Rate (per year),Duration (years)"</formula1>
    </dataValidation>
    <dataValidation type="list" allowBlank="1" showInputMessage="1" showErrorMessage="1" sqref="E357">
      <formula1>"Number (years),Rate (per year),Duration (years)"</formula1>
    </dataValidation>
    <dataValidation type="list" allowBlank="1" showInputMessage="1" showErrorMessage="1" sqref="E358">
      <formula1>"Number (years),Rate (per year),Duration (years)"</formula1>
    </dataValidation>
    <dataValidation type="list" allowBlank="1" showInputMessage="1" showErrorMessage="1" sqref="E359">
      <formula1>"Number (years),Rate (per year),Duration (years)"</formula1>
    </dataValidation>
    <dataValidation type="list" allowBlank="1" showInputMessage="1" showErrorMessage="1" sqref="E360">
      <formula1>"Number (years),Rate (per year),Duration (years)"</formula1>
    </dataValidation>
    <dataValidation type="list" allowBlank="1" showInputMessage="1" showErrorMessage="1" sqref="E361">
      <formula1>"Number (years),Rate (per year),Duration (years)"</formula1>
    </dataValidation>
    <dataValidation type="list" allowBlank="1" showInputMessage="1" showErrorMessage="1" sqref="E362">
      <formula1>"Number (years),Rate (per year),Duration (years)"</formula1>
    </dataValidation>
    <dataValidation type="list" allowBlank="1" showInputMessage="1" showErrorMessage="1" sqref="E363">
      <formula1>"Number (years),Rate (per year),Duration (years)"</formula1>
    </dataValidation>
    <dataValidation type="list" allowBlank="1" showInputMessage="1" showErrorMessage="1" sqref="E364">
      <formula1>"Number (years),Rate (per year),Duration (years)"</formula1>
    </dataValidation>
    <dataValidation type="list" allowBlank="1" showInputMessage="1" showErrorMessage="1" sqref="E365">
      <formula1>"Number (years),Rate (per year),Duration (years)"</formula1>
    </dataValidation>
    <dataValidation type="list" allowBlank="1" showInputMessage="1" showErrorMessage="1" sqref="E366">
      <formula1>"Number (years),Rate (per year),Duration (years)"</formula1>
    </dataValidation>
    <dataValidation type="list" allowBlank="1" showInputMessage="1" showErrorMessage="1" sqref="E367">
      <formula1>"Number (years),Rate (per year),Duration (years)"</formula1>
    </dataValidation>
    <dataValidation type="list" allowBlank="1" showInputMessage="1" showErrorMessage="1" sqref="E368">
      <formula1>"Number (years),Rate (per year),Duration (years)"</formula1>
    </dataValidation>
    <dataValidation type="list" allowBlank="1" showInputMessage="1" showErrorMessage="1" sqref="E369">
      <formula1>"Number (years),Rate (per year),Duration (years)"</formula1>
    </dataValidation>
    <dataValidation type="list" allowBlank="1" showInputMessage="1" showErrorMessage="1" sqref="E370">
      <formula1>"Number (years),Rate (per year),Duration (years)"</formula1>
    </dataValidation>
    <dataValidation type="list" allowBlank="1" showInputMessage="1" showErrorMessage="1" sqref="E371">
      <formula1>"Number (years),Rate (per year),Duration (years)"</formula1>
    </dataValidation>
    <dataValidation type="list" allowBlank="1" showInputMessage="1" showErrorMessage="1" sqref="E372">
      <formula1>"Number (years),Rate (per year),Duration (years)"</formula1>
    </dataValidation>
    <dataValidation type="list" allowBlank="1" showInputMessage="1" showErrorMessage="1" sqref="E373">
      <formula1>"Number (years),Rate (per year),Duration (years)"</formula1>
    </dataValidation>
    <dataValidation type="list" allowBlank="1" showInputMessage="1" showErrorMessage="1" sqref="E374">
      <formula1>"Number (years),Rate (per year),Duration (years)"</formula1>
    </dataValidation>
    <dataValidation type="list" allowBlank="1" showInputMessage="1" showErrorMessage="1" sqref="E375">
      <formula1>"Number (years),Rate (per year),Duration (years)"</formula1>
    </dataValidation>
    <dataValidation type="list" allowBlank="1" showInputMessage="1" showErrorMessage="1" sqref="E376">
      <formula1>"Number (years),Rate (per year),Duration (years)"</formula1>
    </dataValidation>
    <dataValidation type="list" allowBlank="1" showInputMessage="1" showErrorMessage="1" sqref="E377">
      <formula1>"Number (years),Rate (per year),Duration (years)"</formula1>
    </dataValidation>
    <dataValidation type="list" allowBlank="1" showInputMessage="1" showErrorMessage="1" sqref="E378">
      <formula1>"Number (years),Rate (per year),Duration (years)"</formula1>
    </dataValidation>
    <dataValidation type="list" allowBlank="1" showInputMessage="1" showErrorMessage="1" sqref="E379">
      <formula1>"Number (years),Rate (per year),Duration (years)"</formula1>
    </dataValidation>
    <dataValidation type="list" allowBlank="1" showInputMessage="1" showErrorMessage="1" sqref="E380">
      <formula1>"Number (years),Rate (per year),Duration (years)"</formula1>
    </dataValidation>
    <dataValidation type="list" allowBlank="1" showInputMessage="1" showErrorMessage="1" sqref="E381">
      <formula1>"Number (years),Rate (per year),Duration (years)"</formula1>
    </dataValidation>
    <dataValidation type="list" allowBlank="1" showInputMessage="1" showErrorMessage="1" sqref="E382">
      <formula1>"Number (years),Rate (per year),Duration (years)"</formula1>
    </dataValidation>
    <dataValidation type="list" allowBlank="1" showInputMessage="1" showErrorMessage="1" sqref="E383">
      <formula1>"Number (years),Rate (per year),Duration (years)"</formula1>
    </dataValidation>
    <dataValidation type="list" allowBlank="1" showInputMessage="1" showErrorMessage="1" sqref="E384">
      <formula1>"Number (years),Rate (per year),Duration (years)"</formula1>
    </dataValidation>
    <dataValidation type="list" allowBlank="1" showInputMessage="1" showErrorMessage="1" sqref="E385">
      <formula1>"Number (years),Rate (per year),Duration (years)"</formula1>
    </dataValidation>
    <dataValidation type="list" allowBlank="1" showInputMessage="1" showErrorMessage="1" sqref="E386">
      <formula1>"Number (years),Rate (per year),Duration (years)"</formula1>
    </dataValidation>
    <dataValidation type="list" allowBlank="1" showInputMessage="1" showErrorMessage="1" sqref="E387">
      <formula1>"Number (years),Rate (per year),Duration (years)"</formula1>
    </dataValidation>
    <dataValidation type="list" allowBlank="1" showInputMessage="1" showErrorMessage="1" sqref="E388">
      <formula1>"Number (years),Rate (per year),Duration (years)"</formula1>
    </dataValidation>
    <dataValidation type="list" allowBlank="1" showInputMessage="1" showErrorMessage="1" sqref="E389">
      <formula1>"Number (years),Rate (per year),Duration (years)"</formula1>
    </dataValidation>
    <dataValidation type="list" allowBlank="1" showInputMessage="1" showErrorMessage="1" sqref="E390">
      <formula1>"Number (years),Rate (per year),Duration (years)"</formula1>
    </dataValidation>
    <dataValidation type="list" allowBlank="1" showInputMessage="1" showErrorMessage="1" sqref="E391">
      <formula1>"Number (years),Rate (per year),Duration (years)"</formula1>
    </dataValidation>
    <dataValidation type="list" allowBlank="1" showInputMessage="1" showErrorMessage="1" sqref="E392">
      <formula1>"Number (years),Rate (per year),Duration (years)"</formula1>
    </dataValidation>
    <dataValidation type="list" allowBlank="1" showInputMessage="1" showErrorMessage="1" sqref="E393">
      <formula1>"Number (years),Rate (per year),Duration (years)"</formula1>
    </dataValidation>
    <dataValidation type="list" allowBlank="1" showInputMessage="1" showErrorMessage="1" sqref="E394">
      <formula1>"Number (years),Rate (per year),Duration (years)"</formula1>
    </dataValidation>
    <dataValidation type="list" allowBlank="1" showInputMessage="1" showErrorMessage="1" sqref="E395">
      <formula1>"Number (years),Rate (per year),Duration (years)"</formula1>
    </dataValidation>
    <dataValidation type="list" allowBlank="1" showInputMessage="1" showErrorMessage="1" sqref="E396">
      <formula1>"Number (years),Rate (per year),Duration (years)"</formula1>
    </dataValidation>
    <dataValidation type="list" allowBlank="1" showInputMessage="1" showErrorMessage="1" sqref="E397">
      <formula1>"Number (years),Rate (per year),Duration (years)"</formula1>
    </dataValidation>
    <dataValidation type="list" allowBlank="1" showInputMessage="1" showErrorMessage="1" sqref="E398">
      <formula1>"Number (years),Rate (per year),Duration (years)"</formula1>
    </dataValidation>
    <dataValidation type="list" allowBlank="1" showInputMessage="1" showErrorMessage="1" sqref="E399">
      <formula1>"Number (years),Rate (per year),Duration (years)"</formula1>
    </dataValidation>
    <dataValidation type="list" allowBlank="1" showInputMessage="1" showErrorMessage="1" sqref="E400">
      <formula1>"Number (years),Rate (per year),Duration (years)"</formula1>
    </dataValidation>
    <dataValidation type="list" allowBlank="1" showInputMessage="1" showErrorMessage="1" sqref="E401">
      <formula1>"Number (years),Rate (per year),Duration (years)"</formula1>
    </dataValidation>
    <dataValidation type="list" allowBlank="1" showInputMessage="1" showErrorMessage="1" sqref="E402">
      <formula1>"Number (years),Rate (per year),Duration (years)"</formula1>
    </dataValidation>
    <dataValidation type="list" allowBlank="1" showInputMessage="1" showErrorMessage="1" sqref="E403">
      <formula1>"Number (years),Rate (per year),Duration (years)"</formula1>
    </dataValidation>
    <dataValidation type="list" allowBlank="1" showInputMessage="1" showErrorMessage="1" sqref="E404">
      <formula1>"Number (years),Rate (per year),Duration (years)"</formula1>
    </dataValidation>
    <dataValidation type="list" allowBlank="1" showInputMessage="1" showErrorMessage="1" sqref="E405">
      <formula1>"Number (years),Rate (per year),Duration (years)"</formula1>
    </dataValidation>
    <dataValidation type="list" allowBlank="1" showInputMessage="1" showErrorMessage="1" sqref="E406">
      <formula1>"Number (years),Rate (per year),Duration (years)"</formula1>
    </dataValidation>
    <dataValidation type="list" allowBlank="1" showInputMessage="1" showErrorMessage="1" sqref="E407">
      <formula1>"Number (years),Rate (per year),Duration (years)"</formula1>
    </dataValidation>
    <dataValidation type="list" allowBlank="1" showInputMessage="1" showErrorMessage="1" sqref="E408">
      <formula1>"Number (years),Rate (per year),Duration (years)"</formula1>
    </dataValidation>
    <dataValidation type="list" allowBlank="1" showInputMessage="1" showErrorMessage="1" sqref="E409">
      <formula1>"Number (years),Rate (per year),Duration (years)"</formula1>
    </dataValidation>
    <dataValidation type="list" allowBlank="1" showInputMessage="1" showErrorMessage="1" sqref="E410">
      <formula1>"Number (years),Rate (per year),Duration (years)"</formula1>
    </dataValidation>
    <dataValidation type="list" allowBlank="1" showInputMessage="1" showErrorMessage="1" sqref="E411">
      <formula1>"Number (years),Rate (per year),Duration (years)"</formula1>
    </dataValidation>
    <dataValidation type="list" allowBlank="1" showInputMessage="1" showErrorMessage="1" sqref="E412">
      <formula1>"Number (years),Rate (per year),Duration (years)"</formula1>
    </dataValidation>
    <dataValidation type="list" allowBlank="1" showInputMessage="1" showErrorMessage="1" sqref="E413">
      <formula1>"Number (years),Rate (per year),Duration (years)"</formula1>
    </dataValidation>
    <dataValidation type="list" allowBlank="1" showInputMessage="1" showErrorMessage="1" sqref="E414">
      <formula1>"Number (years),Rate (per year),Duration (years)"</formula1>
    </dataValidation>
    <dataValidation type="list" allowBlank="1" showInputMessage="1" showErrorMessage="1" sqref="E415">
      <formula1>"Number (years),Rate (per year),Duration (years)"</formula1>
    </dataValidation>
    <dataValidation type="list" allowBlank="1" showInputMessage="1" showErrorMessage="1" sqref="E416">
      <formula1>"Number (years),Rate (per year),Duration (years)"</formula1>
    </dataValidation>
    <dataValidation type="list" allowBlank="1" showInputMessage="1" showErrorMessage="1" sqref="E417">
      <formula1>"Number (years),Rate (per year),Duration (years)"</formula1>
    </dataValidation>
    <dataValidation type="list" allowBlank="1" showInputMessage="1" showErrorMessage="1" sqref="E418">
      <formula1>"Number (years),Rate (per year),Duration (years)"</formula1>
    </dataValidation>
    <dataValidation type="list" allowBlank="1" showInputMessage="1" showErrorMessage="1" sqref="E419">
      <formula1>"Number (years),Rate (per year),Duration (years)"</formula1>
    </dataValidation>
    <dataValidation type="list" allowBlank="1" showInputMessage="1" showErrorMessage="1" sqref="E420">
      <formula1>"Number (years),Rate (per year),Duration (years)"</formula1>
    </dataValidation>
    <dataValidation type="list" allowBlank="1" showInputMessage="1" showErrorMessage="1" sqref="E421">
      <formula1>"Number (years),Rate (per year),Duration (years)"</formula1>
    </dataValidation>
    <dataValidation type="list" allowBlank="1" showInputMessage="1" showErrorMessage="1" sqref="E422">
      <formula1>"Number (years),Rate (per year),Duration (years)"</formula1>
    </dataValidation>
    <dataValidation type="list" allowBlank="1" showInputMessage="1" showErrorMessage="1" sqref="E423">
      <formula1>"Number (years),Rate (per year),Duration (years)"</formula1>
    </dataValidation>
    <dataValidation type="list" allowBlank="1" showInputMessage="1" showErrorMessage="1" sqref="E424">
      <formula1>"Number (years),Rate (per year),Duration (years)"</formula1>
    </dataValidation>
    <dataValidation type="list" allowBlank="1" showInputMessage="1" showErrorMessage="1" sqref="E425">
      <formula1>"Number (years),Rate (per year),Duration (years)"</formula1>
    </dataValidation>
    <dataValidation type="list" allowBlank="1" showInputMessage="1" showErrorMessage="1" sqref="E426">
      <formula1>"Number (years),Rate (per year),Duration (years)"</formula1>
    </dataValidation>
    <dataValidation type="list" allowBlank="1" showInputMessage="1" showErrorMessage="1" sqref="E427">
      <formula1>"Number (years),Rate (per year),Duration (years)"</formula1>
    </dataValidation>
    <dataValidation type="list" allowBlank="1" showInputMessage="1" showErrorMessage="1" sqref="E428">
      <formula1>"Number (years),Rate (per year),Duration (years)"</formula1>
    </dataValidation>
    <dataValidation type="list" allowBlank="1" showInputMessage="1" showErrorMessage="1" sqref="E429">
      <formula1>"Number (years),Rate (per year),Duration (years)"</formula1>
    </dataValidation>
    <dataValidation type="list" allowBlank="1" showInputMessage="1" showErrorMessage="1" sqref="E430">
      <formula1>"Number (years),Rate (per year),Duration (years)"</formula1>
    </dataValidation>
    <dataValidation type="list" allowBlank="1" showInputMessage="1" showErrorMessage="1" sqref="E431">
      <formula1>"Number (years),Rate (per year),Duration (years)"</formula1>
    </dataValidation>
    <dataValidation type="list" allowBlank="1" showInputMessage="1" showErrorMessage="1" sqref="E432">
      <formula1>"Number (years),Rate (per year),Duration (years)"</formula1>
    </dataValidation>
    <dataValidation type="list" allowBlank="1" showInputMessage="1" showErrorMessage="1" sqref="E433">
      <formula1>"Number (years),Rate (per year),Duration (years)"</formula1>
    </dataValidation>
    <dataValidation type="list" allowBlank="1" showInputMessage="1" showErrorMessage="1" sqref="B439">
      <formula1>"N.A."</formula1>
    </dataValidation>
    <dataValidation type="list" allowBlank="1" showInputMessage="1" showErrorMessage="1" sqref="C439">
      <formula1>"Y,N"</formula1>
    </dataValidation>
    <dataValidation type="list" allowBlank="1" showInputMessage="1" showErrorMessage="1" sqref="D439">
      <formula1>"Y,N"</formula1>
    </dataValidation>
    <dataValidation type="list" allowBlank="1" showInputMessage="1" showErrorMessage="1" sqref="E439">
      <formula1>"Y,N"</formula1>
    </dataValidation>
    <dataValidation type="list" allowBlank="1" showInputMessage="1" showErrorMessage="1" sqref="F439">
      <formula1>"Y,N"</formula1>
    </dataValidation>
    <dataValidation type="list" allowBlank="1" showInputMessage="1" showErrorMessage="1" sqref="G439">
      <formula1>"Y,N"</formula1>
    </dataValidation>
    <dataValidation type="list" allowBlank="1" showInputMessage="1" showErrorMessage="1" sqref="H439">
      <formula1>"Y,N"</formula1>
    </dataValidation>
    <dataValidation type="list" allowBlank="1" showInputMessage="1" showErrorMessage="1" sqref="I439">
      <formula1>"Y,N"</formula1>
    </dataValidation>
    <dataValidation type="list" allowBlank="1" showInputMessage="1" showErrorMessage="1" sqref="J439">
      <formula1>"Y,N"</formula1>
    </dataValidation>
    <dataValidation type="list" allowBlank="1" showInputMessage="1" showErrorMessage="1" sqref="K439">
      <formula1>"Y,N"</formula1>
    </dataValidation>
    <dataValidation type="list" allowBlank="1" showInputMessage="1" showErrorMessage="1" sqref="L439">
      <formula1>"Y,N"</formula1>
    </dataValidation>
    <dataValidation type="list" allowBlank="1" showInputMessage="1" showErrorMessage="1" sqref="M439">
      <formula1>"Y,N"</formula1>
    </dataValidation>
    <dataValidation type="list" allowBlank="1" showInputMessage="1" showErrorMessage="1" sqref="N439">
      <formula1>"Y,N"</formula1>
    </dataValidation>
    <dataValidation type="list" allowBlank="1" showInputMessage="1" showErrorMessage="1" sqref="O439">
      <formula1>"Y,N"</formula1>
    </dataValidation>
    <dataValidation type="list" allowBlank="1" showInputMessage="1" showErrorMessage="1" sqref="B440">
      <formula1>"Y,N"</formula1>
    </dataValidation>
    <dataValidation type="list" allowBlank="1" showInputMessage="1" showErrorMessage="1" sqref="C440">
      <formula1>"N.A."</formula1>
    </dataValidation>
    <dataValidation type="list" allowBlank="1" showInputMessage="1" showErrorMessage="1" sqref="D440">
      <formula1>"Y,N"</formula1>
    </dataValidation>
    <dataValidation type="list" allowBlank="1" showInputMessage="1" showErrorMessage="1" sqref="E440">
      <formula1>"Y,N"</formula1>
    </dataValidation>
    <dataValidation type="list" allowBlank="1" showInputMessage="1" showErrorMessage="1" sqref="F440">
      <formula1>"Y,N"</formula1>
    </dataValidation>
    <dataValidation type="list" allowBlank="1" showInputMessage="1" showErrorMessage="1" sqref="G440">
      <formula1>"Y,N"</formula1>
    </dataValidation>
    <dataValidation type="list" allowBlank="1" showInputMessage="1" showErrorMessage="1" sqref="H440">
      <formula1>"Y,N"</formula1>
    </dataValidation>
    <dataValidation type="list" allowBlank="1" showInputMessage="1" showErrorMessage="1" sqref="I440">
      <formula1>"Y,N"</formula1>
    </dataValidation>
    <dataValidation type="list" allowBlank="1" showInputMessage="1" showErrorMessage="1" sqref="J440">
      <formula1>"Y,N"</formula1>
    </dataValidation>
    <dataValidation type="list" allowBlank="1" showInputMessage="1" showErrorMessage="1" sqref="K440">
      <formula1>"Y,N"</formula1>
    </dataValidation>
    <dataValidation type="list" allowBlank="1" showInputMessage="1" showErrorMessage="1" sqref="L440">
      <formula1>"Y,N"</formula1>
    </dataValidation>
    <dataValidation type="list" allowBlank="1" showInputMessage="1" showErrorMessage="1" sqref="M440">
      <formula1>"Y,N"</formula1>
    </dataValidation>
    <dataValidation type="list" allowBlank="1" showInputMessage="1" showErrorMessage="1" sqref="N440">
      <formula1>"Y,N"</formula1>
    </dataValidation>
    <dataValidation type="list" allowBlank="1" showInputMessage="1" showErrorMessage="1" sqref="O440">
      <formula1>"Y,N"</formula1>
    </dataValidation>
    <dataValidation type="list" allowBlank="1" showInputMessage="1" showErrorMessage="1" sqref="B441">
      <formula1>"Y,N"</formula1>
    </dataValidation>
    <dataValidation type="list" allowBlank="1" showInputMessage="1" showErrorMessage="1" sqref="C441">
      <formula1>"Y,N"</formula1>
    </dataValidation>
    <dataValidation type="list" allowBlank="1" showInputMessage="1" showErrorMessage="1" sqref="D441">
      <formula1>"N.A."</formula1>
    </dataValidation>
    <dataValidation type="list" allowBlank="1" showInputMessage="1" showErrorMessage="1" sqref="E441">
      <formula1>"Y,N"</formula1>
    </dataValidation>
    <dataValidation type="list" allowBlank="1" showInputMessage="1" showErrorMessage="1" sqref="F441">
      <formula1>"Y,N"</formula1>
    </dataValidation>
    <dataValidation type="list" allowBlank="1" showInputMessage="1" showErrorMessage="1" sqref="G441">
      <formula1>"Y,N"</formula1>
    </dataValidation>
    <dataValidation type="list" allowBlank="1" showInputMessage="1" showErrorMessage="1" sqref="H441">
      <formula1>"Y,N"</formula1>
    </dataValidation>
    <dataValidation type="list" allowBlank="1" showInputMessage="1" showErrorMessage="1" sqref="I441">
      <formula1>"Y,N"</formula1>
    </dataValidation>
    <dataValidation type="list" allowBlank="1" showInputMessage="1" showErrorMessage="1" sqref="J441">
      <formula1>"Y,N"</formula1>
    </dataValidation>
    <dataValidation type="list" allowBlank="1" showInputMessage="1" showErrorMessage="1" sqref="K441">
      <formula1>"Y,N"</formula1>
    </dataValidation>
    <dataValidation type="list" allowBlank="1" showInputMessage="1" showErrorMessage="1" sqref="L441">
      <formula1>"Y,N"</formula1>
    </dataValidation>
    <dataValidation type="list" allowBlank="1" showInputMessage="1" showErrorMessage="1" sqref="M441">
      <formula1>"Y,N"</formula1>
    </dataValidation>
    <dataValidation type="list" allowBlank="1" showInputMessage="1" showErrorMessage="1" sqref="N441">
      <formula1>"Y,N"</formula1>
    </dataValidation>
    <dataValidation type="list" allowBlank="1" showInputMessage="1" showErrorMessage="1" sqref="O441">
      <formula1>"Y,N"</formula1>
    </dataValidation>
    <dataValidation type="list" allowBlank="1" showInputMessage="1" showErrorMessage="1" sqref="B442">
      <formula1>"Y,N"</formula1>
    </dataValidation>
    <dataValidation type="list" allowBlank="1" showInputMessage="1" showErrorMessage="1" sqref="C442">
      <formula1>"Y,N"</formula1>
    </dataValidation>
    <dataValidation type="list" allowBlank="1" showInputMessage="1" showErrorMessage="1" sqref="D442">
      <formula1>"Y,N"</formula1>
    </dataValidation>
    <dataValidation type="list" allowBlank="1" showInputMessage="1" showErrorMessage="1" sqref="E442">
      <formula1>"N.A."</formula1>
    </dataValidation>
    <dataValidation type="list" allowBlank="1" showInputMessage="1" showErrorMessage="1" sqref="F442">
      <formula1>"Y,N"</formula1>
    </dataValidation>
    <dataValidation type="list" allowBlank="1" showInputMessage="1" showErrorMessage="1" sqref="G442">
      <formula1>"Y,N"</formula1>
    </dataValidation>
    <dataValidation type="list" allowBlank="1" showInputMessage="1" showErrorMessage="1" sqref="H442">
      <formula1>"Y,N"</formula1>
    </dataValidation>
    <dataValidation type="list" allowBlank="1" showInputMessage="1" showErrorMessage="1" sqref="I442">
      <formula1>"Y,N"</formula1>
    </dataValidation>
    <dataValidation type="list" allowBlank="1" showInputMessage="1" showErrorMessage="1" sqref="J442">
      <formula1>"Y,N"</formula1>
    </dataValidation>
    <dataValidation type="list" allowBlank="1" showInputMessage="1" showErrorMessage="1" sqref="K442">
      <formula1>"Y,N"</formula1>
    </dataValidation>
    <dataValidation type="list" allowBlank="1" showInputMessage="1" showErrorMessage="1" sqref="L442">
      <formula1>"Y,N"</formula1>
    </dataValidation>
    <dataValidation type="list" allowBlank="1" showInputMessage="1" showErrorMessage="1" sqref="M442">
      <formula1>"Y,N"</formula1>
    </dataValidation>
    <dataValidation type="list" allowBlank="1" showInputMessage="1" showErrorMessage="1" sqref="N442">
      <formula1>"Y,N"</formula1>
    </dataValidation>
    <dataValidation type="list" allowBlank="1" showInputMessage="1" showErrorMessage="1" sqref="O442">
      <formula1>"Y,N"</formula1>
    </dataValidation>
    <dataValidation type="list" allowBlank="1" showInputMessage="1" showErrorMessage="1" sqref="B443">
      <formula1>"Y,N"</formula1>
    </dataValidation>
    <dataValidation type="list" allowBlank="1" showInputMessage="1" showErrorMessage="1" sqref="C443">
      <formula1>"Y,N"</formula1>
    </dataValidation>
    <dataValidation type="list" allowBlank="1" showInputMessage="1" showErrorMessage="1" sqref="D443">
      <formula1>"Y,N"</formula1>
    </dataValidation>
    <dataValidation type="list" allowBlank="1" showInputMessage="1" showErrorMessage="1" sqref="E443">
      <formula1>"Y,N"</formula1>
    </dataValidation>
    <dataValidation type="list" allowBlank="1" showInputMessage="1" showErrorMessage="1" sqref="F443">
      <formula1>"N.A."</formula1>
    </dataValidation>
    <dataValidation type="list" allowBlank="1" showInputMessage="1" showErrorMessage="1" sqref="G443">
      <formula1>"Y,N"</formula1>
    </dataValidation>
    <dataValidation type="list" allowBlank="1" showInputMessage="1" showErrorMessage="1" sqref="H443">
      <formula1>"Y,N"</formula1>
    </dataValidation>
    <dataValidation type="list" allowBlank="1" showInputMessage="1" showErrorMessage="1" sqref="I443">
      <formula1>"Y,N"</formula1>
    </dataValidation>
    <dataValidation type="list" allowBlank="1" showInputMessage="1" showErrorMessage="1" sqref="J443">
      <formula1>"Y,N"</formula1>
    </dataValidation>
    <dataValidation type="list" allowBlank="1" showInputMessage="1" showErrorMessage="1" sqref="K443">
      <formula1>"Y,N"</formula1>
    </dataValidation>
    <dataValidation type="list" allowBlank="1" showInputMessage="1" showErrorMessage="1" sqref="L443">
      <formula1>"Y,N"</formula1>
    </dataValidation>
    <dataValidation type="list" allowBlank="1" showInputMessage="1" showErrorMessage="1" sqref="M443">
      <formula1>"Y,N"</formula1>
    </dataValidation>
    <dataValidation type="list" allowBlank="1" showInputMessage="1" showErrorMessage="1" sqref="N443">
      <formula1>"Y,N"</formula1>
    </dataValidation>
    <dataValidation type="list" allowBlank="1" showInputMessage="1" showErrorMessage="1" sqref="O443">
      <formula1>"Y,N"</formula1>
    </dataValidation>
    <dataValidation type="list" allowBlank="1" showInputMessage="1" showErrorMessage="1" sqref="B444">
      <formula1>"Y,N"</formula1>
    </dataValidation>
    <dataValidation type="list" allowBlank="1" showInputMessage="1" showErrorMessage="1" sqref="C444">
      <formula1>"Y,N"</formula1>
    </dataValidation>
    <dataValidation type="list" allowBlank="1" showInputMessage="1" showErrorMessage="1" sqref="D444">
      <formula1>"Y,N"</formula1>
    </dataValidation>
    <dataValidation type="list" allowBlank="1" showInputMessage="1" showErrorMessage="1" sqref="E444">
      <formula1>"Y,N"</formula1>
    </dataValidation>
    <dataValidation type="list" allowBlank="1" showInputMessage="1" showErrorMessage="1" sqref="F444">
      <formula1>"Y,N"</formula1>
    </dataValidation>
    <dataValidation type="list" allowBlank="1" showInputMessage="1" showErrorMessage="1" sqref="G444">
      <formula1>"N.A."</formula1>
    </dataValidation>
    <dataValidation type="list" allowBlank="1" showInputMessage="1" showErrorMessage="1" sqref="H444">
      <formula1>"Y,N"</formula1>
    </dataValidation>
    <dataValidation type="list" allowBlank="1" showInputMessage="1" showErrorMessage="1" sqref="I444">
      <formula1>"Y,N"</formula1>
    </dataValidation>
    <dataValidation type="list" allowBlank="1" showInputMessage="1" showErrorMessage="1" sqref="J444">
      <formula1>"Y,N"</formula1>
    </dataValidation>
    <dataValidation type="list" allowBlank="1" showInputMessage="1" showErrorMessage="1" sqref="K444">
      <formula1>"Y,N"</formula1>
    </dataValidation>
    <dataValidation type="list" allowBlank="1" showInputMessage="1" showErrorMessage="1" sqref="L444">
      <formula1>"Y,N"</formula1>
    </dataValidation>
    <dataValidation type="list" allowBlank="1" showInputMessage="1" showErrorMessage="1" sqref="M444">
      <formula1>"Y,N"</formula1>
    </dataValidation>
    <dataValidation type="list" allowBlank="1" showInputMessage="1" showErrorMessage="1" sqref="N444">
      <formula1>"Y,N"</formula1>
    </dataValidation>
    <dataValidation type="list" allowBlank="1" showInputMessage="1" showErrorMessage="1" sqref="O444">
      <formula1>"Y,N"</formula1>
    </dataValidation>
    <dataValidation type="list" allowBlank="1" showInputMessage="1" showErrorMessage="1" sqref="B445">
      <formula1>"Y,N"</formula1>
    </dataValidation>
    <dataValidation type="list" allowBlank="1" showInputMessage="1" showErrorMessage="1" sqref="C445">
      <formula1>"Y,N"</formula1>
    </dataValidation>
    <dataValidation type="list" allowBlank="1" showInputMessage="1" showErrorMessage="1" sqref="D445">
      <formula1>"Y,N"</formula1>
    </dataValidation>
    <dataValidation type="list" allowBlank="1" showInputMessage="1" showErrorMessage="1" sqref="E445">
      <formula1>"Y,N"</formula1>
    </dataValidation>
    <dataValidation type="list" allowBlank="1" showInputMessage="1" showErrorMessage="1" sqref="F445">
      <formula1>"Y,N"</formula1>
    </dataValidation>
    <dataValidation type="list" allowBlank="1" showInputMessage="1" showErrorMessage="1" sqref="G445">
      <formula1>"Y,N"</formula1>
    </dataValidation>
    <dataValidation type="list" allowBlank="1" showInputMessage="1" showErrorMessage="1" sqref="H445">
      <formula1>"N.A."</formula1>
    </dataValidation>
    <dataValidation type="list" allowBlank="1" showInputMessage="1" showErrorMessage="1" sqref="I445">
      <formula1>"Y,N"</formula1>
    </dataValidation>
    <dataValidation type="list" allowBlank="1" showInputMessage="1" showErrorMessage="1" sqref="J445">
      <formula1>"Y,N"</formula1>
    </dataValidation>
    <dataValidation type="list" allowBlank="1" showInputMessage="1" showErrorMessage="1" sqref="K445">
      <formula1>"Y,N"</formula1>
    </dataValidation>
    <dataValidation type="list" allowBlank="1" showInputMessage="1" showErrorMessage="1" sqref="L445">
      <formula1>"Y,N"</formula1>
    </dataValidation>
    <dataValidation type="list" allowBlank="1" showInputMessage="1" showErrorMessage="1" sqref="M445">
      <formula1>"Y,N"</formula1>
    </dataValidation>
    <dataValidation type="list" allowBlank="1" showInputMessage="1" showErrorMessage="1" sqref="N445">
      <formula1>"Y,N"</formula1>
    </dataValidation>
    <dataValidation type="list" allowBlank="1" showInputMessage="1" showErrorMessage="1" sqref="O445">
      <formula1>"Y,N"</formula1>
    </dataValidation>
    <dataValidation type="list" allowBlank="1" showInputMessage="1" showErrorMessage="1" sqref="B446">
      <formula1>"Y,N"</formula1>
    </dataValidation>
    <dataValidation type="list" allowBlank="1" showInputMessage="1" showErrorMessage="1" sqref="C446">
      <formula1>"Y,N"</formula1>
    </dataValidation>
    <dataValidation type="list" allowBlank="1" showInputMessage="1" showErrorMessage="1" sqref="D446">
      <formula1>"Y,N"</formula1>
    </dataValidation>
    <dataValidation type="list" allowBlank="1" showInputMessage="1" showErrorMessage="1" sqref="E446">
      <formula1>"Y,N"</formula1>
    </dataValidation>
    <dataValidation type="list" allowBlank="1" showInputMessage="1" showErrorMessage="1" sqref="F446">
      <formula1>"Y,N"</formula1>
    </dataValidation>
    <dataValidation type="list" allowBlank="1" showInputMessage="1" showErrorMessage="1" sqref="G446">
      <formula1>"Y,N"</formula1>
    </dataValidation>
    <dataValidation type="list" allowBlank="1" showInputMessage="1" showErrorMessage="1" sqref="H446">
      <formula1>"Y,N"</formula1>
    </dataValidation>
    <dataValidation type="list" allowBlank="1" showInputMessage="1" showErrorMessage="1" sqref="I446">
      <formula1>"N.A."</formula1>
    </dataValidation>
    <dataValidation type="list" allowBlank="1" showInputMessage="1" showErrorMessage="1" sqref="J446">
      <formula1>"Y,N"</formula1>
    </dataValidation>
    <dataValidation type="list" allowBlank="1" showInputMessage="1" showErrorMessage="1" sqref="K446">
      <formula1>"Y,N"</formula1>
    </dataValidation>
    <dataValidation type="list" allowBlank="1" showInputMessage="1" showErrorMessage="1" sqref="L446">
      <formula1>"Y,N"</formula1>
    </dataValidation>
    <dataValidation type="list" allowBlank="1" showInputMessage="1" showErrorMessage="1" sqref="M446">
      <formula1>"Y,N"</formula1>
    </dataValidation>
    <dataValidation type="list" allowBlank="1" showInputMessage="1" showErrorMessage="1" sqref="N446">
      <formula1>"Y,N"</formula1>
    </dataValidation>
    <dataValidation type="list" allowBlank="1" showInputMessage="1" showErrorMessage="1" sqref="O446">
      <formula1>"Y,N"</formula1>
    </dataValidation>
    <dataValidation type="list" allowBlank="1" showInputMessage="1" showErrorMessage="1" sqref="B447">
      <formula1>"Y,N"</formula1>
    </dataValidation>
    <dataValidation type="list" allowBlank="1" showInputMessage="1" showErrorMessage="1" sqref="C447">
      <formula1>"Y,N"</formula1>
    </dataValidation>
    <dataValidation type="list" allowBlank="1" showInputMessage="1" showErrorMessage="1" sqref="D447">
      <formula1>"Y,N"</formula1>
    </dataValidation>
    <dataValidation type="list" allowBlank="1" showInputMessage="1" showErrorMessage="1" sqref="E447">
      <formula1>"Y,N"</formula1>
    </dataValidation>
    <dataValidation type="list" allowBlank="1" showInputMessage="1" showErrorMessage="1" sqref="F447">
      <formula1>"Y,N"</formula1>
    </dataValidation>
    <dataValidation type="list" allowBlank="1" showInputMessage="1" showErrorMessage="1" sqref="G447">
      <formula1>"Y,N"</formula1>
    </dataValidation>
    <dataValidation type="list" allowBlank="1" showInputMessage="1" showErrorMessage="1" sqref="H447">
      <formula1>"Y,N"</formula1>
    </dataValidation>
    <dataValidation type="list" allowBlank="1" showInputMessage="1" showErrorMessage="1" sqref="I447">
      <formula1>"Y,N"</formula1>
    </dataValidation>
    <dataValidation type="list" allowBlank="1" showInputMessage="1" showErrorMessage="1" sqref="J447">
      <formula1>"N.A."</formula1>
    </dataValidation>
    <dataValidation type="list" allowBlank="1" showInputMessage="1" showErrorMessage="1" sqref="K447">
      <formula1>"Y,N"</formula1>
    </dataValidation>
    <dataValidation type="list" allowBlank="1" showInputMessage="1" showErrorMessage="1" sqref="L447">
      <formula1>"Y,N"</formula1>
    </dataValidation>
    <dataValidation type="list" allowBlank="1" showInputMessage="1" showErrorMessage="1" sqref="M447">
      <formula1>"Y,N"</formula1>
    </dataValidation>
    <dataValidation type="list" allowBlank="1" showInputMessage="1" showErrorMessage="1" sqref="N447">
      <formula1>"Y,N"</formula1>
    </dataValidation>
    <dataValidation type="list" allowBlank="1" showInputMessage="1" showErrorMessage="1" sqref="O447">
      <formula1>"Y,N"</formula1>
    </dataValidation>
    <dataValidation type="list" allowBlank="1" showInputMessage="1" showErrorMessage="1" sqref="B448">
      <formula1>"Y,N"</formula1>
    </dataValidation>
    <dataValidation type="list" allowBlank="1" showInputMessage="1" showErrorMessage="1" sqref="C448">
      <formula1>"Y,N"</formula1>
    </dataValidation>
    <dataValidation type="list" allowBlank="1" showInputMessage="1" showErrorMessage="1" sqref="D448">
      <formula1>"Y,N"</formula1>
    </dataValidation>
    <dataValidation type="list" allowBlank="1" showInputMessage="1" showErrorMessage="1" sqref="E448">
      <formula1>"Y,N"</formula1>
    </dataValidation>
    <dataValidation type="list" allowBlank="1" showInputMessage="1" showErrorMessage="1" sqref="F448">
      <formula1>"Y,N"</formula1>
    </dataValidation>
    <dataValidation type="list" allowBlank="1" showInputMessage="1" showErrorMessage="1" sqref="G448">
      <formula1>"Y,N"</formula1>
    </dataValidation>
    <dataValidation type="list" allowBlank="1" showInputMessage="1" showErrorMessage="1" sqref="H448">
      <formula1>"Y,N"</formula1>
    </dataValidation>
    <dataValidation type="list" allowBlank="1" showInputMessage="1" showErrorMessage="1" sqref="I448">
      <formula1>"Y,N"</formula1>
    </dataValidation>
    <dataValidation type="list" allowBlank="1" showInputMessage="1" showErrorMessage="1" sqref="J448">
      <formula1>"Y,N"</formula1>
    </dataValidation>
    <dataValidation type="list" allowBlank="1" showInputMessage="1" showErrorMessage="1" sqref="K448">
      <formula1>"N.A."</formula1>
    </dataValidation>
    <dataValidation type="list" allowBlank="1" showInputMessage="1" showErrorMessage="1" sqref="L448">
      <formula1>"Y,N"</formula1>
    </dataValidation>
    <dataValidation type="list" allowBlank="1" showInputMessage="1" showErrorMessage="1" sqref="M448">
      <formula1>"Y,N"</formula1>
    </dataValidation>
    <dataValidation type="list" allowBlank="1" showInputMessage="1" showErrorMessage="1" sqref="N448">
      <formula1>"Y,N"</formula1>
    </dataValidation>
    <dataValidation type="list" allowBlank="1" showInputMessage="1" showErrorMessage="1" sqref="O448">
      <formula1>"Y,N"</formula1>
    </dataValidation>
    <dataValidation type="list" allowBlank="1" showInputMessage="1" showErrorMessage="1" sqref="B449">
      <formula1>"Y,N"</formula1>
    </dataValidation>
    <dataValidation type="list" allowBlank="1" showInputMessage="1" showErrorMessage="1" sqref="C449">
      <formula1>"Y,N"</formula1>
    </dataValidation>
    <dataValidation type="list" allowBlank="1" showInputMessage="1" showErrorMessage="1" sqref="D449">
      <formula1>"Y,N"</formula1>
    </dataValidation>
    <dataValidation type="list" allowBlank="1" showInputMessage="1" showErrorMessage="1" sqref="E449">
      <formula1>"Y,N"</formula1>
    </dataValidation>
    <dataValidation type="list" allowBlank="1" showInputMessage="1" showErrorMessage="1" sqref="F449">
      <formula1>"Y,N"</formula1>
    </dataValidation>
    <dataValidation type="list" allowBlank="1" showInputMessage="1" showErrorMessage="1" sqref="G449">
      <formula1>"Y,N"</formula1>
    </dataValidation>
    <dataValidation type="list" allowBlank="1" showInputMessage="1" showErrorMessage="1" sqref="H449">
      <formula1>"Y,N"</formula1>
    </dataValidation>
    <dataValidation type="list" allowBlank="1" showInputMessage="1" showErrorMessage="1" sqref="I449">
      <formula1>"Y,N"</formula1>
    </dataValidation>
    <dataValidation type="list" allowBlank="1" showInputMessage="1" showErrorMessage="1" sqref="J449">
      <formula1>"Y,N"</formula1>
    </dataValidation>
    <dataValidation type="list" allowBlank="1" showInputMessage="1" showErrorMessage="1" sqref="K449">
      <formula1>"Y,N"</formula1>
    </dataValidation>
    <dataValidation type="list" allowBlank="1" showInputMessage="1" showErrorMessage="1" sqref="L449">
      <formula1>"N.A."</formula1>
    </dataValidation>
    <dataValidation type="list" allowBlank="1" showInputMessage="1" showErrorMessage="1" sqref="M449">
      <formula1>"Y,N"</formula1>
    </dataValidation>
    <dataValidation type="list" allowBlank="1" showInputMessage="1" showErrorMessage="1" sqref="N449">
      <formula1>"Y,N"</formula1>
    </dataValidation>
    <dataValidation type="list" allowBlank="1" showInputMessage="1" showErrorMessage="1" sqref="O449">
      <formula1>"Y,N"</formula1>
    </dataValidation>
    <dataValidation type="list" allowBlank="1" showInputMessage="1" showErrorMessage="1" sqref="B450">
      <formula1>"Y,N"</formula1>
    </dataValidation>
    <dataValidation type="list" allowBlank="1" showInputMessage="1" showErrorMessage="1" sqref="C450">
      <formula1>"Y,N"</formula1>
    </dataValidation>
    <dataValidation type="list" allowBlank="1" showInputMessage="1" showErrorMessage="1" sqref="D450">
      <formula1>"Y,N"</formula1>
    </dataValidation>
    <dataValidation type="list" allowBlank="1" showInputMessage="1" showErrorMessage="1" sqref="E450">
      <formula1>"Y,N"</formula1>
    </dataValidation>
    <dataValidation type="list" allowBlank="1" showInputMessage="1" showErrorMessage="1" sqref="F450">
      <formula1>"Y,N"</formula1>
    </dataValidation>
    <dataValidation type="list" allowBlank="1" showInputMessage="1" showErrorMessage="1" sqref="G450">
      <formula1>"Y,N"</formula1>
    </dataValidation>
    <dataValidation type="list" allowBlank="1" showInputMessage="1" showErrorMessage="1" sqref="H450">
      <formula1>"Y,N"</formula1>
    </dataValidation>
    <dataValidation type="list" allowBlank="1" showInputMessage="1" showErrorMessage="1" sqref="I450">
      <formula1>"Y,N"</formula1>
    </dataValidation>
    <dataValidation type="list" allowBlank="1" showInputMessage="1" showErrorMessage="1" sqref="J450">
      <formula1>"Y,N"</formula1>
    </dataValidation>
    <dataValidation type="list" allowBlank="1" showInputMessage="1" showErrorMessage="1" sqref="K450">
      <formula1>"Y,N"</formula1>
    </dataValidation>
    <dataValidation type="list" allowBlank="1" showInputMessage="1" showErrorMessage="1" sqref="L450">
      <formula1>"Y,N"</formula1>
    </dataValidation>
    <dataValidation type="list" allowBlank="1" showInputMessage="1" showErrorMessage="1" sqref="M450">
      <formula1>"N.A."</formula1>
    </dataValidation>
    <dataValidation type="list" allowBlank="1" showInputMessage="1" showErrorMessage="1" sqref="N450">
      <formula1>"Y,N"</formula1>
    </dataValidation>
    <dataValidation type="list" allowBlank="1" showInputMessage="1" showErrorMessage="1" sqref="O450">
      <formula1>"Y,N"</formula1>
    </dataValidation>
    <dataValidation type="list" allowBlank="1" showInputMessage="1" showErrorMessage="1" sqref="B451">
      <formula1>"Y,N"</formula1>
    </dataValidation>
    <dataValidation type="list" allowBlank="1" showInputMessage="1" showErrorMessage="1" sqref="C451">
      <formula1>"Y,N"</formula1>
    </dataValidation>
    <dataValidation type="list" allowBlank="1" showInputMessage="1" showErrorMessage="1" sqref="D451">
      <formula1>"Y,N"</formula1>
    </dataValidation>
    <dataValidation type="list" allowBlank="1" showInputMessage="1" showErrorMessage="1" sqref="E451">
      <formula1>"Y,N"</formula1>
    </dataValidation>
    <dataValidation type="list" allowBlank="1" showInputMessage="1" showErrorMessage="1" sqref="F451">
      <formula1>"Y,N"</formula1>
    </dataValidation>
    <dataValidation type="list" allowBlank="1" showInputMessage="1" showErrorMessage="1" sqref="G451">
      <formula1>"Y,N"</formula1>
    </dataValidation>
    <dataValidation type="list" allowBlank="1" showInputMessage="1" showErrorMessage="1" sqref="H451">
      <formula1>"Y,N"</formula1>
    </dataValidation>
    <dataValidation type="list" allowBlank="1" showInputMessage="1" showErrorMessage="1" sqref="I451">
      <formula1>"Y,N"</formula1>
    </dataValidation>
    <dataValidation type="list" allowBlank="1" showInputMessage="1" showErrorMessage="1" sqref="J451">
      <formula1>"Y,N"</formula1>
    </dataValidation>
    <dataValidation type="list" allowBlank="1" showInputMessage="1" showErrorMessage="1" sqref="K451">
      <formula1>"Y,N"</formula1>
    </dataValidation>
    <dataValidation type="list" allowBlank="1" showInputMessage="1" showErrorMessage="1" sqref="L451">
      <formula1>"Y,N"</formula1>
    </dataValidation>
    <dataValidation type="list" allowBlank="1" showInputMessage="1" showErrorMessage="1" sqref="M451">
      <formula1>"Y,N"</formula1>
    </dataValidation>
    <dataValidation type="list" allowBlank="1" showInputMessage="1" showErrorMessage="1" sqref="N451">
      <formula1>"N.A."</formula1>
    </dataValidation>
    <dataValidation type="list" allowBlank="1" showInputMessage="1" showErrorMessage="1" sqref="O451">
      <formula1>"Y,N"</formula1>
    </dataValidation>
    <dataValidation type="list" allowBlank="1" showInputMessage="1" showErrorMessage="1" sqref="B452">
      <formula1>"Y,N"</formula1>
    </dataValidation>
    <dataValidation type="list" allowBlank="1" showInputMessage="1" showErrorMessage="1" sqref="C452">
      <formula1>"Y,N"</formula1>
    </dataValidation>
    <dataValidation type="list" allowBlank="1" showInputMessage="1" showErrorMessage="1" sqref="D452">
      <formula1>"Y,N"</formula1>
    </dataValidation>
    <dataValidation type="list" allowBlank="1" showInputMessage="1" showErrorMessage="1" sqref="E452">
      <formula1>"Y,N"</formula1>
    </dataValidation>
    <dataValidation type="list" allowBlank="1" showInputMessage="1" showErrorMessage="1" sqref="F452">
      <formula1>"Y,N"</formula1>
    </dataValidation>
    <dataValidation type="list" allowBlank="1" showInputMessage="1" showErrorMessage="1" sqref="G452">
      <formula1>"Y,N"</formula1>
    </dataValidation>
    <dataValidation type="list" allowBlank="1" showInputMessage="1" showErrorMessage="1" sqref="H452">
      <formula1>"Y,N"</formula1>
    </dataValidation>
    <dataValidation type="list" allowBlank="1" showInputMessage="1" showErrorMessage="1" sqref="I452">
      <formula1>"Y,N"</formula1>
    </dataValidation>
    <dataValidation type="list" allowBlank="1" showInputMessage="1" showErrorMessage="1" sqref="J452">
      <formula1>"Y,N"</formula1>
    </dataValidation>
    <dataValidation type="list" allowBlank="1" showInputMessage="1" showErrorMessage="1" sqref="K452">
      <formula1>"Y,N"</formula1>
    </dataValidation>
    <dataValidation type="list" allowBlank="1" showInputMessage="1" showErrorMessage="1" sqref="L452">
      <formula1>"Y,N"</formula1>
    </dataValidation>
    <dataValidation type="list" allowBlank="1" showInputMessage="1" showErrorMessage="1" sqref="M452">
      <formula1>"Y,N"</formula1>
    </dataValidation>
    <dataValidation type="list" allowBlank="1" showInputMessage="1" showErrorMessage="1" sqref="N452">
      <formula1>"Y,N"</formula1>
    </dataValidation>
    <dataValidation type="list" allowBlank="1" showInputMessage="1" showErrorMessage="1" sqref="O452">
      <formula1>"N.A."</formula1>
    </dataValidation>
    <dataValidation type="list" allowBlank="1" showInputMessage="1" showErrorMessage="1" sqref="E455">
      <formula1>"Number (years),Rate (per year),Duration (years)"</formula1>
    </dataValidation>
    <dataValidation type="list" allowBlank="1" showInputMessage="1" showErrorMessage="1" sqref="E456">
      <formula1>"Number (years),Rate (per year),Duration (years)"</formula1>
    </dataValidation>
    <dataValidation type="list" allowBlank="1" showInputMessage="1" showErrorMessage="1" sqref="E457">
      <formula1>"Number (years),Rate (per year),Duration (years)"</formula1>
    </dataValidation>
    <dataValidation type="list" allowBlank="1" showInputMessage="1" showErrorMessage="1" sqref="E458">
      <formula1>"Number (years),Rate (per year),Duration (years)"</formula1>
    </dataValidation>
    <dataValidation type="list" allowBlank="1" showInputMessage="1" showErrorMessage="1" sqref="E459">
      <formula1>"Number (years),Rate (per year),Duration (years)"</formula1>
    </dataValidation>
    <dataValidation type="list" allowBlank="1" showInputMessage="1" showErrorMessage="1" sqref="E460">
      <formula1>"Number (years),Rate (per year),Duration (years)"</formula1>
    </dataValidation>
    <dataValidation type="list" allowBlank="1" showInputMessage="1" showErrorMessage="1" sqref="E461">
      <formula1>"Number (years),Rate (per year),Duration (years)"</formula1>
    </dataValidation>
    <dataValidation type="list" allowBlank="1" showInputMessage="1" showErrorMessage="1" sqref="E462">
      <formula1>"Number (years),Rate (per year),Duration (years)"</formula1>
    </dataValidation>
    <dataValidation type="list" allowBlank="1" showInputMessage="1" showErrorMessage="1" sqref="E463">
      <formula1>"Number (years),Rate (per year),Duration (years)"</formula1>
    </dataValidation>
    <dataValidation type="list" allowBlank="1" showInputMessage="1" showErrorMessage="1" sqref="E464">
      <formula1>"Number (years),Rate (per year),Duration (years)"</formula1>
    </dataValidation>
    <dataValidation type="list" allowBlank="1" showInputMessage="1" showErrorMessage="1" sqref="E465">
      <formula1>"Number (years),Rate (per year),Duration (years)"</formula1>
    </dataValidation>
    <dataValidation type="list" allowBlank="1" showInputMessage="1" showErrorMessage="1" sqref="E466">
      <formula1>"Number (years),Rate (per year),Duration (years)"</formula1>
    </dataValidation>
    <dataValidation type="list" allowBlank="1" showInputMessage="1" showErrorMessage="1" sqref="E467">
      <formula1>"Number (years),Rate (per year),Duration (years)"</formula1>
    </dataValidation>
    <dataValidation type="list" allowBlank="1" showInputMessage="1" showErrorMessage="1" sqref="E468">
      <formula1>"Number (years),Rate (per year),Duration (years)"</formula1>
    </dataValidation>
    <dataValidation type="list" allowBlank="1" showInputMessage="1" showErrorMessage="1" sqref="E469">
      <formula1>"Number (years),Rate (per year),Duration (years)"</formula1>
    </dataValidation>
    <dataValidation type="list" allowBlank="1" showInputMessage="1" showErrorMessage="1" sqref="E470">
      <formula1>"Number (years),Rate (per year),Duration (years)"</formula1>
    </dataValidation>
    <dataValidation type="list" allowBlank="1" showInputMessage="1" showErrorMessage="1" sqref="E471">
      <formula1>"Number (years),Rate (per year),Duration (years)"</formula1>
    </dataValidation>
    <dataValidation type="list" allowBlank="1" showInputMessage="1" showErrorMessage="1" sqref="E472">
      <formula1>"Number (years),Rate (per year),Duration (years)"</formula1>
    </dataValidation>
    <dataValidation type="list" allowBlank="1" showInputMessage="1" showErrorMessage="1" sqref="E473">
      <formula1>"Number (years),Rate (per year),Duration (years)"</formula1>
    </dataValidation>
    <dataValidation type="list" allowBlank="1" showInputMessage="1" showErrorMessage="1" sqref="E474">
      <formula1>"Number (years),Rate (per year),Duration (years)"</formula1>
    </dataValidation>
    <dataValidation type="list" allowBlank="1" showInputMessage="1" showErrorMessage="1" sqref="E475">
      <formula1>"Number (years),Rate (per year),Duration (years)"</formula1>
    </dataValidation>
    <dataValidation type="list" allowBlank="1" showInputMessage="1" showErrorMessage="1" sqref="E476">
      <formula1>"Number (years),Rate (per year),Duration (years)"</formula1>
    </dataValidation>
    <dataValidation type="list" allowBlank="1" showInputMessage="1" showErrorMessage="1" sqref="E477">
      <formula1>"Number (years),Rate (per year),Duration (years)"</formula1>
    </dataValidation>
    <dataValidation type="list" allowBlank="1" showInputMessage="1" showErrorMessage="1" sqref="E478">
      <formula1>"Number (years),Rate (per year),Duration (years)"</formula1>
    </dataValidation>
    <dataValidation type="list" allowBlank="1" showInputMessage="1" showErrorMessage="1" sqref="E479">
      <formula1>"Number (years),Rate (per year),Duration (years)"</formula1>
    </dataValidation>
    <dataValidation type="list" allowBlank="1" showInputMessage="1" showErrorMessage="1" sqref="E480">
      <formula1>"Number (years),Rate (per year),Duration (years)"</formula1>
    </dataValidation>
    <dataValidation type="list" allowBlank="1" showInputMessage="1" showErrorMessage="1" sqref="E481">
      <formula1>"Number (years),Rate (per year),Duration (years)"</formula1>
    </dataValidation>
    <dataValidation type="list" allowBlank="1" showInputMessage="1" showErrorMessage="1" sqref="E482">
      <formula1>"Number (years),Rate (per year),Duration (years)"</formula1>
    </dataValidation>
    <dataValidation type="list" allowBlank="1" showInputMessage="1" showErrorMessage="1" sqref="E483">
      <formula1>"Number (years),Rate (per year),Duration (years)"</formula1>
    </dataValidation>
    <dataValidation type="list" allowBlank="1" showInputMessage="1" showErrorMessage="1" sqref="E484">
      <formula1>"Number (years),Rate (per year),Duration (years)"</formula1>
    </dataValidation>
    <dataValidation type="list" allowBlank="1" showInputMessage="1" showErrorMessage="1" sqref="E485">
      <formula1>"Number (years),Rate (per year),Duration (years)"</formula1>
    </dataValidation>
    <dataValidation type="list" allowBlank="1" showInputMessage="1" showErrorMessage="1" sqref="E486">
      <formula1>"Number (years),Rate (per year),Duration (years)"</formula1>
    </dataValidation>
    <dataValidation type="list" allowBlank="1" showInputMessage="1" showErrorMessage="1" sqref="E487">
      <formula1>"Number (years),Rate (per year),Duration (years)"</formula1>
    </dataValidation>
    <dataValidation type="list" allowBlank="1" showInputMessage="1" showErrorMessage="1" sqref="E488">
      <formula1>"Number (years),Rate (per year),Duration (years)"</formula1>
    </dataValidation>
    <dataValidation type="list" allowBlank="1" showInputMessage="1" showErrorMessage="1" sqref="E489">
      <formula1>"Number (years),Rate (per year),Duration (years)"</formula1>
    </dataValidation>
    <dataValidation type="list" allowBlank="1" showInputMessage="1" showErrorMessage="1" sqref="E490">
      <formula1>"Number (years),Rate (per year),Duration (years)"</formula1>
    </dataValidation>
    <dataValidation type="list" allowBlank="1" showInputMessage="1" showErrorMessage="1" sqref="E491">
      <formula1>"Number (years),Rate (per year),Duration (years)"</formula1>
    </dataValidation>
    <dataValidation type="list" allowBlank="1" showInputMessage="1" showErrorMessage="1" sqref="E492">
      <formula1>"Number (years),Rate (per year),Duration (years)"</formula1>
    </dataValidation>
    <dataValidation type="list" allowBlank="1" showInputMessage="1" showErrorMessage="1" sqref="E493">
      <formula1>"Number (years),Rate (per year),Duration (years)"</formula1>
    </dataValidation>
    <dataValidation type="list" allowBlank="1" showInputMessage="1" showErrorMessage="1" sqref="E494">
      <formula1>"Number (years),Rate (per year),Duration (years)"</formula1>
    </dataValidation>
    <dataValidation type="list" allowBlank="1" showInputMessage="1" showErrorMessage="1" sqref="E495">
      <formula1>"Number (years),Rate (per year),Duration (years)"</formula1>
    </dataValidation>
    <dataValidation type="list" allowBlank="1" showInputMessage="1" showErrorMessage="1" sqref="E496">
      <formula1>"Number (years),Rate (per year),Duration (years)"</formula1>
    </dataValidation>
    <dataValidation type="list" allowBlank="1" showInputMessage="1" showErrorMessage="1" sqref="E497">
      <formula1>"Number (years),Rate (per year),Duration (years)"</formula1>
    </dataValidation>
    <dataValidation type="list" allowBlank="1" showInputMessage="1" showErrorMessage="1" sqref="E498">
      <formula1>"Number (years),Rate (per year),Duration (years)"</formula1>
    </dataValidation>
    <dataValidation type="list" allowBlank="1" showInputMessage="1" showErrorMessage="1" sqref="E499">
      <formula1>"Number (years),Rate (per year),Duration (years)"</formula1>
    </dataValidation>
    <dataValidation type="list" allowBlank="1" showInputMessage="1" showErrorMessage="1" sqref="E500">
      <formula1>"Number (years),Rate (per year),Duration (years)"</formula1>
    </dataValidation>
    <dataValidation type="list" allowBlank="1" showInputMessage="1" showErrorMessage="1" sqref="E501">
      <formula1>"Number (years),Rate (per year),Duration (years)"</formula1>
    </dataValidation>
    <dataValidation type="list" allowBlank="1" showInputMessage="1" showErrorMessage="1" sqref="E502">
      <formula1>"Number (years),Rate (per year),Duration (years)"</formula1>
    </dataValidation>
    <dataValidation type="list" allowBlank="1" showInputMessage="1" showErrorMessage="1" sqref="E503">
      <formula1>"Number (years),Rate (per year),Duration (years)"</formula1>
    </dataValidation>
    <dataValidation type="list" allowBlank="1" showInputMessage="1" showErrorMessage="1" sqref="E504">
      <formula1>"Number (years),Rate (per year),Duration (years)"</formula1>
    </dataValidation>
    <dataValidation type="list" allowBlank="1" showInputMessage="1" showErrorMessage="1" sqref="E505">
      <formula1>"Number (years),Rate (per year),Duration (years)"</formula1>
    </dataValidation>
    <dataValidation type="list" allowBlank="1" showInputMessage="1" showErrorMessage="1" sqref="E506">
      <formula1>"Number (years),Rate (per year),Duration (years)"</formula1>
    </dataValidation>
    <dataValidation type="list" allowBlank="1" showInputMessage="1" showErrorMessage="1" sqref="E507">
      <formula1>"Number (years),Rate (per year),Duration (years)"</formula1>
    </dataValidation>
    <dataValidation type="list" allowBlank="1" showInputMessage="1" showErrorMessage="1" sqref="E508">
      <formula1>"Number (years),Rate (per year),Duration (years)"</formula1>
    </dataValidation>
    <dataValidation type="list" allowBlank="1" showInputMessage="1" showErrorMessage="1" sqref="E509">
      <formula1>"Number (years),Rate (per year),Duration (years)"</formula1>
    </dataValidation>
    <dataValidation type="list" allowBlank="1" showInputMessage="1" showErrorMessage="1" sqref="E510">
      <formula1>"Number (years),Rate (per year),Duration (years)"</formula1>
    </dataValidation>
    <dataValidation type="list" allowBlank="1" showInputMessage="1" showErrorMessage="1" sqref="E511">
      <formula1>"Number (years),Rate (per year),Duration (years)"</formula1>
    </dataValidation>
    <dataValidation type="list" allowBlank="1" showInputMessage="1" showErrorMessage="1" sqref="E512">
      <formula1>"Number (years),Rate (per year),Duration (years)"</formula1>
    </dataValidation>
    <dataValidation type="list" allowBlank="1" showInputMessage="1" showErrorMessage="1" sqref="E513">
      <formula1>"Number (years),Rate (per year),Duration (years)"</formula1>
    </dataValidation>
    <dataValidation type="list" allowBlank="1" showInputMessage="1" showErrorMessage="1" sqref="E514">
      <formula1>"Number (years),Rate (per year),Duration (years)"</formula1>
    </dataValidation>
    <dataValidation type="list" allowBlank="1" showInputMessage="1" showErrorMessage="1" sqref="E515">
      <formula1>"Number (years),Rate (per year),Duration (years)"</formula1>
    </dataValidation>
    <dataValidation type="list" allowBlank="1" showInputMessage="1" showErrorMessage="1" sqref="E516">
      <formula1>"Number (years),Rate (per year),Duration (years)"</formula1>
    </dataValidation>
    <dataValidation type="list" allowBlank="1" showInputMessage="1" showErrorMessage="1" sqref="E517">
      <formula1>"Number (years),Rate (per year),Duration (years)"</formula1>
    </dataValidation>
    <dataValidation type="list" allowBlank="1" showInputMessage="1" showErrorMessage="1" sqref="E518">
      <formula1>"Number (years),Rate (per year),Duration (years)"</formula1>
    </dataValidation>
    <dataValidation type="list" allowBlank="1" showInputMessage="1" showErrorMessage="1" sqref="E519">
      <formula1>"Number (years),Rate (per year),Duration (years)"</formula1>
    </dataValidation>
    <dataValidation type="list" allowBlank="1" showInputMessage="1" showErrorMessage="1" sqref="E520">
      <formula1>"Number (years),Rate (per year),Duration (years)"</formula1>
    </dataValidation>
    <dataValidation type="list" allowBlank="1" showInputMessage="1" showErrorMessage="1" sqref="E521">
      <formula1>"Number (years),Rate (per year),Duration (years)"</formula1>
    </dataValidation>
    <dataValidation type="list" allowBlank="1" showInputMessage="1" showErrorMessage="1" sqref="E522">
      <formula1>"Number (years),Rate (per year),Duration (years)"</formula1>
    </dataValidation>
    <dataValidation type="list" allowBlank="1" showInputMessage="1" showErrorMessage="1" sqref="E523">
      <formula1>"Number (years),Rate (per year),Duration (years)"</formula1>
    </dataValidation>
    <dataValidation type="list" allowBlank="1" showInputMessage="1" showErrorMessage="1" sqref="E524">
      <formula1>"Number (years),Rate (per year),Duration (years)"</formula1>
    </dataValidation>
    <dataValidation type="list" allowBlank="1" showInputMessage="1" showErrorMessage="1" sqref="E525">
      <formula1>"Number (years),Rate (per year),Duration (years)"</formula1>
    </dataValidation>
    <dataValidation type="list" allowBlank="1" showInputMessage="1" showErrorMessage="1" sqref="E526">
      <formula1>"Number (years),Rate (per year),Duration (years)"</formula1>
    </dataValidation>
    <dataValidation type="list" allowBlank="1" showInputMessage="1" showErrorMessage="1" sqref="E527">
      <formula1>"Number (years),Rate (per year),Duration (years)"</formula1>
    </dataValidation>
    <dataValidation type="list" allowBlank="1" showInputMessage="1" showErrorMessage="1" sqref="E528">
      <formula1>"Number (years),Rate (per year),Duration (years)"</formula1>
    </dataValidation>
    <dataValidation type="list" allowBlank="1" showInputMessage="1" showErrorMessage="1" sqref="E529">
      <formula1>"Number (years),Rate (per year),Duration (years)"</formula1>
    </dataValidation>
    <dataValidation type="list" allowBlank="1" showInputMessage="1" showErrorMessage="1" sqref="E530">
      <formula1>"Number (years),Rate (per year),Duration (years)"</formula1>
    </dataValidation>
    <dataValidation type="list" allowBlank="1" showInputMessage="1" showErrorMessage="1" sqref="E531">
      <formula1>"Number (years),Rate (per year),Duration (years)"</formula1>
    </dataValidation>
    <dataValidation type="list" allowBlank="1" showInputMessage="1" showErrorMessage="1" sqref="E532">
      <formula1>"Number (years),Rate (per year),Duration (years)"</formula1>
    </dataValidation>
    <dataValidation type="list" allowBlank="1" showInputMessage="1" showErrorMessage="1" sqref="E533">
      <formula1>"Number (years),Rate (per year),Duration (years)"</formula1>
    </dataValidation>
    <dataValidation type="list" allowBlank="1" showInputMessage="1" showErrorMessage="1" sqref="E534">
      <formula1>"Number (years),Rate (per year),Duration (years)"</formula1>
    </dataValidation>
    <dataValidation type="list" allowBlank="1" showInputMessage="1" showErrorMessage="1" sqref="E535">
      <formula1>"Number (years),Rate (per year),Duration (years)"</formula1>
    </dataValidation>
    <dataValidation type="list" allowBlank="1" showInputMessage="1" showErrorMessage="1" sqref="E536">
      <formula1>"Number (years),Rate (per year),Duration (years)"</formula1>
    </dataValidation>
    <dataValidation type="list" allowBlank="1" showInputMessage="1" showErrorMessage="1" sqref="E537">
      <formula1>"Number (years),Rate (per year),Duration (years)"</formula1>
    </dataValidation>
    <dataValidation type="list" allowBlank="1" showInputMessage="1" showErrorMessage="1" sqref="E538">
      <formula1>"Number (years),Rate (per year),Duration (years)"</formula1>
    </dataValidation>
    <dataValidation type="list" allowBlank="1" showInputMessage="1" showErrorMessage="1" sqref="E539">
      <formula1>"Number (years),Rate (per year),Duration (years)"</formula1>
    </dataValidation>
    <dataValidation type="list" allowBlank="1" showInputMessage="1" showErrorMessage="1" sqref="E540">
      <formula1>"Number (years),Rate (per year),Duration (years)"</formula1>
    </dataValidation>
    <dataValidation type="list" allowBlank="1" showInputMessage="1" showErrorMessage="1" sqref="E541">
      <formula1>"Number (years),Rate (per year),Duration (years)"</formula1>
    </dataValidation>
    <dataValidation type="list" allowBlank="1" showInputMessage="1" showErrorMessage="1" sqref="E542">
      <formula1>"Number (years),Rate (per year),Duration (years)"</formula1>
    </dataValidation>
    <dataValidation type="list" allowBlank="1" showInputMessage="1" showErrorMessage="1" sqref="E543">
      <formula1>"Number (years),Rate (per year),Duration (years)"</formula1>
    </dataValidation>
    <dataValidation type="list" allowBlank="1" showInputMessage="1" showErrorMessage="1" sqref="E544">
      <formula1>"Number (years),Rate (per year),Duration (years)"</formula1>
    </dataValidation>
    <dataValidation type="list" allowBlank="1" showInputMessage="1" showErrorMessage="1" sqref="E545">
      <formula1>"Number (years),Rate (per year),Duration (years)"</formula1>
    </dataValidation>
    <dataValidation type="list" allowBlank="1" showInputMessage="1" showErrorMessage="1" sqref="E546">
      <formula1>"Number (years),Rate (per year),Duration (years)"</formula1>
    </dataValidation>
    <dataValidation type="list" allowBlank="1" showInputMessage="1" showErrorMessage="1" sqref="E547">
      <formula1>"Number (years),Rate (per year),Duration (years)"</formula1>
    </dataValidation>
    <dataValidation type="list" allowBlank="1" showInputMessage="1" showErrorMessage="1" sqref="E548">
      <formula1>"Number (years),Rate (per year),Duration (years)"</formula1>
    </dataValidation>
    <dataValidation type="list" allowBlank="1" showInputMessage="1" showErrorMessage="1" sqref="E549">
      <formula1>"Number (years),Rate (per year),Duration (years)"</formula1>
    </dataValidation>
    <dataValidation type="list" allowBlank="1" showInputMessage="1" showErrorMessage="1" sqref="E550">
      <formula1>"Number (years),Rate (per year),Duration (years)"</formula1>
    </dataValidation>
    <dataValidation type="list" allowBlank="1" showInputMessage="1" showErrorMessage="1" sqref="E551">
      <formula1>"Number (years),Rate (per year),Duration (years)"</formula1>
    </dataValidation>
    <dataValidation type="list" allowBlank="1" showInputMessage="1" showErrorMessage="1" sqref="E552">
      <formula1>"Number (years),Rate (per year),Duration (years)"</formula1>
    </dataValidation>
    <dataValidation type="list" allowBlank="1" showInputMessage="1" showErrorMessage="1" sqref="E553">
      <formula1>"Number (years),Rate (per year),Duration (years)"</formula1>
    </dataValidation>
    <dataValidation type="list" allowBlank="1" showInputMessage="1" showErrorMessage="1" sqref="E554">
      <formula1>"Number (years),Rate (per year),Duration (years)"</formula1>
    </dataValidation>
    <dataValidation type="list" allowBlank="1" showInputMessage="1" showErrorMessage="1" sqref="E555">
      <formula1>"Number (years),Rate (per year),Duration (years)"</formula1>
    </dataValidation>
    <dataValidation type="list" allowBlank="1" showInputMessage="1" showErrorMessage="1" sqref="E556">
      <formula1>"Number (years),Rate (per year),Duration (years)"</formula1>
    </dataValidation>
    <dataValidation type="list" allowBlank="1" showInputMessage="1" showErrorMessage="1" sqref="E557">
      <formula1>"Number (years),Rate (per year),Duration (years)"</formula1>
    </dataValidation>
    <dataValidation type="list" allowBlank="1" showInputMessage="1" showErrorMessage="1" sqref="E558">
      <formula1>"Number (years),Rate (per year),Duration (years)"</formula1>
    </dataValidation>
    <dataValidation type="list" allowBlank="1" showInputMessage="1" showErrorMessage="1" sqref="E559">
      <formula1>"Number (years),Rate (per year),Duration (years)"</formula1>
    </dataValidation>
    <dataValidation type="list" allowBlank="1" showInputMessage="1" showErrorMessage="1" sqref="E560">
      <formula1>"Number (years),Rate (per year),Duration (years)"</formula1>
    </dataValidation>
    <dataValidation type="list" allowBlank="1" showInputMessage="1" showErrorMessage="1" sqref="E561">
      <formula1>"Number (years),Rate (per year),Duration (years)"</formula1>
    </dataValidation>
    <dataValidation type="list" allowBlank="1" showInputMessage="1" showErrorMessage="1" sqref="E562">
      <formula1>"Number (years),Rate (per year),Duration (years)"</formula1>
    </dataValidation>
    <dataValidation type="list" allowBlank="1" showInputMessage="1" showErrorMessage="1" sqref="E563">
      <formula1>"Number (years),Rate (per year),Duration (years)"</formula1>
    </dataValidation>
    <dataValidation type="list" allowBlank="1" showInputMessage="1" showErrorMessage="1" sqref="E564">
      <formula1>"Number (years),Rate (per year),Duration (years)"</formula1>
    </dataValidation>
    <dataValidation type="list" allowBlank="1" showInputMessage="1" showErrorMessage="1" sqref="E565">
      <formula1>"Number (years),Rate (per year),Duration (years)"</formula1>
    </dataValidation>
    <dataValidation type="list" allowBlank="1" showInputMessage="1" showErrorMessage="1" sqref="E566">
      <formula1>"Number (years),Rate (per year),Duration (years)"</formula1>
    </dataValidation>
    <dataValidation type="list" allowBlank="1" showInputMessage="1" showErrorMessage="1" sqref="E567">
      <formula1>"Number (years),Rate (per year),Duration (years)"</formula1>
    </dataValidation>
    <dataValidation type="list" allowBlank="1" showInputMessage="1" showErrorMessage="1" sqref="E568">
      <formula1>"Number (years),Rate (per year),Duration (years)"</formula1>
    </dataValidation>
    <dataValidation type="list" allowBlank="1" showInputMessage="1" showErrorMessage="1" sqref="E569">
      <formula1>"Number (years),Rate (per year),Duration (years)"</formula1>
    </dataValidation>
    <dataValidation type="list" allowBlank="1" showInputMessage="1" showErrorMessage="1" sqref="E570">
      <formula1>"Number (years),Rate (per year),Duration (years)"</formula1>
    </dataValidation>
    <dataValidation type="list" allowBlank="1" showInputMessage="1" showErrorMessage="1" sqref="E571">
      <formula1>"Number (years),Rate (per year),Duration (years)"</formula1>
    </dataValidation>
    <dataValidation type="list" allowBlank="1" showInputMessage="1" showErrorMessage="1" sqref="E572">
      <formula1>"Number (years),Rate (per year),Duration (years)"</formula1>
    </dataValidation>
    <dataValidation type="list" allowBlank="1" showInputMessage="1" showErrorMessage="1" sqref="E573">
      <formula1>"Number (years),Rate (per year),Duration (years)"</formula1>
    </dataValidation>
    <dataValidation type="list" allowBlank="1" showInputMessage="1" showErrorMessage="1" sqref="E574">
      <formula1>"Number (years),Rate (per year),Duration (years)"</formula1>
    </dataValidation>
    <dataValidation type="list" allowBlank="1" showInputMessage="1" showErrorMessage="1" sqref="E575">
      <formula1>"Number (years),Rate (per year),Duration (years)"</formula1>
    </dataValidation>
    <dataValidation type="list" allowBlank="1" showInputMessage="1" showErrorMessage="1" sqref="E576">
      <formula1>"Number (years),Rate (per year),Duration (years)"</formula1>
    </dataValidation>
    <dataValidation type="list" allowBlank="1" showInputMessage="1" showErrorMessage="1" sqref="E577">
      <formula1>"Number (years),Rate (per year),Duration (years)"</formula1>
    </dataValidation>
    <dataValidation type="list" allowBlank="1" showInputMessage="1" showErrorMessage="1" sqref="E578">
      <formula1>"Number (years),Rate (per year),Duration (years)"</formula1>
    </dataValidation>
    <dataValidation type="list" allowBlank="1" showInputMessage="1" showErrorMessage="1" sqref="E579">
      <formula1>"Number (years),Rate (per year),Duration (years)"</formula1>
    </dataValidation>
    <dataValidation type="list" allowBlank="1" showInputMessage="1" showErrorMessage="1" sqref="E580">
      <formula1>"Number (years),Rate (per year),Duration (years)"</formula1>
    </dataValidation>
    <dataValidation type="list" allowBlank="1" showInputMessage="1" showErrorMessage="1" sqref="E581">
      <formula1>"Number (years),Rate (per year),Duration (years)"</formula1>
    </dataValidation>
    <dataValidation type="list" allowBlank="1" showInputMessage="1" showErrorMessage="1" sqref="E582">
      <formula1>"Number (years),Rate (per year),Duration (years)"</formula1>
    </dataValidation>
    <dataValidation type="list" allowBlank="1" showInputMessage="1" showErrorMessage="1" sqref="E583">
      <formula1>"Number (years),Rate (per year),Duration (years)"</formula1>
    </dataValidation>
    <dataValidation type="list" allowBlank="1" showInputMessage="1" showErrorMessage="1" sqref="E584">
      <formula1>"Number (years),Rate (per year),Duration (years)"</formula1>
    </dataValidation>
    <dataValidation type="list" allowBlank="1" showInputMessage="1" showErrorMessage="1" sqref="E585">
      <formula1>"Number (years),Rate (per year),Duration (years)"</formula1>
    </dataValidation>
    <dataValidation type="list" allowBlank="1" showInputMessage="1" showErrorMessage="1" sqref="E586">
      <formula1>"Number (years),Rate (per year),Duration (years)"</formula1>
    </dataValidation>
    <dataValidation type="list" allowBlank="1" showInputMessage="1" showErrorMessage="1" sqref="E587">
      <formula1>"Number (years),Rate (per year),Duration (years)"</formula1>
    </dataValidation>
    <dataValidation type="list" allowBlank="1" showInputMessage="1" showErrorMessage="1" sqref="E588">
      <formula1>"Number (years),Rate (per year),Duration (years)"</formula1>
    </dataValidation>
    <dataValidation type="list" allowBlank="1" showInputMessage="1" showErrorMessage="1" sqref="E589">
      <formula1>"Number (years),Rate (per year),Duration (years)"</formula1>
    </dataValidation>
    <dataValidation type="list" allowBlank="1" showInputMessage="1" showErrorMessage="1" sqref="E590">
      <formula1>"Number (years),Rate (per year),Duration (years)"</formula1>
    </dataValidation>
    <dataValidation type="list" allowBlank="1" showInputMessage="1" showErrorMessage="1" sqref="E591">
      <formula1>"Number (years),Rate (per year),Duration (years)"</formula1>
    </dataValidation>
    <dataValidation type="list" allowBlank="1" showInputMessage="1" showErrorMessage="1" sqref="E592">
      <formula1>"Number (years),Rate (per year),Duration (years)"</formula1>
    </dataValidation>
    <dataValidation type="list" allowBlank="1" showInputMessage="1" showErrorMessage="1" sqref="E593">
      <formula1>"Number (years),Rate (per year),Duration (years)"</formula1>
    </dataValidation>
    <dataValidation type="list" allowBlank="1" showInputMessage="1" showErrorMessage="1" sqref="E594">
      <formula1>"Number (years),Rate (per year),Duration (years)"</formula1>
    </dataValidation>
    <dataValidation type="list" allowBlank="1" showInputMessage="1" showErrorMessage="1" sqref="E595">
      <formula1>"Number (years),Rate (per year),Duration (years)"</formula1>
    </dataValidation>
    <dataValidation type="list" allowBlank="1" showInputMessage="1" showErrorMessage="1" sqref="E596">
      <formula1>"Number (years),Rate (per year),Duration (years)"</formula1>
    </dataValidation>
    <dataValidation type="list" allowBlank="1" showInputMessage="1" showErrorMessage="1" sqref="E597">
      <formula1>"Number (years),Rate (per year),Duration (years)"</formula1>
    </dataValidation>
    <dataValidation type="list" allowBlank="1" showInputMessage="1" showErrorMessage="1" sqref="E598">
      <formula1>"Number (years),Rate (per year),Duration (years)"</formula1>
    </dataValidation>
    <dataValidation type="list" allowBlank="1" showInputMessage="1" showErrorMessage="1" sqref="E599">
      <formula1>"Number (years),Rate (per year),Duration (years)"</formula1>
    </dataValidation>
    <dataValidation type="list" allowBlank="1" showInputMessage="1" showErrorMessage="1" sqref="E600">
      <formula1>"Number (years),Rate (per year),Duration (years)"</formula1>
    </dataValidation>
    <dataValidation type="list" allowBlank="1" showInputMessage="1" showErrorMessage="1" sqref="E601">
      <formula1>"Number (years),Rate (per year),Duration (years)"</formula1>
    </dataValidation>
    <dataValidation type="list" allowBlank="1" showInputMessage="1" showErrorMessage="1" sqref="E602">
      <formula1>"Number (years),Rate (per year),Duration (years)"</formula1>
    </dataValidation>
    <dataValidation type="list" allowBlank="1" showInputMessage="1" showErrorMessage="1" sqref="E603">
      <formula1>"Number (years),Rate (per year),Duration (years)"</formula1>
    </dataValidation>
    <dataValidation type="list" allowBlank="1" showInputMessage="1" showErrorMessage="1" sqref="E604">
      <formula1>"Number (years),Rate (per year),Duration (years)"</formula1>
    </dataValidation>
    <dataValidation type="list" allowBlank="1" showInputMessage="1" showErrorMessage="1" sqref="E605">
      <formula1>"Number (years),Rate (per year),Duration (years)"</formula1>
    </dataValidation>
    <dataValidation type="list" allowBlank="1" showInputMessage="1" showErrorMessage="1" sqref="E606">
      <formula1>"Number (years),Rate (per year),Duration (years)"</formula1>
    </dataValidation>
    <dataValidation type="list" allowBlank="1" showInputMessage="1" showErrorMessage="1" sqref="E607">
      <formula1>"Number (years),Rate (per year),Duration (years)"</formula1>
    </dataValidation>
    <dataValidation type="list" allowBlank="1" showInputMessage="1" showErrorMessage="1" sqref="E608">
      <formula1>"Number (years),Rate (per year),Duration (years)"</formula1>
    </dataValidation>
    <dataValidation type="list" allowBlank="1" showInputMessage="1" showErrorMessage="1" sqref="E609">
      <formula1>"Number (years),Rate (per year),Duration (years)"</formula1>
    </dataValidation>
    <dataValidation type="list" allowBlank="1" showInputMessage="1" showErrorMessage="1" sqref="E610">
      <formula1>"Number (years),Rate (per year),Duration (years)"</formula1>
    </dataValidation>
    <dataValidation type="list" allowBlank="1" showInputMessage="1" showErrorMessage="1" sqref="E611">
      <formula1>"Number (years),Rate (per year),Duration (years)"</formula1>
    </dataValidation>
    <dataValidation type="list" allowBlank="1" showInputMessage="1" showErrorMessage="1" sqref="E612">
      <formula1>"Number (years),Rate (per year),Duration (years)"</formula1>
    </dataValidation>
    <dataValidation type="list" allowBlank="1" showInputMessage="1" showErrorMessage="1" sqref="E613">
      <formula1>"Number (years),Rate (per year),Duration (years)"</formula1>
    </dataValidation>
    <dataValidation type="list" allowBlank="1" showInputMessage="1" showErrorMessage="1" sqref="E614">
      <formula1>"Number (years),Rate (per year),Duration (years)"</formula1>
    </dataValidation>
    <dataValidation type="list" allowBlank="1" showInputMessage="1" showErrorMessage="1" sqref="E615">
      <formula1>"Number (years),Rate (per year),Duration (years)"</formula1>
    </dataValidation>
    <dataValidation type="list" allowBlank="1" showInputMessage="1" showErrorMessage="1" sqref="E616">
      <formula1>"Number (years),Rate (per year),Duration (years)"</formula1>
    </dataValidation>
    <dataValidation type="list" allowBlank="1" showInputMessage="1" showErrorMessage="1" sqref="E617">
      <formula1>"Number (years),Rate (per year),Duration (years)"</formula1>
    </dataValidation>
    <dataValidation type="list" allowBlank="1" showInputMessage="1" showErrorMessage="1" sqref="E618">
      <formula1>"Number (years),Rate (per year),Duration (years)"</formula1>
    </dataValidation>
    <dataValidation type="list" allowBlank="1" showInputMessage="1" showErrorMessage="1" sqref="E619">
      <formula1>"Number (years),Rate (per year),Duration (years)"</formula1>
    </dataValidation>
    <dataValidation type="list" allowBlank="1" showInputMessage="1" showErrorMessage="1" sqref="E620">
      <formula1>"Number (years),Rate (per year),Duration (years)"</formula1>
    </dataValidation>
    <dataValidation type="list" allowBlank="1" showInputMessage="1" showErrorMessage="1" sqref="E621">
      <formula1>"Number (years),Rate (per year),Duration (years)"</formula1>
    </dataValidation>
    <dataValidation type="list" allowBlank="1" showInputMessage="1" showErrorMessage="1" sqref="E622">
      <formula1>"Number (years),Rate (per year),Duration (years)"</formula1>
    </dataValidation>
    <dataValidation type="list" allowBlank="1" showInputMessage="1" showErrorMessage="1" sqref="E623">
      <formula1>"Number (years),Rate (per year),Duration (years)"</formula1>
    </dataValidation>
    <dataValidation type="list" allowBlank="1" showInputMessage="1" showErrorMessage="1" sqref="E624">
      <formula1>"Number (years),Rate (per year),Duration (years)"</formula1>
    </dataValidation>
    <dataValidation type="list" allowBlank="1" showInputMessage="1" showErrorMessage="1" sqref="E625">
      <formula1>"Number (years),Rate (per year),Duration (years)"</formula1>
    </dataValidation>
    <dataValidation type="list" allowBlank="1" showInputMessage="1" showErrorMessage="1" sqref="E626">
      <formula1>"Number (years),Rate (per year),Duration (years)"</formula1>
    </dataValidation>
    <dataValidation type="list" allowBlank="1" showInputMessage="1" showErrorMessage="1" sqref="E627">
      <formula1>"Number (years),Rate (per year),Duration (years)"</formula1>
    </dataValidation>
    <dataValidation type="list" allowBlank="1" showInputMessage="1" showErrorMessage="1" sqref="E628">
      <formula1>"Number (years),Rate (per year),Duration (years)"</formula1>
    </dataValidation>
    <dataValidation type="list" allowBlank="1" showInputMessage="1" showErrorMessage="1" sqref="E629">
      <formula1>"Number (years),Rate (per year),Duration (years)"</formula1>
    </dataValidation>
    <dataValidation type="list" allowBlank="1" showInputMessage="1" showErrorMessage="1" sqref="E630">
      <formula1>"Number (years),Rate (per year),Duration (years)"</formula1>
    </dataValidation>
    <dataValidation type="list" allowBlank="1" showInputMessage="1" showErrorMessage="1" sqref="E631">
      <formula1>"Number (years),Rate (per year),Duration (years)"</formula1>
    </dataValidation>
    <dataValidation type="list" allowBlank="1" showInputMessage="1" showErrorMessage="1" sqref="E632">
      <formula1>"Number (years),Rate (per year),Duration (years)"</formula1>
    </dataValidation>
    <dataValidation type="list" allowBlank="1" showInputMessage="1" showErrorMessage="1" sqref="E633">
      <formula1>"Number (years),Rate (per year),Duration (years)"</formula1>
    </dataValidation>
    <dataValidation type="list" allowBlank="1" showInputMessage="1" showErrorMessage="1" sqref="E634">
      <formula1>"Number (years),Rate (per year),Duration (years)"</formula1>
    </dataValidation>
    <dataValidation type="list" allowBlank="1" showInputMessage="1" showErrorMessage="1" sqref="E635">
      <formula1>"Number (years),Rate (per year),Duration (years)"</formula1>
    </dataValidation>
    <dataValidation type="list" allowBlank="1" showInputMessage="1" showErrorMessage="1" sqref="E636">
      <formula1>"Number (years),Rate (per year),Duration (years)"</formula1>
    </dataValidation>
    <dataValidation type="list" allowBlank="1" showInputMessage="1" showErrorMessage="1" sqref="E637">
      <formula1>"Number (years),Rate (per year),Duration (years)"</formula1>
    </dataValidation>
    <dataValidation type="list" allowBlank="1" showInputMessage="1" showErrorMessage="1" sqref="E638">
      <formula1>"Number (years),Rate (per year),Duration (years)"</formula1>
    </dataValidation>
    <dataValidation type="list" allowBlank="1" showInputMessage="1" showErrorMessage="1" sqref="E639">
      <formula1>"Number (years),Rate (per year),Duration (years)"</formula1>
    </dataValidation>
    <dataValidation type="list" allowBlank="1" showInputMessage="1" showErrorMessage="1" sqref="E640">
      <formula1>"Number (years),Rate (per year),Duration (years)"</formula1>
    </dataValidation>
    <dataValidation type="list" allowBlank="1" showInputMessage="1" showErrorMessage="1" sqref="E641">
      <formula1>"Number (years),Rate (per year),Duration (years)"</formula1>
    </dataValidation>
    <dataValidation type="list" allowBlank="1" showInputMessage="1" showErrorMessage="1" sqref="E642">
      <formula1>"Number (years),Rate (per year),Duration (years)"</formula1>
    </dataValidation>
    <dataValidation type="list" allowBlank="1" showInputMessage="1" showErrorMessage="1" sqref="E643">
      <formula1>"Number (years),Rate (per year),Duration (years)"</formula1>
    </dataValidation>
    <dataValidation type="list" allowBlank="1" showInputMessage="1" showErrorMessage="1" sqref="E644">
      <formula1>"Number (years),Rate (per year),Duration (years)"</formula1>
    </dataValidation>
    <dataValidation type="list" allowBlank="1" showInputMessage="1" showErrorMessage="1" sqref="E645">
      <formula1>"Number (years),Rate (per year),Duration (years)"</formula1>
    </dataValidation>
    <dataValidation type="list" allowBlank="1" showInputMessage="1" showErrorMessage="1" sqref="E646">
      <formula1>"Number (years),Rate (per year),Duration (years)"</formula1>
    </dataValidation>
    <dataValidation type="list" allowBlank="1" showInputMessage="1" showErrorMessage="1" sqref="E647">
      <formula1>"Number (years),Rate (per year),Duration (years)"</formula1>
    </dataValidation>
    <dataValidation type="list" allowBlank="1" showInputMessage="1" showErrorMessage="1" sqref="E648">
      <formula1>"Number (years),Rate (per year),Duration (years)"</formula1>
    </dataValidation>
    <dataValidation type="list" allowBlank="1" showInputMessage="1" showErrorMessage="1" sqref="E649">
      <formula1>"Number (years),Rate (per year),Duration (years)"</formula1>
    </dataValidation>
    <dataValidation type="list" allowBlank="1" showInputMessage="1" showErrorMessage="1" sqref="E650">
      <formula1>"Number (years),Rate (per year),Duration (years)"</formula1>
    </dataValidation>
  </dataValidations>
  <hyperlinks>
    <hyperlink ref="C5" location="Transfers!B22" display="N"/>
    <hyperlink ref="D5" location="Transfers!B23" display="N"/>
    <hyperlink ref="E5" location="Transfers!B24" display="N"/>
    <hyperlink ref="F5" location="Transfers!B25" display="N"/>
    <hyperlink ref="G5" location="Transfers!B26" display="N"/>
    <hyperlink ref="H5" location="Transfers!B27" display="N"/>
    <hyperlink ref="I5" location="Transfers!B28" display="N"/>
    <hyperlink ref="J5" location="Transfers!B29" display="N"/>
    <hyperlink ref="K5" location="Transfers!B30" display="N"/>
    <hyperlink ref="L5" location="Transfers!B31" display="N"/>
    <hyperlink ref="M5" location="Transfers!B32" display="N"/>
    <hyperlink ref="N5" location="Transfers!B33" display="N"/>
    <hyperlink ref="O5" location="Transfers!B34" display="N"/>
    <hyperlink ref="B6" location="Transfers!B35" display="N"/>
    <hyperlink ref="D6" location="Transfers!B37" display="N"/>
    <hyperlink ref="E6" location="Transfers!B38" display="N"/>
    <hyperlink ref="F6" location="Transfers!B39" display="N"/>
    <hyperlink ref="G6" location="Transfers!B40" display="N"/>
    <hyperlink ref="H6" location="Transfers!B41" display="N"/>
    <hyperlink ref="I6" location="Transfers!B42" display="N"/>
    <hyperlink ref="J6" location="Transfers!B43" display="N"/>
    <hyperlink ref="K6" location="Transfers!B44" display="N"/>
    <hyperlink ref="L6" location="Transfers!B45" display="N"/>
    <hyperlink ref="M6" location="Transfers!B46" display="N"/>
    <hyperlink ref="N6" location="Transfers!B47" display="N"/>
    <hyperlink ref="O6" location="Transfers!B48" display="N"/>
    <hyperlink ref="B7" location="Transfers!B49" display="N"/>
    <hyperlink ref="C7" location="Transfers!B50" display="N"/>
    <hyperlink ref="E7" location="Transfers!B52" display="N"/>
    <hyperlink ref="F7" location="Transfers!B53" display="Y"/>
    <hyperlink ref="G7" location="Transfers!B54" display="N"/>
    <hyperlink ref="H7" location="Transfers!B55" display="N"/>
    <hyperlink ref="I7" location="Transfers!B56" display="N"/>
    <hyperlink ref="J7" location="Transfers!B57" display="N"/>
    <hyperlink ref="K7" location="Transfers!B58" display="N"/>
    <hyperlink ref="L7" location="Transfers!B59" display="N"/>
    <hyperlink ref="M7" location="Transfers!B60" display="N"/>
    <hyperlink ref="N7" location="Transfers!B61" display="N"/>
    <hyperlink ref="O7" location="Transfers!B62" display="N"/>
    <hyperlink ref="B8" location="Transfers!B63" display="N"/>
    <hyperlink ref="C8" location="Transfers!B64" display="N"/>
    <hyperlink ref="D8" location="Transfers!B65" display="N"/>
    <hyperlink ref="F8" location="Transfers!B67" display="N"/>
    <hyperlink ref="G8" location="Transfers!B68" display="Y"/>
    <hyperlink ref="H8" location="Transfers!B69" display="N"/>
    <hyperlink ref="I8" location="Transfers!B70" display="N"/>
    <hyperlink ref="J8" location="Transfers!B71" display="N"/>
    <hyperlink ref="K8" location="Transfers!B72" display="N"/>
    <hyperlink ref="L8" location="Transfers!B73" display="N"/>
    <hyperlink ref="M8" location="Transfers!B74" display="N"/>
    <hyperlink ref="N8" location="Transfers!B75" display="N"/>
    <hyperlink ref="O8" location="Transfers!B76" display="N"/>
    <hyperlink ref="B9" location="Transfers!B77" display="N"/>
    <hyperlink ref="C9" location="Transfers!B78" display="N"/>
    <hyperlink ref="D9" location="Transfers!B79" display="N"/>
    <hyperlink ref="E9" location="Transfers!B80" display="N"/>
    <hyperlink ref="G9" location="Transfers!B82" display="N"/>
    <hyperlink ref="H9" location="Transfers!B83" display="Y"/>
    <hyperlink ref="I9" location="Transfers!B84" display="N"/>
    <hyperlink ref="J9" location="Transfers!B85" display="N"/>
    <hyperlink ref="K9" location="Transfers!B86" display="N"/>
    <hyperlink ref="L9" location="Transfers!B87" display="N"/>
    <hyperlink ref="M9" location="Transfers!B88" display="N"/>
    <hyperlink ref="N9" location="Transfers!B89" display="N"/>
    <hyperlink ref="O9" location="Transfers!B90" display="N"/>
    <hyperlink ref="B10" location="Transfers!B91" display="N"/>
    <hyperlink ref="C10" location="Transfers!B92" display="N"/>
    <hyperlink ref="D10" location="Transfers!B93" display="N"/>
    <hyperlink ref="E10" location="Transfers!B94" display="N"/>
    <hyperlink ref="F10" location="Transfers!B95" display="N"/>
    <hyperlink ref="H10" location="Transfers!B97" display="N"/>
    <hyperlink ref="I10" location="Transfers!B98" display="Y"/>
    <hyperlink ref="J10" location="Transfers!B99" display="N"/>
    <hyperlink ref="K10" location="Transfers!B100" display="N"/>
    <hyperlink ref="L10" location="Transfers!B101" display="N"/>
    <hyperlink ref="M10" location="Transfers!B102" display="N"/>
    <hyperlink ref="N10" location="Transfers!B103" display="N"/>
    <hyperlink ref="O10" location="Transfers!B104" display="N"/>
    <hyperlink ref="B11" location="Transfers!B105" display="N"/>
    <hyperlink ref="C11" location="Transfers!B106" display="N"/>
    <hyperlink ref="D11" location="Transfers!B107" display="N"/>
    <hyperlink ref="E11" location="Transfers!B108" display="N"/>
    <hyperlink ref="F11" location="Transfers!B109" display="N"/>
    <hyperlink ref="G11" location="Transfers!B110" display="N"/>
    <hyperlink ref="I11" location="Transfers!B112" display="N"/>
    <hyperlink ref="J11" location="Transfers!B113" display="Y"/>
    <hyperlink ref="K11" location="Transfers!B114" display="N"/>
    <hyperlink ref="L11" location="Transfers!B115" display="N"/>
    <hyperlink ref="M11" location="Transfers!B116" display="N"/>
    <hyperlink ref="N11" location="Transfers!B117" display="N"/>
    <hyperlink ref="O11" location="Transfers!B118" display="N"/>
    <hyperlink ref="B12" location="Transfers!B119" display="N"/>
    <hyperlink ref="C12" location="Transfers!B120" display="N"/>
    <hyperlink ref="D12" location="Transfers!B121" display="N"/>
    <hyperlink ref="E12" location="Transfers!B122" display="N"/>
    <hyperlink ref="F12" location="Transfers!B123" display="N"/>
    <hyperlink ref="G12" location="Transfers!B124" display="N"/>
    <hyperlink ref="H12" location="Transfers!B125" display="N"/>
    <hyperlink ref="J12" location="Transfers!B127" display="N"/>
    <hyperlink ref="K12" location="Transfers!B128" display="Y"/>
    <hyperlink ref="L12" location="Transfers!B129" display="N"/>
    <hyperlink ref="M12" location="Transfers!B130" display="N"/>
    <hyperlink ref="N12" location="Transfers!B131" display="N"/>
    <hyperlink ref="O12" location="Transfers!B132" display="N"/>
    <hyperlink ref="B13" location="Transfers!B133" display="N"/>
    <hyperlink ref="C13" location="Transfers!B134" display="N"/>
    <hyperlink ref="D13" location="Transfers!B135" display="N"/>
    <hyperlink ref="E13" location="Transfers!B136" display="N"/>
    <hyperlink ref="F13" location="Transfers!B137" display="N"/>
    <hyperlink ref="G13" location="Transfers!B138" display="N"/>
    <hyperlink ref="H13" location="Transfers!B139" display="N"/>
    <hyperlink ref="I13" location="Transfers!B140" display="N"/>
    <hyperlink ref="K13" location="Transfers!B142" display="N"/>
    <hyperlink ref="L13" location="Transfers!B143" display="N"/>
    <hyperlink ref="M13" location="Transfers!B144" display="N"/>
    <hyperlink ref="N13" location="Transfers!B145" display="N"/>
    <hyperlink ref="O13" location="Transfers!B146" display="N"/>
    <hyperlink ref="B14" location="Transfers!B147" display="N"/>
    <hyperlink ref="C14" location="Transfers!B148" display="N"/>
    <hyperlink ref="D14" location="Transfers!B149" display="N"/>
    <hyperlink ref="E14" location="Transfers!B150" display="N"/>
    <hyperlink ref="F14" location="Transfers!B151" display="N"/>
    <hyperlink ref="G14" location="Transfers!B152" display="N"/>
    <hyperlink ref="H14" location="Transfers!B153" display="N"/>
    <hyperlink ref="I14" location="Transfers!B154" display="N"/>
    <hyperlink ref="J14" location="Transfers!B155" display="N"/>
    <hyperlink ref="L14" location="Transfers!B157" display="N"/>
    <hyperlink ref="M14" location="Transfers!B158" display="N"/>
    <hyperlink ref="N14" location="Transfers!B159" display="N"/>
    <hyperlink ref="O14" location="Transfers!B160" display="N"/>
    <hyperlink ref="B15" location="Transfers!B161" display="N"/>
    <hyperlink ref="C15" location="Transfers!B162" display="N"/>
    <hyperlink ref="D15" location="Transfers!B163" display="N"/>
    <hyperlink ref="E15" location="Transfers!B164" display="N"/>
    <hyperlink ref="F15" location="Transfers!B165" display="N"/>
    <hyperlink ref="G15" location="Transfers!B166" display="N"/>
    <hyperlink ref="H15" location="Transfers!B167" display="N"/>
    <hyperlink ref="I15" location="Transfers!B168" display="N"/>
    <hyperlink ref="J15" location="Transfers!B169" display="N"/>
    <hyperlink ref="K15" location="Transfers!B170" display="N"/>
    <hyperlink ref="M15" location="Transfers!B172" display="N"/>
    <hyperlink ref="N15" location="Transfers!B173" display="N"/>
    <hyperlink ref="O15" location="Transfers!B174" display="N"/>
    <hyperlink ref="B16" location="Transfers!B175" display="N"/>
    <hyperlink ref="C16" location="Transfers!B176" display="N"/>
    <hyperlink ref="D16" location="Transfers!B177" display="N"/>
    <hyperlink ref="E16" location="Transfers!B178" display="N"/>
    <hyperlink ref="F16" location="Transfers!B179" display="N"/>
    <hyperlink ref="G16" location="Transfers!B180" display="N"/>
    <hyperlink ref="H16" location="Transfers!B181" display="N"/>
    <hyperlink ref="I16" location="Transfers!B182" display="N"/>
    <hyperlink ref="J16" location="Transfers!B183" display="N"/>
    <hyperlink ref="K16" location="Transfers!B184" display="N"/>
    <hyperlink ref="L16" location="Transfers!B185" display="N"/>
    <hyperlink ref="N16" location="Transfers!B187" display="N"/>
    <hyperlink ref="O16" location="Transfers!B188" display="N"/>
    <hyperlink ref="B17" location="Transfers!B189" display="N"/>
    <hyperlink ref="C17" location="Transfers!B190" display="N"/>
    <hyperlink ref="D17" location="Transfers!B191" display="N"/>
    <hyperlink ref="E17" location="Transfers!B192" display="N"/>
    <hyperlink ref="F17" location="Transfers!B193" display="N"/>
    <hyperlink ref="G17" location="Transfers!B194" display="N"/>
    <hyperlink ref="H17" location="Transfers!B195" display="N"/>
    <hyperlink ref="I17" location="Transfers!B196" display="N"/>
    <hyperlink ref="J17" location="Transfers!B197" display="N"/>
    <hyperlink ref="K17" location="Transfers!B198" display="N"/>
    <hyperlink ref="L17" location="Transfers!B199" display="N"/>
    <hyperlink ref="M17" location="Transfers!B200" display="N"/>
    <hyperlink ref="O17" location="Transfers!B202" display="N"/>
    <hyperlink ref="B18" location="Transfers!B203" display="N"/>
    <hyperlink ref="C18" location="Transfers!B204" display="N"/>
    <hyperlink ref="D18" location="Transfers!B205" display="N"/>
    <hyperlink ref="E18" location="Transfers!B206" display="N"/>
    <hyperlink ref="F18" location="Transfers!B207" display="N"/>
    <hyperlink ref="G18" location="Transfers!B208" display="N"/>
    <hyperlink ref="H18" location="Transfers!B209" display="N"/>
    <hyperlink ref="I18" location="Transfers!B210" display="N"/>
    <hyperlink ref="J18" location="Transfers!B211" display="N"/>
    <hyperlink ref="K18" location="Transfers!B212" display="N"/>
    <hyperlink ref="L18" location="Transfers!B213" display="N"/>
    <hyperlink ref="M18" location="Transfers!B214" display="N"/>
    <hyperlink ref="N18" location="Transfers!B215" display="N"/>
    <hyperlink ref="B22" location="Transfers!$C$5" display="Transfers!$C$5"/>
    <hyperlink ref="B23" location="Transfers!$D$5" display="Transfers!$D$5"/>
    <hyperlink ref="B24" location="Transfers!$E$5" display="Transfers!$E$5"/>
    <hyperlink ref="B25" location="Transfers!$F$5" display="Transfers!$F$5"/>
    <hyperlink ref="B26" location="Transfers!$G$5" display="Transfers!$G$5"/>
    <hyperlink ref="B27" location="Transfers!$H$5" display="Transfers!$H$5"/>
    <hyperlink ref="B28" location="Transfers!$I$5" display="Transfers!$I$5"/>
    <hyperlink ref="B29" location="Transfers!$J$5" display="Transfers!$J$5"/>
    <hyperlink ref="B30" location="Transfers!$K$5" display="Transfers!$K$5"/>
    <hyperlink ref="B31" location="Transfers!$L$5" display="Transfers!$L$5"/>
    <hyperlink ref="B32" location="Transfers!$M$5" display="Transfers!$M$5"/>
    <hyperlink ref="B33" location="Transfers!$N$5" display="Transfers!$N$5"/>
    <hyperlink ref="B34" location="Transfers!$O$5" display="Transfers!$O$5"/>
    <hyperlink ref="B35" location="Transfers!$B$6" display="Transfers!$B$6"/>
    <hyperlink ref="B37" location="Transfers!$D$6" display="Transfers!$D$6"/>
    <hyperlink ref="B38" location="Transfers!$E$6" display="Transfers!$E$6"/>
    <hyperlink ref="B39" location="Transfers!$F$6" display="Transfers!$F$6"/>
    <hyperlink ref="B40" location="Transfers!$G$6" display="Transfers!$G$6"/>
    <hyperlink ref="B41" location="Transfers!$H$6" display="Transfers!$H$6"/>
    <hyperlink ref="B42" location="Transfers!$I$6" display="Transfers!$I$6"/>
    <hyperlink ref="B43" location="Transfers!$J$6" display="Transfers!$J$6"/>
    <hyperlink ref="B44" location="Transfers!$K$6" display="Transfers!$K$6"/>
    <hyperlink ref="B45" location="Transfers!$L$6" display="Transfers!$L$6"/>
    <hyperlink ref="B46" location="Transfers!$M$6" display="Transfers!$M$6"/>
    <hyperlink ref="B47" location="Transfers!$N$6" display="Transfers!$N$6"/>
    <hyperlink ref="B48" location="Transfers!$O$6" display="Transfers!$O$6"/>
    <hyperlink ref="B49" location="Transfers!$B$7" display="Transfers!$B$7"/>
    <hyperlink ref="B50" location="Transfers!$C$7" display="Transfers!$C$7"/>
    <hyperlink ref="B52" location="Transfers!$E$7" display="Transfers!$E$7"/>
    <hyperlink ref="B53" location="Transfers!$F$7" display="Transfers!$F$7"/>
    <hyperlink ref="B54" location="Transfers!$G$7" display="Transfers!$G$7"/>
    <hyperlink ref="B55" location="Transfers!$H$7" display="Transfers!$H$7"/>
    <hyperlink ref="B56" location="Transfers!$I$7" display="Transfers!$I$7"/>
    <hyperlink ref="B57" location="Transfers!$J$7" display="Transfers!$J$7"/>
    <hyperlink ref="B58" location="Transfers!$K$7" display="Transfers!$K$7"/>
    <hyperlink ref="B59" location="Transfers!$L$7" display="Transfers!$L$7"/>
    <hyperlink ref="B60" location="Transfers!$M$7" display="Transfers!$M$7"/>
    <hyperlink ref="B61" location="Transfers!$N$7" display="Transfers!$N$7"/>
    <hyperlink ref="B62" location="Transfers!$O$7" display="Transfers!$O$7"/>
    <hyperlink ref="B63" location="Transfers!$B$8" display="Transfers!$B$8"/>
    <hyperlink ref="B64" location="Transfers!$C$8" display="Transfers!$C$8"/>
    <hyperlink ref="B65" location="Transfers!$D$8" display="Transfers!$D$8"/>
    <hyperlink ref="B67" location="Transfers!$F$8" display="Transfers!$F$8"/>
    <hyperlink ref="B68" location="Transfers!$G$8" display="Transfers!$G$8"/>
    <hyperlink ref="B69" location="Transfers!$H$8" display="Transfers!$H$8"/>
    <hyperlink ref="B70" location="Transfers!$I$8" display="Transfers!$I$8"/>
    <hyperlink ref="B71" location="Transfers!$J$8" display="Transfers!$J$8"/>
    <hyperlink ref="B72" location="Transfers!$K$8" display="Transfers!$K$8"/>
    <hyperlink ref="B73" location="Transfers!$L$8" display="Transfers!$L$8"/>
    <hyperlink ref="B74" location="Transfers!$M$8" display="Transfers!$M$8"/>
    <hyperlink ref="B75" location="Transfers!$N$8" display="Transfers!$N$8"/>
    <hyperlink ref="B76" location="Transfers!$O$8" display="Transfers!$O$8"/>
    <hyperlink ref="B77" location="Transfers!$B$9" display="Transfers!$B$9"/>
    <hyperlink ref="B78" location="Transfers!$C$9" display="Transfers!$C$9"/>
    <hyperlink ref="B79" location="Transfers!$D$9" display="Transfers!$D$9"/>
    <hyperlink ref="B80" location="Transfers!$E$9" display="Transfers!$E$9"/>
    <hyperlink ref="B82" location="Transfers!$G$9" display="Transfers!$G$9"/>
    <hyperlink ref="B83" location="Transfers!$H$9" display="Transfers!$H$9"/>
    <hyperlink ref="B84" location="Transfers!$I$9" display="Transfers!$I$9"/>
    <hyperlink ref="B85" location="Transfers!$J$9" display="Transfers!$J$9"/>
    <hyperlink ref="B86" location="Transfers!$K$9" display="Transfers!$K$9"/>
    <hyperlink ref="B87" location="Transfers!$L$9" display="Transfers!$L$9"/>
    <hyperlink ref="B88" location="Transfers!$M$9" display="Transfers!$M$9"/>
    <hyperlink ref="B89" location="Transfers!$N$9" display="Transfers!$N$9"/>
    <hyperlink ref="B90" location="Transfers!$O$9" display="Transfers!$O$9"/>
    <hyperlink ref="B91" location="Transfers!$B$10" display="Transfers!$B$10"/>
    <hyperlink ref="B92" location="Transfers!$C$10" display="Transfers!$C$10"/>
    <hyperlink ref="B93" location="Transfers!$D$10" display="Transfers!$D$10"/>
    <hyperlink ref="B94" location="Transfers!$E$10" display="Transfers!$E$10"/>
    <hyperlink ref="B95" location="Transfers!$F$10" display="Transfers!$F$10"/>
    <hyperlink ref="B97" location="Transfers!$H$10" display="Transfers!$H$10"/>
    <hyperlink ref="B98" location="Transfers!$I$10" display="Transfers!$I$10"/>
    <hyperlink ref="B99" location="Transfers!$J$10" display="Transfers!$J$10"/>
    <hyperlink ref="B100" location="Transfers!$K$10" display="Transfers!$K$10"/>
    <hyperlink ref="B101" location="Transfers!$L$10" display="Transfers!$L$10"/>
    <hyperlink ref="B102" location="Transfers!$M$10" display="Transfers!$M$10"/>
    <hyperlink ref="B103" location="Transfers!$N$10" display="Transfers!$N$10"/>
    <hyperlink ref="B104" location="Transfers!$O$10" display="Transfers!$O$10"/>
    <hyperlink ref="B105" location="Transfers!$B$11" display="Transfers!$B$11"/>
    <hyperlink ref="B106" location="Transfers!$C$11" display="Transfers!$C$11"/>
    <hyperlink ref="B107" location="Transfers!$D$11" display="Transfers!$D$11"/>
    <hyperlink ref="B108" location="Transfers!$E$11" display="Transfers!$E$11"/>
    <hyperlink ref="B109" location="Transfers!$F$11" display="Transfers!$F$11"/>
    <hyperlink ref="B110" location="Transfers!$G$11" display="Transfers!$G$11"/>
    <hyperlink ref="B112" location="Transfers!$I$11" display="Transfers!$I$11"/>
    <hyperlink ref="B113" location="Transfers!$J$11" display="Transfers!$J$11"/>
    <hyperlink ref="B114" location="Transfers!$K$11" display="Transfers!$K$11"/>
    <hyperlink ref="B115" location="Transfers!$L$11" display="Transfers!$L$11"/>
    <hyperlink ref="B116" location="Transfers!$M$11" display="Transfers!$M$11"/>
    <hyperlink ref="B117" location="Transfers!$N$11" display="Transfers!$N$11"/>
    <hyperlink ref="B118" location="Transfers!$O$11" display="Transfers!$O$11"/>
    <hyperlink ref="B119" location="Transfers!$B$12" display="Transfers!$B$12"/>
    <hyperlink ref="B120" location="Transfers!$C$12" display="Transfers!$C$12"/>
    <hyperlink ref="B121" location="Transfers!$D$12" display="Transfers!$D$12"/>
    <hyperlink ref="B122" location="Transfers!$E$12" display="Transfers!$E$12"/>
    <hyperlink ref="B123" location="Transfers!$F$12" display="Transfers!$F$12"/>
    <hyperlink ref="B124" location="Transfers!$G$12" display="Transfers!$G$12"/>
    <hyperlink ref="B125" location="Transfers!$H$12" display="Transfers!$H$12"/>
    <hyperlink ref="B127" location="Transfers!$J$12" display="Transfers!$J$12"/>
    <hyperlink ref="B128" location="Transfers!$K$12" display="Transfers!$K$12"/>
    <hyperlink ref="B129" location="Transfers!$L$12" display="Transfers!$L$12"/>
    <hyperlink ref="B130" location="Transfers!$M$12" display="Transfers!$M$12"/>
    <hyperlink ref="B131" location="Transfers!$N$12" display="Transfers!$N$12"/>
    <hyperlink ref="B132" location="Transfers!$O$12" display="Transfers!$O$12"/>
    <hyperlink ref="B133" location="Transfers!$B$13" display="Transfers!$B$13"/>
    <hyperlink ref="B134" location="Transfers!$C$13" display="Transfers!$C$13"/>
    <hyperlink ref="B135" location="Transfers!$D$13" display="Transfers!$D$13"/>
    <hyperlink ref="B136" location="Transfers!$E$13" display="Transfers!$E$13"/>
    <hyperlink ref="B137" location="Transfers!$F$13" display="Transfers!$F$13"/>
    <hyperlink ref="B138" location="Transfers!$G$13" display="Transfers!$G$13"/>
    <hyperlink ref="B139" location="Transfers!$H$13" display="Transfers!$H$13"/>
    <hyperlink ref="B140" location="Transfers!$I$13" display="Transfers!$I$13"/>
    <hyperlink ref="B142" location="Transfers!$K$13" display="Transfers!$K$13"/>
    <hyperlink ref="B143" location="Transfers!$L$13" display="Transfers!$L$13"/>
    <hyperlink ref="B144" location="Transfers!$M$13" display="Transfers!$M$13"/>
    <hyperlink ref="B145" location="Transfers!$N$13" display="Transfers!$N$13"/>
    <hyperlink ref="B146" location="Transfers!$O$13" display="Transfers!$O$13"/>
    <hyperlink ref="B147" location="Transfers!$B$14" display="Transfers!$B$14"/>
    <hyperlink ref="B148" location="Transfers!$C$14" display="Transfers!$C$14"/>
    <hyperlink ref="B149" location="Transfers!$D$14" display="Transfers!$D$14"/>
    <hyperlink ref="B150" location="Transfers!$E$14" display="Transfers!$E$14"/>
    <hyperlink ref="B151" location="Transfers!$F$14" display="Transfers!$F$14"/>
    <hyperlink ref="B152" location="Transfers!$G$14" display="Transfers!$G$14"/>
    <hyperlink ref="B153" location="Transfers!$H$14" display="Transfers!$H$14"/>
    <hyperlink ref="B154" location="Transfers!$I$14" display="Transfers!$I$14"/>
    <hyperlink ref="B155" location="Transfers!$J$14" display="Transfers!$J$14"/>
    <hyperlink ref="B157" location="Transfers!$L$14" display="Transfers!$L$14"/>
    <hyperlink ref="B158" location="Transfers!$M$14" display="Transfers!$M$14"/>
    <hyperlink ref="B159" location="Transfers!$N$14" display="Transfers!$N$14"/>
    <hyperlink ref="B160" location="Transfers!$O$14" display="Transfers!$O$14"/>
    <hyperlink ref="B161" location="Transfers!$B$15" display="Transfers!$B$15"/>
    <hyperlink ref="B162" location="Transfers!$C$15" display="Transfers!$C$15"/>
    <hyperlink ref="B163" location="Transfers!$D$15" display="Transfers!$D$15"/>
    <hyperlink ref="B164" location="Transfers!$E$15" display="Transfers!$E$15"/>
    <hyperlink ref="B165" location="Transfers!$F$15" display="Transfers!$F$15"/>
    <hyperlink ref="B166" location="Transfers!$G$15" display="Transfers!$G$15"/>
    <hyperlink ref="B167" location="Transfers!$H$15" display="Transfers!$H$15"/>
    <hyperlink ref="B168" location="Transfers!$I$15" display="Transfers!$I$15"/>
    <hyperlink ref="B169" location="Transfers!$J$15" display="Transfers!$J$15"/>
    <hyperlink ref="B170" location="Transfers!$K$15" display="Transfers!$K$15"/>
    <hyperlink ref="B172" location="Transfers!$M$15" display="Transfers!$M$15"/>
    <hyperlink ref="B173" location="Transfers!$N$15" display="Transfers!$N$15"/>
    <hyperlink ref="B174" location="Transfers!$O$15" display="Transfers!$O$15"/>
    <hyperlink ref="B175" location="Transfers!$B$16" display="Transfers!$B$16"/>
    <hyperlink ref="B176" location="Transfers!$C$16" display="Transfers!$C$16"/>
    <hyperlink ref="B177" location="Transfers!$D$16" display="Transfers!$D$16"/>
    <hyperlink ref="B178" location="Transfers!$E$16" display="Transfers!$E$16"/>
    <hyperlink ref="B179" location="Transfers!$F$16" display="Transfers!$F$16"/>
    <hyperlink ref="B180" location="Transfers!$G$16" display="Transfers!$G$16"/>
    <hyperlink ref="B181" location="Transfers!$H$16" display="Transfers!$H$16"/>
    <hyperlink ref="B182" location="Transfers!$I$16" display="Transfers!$I$16"/>
    <hyperlink ref="B183" location="Transfers!$J$16" display="Transfers!$J$16"/>
    <hyperlink ref="B184" location="Transfers!$K$16" display="Transfers!$K$16"/>
    <hyperlink ref="B185" location="Transfers!$L$16" display="Transfers!$L$16"/>
    <hyperlink ref="B187" location="Transfers!$N$16" display="Transfers!$N$16"/>
    <hyperlink ref="B188" location="Transfers!$O$16" display="Transfers!$O$16"/>
    <hyperlink ref="B189" location="Transfers!$B$17" display="Transfers!$B$17"/>
    <hyperlink ref="B190" location="Transfers!$C$17" display="Transfers!$C$17"/>
    <hyperlink ref="B191" location="Transfers!$D$17" display="Transfers!$D$17"/>
    <hyperlink ref="B192" location="Transfers!$E$17" display="Transfers!$E$17"/>
    <hyperlink ref="B193" location="Transfers!$F$17" display="Transfers!$F$17"/>
    <hyperlink ref="B194" location="Transfers!$G$17" display="Transfers!$G$17"/>
    <hyperlink ref="B195" location="Transfers!$H$17" display="Transfers!$H$17"/>
    <hyperlink ref="B196" location="Transfers!$I$17" display="Transfers!$I$17"/>
    <hyperlink ref="B197" location="Transfers!$J$17" display="Transfers!$J$17"/>
    <hyperlink ref="B198" location="Transfers!$K$17" display="Transfers!$K$17"/>
    <hyperlink ref="B199" location="Transfers!$L$17" display="Transfers!$L$17"/>
    <hyperlink ref="B200" location="Transfers!$M$17" display="Transfers!$M$17"/>
    <hyperlink ref="B202" location="Transfers!$O$17" display="Transfers!$O$17"/>
    <hyperlink ref="B203" location="Transfers!$B$18" display="Transfers!$B$18"/>
    <hyperlink ref="B204" location="Transfers!$C$18" display="Transfers!$C$18"/>
    <hyperlink ref="B205" location="Transfers!$D$18" display="Transfers!$D$18"/>
    <hyperlink ref="B206" location="Transfers!$E$18" display="Transfers!$E$18"/>
    <hyperlink ref="B207" location="Transfers!$F$18" display="Transfers!$F$18"/>
    <hyperlink ref="B208" location="Transfers!$G$18" display="Transfers!$G$18"/>
    <hyperlink ref="B209" location="Transfers!$H$18" display="Transfers!$H$18"/>
    <hyperlink ref="B210" location="Transfers!$I$18" display="Transfers!$I$18"/>
    <hyperlink ref="B211" location="Transfers!$J$18" display="Transfers!$J$18"/>
    <hyperlink ref="B212" location="Transfers!$K$18" display="Transfers!$K$18"/>
    <hyperlink ref="B213" location="Transfers!$L$18" display="Transfers!$L$18"/>
    <hyperlink ref="B214" location="Transfers!$M$18" display="Transfers!$M$18"/>
    <hyperlink ref="B215" location="Transfers!$N$18" display="Transfers!$N$18"/>
    <hyperlink ref="C222" location="Transfers!B239" display="N"/>
    <hyperlink ref="D222" location="Transfers!B240" display="N"/>
    <hyperlink ref="E222" location="Transfers!B241" display="N"/>
    <hyperlink ref="F222" location="Transfers!B242" display="N"/>
    <hyperlink ref="G222" location="Transfers!B243" display="N"/>
    <hyperlink ref="H222" location="Transfers!B244" display="Y"/>
    <hyperlink ref="I222" location="Transfers!B245" display="N"/>
    <hyperlink ref="J222" location="Transfers!B246" display="N"/>
    <hyperlink ref="K222" location="Transfers!B247" display="N"/>
    <hyperlink ref="L222" location="Transfers!B248" display="N"/>
    <hyperlink ref="M222" location="Transfers!B249" display="N"/>
    <hyperlink ref="N222" location="Transfers!B250" display="N"/>
    <hyperlink ref="O222" location="Transfers!B251" display="N"/>
    <hyperlink ref="B223" location="Transfers!B252" display="N"/>
    <hyperlink ref="D223" location="Transfers!B254" display="N"/>
    <hyperlink ref="E223" location="Transfers!B255" display="N"/>
    <hyperlink ref="F223" location="Transfers!B256" display="N"/>
    <hyperlink ref="G223" location="Transfers!B257" display="N"/>
    <hyperlink ref="H223" location="Transfers!B258" display="N"/>
    <hyperlink ref="I223" location="Transfers!B259" display="Y"/>
    <hyperlink ref="J223" location="Transfers!B260" display="N"/>
    <hyperlink ref="K223" location="Transfers!B261" display="N"/>
    <hyperlink ref="L223" location="Transfers!B262" display="N"/>
    <hyperlink ref="M223" location="Transfers!B263" display="N"/>
    <hyperlink ref="N223" location="Transfers!B264" display="N"/>
    <hyperlink ref="O223" location="Transfers!B265" display="N"/>
    <hyperlink ref="B224" location="Transfers!B266" display="N"/>
    <hyperlink ref="C224" location="Transfers!B267" display="N"/>
    <hyperlink ref="E224" location="Transfers!B269" display="N"/>
    <hyperlink ref="F224" location="Transfers!B270" display="N"/>
    <hyperlink ref="G224" location="Transfers!B271" display="N"/>
    <hyperlink ref="H224" location="Transfers!B272" display="N"/>
    <hyperlink ref="I224" location="Transfers!B273" display="N"/>
    <hyperlink ref="J224" location="Transfers!B274" display="N"/>
    <hyperlink ref="K224" location="Transfers!B275" display="N"/>
    <hyperlink ref="L224" location="Transfers!B276" display="N"/>
    <hyperlink ref="M224" location="Transfers!B277" display="N"/>
    <hyperlink ref="N224" location="Transfers!B278" display="N"/>
    <hyperlink ref="O224" location="Transfers!B279" display="N"/>
    <hyperlink ref="B225" location="Transfers!B280" display="N"/>
    <hyperlink ref="C225" location="Transfers!B281" display="N"/>
    <hyperlink ref="D225" location="Transfers!B282" display="N"/>
    <hyperlink ref="F225" location="Transfers!B284" display="N"/>
    <hyperlink ref="G225" location="Transfers!B285" display="N"/>
    <hyperlink ref="H225" location="Transfers!B286" display="N"/>
    <hyperlink ref="I225" location="Transfers!B287" display="N"/>
    <hyperlink ref="J225" location="Transfers!B288" display="N"/>
    <hyperlink ref="K225" location="Transfers!B289" display="N"/>
    <hyperlink ref="L225" location="Transfers!B290" display="N"/>
    <hyperlink ref="M225" location="Transfers!B291" display="N"/>
    <hyperlink ref="N225" location="Transfers!B292" display="N"/>
    <hyperlink ref="O225" location="Transfers!B293" display="N"/>
    <hyperlink ref="B226" location="Transfers!B294" display="N"/>
    <hyperlink ref="C226" location="Transfers!B295" display="N"/>
    <hyperlink ref="D226" location="Transfers!B296" display="N"/>
    <hyperlink ref="E226" location="Transfers!B297" display="N"/>
    <hyperlink ref="G226" location="Transfers!B299" display="N"/>
    <hyperlink ref="H226" location="Transfers!B300" display="N"/>
    <hyperlink ref="I226" location="Transfers!B301" display="N"/>
    <hyperlink ref="J226" location="Transfers!B302" display="N"/>
    <hyperlink ref="K226" location="Transfers!B303" display="N"/>
    <hyperlink ref="L226" location="Transfers!B304" display="N"/>
    <hyperlink ref="M226" location="Transfers!B305" display="N"/>
    <hyperlink ref="N226" location="Transfers!B306" display="N"/>
    <hyperlink ref="O226" location="Transfers!B307" display="N"/>
    <hyperlink ref="B227" location="Transfers!B308" display="N"/>
    <hyperlink ref="C227" location="Transfers!B309" display="N"/>
    <hyperlink ref="D227" location="Transfers!B310" display="N"/>
    <hyperlink ref="E227" location="Transfers!B311" display="N"/>
    <hyperlink ref="F227" location="Transfers!B312" display="N"/>
    <hyperlink ref="H227" location="Transfers!B314" display="N"/>
    <hyperlink ref="I227" location="Transfers!B315" display="N"/>
    <hyperlink ref="J227" location="Transfers!B316" display="N"/>
    <hyperlink ref="K227" location="Transfers!B317" display="N"/>
    <hyperlink ref="L227" location="Transfers!B318" display="N"/>
    <hyperlink ref="M227" location="Transfers!B319" display="N"/>
    <hyperlink ref="N227" location="Transfers!B320" display="N"/>
    <hyperlink ref="O227" location="Transfers!B321" display="N"/>
    <hyperlink ref="B228" location="Transfers!B322" display="Y"/>
    <hyperlink ref="C228" location="Transfers!B323" display="N"/>
    <hyperlink ref="D228" location="Transfers!B324" display="N"/>
    <hyperlink ref="E228" location="Transfers!B325" display="N"/>
    <hyperlink ref="F228" location="Transfers!B326" display="N"/>
    <hyperlink ref="G228" location="Transfers!B327" display="N"/>
    <hyperlink ref="I228" location="Transfers!B329" display="N"/>
    <hyperlink ref="J228" location="Transfers!B330" display="N"/>
    <hyperlink ref="K228" location="Transfers!B331" display="N"/>
    <hyperlink ref="L228" location="Transfers!B332" display="N"/>
    <hyperlink ref="M228" location="Transfers!B333" display="N"/>
    <hyperlink ref="N228" location="Transfers!B334" display="N"/>
    <hyperlink ref="O228" location="Transfers!B335" display="N"/>
    <hyperlink ref="B229" location="Transfers!B336" display="N"/>
    <hyperlink ref="C229" location="Transfers!B337" display="Y"/>
    <hyperlink ref="D229" location="Transfers!B338" display="N"/>
    <hyperlink ref="E229" location="Transfers!B339" display="N"/>
    <hyperlink ref="F229" location="Transfers!B340" display="N"/>
    <hyperlink ref="G229" location="Transfers!B341" display="N"/>
    <hyperlink ref="H229" location="Transfers!B342" display="N"/>
    <hyperlink ref="J229" location="Transfers!B344" display="N"/>
    <hyperlink ref="K229" location="Transfers!B345" display="N"/>
    <hyperlink ref="L229" location="Transfers!B346" display="N"/>
    <hyperlink ref="M229" location="Transfers!B347" display="N"/>
    <hyperlink ref="N229" location="Transfers!B348" display="N"/>
    <hyperlink ref="O229" location="Transfers!B349" display="N"/>
    <hyperlink ref="B230" location="Transfers!B350" display="N"/>
    <hyperlink ref="C230" location="Transfers!B351" display="N"/>
    <hyperlink ref="D230" location="Transfers!B352" display="N"/>
    <hyperlink ref="E230" location="Transfers!B353" display="N"/>
    <hyperlink ref="F230" location="Transfers!B354" display="N"/>
    <hyperlink ref="G230" location="Transfers!B355" display="N"/>
    <hyperlink ref="H230" location="Transfers!B356" display="N"/>
    <hyperlink ref="I230" location="Transfers!B357" display="N"/>
    <hyperlink ref="K230" location="Transfers!B359" display="N"/>
    <hyperlink ref="L230" location="Transfers!B360" display="N"/>
    <hyperlink ref="M230" location="Transfers!B361" display="N"/>
    <hyperlink ref="N230" location="Transfers!B362" display="N"/>
    <hyperlink ref="O230" location="Transfers!B363" display="N"/>
    <hyperlink ref="B231" location="Transfers!B364" display="N"/>
    <hyperlink ref="C231" location="Transfers!B365" display="N"/>
    <hyperlink ref="D231" location="Transfers!B366" display="N"/>
    <hyperlink ref="E231" location="Transfers!B367" display="N"/>
    <hyperlink ref="F231" location="Transfers!B368" display="N"/>
    <hyperlink ref="G231" location="Transfers!B369" display="N"/>
    <hyperlink ref="H231" location="Transfers!B370" display="N"/>
    <hyperlink ref="I231" location="Transfers!B371" display="N"/>
    <hyperlink ref="J231" location="Transfers!B372" display="N"/>
    <hyperlink ref="L231" location="Transfers!B374" display="N"/>
    <hyperlink ref="M231" location="Transfers!B375" display="N"/>
    <hyperlink ref="N231" location="Transfers!B376" display="N"/>
    <hyperlink ref="O231" location="Transfers!B377" display="N"/>
    <hyperlink ref="B232" location="Transfers!B378" display="N"/>
    <hyperlink ref="C232" location="Transfers!B379" display="N"/>
    <hyperlink ref="D232" location="Transfers!B380" display="N"/>
    <hyperlink ref="E232" location="Transfers!B381" display="N"/>
    <hyperlink ref="F232" location="Transfers!B382" display="N"/>
    <hyperlink ref="G232" location="Transfers!B383" display="N"/>
    <hyperlink ref="H232" location="Transfers!B384" display="N"/>
    <hyperlink ref="I232" location="Transfers!B385" display="N"/>
    <hyperlink ref="J232" location="Transfers!B386" display="N"/>
    <hyperlink ref="K232" location="Transfers!B387" display="N"/>
    <hyperlink ref="M232" location="Transfers!B389" display="N"/>
    <hyperlink ref="N232" location="Transfers!B390" display="N"/>
    <hyperlink ref="O232" location="Transfers!B391" display="N"/>
    <hyperlink ref="B233" location="Transfers!B392" display="N"/>
    <hyperlink ref="C233" location="Transfers!B393" display="N"/>
    <hyperlink ref="D233" location="Transfers!B394" display="N"/>
    <hyperlink ref="E233" location="Transfers!B395" display="N"/>
    <hyperlink ref="F233" location="Transfers!B396" display="N"/>
    <hyperlink ref="G233" location="Transfers!B397" display="N"/>
    <hyperlink ref="H233" location="Transfers!B398" display="N"/>
    <hyperlink ref="I233" location="Transfers!B399" display="N"/>
    <hyperlink ref="J233" location="Transfers!B400" display="N"/>
    <hyperlink ref="K233" location="Transfers!B401" display="N"/>
    <hyperlink ref="L233" location="Transfers!B402" display="N"/>
    <hyperlink ref="N233" location="Transfers!B404" display="N"/>
    <hyperlink ref="O233" location="Transfers!B405" display="N"/>
    <hyperlink ref="B234" location="Transfers!B406" display="N"/>
    <hyperlink ref="C234" location="Transfers!B407" display="N"/>
    <hyperlink ref="D234" location="Transfers!B408" display="N"/>
    <hyperlink ref="E234" location="Transfers!B409" display="N"/>
    <hyperlink ref="F234" location="Transfers!B410" display="N"/>
    <hyperlink ref="G234" location="Transfers!B411" display="N"/>
    <hyperlink ref="H234" location="Transfers!B412" display="N"/>
    <hyperlink ref="I234" location="Transfers!B413" display="N"/>
    <hyperlink ref="J234" location="Transfers!B414" display="N"/>
    <hyperlink ref="K234" location="Transfers!B415" display="N"/>
    <hyperlink ref="L234" location="Transfers!B416" display="N"/>
    <hyperlink ref="M234" location="Transfers!B417" display="N"/>
    <hyperlink ref="O234" location="Transfers!B419" display="N"/>
    <hyperlink ref="B235" location="Transfers!B420" display="N"/>
    <hyperlink ref="C235" location="Transfers!B421" display="N"/>
    <hyperlink ref="D235" location="Transfers!B422" display="N"/>
    <hyperlink ref="E235" location="Transfers!B423" display="N"/>
    <hyperlink ref="F235" location="Transfers!B424" display="N"/>
    <hyperlink ref="G235" location="Transfers!B425" display="N"/>
    <hyperlink ref="H235" location="Transfers!B426" display="N"/>
    <hyperlink ref="I235" location="Transfers!B427" display="N"/>
    <hyperlink ref="J235" location="Transfers!B428" display="N"/>
    <hyperlink ref="K235" location="Transfers!B429" display="N"/>
    <hyperlink ref="L235" location="Transfers!B430" display="N"/>
    <hyperlink ref="M235" location="Transfers!B431" display="N"/>
    <hyperlink ref="N235" location="Transfers!B432" display="N"/>
    <hyperlink ref="B239" location="Transfers!$C$222" display="Transfers!$C$222"/>
    <hyperlink ref="B240" location="Transfers!$D$222" display="Transfers!$D$222"/>
    <hyperlink ref="B241" location="Transfers!$E$222" display="Transfers!$E$222"/>
    <hyperlink ref="B242" location="Transfers!$F$222" display="Transfers!$F$222"/>
    <hyperlink ref="B243" location="Transfers!$G$222" display="Transfers!$G$222"/>
    <hyperlink ref="B244" location="Transfers!$H$222" display="Transfers!$H$222"/>
    <hyperlink ref="B245" location="Transfers!$I$222" display="Transfers!$I$222"/>
    <hyperlink ref="B246" location="Transfers!$J$222" display="Transfers!$J$222"/>
    <hyperlink ref="B247" location="Transfers!$K$222" display="Transfers!$K$222"/>
    <hyperlink ref="B248" location="Transfers!$L$222" display="Transfers!$L$222"/>
    <hyperlink ref="B249" location="Transfers!$M$222" display="Transfers!$M$222"/>
    <hyperlink ref="B250" location="Transfers!$N$222" display="Transfers!$N$222"/>
    <hyperlink ref="B251" location="Transfers!$O$222" display="Transfers!$O$222"/>
    <hyperlink ref="B252" location="Transfers!$B$223" display="Transfers!$B$223"/>
    <hyperlink ref="B254" location="Transfers!$D$223" display="Transfers!$D$223"/>
    <hyperlink ref="B255" location="Transfers!$E$223" display="Transfers!$E$223"/>
    <hyperlink ref="B256" location="Transfers!$F$223" display="Transfers!$F$223"/>
    <hyperlink ref="B257" location="Transfers!$G$223" display="Transfers!$G$223"/>
    <hyperlink ref="B258" location="Transfers!$H$223" display="Transfers!$H$223"/>
    <hyperlink ref="B259" location="Transfers!$I$223" display="Transfers!$I$223"/>
    <hyperlink ref="B260" location="Transfers!$J$223" display="Transfers!$J$223"/>
    <hyperlink ref="B261" location="Transfers!$K$223" display="Transfers!$K$223"/>
    <hyperlink ref="B262" location="Transfers!$L$223" display="Transfers!$L$223"/>
    <hyperlink ref="B263" location="Transfers!$M$223" display="Transfers!$M$223"/>
    <hyperlink ref="B264" location="Transfers!$N$223" display="Transfers!$N$223"/>
    <hyperlink ref="B265" location="Transfers!$O$223" display="Transfers!$O$223"/>
    <hyperlink ref="B266" location="Transfers!$B$224" display="Transfers!$B$224"/>
    <hyperlink ref="B267" location="Transfers!$C$224" display="Transfers!$C$224"/>
    <hyperlink ref="B269" location="Transfers!$E$224" display="Transfers!$E$224"/>
    <hyperlink ref="B270" location="Transfers!$F$224" display="Transfers!$F$224"/>
    <hyperlink ref="B271" location="Transfers!$G$224" display="Transfers!$G$224"/>
    <hyperlink ref="B272" location="Transfers!$H$224" display="Transfers!$H$224"/>
    <hyperlink ref="B273" location="Transfers!$I$224" display="Transfers!$I$224"/>
    <hyperlink ref="B274" location="Transfers!$J$224" display="Transfers!$J$224"/>
    <hyperlink ref="B275" location="Transfers!$K$224" display="Transfers!$K$224"/>
    <hyperlink ref="B276" location="Transfers!$L$224" display="Transfers!$L$224"/>
    <hyperlink ref="B277" location="Transfers!$M$224" display="Transfers!$M$224"/>
    <hyperlink ref="B278" location="Transfers!$N$224" display="Transfers!$N$224"/>
    <hyperlink ref="B279" location="Transfers!$O$224" display="Transfers!$O$224"/>
    <hyperlink ref="B280" location="Transfers!$B$225" display="Transfers!$B$225"/>
    <hyperlink ref="B281" location="Transfers!$C$225" display="Transfers!$C$225"/>
    <hyperlink ref="B282" location="Transfers!$D$225" display="Transfers!$D$225"/>
    <hyperlink ref="B284" location="Transfers!$F$225" display="Transfers!$F$225"/>
    <hyperlink ref="B285" location="Transfers!$G$225" display="Transfers!$G$225"/>
    <hyperlink ref="B286" location="Transfers!$H$225" display="Transfers!$H$225"/>
    <hyperlink ref="B287" location="Transfers!$I$225" display="Transfers!$I$225"/>
    <hyperlink ref="B288" location="Transfers!$J$225" display="Transfers!$J$225"/>
    <hyperlink ref="B289" location="Transfers!$K$225" display="Transfers!$K$225"/>
    <hyperlink ref="B290" location="Transfers!$L$225" display="Transfers!$L$225"/>
    <hyperlink ref="B291" location="Transfers!$M$225" display="Transfers!$M$225"/>
    <hyperlink ref="B292" location="Transfers!$N$225" display="Transfers!$N$225"/>
    <hyperlink ref="B293" location="Transfers!$O$225" display="Transfers!$O$225"/>
    <hyperlink ref="B294" location="Transfers!$B$226" display="Transfers!$B$226"/>
    <hyperlink ref="B295" location="Transfers!$C$226" display="Transfers!$C$226"/>
    <hyperlink ref="B296" location="Transfers!$D$226" display="Transfers!$D$226"/>
    <hyperlink ref="B297" location="Transfers!$E$226" display="Transfers!$E$226"/>
    <hyperlink ref="B299" location="Transfers!$G$226" display="Transfers!$G$226"/>
    <hyperlink ref="B300" location="Transfers!$H$226" display="Transfers!$H$226"/>
    <hyperlink ref="B301" location="Transfers!$I$226" display="Transfers!$I$226"/>
    <hyperlink ref="B302" location="Transfers!$J$226" display="Transfers!$J$226"/>
    <hyperlink ref="B303" location="Transfers!$K$226" display="Transfers!$K$226"/>
    <hyperlink ref="B304" location="Transfers!$L$226" display="Transfers!$L$226"/>
    <hyperlink ref="B305" location="Transfers!$M$226" display="Transfers!$M$226"/>
    <hyperlink ref="B306" location="Transfers!$N$226" display="Transfers!$N$226"/>
    <hyperlink ref="B307" location="Transfers!$O$226" display="Transfers!$O$226"/>
    <hyperlink ref="B308" location="Transfers!$B$227" display="Transfers!$B$227"/>
    <hyperlink ref="B309" location="Transfers!$C$227" display="Transfers!$C$227"/>
    <hyperlink ref="B310" location="Transfers!$D$227" display="Transfers!$D$227"/>
    <hyperlink ref="B311" location="Transfers!$E$227" display="Transfers!$E$227"/>
    <hyperlink ref="B312" location="Transfers!$F$227" display="Transfers!$F$227"/>
    <hyperlink ref="B314" location="Transfers!$H$227" display="Transfers!$H$227"/>
    <hyperlink ref="B315" location="Transfers!$I$227" display="Transfers!$I$227"/>
    <hyperlink ref="B316" location="Transfers!$J$227" display="Transfers!$J$227"/>
    <hyperlink ref="B317" location="Transfers!$K$227" display="Transfers!$K$227"/>
    <hyperlink ref="B318" location="Transfers!$L$227" display="Transfers!$L$227"/>
    <hyperlink ref="B319" location="Transfers!$M$227" display="Transfers!$M$227"/>
    <hyperlink ref="B320" location="Transfers!$N$227" display="Transfers!$N$227"/>
    <hyperlink ref="B321" location="Transfers!$O$227" display="Transfers!$O$227"/>
    <hyperlink ref="B322" location="Transfers!$B$228" display="Transfers!$B$228"/>
    <hyperlink ref="B323" location="Transfers!$C$228" display="Transfers!$C$228"/>
    <hyperlink ref="B324" location="Transfers!$D$228" display="Transfers!$D$228"/>
    <hyperlink ref="B325" location="Transfers!$E$228" display="Transfers!$E$228"/>
    <hyperlink ref="B326" location="Transfers!$F$228" display="Transfers!$F$228"/>
    <hyperlink ref="B327" location="Transfers!$G$228" display="Transfers!$G$228"/>
    <hyperlink ref="B329" location="Transfers!$I$228" display="Transfers!$I$228"/>
    <hyperlink ref="B330" location="Transfers!$J$228" display="Transfers!$J$228"/>
    <hyperlink ref="B331" location="Transfers!$K$228" display="Transfers!$K$228"/>
    <hyperlink ref="B332" location="Transfers!$L$228" display="Transfers!$L$228"/>
    <hyperlink ref="B333" location="Transfers!$M$228" display="Transfers!$M$228"/>
    <hyperlink ref="B334" location="Transfers!$N$228" display="Transfers!$N$228"/>
    <hyperlink ref="B335" location="Transfers!$O$228" display="Transfers!$O$228"/>
    <hyperlink ref="B336" location="Transfers!$B$229" display="Transfers!$B$229"/>
    <hyperlink ref="B337" location="Transfers!$C$229" display="Transfers!$C$229"/>
    <hyperlink ref="B338" location="Transfers!$D$229" display="Transfers!$D$229"/>
    <hyperlink ref="B339" location="Transfers!$E$229" display="Transfers!$E$229"/>
    <hyperlink ref="B340" location="Transfers!$F$229" display="Transfers!$F$229"/>
    <hyperlink ref="B341" location="Transfers!$G$229" display="Transfers!$G$229"/>
    <hyperlink ref="B342" location="Transfers!$H$229" display="Transfers!$H$229"/>
    <hyperlink ref="B344" location="Transfers!$J$229" display="Transfers!$J$229"/>
    <hyperlink ref="B345" location="Transfers!$K$229" display="Transfers!$K$229"/>
    <hyperlink ref="B346" location="Transfers!$L$229" display="Transfers!$L$229"/>
    <hyperlink ref="B347" location="Transfers!$M$229" display="Transfers!$M$229"/>
    <hyperlink ref="B348" location="Transfers!$N$229" display="Transfers!$N$229"/>
    <hyperlink ref="B349" location="Transfers!$O$229" display="Transfers!$O$229"/>
    <hyperlink ref="B350" location="Transfers!$B$230" display="Transfers!$B$230"/>
    <hyperlink ref="B351" location="Transfers!$C$230" display="Transfers!$C$230"/>
    <hyperlink ref="B352" location="Transfers!$D$230" display="Transfers!$D$230"/>
    <hyperlink ref="B353" location="Transfers!$E$230" display="Transfers!$E$230"/>
    <hyperlink ref="B354" location="Transfers!$F$230" display="Transfers!$F$230"/>
    <hyperlink ref="B355" location="Transfers!$G$230" display="Transfers!$G$230"/>
    <hyperlink ref="B356" location="Transfers!$H$230" display="Transfers!$H$230"/>
    <hyperlink ref="B357" location="Transfers!$I$230" display="Transfers!$I$230"/>
    <hyperlink ref="B359" location="Transfers!$K$230" display="Transfers!$K$230"/>
    <hyperlink ref="B360" location="Transfers!$L$230" display="Transfers!$L$230"/>
    <hyperlink ref="B361" location="Transfers!$M$230" display="Transfers!$M$230"/>
    <hyperlink ref="B362" location="Transfers!$N$230" display="Transfers!$N$230"/>
    <hyperlink ref="B363" location="Transfers!$O$230" display="Transfers!$O$230"/>
    <hyperlink ref="B364" location="Transfers!$B$231" display="Transfers!$B$231"/>
    <hyperlink ref="B365" location="Transfers!$C$231" display="Transfers!$C$231"/>
    <hyperlink ref="B366" location="Transfers!$D$231" display="Transfers!$D$231"/>
    <hyperlink ref="B367" location="Transfers!$E$231" display="Transfers!$E$231"/>
    <hyperlink ref="B368" location="Transfers!$F$231" display="Transfers!$F$231"/>
    <hyperlink ref="B369" location="Transfers!$G$231" display="Transfers!$G$231"/>
    <hyperlink ref="B370" location="Transfers!$H$231" display="Transfers!$H$231"/>
    <hyperlink ref="B371" location="Transfers!$I$231" display="Transfers!$I$231"/>
    <hyperlink ref="B372" location="Transfers!$J$231" display="Transfers!$J$231"/>
    <hyperlink ref="B374" location="Transfers!$L$231" display="Transfers!$L$231"/>
    <hyperlink ref="B375" location="Transfers!$M$231" display="Transfers!$M$231"/>
    <hyperlink ref="B376" location="Transfers!$N$231" display="Transfers!$N$231"/>
    <hyperlink ref="B377" location="Transfers!$O$231" display="Transfers!$O$231"/>
    <hyperlink ref="B378" location="Transfers!$B$232" display="Transfers!$B$232"/>
    <hyperlink ref="B379" location="Transfers!$C$232" display="Transfers!$C$232"/>
    <hyperlink ref="B380" location="Transfers!$D$232" display="Transfers!$D$232"/>
    <hyperlink ref="B381" location="Transfers!$E$232" display="Transfers!$E$232"/>
    <hyperlink ref="B382" location="Transfers!$F$232" display="Transfers!$F$232"/>
    <hyperlink ref="B383" location="Transfers!$G$232" display="Transfers!$G$232"/>
    <hyperlink ref="B384" location="Transfers!$H$232" display="Transfers!$H$232"/>
    <hyperlink ref="B385" location="Transfers!$I$232" display="Transfers!$I$232"/>
    <hyperlink ref="B386" location="Transfers!$J$232" display="Transfers!$J$232"/>
    <hyperlink ref="B387" location="Transfers!$K$232" display="Transfers!$K$232"/>
    <hyperlink ref="B389" location="Transfers!$M$232" display="Transfers!$M$232"/>
    <hyperlink ref="B390" location="Transfers!$N$232" display="Transfers!$N$232"/>
    <hyperlink ref="B391" location="Transfers!$O$232" display="Transfers!$O$232"/>
    <hyperlink ref="B392" location="Transfers!$B$233" display="Transfers!$B$233"/>
    <hyperlink ref="B393" location="Transfers!$C$233" display="Transfers!$C$233"/>
    <hyperlink ref="B394" location="Transfers!$D$233" display="Transfers!$D$233"/>
    <hyperlink ref="B395" location="Transfers!$E$233" display="Transfers!$E$233"/>
    <hyperlink ref="B396" location="Transfers!$F$233" display="Transfers!$F$233"/>
    <hyperlink ref="B397" location="Transfers!$G$233" display="Transfers!$G$233"/>
    <hyperlink ref="B398" location="Transfers!$H$233" display="Transfers!$H$233"/>
    <hyperlink ref="B399" location="Transfers!$I$233" display="Transfers!$I$233"/>
    <hyperlink ref="B400" location="Transfers!$J$233" display="Transfers!$J$233"/>
    <hyperlink ref="B401" location="Transfers!$K$233" display="Transfers!$K$233"/>
    <hyperlink ref="B402" location="Transfers!$L$233" display="Transfers!$L$233"/>
    <hyperlink ref="B404" location="Transfers!$N$233" display="Transfers!$N$233"/>
    <hyperlink ref="B405" location="Transfers!$O$233" display="Transfers!$O$233"/>
    <hyperlink ref="B406" location="Transfers!$B$234" display="Transfers!$B$234"/>
    <hyperlink ref="B407" location="Transfers!$C$234" display="Transfers!$C$234"/>
    <hyperlink ref="B408" location="Transfers!$D$234" display="Transfers!$D$234"/>
    <hyperlink ref="B409" location="Transfers!$E$234" display="Transfers!$E$234"/>
    <hyperlink ref="B410" location="Transfers!$F$234" display="Transfers!$F$234"/>
    <hyperlink ref="B411" location="Transfers!$G$234" display="Transfers!$G$234"/>
    <hyperlink ref="B412" location="Transfers!$H$234" display="Transfers!$H$234"/>
    <hyperlink ref="B413" location="Transfers!$I$234" display="Transfers!$I$234"/>
    <hyperlink ref="B414" location="Transfers!$J$234" display="Transfers!$J$234"/>
    <hyperlink ref="B415" location="Transfers!$K$234" display="Transfers!$K$234"/>
    <hyperlink ref="B416" location="Transfers!$L$234" display="Transfers!$L$234"/>
    <hyperlink ref="B417" location="Transfers!$M$234" display="Transfers!$M$234"/>
    <hyperlink ref="B419" location="Transfers!$O$234" display="Transfers!$O$234"/>
    <hyperlink ref="B420" location="Transfers!$B$235" display="Transfers!$B$235"/>
    <hyperlink ref="B421" location="Transfers!$C$235" display="Transfers!$C$235"/>
    <hyperlink ref="B422" location="Transfers!$D$235" display="Transfers!$D$235"/>
    <hyperlink ref="B423" location="Transfers!$E$235" display="Transfers!$E$235"/>
    <hyperlink ref="B424" location="Transfers!$F$235" display="Transfers!$F$235"/>
    <hyperlink ref="B425" location="Transfers!$G$235" display="Transfers!$G$235"/>
    <hyperlink ref="B426" location="Transfers!$H$235" display="Transfers!$H$235"/>
    <hyperlink ref="B427" location="Transfers!$I$235" display="Transfers!$I$235"/>
    <hyperlink ref="B428" location="Transfers!$J$235" display="Transfers!$J$235"/>
    <hyperlink ref="B429" location="Transfers!$K$235" display="Transfers!$K$235"/>
    <hyperlink ref="B430" location="Transfers!$L$235" display="Transfers!$L$235"/>
    <hyperlink ref="B431" location="Transfers!$M$235" display="Transfers!$M$235"/>
    <hyperlink ref="B432" location="Transfers!$N$235" display="Transfers!$N$235"/>
    <hyperlink ref="C439" location="Transfers!B456" display="N"/>
    <hyperlink ref="D439" location="Transfers!B457" display="N"/>
    <hyperlink ref="E439" location="Transfers!B458" display="N"/>
    <hyperlink ref="F439" location="Transfers!B459" display="N"/>
    <hyperlink ref="G439" location="Transfers!B460" display="N"/>
    <hyperlink ref="H439" location="Transfers!B461" display="N"/>
    <hyperlink ref="I439" location="Transfers!B462" display="N"/>
    <hyperlink ref="J439" location="Transfers!B463" display="N"/>
    <hyperlink ref="K439" location="Transfers!B464" display="N"/>
    <hyperlink ref="L439" location="Transfers!B465" display="N"/>
    <hyperlink ref="M439" location="Transfers!B466" display="N"/>
    <hyperlink ref="N439" location="Transfers!B467" display="Y"/>
    <hyperlink ref="O439" location="Transfers!B468" display="N"/>
    <hyperlink ref="B440" location="Transfers!B469" display="N"/>
    <hyperlink ref="D440" location="Transfers!B471" display="N"/>
    <hyperlink ref="E440" location="Transfers!B472" display="N"/>
    <hyperlink ref="F440" location="Transfers!B473" display="N"/>
    <hyperlink ref="G440" location="Transfers!B474" display="N"/>
    <hyperlink ref="H440" location="Transfers!B475" display="N"/>
    <hyperlink ref="I440" location="Transfers!B476" display="N"/>
    <hyperlink ref="J440" location="Transfers!B477" display="N"/>
    <hyperlink ref="K440" location="Transfers!B478" display="N"/>
    <hyperlink ref="L440" location="Transfers!B479" display="N"/>
    <hyperlink ref="M440" location="Transfers!B480" display="N"/>
    <hyperlink ref="N440" location="Transfers!B481" display="N"/>
    <hyperlink ref="O440" location="Transfers!B482" display="Y"/>
    <hyperlink ref="B441" location="Transfers!B483" display="N"/>
    <hyperlink ref="C441" location="Transfers!B484" display="N"/>
    <hyperlink ref="E441" location="Transfers!B486" display="N"/>
    <hyperlink ref="F441" location="Transfers!B487" display="N"/>
    <hyperlink ref="G441" location="Transfers!B488" display="N"/>
    <hyperlink ref="H441" location="Transfers!B489" display="N"/>
    <hyperlink ref="I441" location="Transfers!B490" display="N"/>
    <hyperlink ref="J441" location="Transfers!B491" display="N"/>
    <hyperlink ref="K441" location="Transfers!B492" display="N"/>
    <hyperlink ref="L441" location="Transfers!B493" display="N"/>
    <hyperlink ref="M441" location="Transfers!B494" display="N"/>
    <hyperlink ref="N441" location="Transfers!B495" display="N"/>
    <hyperlink ref="O441" location="Transfers!B496" display="N"/>
    <hyperlink ref="B442" location="Transfers!B497" display="N"/>
    <hyperlink ref="C442" location="Transfers!B498" display="N"/>
    <hyperlink ref="D442" location="Transfers!B499" display="N"/>
    <hyperlink ref="F442" location="Transfers!B501" display="N"/>
    <hyperlink ref="G442" location="Transfers!B502" display="N"/>
    <hyperlink ref="H442" location="Transfers!B503" display="N"/>
    <hyperlink ref="I442" location="Transfers!B504" display="N"/>
    <hyperlink ref="J442" location="Transfers!B505" display="N"/>
    <hyperlink ref="K442" location="Transfers!B506" display="N"/>
    <hyperlink ref="L442" location="Transfers!B507" display="N"/>
    <hyperlink ref="M442" location="Transfers!B508" display="N"/>
    <hyperlink ref="N442" location="Transfers!B509" display="N"/>
    <hyperlink ref="O442" location="Transfers!B510" display="N"/>
    <hyperlink ref="B443" location="Transfers!B511" display="N"/>
    <hyperlink ref="C443" location="Transfers!B512" display="N"/>
    <hyperlink ref="D443" location="Transfers!B513" display="N"/>
    <hyperlink ref="E443" location="Transfers!B514" display="N"/>
    <hyperlink ref="G443" location="Transfers!B516" display="N"/>
    <hyperlink ref="H443" location="Transfers!B517" display="N"/>
    <hyperlink ref="I443" location="Transfers!B518" display="N"/>
    <hyperlink ref="J443" location="Transfers!B519" display="N"/>
    <hyperlink ref="K443" location="Transfers!B520" display="N"/>
    <hyperlink ref="L443" location="Transfers!B521" display="N"/>
    <hyperlink ref="M443" location="Transfers!B522" display="N"/>
    <hyperlink ref="N443" location="Transfers!B523" display="N"/>
    <hyperlink ref="O443" location="Transfers!B524" display="N"/>
    <hyperlink ref="B444" location="Transfers!B525" display="N"/>
    <hyperlink ref="C444" location="Transfers!B526" display="N"/>
    <hyperlink ref="D444" location="Transfers!B527" display="N"/>
    <hyperlink ref="E444" location="Transfers!B528" display="N"/>
    <hyperlink ref="F444" location="Transfers!B529" display="N"/>
    <hyperlink ref="H444" location="Transfers!B531" display="N"/>
    <hyperlink ref="I444" location="Transfers!B532" display="N"/>
    <hyperlink ref="J444" location="Transfers!B533" display="N"/>
    <hyperlink ref="K444" location="Transfers!B534" display="N"/>
    <hyperlink ref="L444" location="Transfers!B535" display="N"/>
    <hyperlink ref="M444" location="Transfers!B536" display="N"/>
    <hyperlink ref="N444" location="Transfers!B537" display="N"/>
    <hyperlink ref="O444" location="Transfers!B538" display="N"/>
    <hyperlink ref="B445" location="Transfers!B539" display="N"/>
    <hyperlink ref="C445" location="Transfers!B540" display="N"/>
    <hyperlink ref="D445" location="Transfers!B541" display="N"/>
    <hyperlink ref="E445" location="Transfers!B542" display="N"/>
    <hyperlink ref="F445" location="Transfers!B543" display="N"/>
    <hyperlink ref="G445" location="Transfers!B544" display="N"/>
    <hyperlink ref="I445" location="Transfers!B546" display="N"/>
    <hyperlink ref="J445" location="Transfers!B547" display="N"/>
    <hyperlink ref="K445" location="Transfers!B548" display="N"/>
    <hyperlink ref="L445" location="Transfers!B549" display="Y"/>
    <hyperlink ref="M445" location="Transfers!B550" display="N"/>
    <hyperlink ref="N445" location="Transfers!B551" display="N"/>
    <hyperlink ref="O445" location="Transfers!B552" display="N"/>
    <hyperlink ref="B446" location="Transfers!B553" display="N"/>
    <hyperlink ref="C446" location="Transfers!B554" display="N"/>
    <hyperlink ref="D446" location="Transfers!B555" display="N"/>
    <hyperlink ref="E446" location="Transfers!B556" display="N"/>
    <hyperlink ref="F446" location="Transfers!B557" display="N"/>
    <hyperlink ref="G446" location="Transfers!B558" display="N"/>
    <hyperlink ref="H446" location="Transfers!B559" display="N"/>
    <hyperlink ref="J446" location="Transfers!B561" display="N"/>
    <hyperlink ref="K446" location="Transfers!B562" display="N"/>
    <hyperlink ref="L446" location="Transfers!B563" display="N"/>
    <hyperlink ref="M446" location="Transfers!B564" display="Y"/>
    <hyperlink ref="N446" location="Transfers!B565" display="N"/>
    <hyperlink ref="O446" location="Transfers!B566" display="N"/>
    <hyperlink ref="B447" location="Transfers!B567" display="N"/>
    <hyperlink ref="C447" location="Transfers!B568" display="N"/>
    <hyperlink ref="D447" location="Transfers!B569" display="N"/>
    <hyperlink ref="E447" location="Transfers!B570" display="N"/>
    <hyperlink ref="F447" location="Transfers!B571" display="N"/>
    <hyperlink ref="G447" location="Transfers!B572" display="N"/>
    <hyperlink ref="H447" location="Transfers!B573" display="N"/>
    <hyperlink ref="I447" location="Transfers!B574" display="N"/>
    <hyperlink ref="K447" location="Transfers!B576" display="N"/>
    <hyperlink ref="L447" location="Transfers!B577" display="N"/>
    <hyperlink ref="M447" location="Transfers!B578" display="N"/>
    <hyperlink ref="N447" location="Transfers!B579" display="N"/>
    <hyperlink ref="O447" location="Transfers!B580" display="N"/>
    <hyperlink ref="B448" location="Transfers!B581" display="N"/>
    <hyperlink ref="C448" location="Transfers!B582" display="N"/>
    <hyperlink ref="D448" location="Transfers!B583" display="N"/>
    <hyperlink ref="E448" location="Transfers!B584" display="N"/>
    <hyperlink ref="F448" location="Transfers!B585" display="N"/>
    <hyperlink ref="G448" location="Transfers!B586" display="N"/>
    <hyperlink ref="H448" location="Transfers!B587" display="N"/>
    <hyperlink ref="I448" location="Transfers!B588" display="N"/>
    <hyperlink ref="J448" location="Transfers!B589" display="N"/>
    <hyperlink ref="L448" location="Transfers!B591" display="N"/>
    <hyperlink ref="M448" location="Transfers!B592" display="N"/>
    <hyperlink ref="N448" location="Transfers!B593" display="N"/>
    <hyperlink ref="O448" location="Transfers!B594" display="N"/>
    <hyperlink ref="B449" location="Transfers!B595" display="N"/>
    <hyperlink ref="C449" location="Transfers!B596" display="N"/>
    <hyperlink ref="D449" location="Transfers!B597" display="N"/>
    <hyperlink ref="E449" location="Transfers!B598" display="N"/>
    <hyperlink ref="F449" location="Transfers!B599" display="N"/>
    <hyperlink ref="G449" location="Transfers!B600" display="N"/>
    <hyperlink ref="H449" location="Transfers!B601" display="Y"/>
    <hyperlink ref="I449" location="Transfers!B602" display="N"/>
    <hyperlink ref="J449" location="Transfers!B603" display="N"/>
    <hyperlink ref="K449" location="Transfers!B604" display="N"/>
    <hyperlink ref="M449" location="Transfers!B606" display="N"/>
    <hyperlink ref="N449" location="Transfers!B607" display="N"/>
    <hyperlink ref="O449" location="Transfers!B608" display="N"/>
    <hyperlink ref="B450" location="Transfers!B609" display="N"/>
    <hyperlink ref="C450" location="Transfers!B610" display="N"/>
    <hyperlink ref="D450" location="Transfers!B611" display="N"/>
    <hyperlink ref="E450" location="Transfers!B612" display="N"/>
    <hyperlink ref="F450" location="Transfers!B613" display="N"/>
    <hyperlink ref="G450" location="Transfers!B614" display="N"/>
    <hyperlink ref="H450" location="Transfers!B615" display="N"/>
    <hyperlink ref="I450" location="Transfers!B616" display="Y"/>
    <hyperlink ref="J450" location="Transfers!B617" display="N"/>
    <hyperlink ref="K450" location="Transfers!B618" display="N"/>
    <hyperlink ref="L450" location="Transfers!B619" display="N"/>
    <hyperlink ref="N450" location="Transfers!B621" display="N"/>
    <hyperlink ref="O450" location="Transfers!B622" display="N"/>
    <hyperlink ref="B451" location="Transfers!B623" display="Y"/>
    <hyperlink ref="C451" location="Transfers!B624" display="N"/>
    <hyperlink ref="D451" location="Transfers!B625" display="N"/>
    <hyperlink ref="E451" location="Transfers!B626" display="N"/>
    <hyperlink ref="F451" location="Transfers!B627" display="N"/>
    <hyperlink ref="G451" location="Transfers!B628" display="N"/>
    <hyperlink ref="H451" location="Transfers!B629" display="N"/>
    <hyperlink ref="I451" location="Transfers!B630" display="N"/>
    <hyperlink ref="J451" location="Transfers!B631" display="N"/>
    <hyperlink ref="K451" location="Transfers!B632" display="N"/>
    <hyperlink ref="L451" location="Transfers!B633" display="N"/>
    <hyperlink ref="M451" location="Transfers!B634" display="N"/>
    <hyperlink ref="O451" location="Transfers!B636" display="N"/>
    <hyperlink ref="B452" location="Transfers!B637" display="N"/>
    <hyperlink ref="C452" location="Transfers!B638" display="Y"/>
    <hyperlink ref="D452" location="Transfers!B639" display="N"/>
    <hyperlink ref="E452" location="Transfers!B640" display="N"/>
    <hyperlink ref="F452" location="Transfers!B641" display="N"/>
    <hyperlink ref="G452" location="Transfers!B642" display="N"/>
    <hyperlink ref="H452" location="Transfers!B643" display="N"/>
    <hyperlink ref="I452" location="Transfers!B644" display="N"/>
    <hyperlink ref="J452" location="Transfers!B645" display="N"/>
    <hyperlink ref="K452" location="Transfers!B646" display="N"/>
    <hyperlink ref="L452" location="Transfers!B647" display="N"/>
    <hyperlink ref="M452" location="Transfers!B648" display="N"/>
    <hyperlink ref="N452" location="Transfers!B649" display="N"/>
    <hyperlink ref="B456" location="Transfers!$C$439" display="Transfers!$C$439"/>
    <hyperlink ref="B457" location="Transfers!$D$439" display="Transfers!$D$439"/>
    <hyperlink ref="B458" location="Transfers!$E$439" display="Transfers!$E$439"/>
    <hyperlink ref="B459" location="Transfers!$F$439" display="Transfers!$F$439"/>
    <hyperlink ref="B460" location="Transfers!$G$439" display="Transfers!$G$439"/>
    <hyperlink ref="B461" location="Transfers!$H$439" display="Transfers!$H$439"/>
    <hyperlink ref="B462" location="Transfers!$I$439" display="Transfers!$I$439"/>
    <hyperlink ref="B463" location="Transfers!$J$439" display="Transfers!$J$439"/>
    <hyperlink ref="B464" location="Transfers!$K$439" display="Transfers!$K$439"/>
    <hyperlink ref="B465" location="Transfers!$L$439" display="Transfers!$L$439"/>
    <hyperlink ref="B466" location="Transfers!$M$439" display="Transfers!$M$439"/>
    <hyperlink ref="B467" location="Transfers!$N$439" display="Transfers!$N$439"/>
    <hyperlink ref="B468" location="Transfers!$O$439" display="Transfers!$O$439"/>
    <hyperlink ref="B469" location="Transfers!$B$440" display="Transfers!$B$440"/>
    <hyperlink ref="B471" location="Transfers!$D$440" display="Transfers!$D$440"/>
    <hyperlink ref="B472" location="Transfers!$E$440" display="Transfers!$E$440"/>
    <hyperlink ref="B473" location="Transfers!$F$440" display="Transfers!$F$440"/>
    <hyperlink ref="B474" location="Transfers!$G$440" display="Transfers!$G$440"/>
    <hyperlink ref="B475" location="Transfers!$H$440" display="Transfers!$H$440"/>
    <hyperlink ref="B476" location="Transfers!$I$440" display="Transfers!$I$440"/>
    <hyperlink ref="B477" location="Transfers!$J$440" display="Transfers!$J$440"/>
    <hyperlink ref="B478" location="Transfers!$K$440" display="Transfers!$K$440"/>
    <hyperlink ref="B479" location="Transfers!$L$440" display="Transfers!$L$440"/>
    <hyperlink ref="B480" location="Transfers!$M$440" display="Transfers!$M$440"/>
    <hyperlink ref="B481" location="Transfers!$N$440" display="Transfers!$N$440"/>
    <hyperlink ref="B482" location="Transfers!$O$440" display="Transfers!$O$440"/>
    <hyperlink ref="B483" location="Transfers!$B$441" display="Transfers!$B$441"/>
    <hyperlink ref="B484" location="Transfers!$C$441" display="Transfers!$C$441"/>
    <hyperlink ref="B486" location="Transfers!$E$441" display="Transfers!$E$441"/>
    <hyperlink ref="B487" location="Transfers!$F$441" display="Transfers!$F$441"/>
    <hyperlink ref="B488" location="Transfers!$G$441" display="Transfers!$G$441"/>
    <hyperlink ref="B489" location="Transfers!$H$441" display="Transfers!$H$441"/>
    <hyperlink ref="B490" location="Transfers!$I$441" display="Transfers!$I$441"/>
    <hyperlink ref="B491" location="Transfers!$J$441" display="Transfers!$J$441"/>
    <hyperlink ref="B492" location="Transfers!$K$441" display="Transfers!$K$441"/>
    <hyperlink ref="B493" location="Transfers!$L$441" display="Transfers!$L$441"/>
    <hyperlink ref="B494" location="Transfers!$M$441" display="Transfers!$M$441"/>
    <hyperlink ref="B495" location="Transfers!$N$441" display="Transfers!$N$441"/>
    <hyperlink ref="B496" location="Transfers!$O$441" display="Transfers!$O$441"/>
    <hyperlink ref="B497" location="Transfers!$B$442" display="Transfers!$B$442"/>
    <hyperlink ref="B498" location="Transfers!$C$442" display="Transfers!$C$442"/>
    <hyperlink ref="B499" location="Transfers!$D$442" display="Transfers!$D$442"/>
    <hyperlink ref="B501" location="Transfers!$F$442" display="Transfers!$F$442"/>
    <hyperlink ref="B502" location="Transfers!$G$442" display="Transfers!$G$442"/>
    <hyperlink ref="B503" location="Transfers!$H$442" display="Transfers!$H$442"/>
    <hyperlink ref="B504" location="Transfers!$I$442" display="Transfers!$I$442"/>
    <hyperlink ref="B505" location="Transfers!$J$442" display="Transfers!$J$442"/>
    <hyperlink ref="B506" location="Transfers!$K$442" display="Transfers!$K$442"/>
    <hyperlink ref="B507" location="Transfers!$L$442" display="Transfers!$L$442"/>
    <hyperlink ref="B508" location="Transfers!$M$442" display="Transfers!$M$442"/>
    <hyperlink ref="B509" location="Transfers!$N$442" display="Transfers!$N$442"/>
    <hyperlink ref="B510" location="Transfers!$O$442" display="Transfers!$O$442"/>
    <hyperlink ref="B511" location="Transfers!$B$443" display="Transfers!$B$443"/>
    <hyperlink ref="B512" location="Transfers!$C$443" display="Transfers!$C$443"/>
    <hyperlink ref="B513" location="Transfers!$D$443" display="Transfers!$D$443"/>
    <hyperlink ref="B514" location="Transfers!$E$443" display="Transfers!$E$443"/>
    <hyperlink ref="B516" location="Transfers!$G$443" display="Transfers!$G$443"/>
    <hyperlink ref="B517" location="Transfers!$H$443" display="Transfers!$H$443"/>
    <hyperlink ref="B518" location="Transfers!$I$443" display="Transfers!$I$443"/>
    <hyperlink ref="B519" location="Transfers!$J$443" display="Transfers!$J$443"/>
    <hyperlink ref="B520" location="Transfers!$K$443" display="Transfers!$K$443"/>
    <hyperlink ref="B521" location="Transfers!$L$443" display="Transfers!$L$443"/>
    <hyperlink ref="B522" location="Transfers!$M$443" display="Transfers!$M$443"/>
    <hyperlink ref="B523" location="Transfers!$N$443" display="Transfers!$N$443"/>
    <hyperlink ref="B524" location="Transfers!$O$443" display="Transfers!$O$443"/>
    <hyperlink ref="B525" location="Transfers!$B$444" display="Transfers!$B$444"/>
    <hyperlink ref="B526" location="Transfers!$C$444" display="Transfers!$C$444"/>
    <hyperlink ref="B527" location="Transfers!$D$444" display="Transfers!$D$444"/>
    <hyperlink ref="B528" location="Transfers!$E$444" display="Transfers!$E$444"/>
    <hyperlink ref="B529" location="Transfers!$F$444" display="Transfers!$F$444"/>
    <hyperlink ref="B531" location="Transfers!$H$444" display="Transfers!$H$444"/>
    <hyperlink ref="B532" location="Transfers!$I$444" display="Transfers!$I$444"/>
    <hyperlink ref="B533" location="Transfers!$J$444" display="Transfers!$J$444"/>
    <hyperlink ref="B534" location="Transfers!$K$444" display="Transfers!$K$444"/>
    <hyperlink ref="B535" location="Transfers!$L$444" display="Transfers!$L$444"/>
    <hyperlink ref="B536" location="Transfers!$M$444" display="Transfers!$M$444"/>
    <hyperlink ref="B537" location="Transfers!$N$444" display="Transfers!$N$444"/>
    <hyperlink ref="B538" location="Transfers!$O$444" display="Transfers!$O$444"/>
    <hyperlink ref="B539" location="Transfers!$B$445" display="Transfers!$B$445"/>
    <hyperlink ref="B540" location="Transfers!$C$445" display="Transfers!$C$445"/>
    <hyperlink ref="B541" location="Transfers!$D$445" display="Transfers!$D$445"/>
    <hyperlink ref="B542" location="Transfers!$E$445" display="Transfers!$E$445"/>
    <hyperlink ref="B543" location="Transfers!$F$445" display="Transfers!$F$445"/>
    <hyperlink ref="B544" location="Transfers!$G$445" display="Transfers!$G$445"/>
    <hyperlink ref="B546" location="Transfers!$I$445" display="Transfers!$I$445"/>
    <hyperlink ref="B547" location="Transfers!$J$445" display="Transfers!$J$445"/>
    <hyperlink ref="B548" location="Transfers!$K$445" display="Transfers!$K$445"/>
    <hyperlink ref="B549" location="Transfers!$L$445" display="Transfers!$L$445"/>
    <hyperlink ref="B550" location="Transfers!$M$445" display="Transfers!$M$445"/>
    <hyperlink ref="B551" location="Transfers!$N$445" display="Transfers!$N$445"/>
    <hyperlink ref="B552" location="Transfers!$O$445" display="Transfers!$O$445"/>
    <hyperlink ref="B553" location="Transfers!$B$446" display="Transfers!$B$446"/>
    <hyperlink ref="B554" location="Transfers!$C$446" display="Transfers!$C$446"/>
    <hyperlink ref="B555" location="Transfers!$D$446" display="Transfers!$D$446"/>
    <hyperlink ref="B556" location="Transfers!$E$446" display="Transfers!$E$446"/>
    <hyperlink ref="B557" location="Transfers!$F$446" display="Transfers!$F$446"/>
    <hyperlink ref="B558" location="Transfers!$G$446" display="Transfers!$G$446"/>
    <hyperlink ref="B559" location="Transfers!$H$446" display="Transfers!$H$446"/>
    <hyperlink ref="B561" location="Transfers!$J$446" display="Transfers!$J$446"/>
    <hyperlink ref="B562" location="Transfers!$K$446" display="Transfers!$K$446"/>
    <hyperlink ref="B563" location="Transfers!$L$446" display="Transfers!$L$446"/>
    <hyperlink ref="B564" location="Transfers!$M$446" display="Transfers!$M$446"/>
    <hyperlink ref="B565" location="Transfers!$N$446" display="Transfers!$N$446"/>
    <hyperlink ref="B566" location="Transfers!$O$446" display="Transfers!$O$446"/>
    <hyperlink ref="B567" location="Transfers!$B$447" display="Transfers!$B$447"/>
    <hyperlink ref="B568" location="Transfers!$C$447" display="Transfers!$C$447"/>
    <hyperlink ref="B569" location="Transfers!$D$447" display="Transfers!$D$447"/>
    <hyperlink ref="B570" location="Transfers!$E$447" display="Transfers!$E$447"/>
    <hyperlink ref="B571" location="Transfers!$F$447" display="Transfers!$F$447"/>
    <hyperlink ref="B572" location="Transfers!$G$447" display="Transfers!$G$447"/>
    <hyperlink ref="B573" location="Transfers!$H$447" display="Transfers!$H$447"/>
    <hyperlink ref="B574" location="Transfers!$I$447" display="Transfers!$I$447"/>
    <hyperlink ref="B576" location="Transfers!$K$447" display="Transfers!$K$447"/>
    <hyperlink ref="B577" location="Transfers!$L$447" display="Transfers!$L$447"/>
    <hyperlink ref="B578" location="Transfers!$M$447" display="Transfers!$M$447"/>
    <hyperlink ref="B579" location="Transfers!$N$447" display="Transfers!$N$447"/>
    <hyperlink ref="B580" location="Transfers!$O$447" display="Transfers!$O$447"/>
    <hyperlink ref="B581" location="Transfers!$B$448" display="Transfers!$B$448"/>
    <hyperlink ref="B582" location="Transfers!$C$448" display="Transfers!$C$448"/>
    <hyperlink ref="B583" location="Transfers!$D$448" display="Transfers!$D$448"/>
    <hyperlink ref="B584" location="Transfers!$E$448" display="Transfers!$E$448"/>
    <hyperlink ref="B585" location="Transfers!$F$448" display="Transfers!$F$448"/>
    <hyperlink ref="B586" location="Transfers!$G$448" display="Transfers!$G$448"/>
    <hyperlink ref="B587" location="Transfers!$H$448" display="Transfers!$H$448"/>
    <hyperlink ref="B588" location="Transfers!$I$448" display="Transfers!$I$448"/>
    <hyperlink ref="B589" location="Transfers!$J$448" display="Transfers!$J$448"/>
    <hyperlink ref="B591" location="Transfers!$L$448" display="Transfers!$L$448"/>
    <hyperlink ref="B592" location="Transfers!$M$448" display="Transfers!$M$448"/>
    <hyperlink ref="B593" location="Transfers!$N$448" display="Transfers!$N$448"/>
    <hyperlink ref="B594" location="Transfers!$O$448" display="Transfers!$O$448"/>
    <hyperlink ref="B595" location="Transfers!$B$449" display="Transfers!$B$449"/>
    <hyperlink ref="B596" location="Transfers!$C$449" display="Transfers!$C$449"/>
    <hyperlink ref="B597" location="Transfers!$D$449" display="Transfers!$D$449"/>
    <hyperlink ref="B598" location="Transfers!$E$449" display="Transfers!$E$449"/>
    <hyperlink ref="B599" location="Transfers!$F$449" display="Transfers!$F$449"/>
    <hyperlink ref="B600" location="Transfers!$G$449" display="Transfers!$G$449"/>
    <hyperlink ref="B601" location="Transfers!$H$449" display="Transfers!$H$449"/>
    <hyperlink ref="B602" location="Transfers!$I$449" display="Transfers!$I$449"/>
    <hyperlink ref="B603" location="Transfers!$J$449" display="Transfers!$J$449"/>
    <hyperlink ref="B604" location="Transfers!$K$449" display="Transfers!$K$449"/>
    <hyperlink ref="B606" location="Transfers!$M$449" display="Transfers!$M$449"/>
    <hyperlink ref="B607" location="Transfers!$N$449" display="Transfers!$N$449"/>
    <hyperlink ref="B608" location="Transfers!$O$449" display="Transfers!$O$449"/>
    <hyperlink ref="B609" location="Transfers!$B$450" display="Transfers!$B$450"/>
    <hyperlink ref="B610" location="Transfers!$C$450" display="Transfers!$C$450"/>
    <hyperlink ref="B611" location="Transfers!$D$450" display="Transfers!$D$450"/>
    <hyperlink ref="B612" location="Transfers!$E$450" display="Transfers!$E$450"/>
    <hyperlink ref="B613" location="Transfers!$F$450" display="Transfers!$F$450"/>
    <hyperlink ref="B614" location="Transfers!$G$450" display="Transfers!$G$450"/>
    <hyperlink ref="B615" location="Transfers!$H$450" display="Transfers!$H$450"/>
    <hyperlink ref="B616" location="Transfers!$I$450" display="Transfers!$I$450"/>
    <hyperlink ref="B617" location="Transfers!$J$450" display="Transfers!$J$450"/>
    <hyperlink ref="B618" location="Transfers!$K$450" display="Transfers!$K$450"/>
    <hyperlink ref="B619" location="Transfers!$L$450" display="Transfers!$L$450"/>
    <hyperlink ref="B621" location="Transfers!$N$450" display="Transfers!$N$450"/>
    <hyperlink ref="B622" location="Transfers!$O$450" display="Transfers!$O$450"/>
    <hyperlink ref="B623" location="Transfers!$B$451" display="Transfers!$B$451"/>
    <hyperlink ref="B624" location="Transfers!$C$451" display="Transfers!$C$451"/>
    <hyperlink ref="B625" location="Transfers!$D$451" display="Transfers!$D$451"/>
    <hyperlink ref="B626" location="Transfers!$E$451" display="Transfers!$E$451"/>
    <hyperlink ref="B627" location="Transfers!$F$451" display="Transfers!$F$451"/>
    <hyperlink ref="B628" location="Transfers!$G$451" display="Transfers!$G$451"/>
    <hyperlink ref="B629" location="Transfers!$H$451" display="Transfers!$H$451"/>
    <hyperlink ref="B630" location="Transfers!$I$451" display="Transfers!$I$451"/>
    <hyperlink ref="B631" location="Transfers!$J$451" display="Transfers!$J$451"/>
    <hyperlink ref="B632" location="Transfers!$K$451" display="Transfers!$K$451"/>
    <hyperlink ref="B633" location="Transfers!$L$451" display="Transfers!$L$451"/>
    <hyperlink ref="B634" location="Transfers!$M$451" display="Transfers!$M$451"/>
    <hyperlink ref="B636" location="Transfers!$O$451" display="Transfers!$O$451"/>
    <hyperlink ref="B637" location="Transfers!$B$452" display="Transfers!$B$452"/>
    <hyperlink ref="B638" location="Transfers!$C$452" display="Transfers!$C$452"/>
    <hyperlink ref="B639" location="Transfers!$D$452" display="Transfers!$D$452"/>
    <hyperlink ref="B640" location="Transfers!$E$452" display="Transfers!$E$452"/>
    <hyperlink ref="B641" location="Transfers!$F$452" display="Transfers!$F$452"/>
    <hyperlink ref="B642" location="Transfers!$G$452" display="Transfers!$G$452"/>
    <hyperlink ref="B643" location="Transfers!$H$452" display="Transfers!$H$452"/>
    <hyperlink ref="B644" location="Transfers!$I$452" display="Transfers!$I$452"/>
    <hyperlink ref="B645" location="Transfers!$J$452" display="Transfers!$J$452"/>
    <hyperlink ref="B646" location="Transfers!$K$452" display="Transfers!$K$452"/>
    <hyperlink ref="B647" location="Transfers!$L$452" display="Transfers!$L$452"/>
    <hyperlink ref="B648" location="Transfers!$M$452" display="Transfers!$M$452"/>
    <hyperlink ref="B649" location="Transfers!$N$452" display="Transfers!$N$452"/>
  </hyperlink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2DC9346A4EFF44B9278E035670E998A" ma:contentTypeVersion="9" ma:contentTypeDescription="Create a new document." ma:contentTypeScope="" ma:versionID="3ea114dc596d1f8aca293d9c865b8436">
  <xsd:schema xmlns:xsd="http://www.w3.org/2001/XMLSchema" xmlns:xs="http://www.w3.org/2001/XMLSchema" xmlns:p="http://schemas.microsoft.com/office/2006/metadata/properties" xmlns:ns2="460e4ad2-c64b-4f67-8552-094351f252e3" targetNamespace="http://schemas.microsoft.com/office/2006/metadata/properties" ma:root="true" ma:fieldsID="f2696a91d61813cf9d23a1caa16d0c5e" ns2:_="">
    <xsd:import namespace="460e4ad2-c64b-4f67-8552-094351f252e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lcf76f155ced4ddcb4097134ff3c332f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60e4ad2-c64b-4f67-8552-094351f252e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2" nillable="true" ma:taxonomy="true" ma:internalName="lcf76f155ced4ddcb4097134ff3c332f" ma:taxonomyFieldName="MediaServiceImageTags" ma:displayName="Image Tags" ma:readOnly="false" ma:fieldId="{5cf76f15-5ced-4ddc-b409-7134ff3c332f}" ma:taxonomyMulti="true" ma:sspId="9012861f-df9c-4ac0-92bd-da4c61c7cf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3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60e4ad2-c64b-4f67-8552-094351f252e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1C6BDC23-1372-4A22-B499-924A343E051E}"/>
</file>

<file path=customXml/itemProps2.xml><?xml version="1.0" encoding="utf-8"?>
<ds:datastoreItem xmlns:ds="http://schemas.openxmlformats.org/officeDocument/2006/customXml" ds:itemID="{4705CE29-437C-4FE6-BCD4-95AA54798BB6}"/>
</file>

<file path=customXml/itemProps3.xml><?xml version="1.0" encoding="utf-8"?>
<ds:datastoreItem xmlns:ds="http://schemas.openxmlformats.org/officeDocument/2006/customXml" ds:itemID="{AEB91432-52FF-4122-AA08-85B878A6372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17</vt:i4>
      </vt:variant>
    </vt:vector>
  </HeadingPairs>
  <TitlesOfParts>
    <vt:vector size="17" baseType="lpstr">
      <vt:lpstr>Population Definitions</vt:lpstr>
      <vt:lpstr>Disease Burden</vt:lpstr>
      <vt:lpstr>Demographics</vt:lpstr>
      <vt:lpstr>Infectiousness</vt:lpstr>
      <vt:lpstr>Disease Progression</vt:lpstr>
      <vt:lpstr>Diagnosis</vt:lpstr>
      <vt:lpstr>Loss to follow-up</vt:lpstr>
      <vt:lpstr>Re-engagement</vt:lpstr>
      <vt:lpstr>Treatment</vt:lpstr>
      <vt:lpstr>Liver Transplant</vt:lpstr>
      <vt:lpstr>Overall Indicators</vt:lpstr>
      <vt:lpstr>Initialization</vt:lpstr>
      <vt:lpstr>Care Cascade</vt:lpstr>
      <vt:lpstr>Other intermediate pars</vt:lpstr>
      <vt:lpstr>Vaccine parameters</vt:lpstr>
      <vt:lpstr>Interactions</vt:lpstr>
      <vt:lpstr>Transfers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2026-02-15T22:23:27Z</dcterms:created>
  <dcterms:modified xsi:type="dcterms:W3CDTF">2026-02-15T22:23:27Z</dcterms:modified>
  <cp:category>atomica:databook</cp:category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0x01010042DC9346A4EFF44B9278E035670E998A</vt:lpwstr>
  </property>
</Properties>
</file>