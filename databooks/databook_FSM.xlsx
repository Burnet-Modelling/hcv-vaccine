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69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<sst xmlns="http://schemas.openxmlformats.org/spreadsheetml/2006/main" count="6575" uniqueCount="776">
  <si>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</si>
  <si>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</si>
  <si>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</si>
  <si>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</si>
  <si>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</si>
  <si>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</si>
  <si>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</si>
  <si>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</si>
  <si>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</si>
  <si>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</si>
  <si>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</si>
  <si>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</si>
  <si>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</si>
  <si>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</si>
  <si>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</si>
  <si>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</si>
  <si>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</si>
  <si>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</si>
  <si>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</si>
  <si>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</si>
  <si>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</si>
  <si>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</si>
  <si>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</si>
  <si>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</si>
  <si>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</si>
  <si>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</si>
  <si>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</si>
  <si>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</si>
  <si>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</si>
  <si>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</si>
  <si>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</si>
  <si>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</si>
  <si>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</si>
  <si>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</si>
  <si>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</si>
  <si>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</si>
  <si>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</si>
  <si>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</si>
  <si>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</si>
  <si>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</si>
  <si>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</si>
  <si>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</si>
  <si>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</si>
  <si>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</si>
  <si>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</si>
  <si>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</si>
  <si>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</si>
  <si>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</si>
  <si>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</si>
  <si>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</si>
  <si>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</si>
  <si>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</si>
  <si>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</si>
  <si>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</si>
  <si>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</si>
  <si>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</si>
  <si>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</si>
  <si>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</si>
  <si>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Probability (per year)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</si>
  <si>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</si>
  <si>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</si>
  <si>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</si>
  <si>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</si>
  <si>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</si>
  <si>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</si>
  <si>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</si>
  <si>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</si>
  <si>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</si>
  <si>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</si>
  <si>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</si>
  <si>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</si>
  <si>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</si>
  <si>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</si>
  <si>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</si>
  <si>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</si>
  <si>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</si>
  <si>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</si>
  <si>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</si>
  <si>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</si>
  <si>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</si>
  <si>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</si>
  <si>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</si>
  <si>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</si>
  <si>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</si>
  <si>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</si>
  <si>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</si>
  <si>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</si>
  <si>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</si>
  <si>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</si>
  <si>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</si>
  <si>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</si>
  <si>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</si>
  <si>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</si>
  <si>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</si>
  <si>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</si>
  <si>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</si>
  <si>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</si>
  <si>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</si>
  <si>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</si>
  <si>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</si>
  <si>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</si>
  <si>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</si>
  <si>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</si>
  <si>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</si>
  <si>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</si>
  <si>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</si>
  <si>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</si>
  <si>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</si>
  <si>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</si>
  <si>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</si>
  <si>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</si>
  <si>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</si>
  <si>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</si>
  <si>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</si>
  <si>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</si>
  <si>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</si>
  <si>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</si>
  <si>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</si>
  <si>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</si>
  <si>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</si>
  <si>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</si>
  <si>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</si>
  <si>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</si>
  <si>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</si>
  <si>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</si>
  <si>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</si>
  <si>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</si>
  <si>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</si>
  <si>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</si>
  <si>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</si>
  <si>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</si>
  <si>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</si>
  <si>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</si>
  <si>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</si>
  <si>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</si>
  <si>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</si>
  <si>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</si>
  <si>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</si>
  <si>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</si>
  <si>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</si>
  <si>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</si>
  <si>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</si>
  <si>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</si>
  <si>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</si>
  <si>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</si>
  <si>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</si>
  <si>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</si>
  <si>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</si>
  <si>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</si>
  <si>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</si>
  <si>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</si>
  <si>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</si>
  <si>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</si>
  <si>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</si>
  <si>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</si>
  <si>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</si>
  <si>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</si>
  <si>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</si>
  <si>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</si>
  <si>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</si>
  <si>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</si>
  <si>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</si>
  <si>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</si>
  <si>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</si>
  <si>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</si>
  <si>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</si>
  <si>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</si>
  <si>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</si>
  <si>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</si>
  <si>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</si>
  <si>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</si>
  <si>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</si>
  <si>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</si>
  <si>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</si>
  <si>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</si>
  <si>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</si>
  <si>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</si>
  <si>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</si>
  <si>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</si>
  <si>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</si>
  <si>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</si>
  <si>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</si>
  <si>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</si>
  <si>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</si>
  <si>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</si>
  <si>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</si>
  <si>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</si>
  <si>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</si>
  <si>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</si>
  <si>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</si>
  <si>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</si>
  <si>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</si>
  <si>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</si>
  <si>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</si>
  <si>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</si>
  <si>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</si>
  <si>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</si>
  <si>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</si>
  <si>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</si>
  <si>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</si>
  <si>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</si>
  <si>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</si>
  <si>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</si>
  <si>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</si>
  <si>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</si>
  <si>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</si>
  <si>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</si>
  <si>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</si>
  <si>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</si>
  <si>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</si>
  <si>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</si>
  <si>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</si>
  <si>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</si>
  <si>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</si>
  <si>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</si>
  <si>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</si>
  <si>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Vaccine: duration for waning effectiveness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</si>
  <si>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</si>
  <si>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</si>
  <si>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</si>
  <si>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</si>
  <si>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</si>
  <si>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</si>
  <si>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</si>
  <si>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</si>
  <si>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</si>
  <si>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</si>
  <si>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</si>
  <si>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</si>
  <si>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</si>
  <si>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</si>
  <si>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</si>
  <si>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</si>
  <si>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</si>
  <si>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</si>
  <si>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</si>
  <si>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</si>
  <si>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</si>
  <si>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</si>
  <si>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</si>
  <si>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</si>
  <si>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</si>
  <si>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</si>
  <si>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</si>
  <si>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</si>
  <si>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</si>
  <si>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</si>
  <si>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</si>
  <si>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</si>
  <si>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</si>
  <si>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</si>
  <si>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</si>
  <si>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</si>
  <si>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</si>
  <si>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</si>
  <si>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</si>
  <si>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</si>
  <si>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</si>
  <si>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</si>
  <si>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</si>
  <si>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</si>
  <si>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</si>
  <si>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</si>
  <si>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</si>
  <si>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</si>
  <si>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</si>
  <si>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</si>
  <si>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</si>
  <si>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</si>
  <si>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</si>
  <si>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</si>
  <si>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</si>
  <si>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</si>
  <si>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</si>
  <si>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</si>
  <si>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</si>
  <si>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</si>
  <si>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</si>
  <si>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</si>
  <si>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</si>
  <si>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</si>
  <si>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</si>
  <si>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</si>
  <si>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</si>
  <si>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</si>
  <si>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</si>
  <si>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</si>
  <si>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</si>
  <si>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</si>
  <si>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</si>
  <si>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</si>
  <si>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</si>
  <si>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</si>
  <si>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</si>
  <si>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</si>
  <si>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</si>
  <si>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</si>
  <si>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</si>
  <si>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</si>
  <si>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</si>
  <si>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</si>
  <si>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</si>
  <si>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</si>
  <si>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</si>
  <si>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</si>
  <si>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</si>
  <si>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</si>
  <si>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</si>
  <si>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</si>
  <si>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</si>
  <si>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</si>
  <si>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</si>
  <si>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</si>
  <si>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</si>
  <si>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</si>
  <si>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</si>
  <si>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</si>
  <si>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</si>
  <si>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</si>
  <si>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</si>
  <si>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</si>
  <si>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</si>
  <si>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</si>
  <si>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</si>
  <si>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</si>
  <si>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</si>
  <si>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</si>
  <si>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</si>
  <si>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</si>
  <si>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</si>
  <si>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</si>
  <si>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</si>
  <si>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</si>
  <si>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</si>
  <si>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</si>
  <si>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</si>
  <si>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</si>
  <si>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</si>
  <si>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</si>
  <si>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</si>
  <si>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</si>
  <si>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</si>
  <si>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</si>
  <si>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</si>
  <si>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</si>
  <si>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</si>
  <si>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</si>
  <si>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</si>
  <si>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</si>
  <si>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</si>
  <si>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</si>
  <si>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</si>
  <si>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</si>
  <si>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</si>
  <si>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</si>
  <si>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</si>
  <si>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</si>
  <si>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</si>
  <si>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</si>
  <si>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</si>
  <si>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</si>
  <si>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</si>
  <si>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</si>
  <si>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</si>
  <si>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</si>
  <si>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</si>
  <si>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</si>
  <si>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</si>
  <si>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</si>
  <si>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</si>
  <si>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</si>
  <si>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</si>
  <si>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</si>
  <si>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</si>
  <si>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</si>
  <si>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</si>
  <si>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</si>
  <si>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</si>
  <si>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</si>
  <si>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</si>
  <si>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</si>
  <si>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</si>
  <si>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</si>
  <si>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</si>
  <si>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</si>
  <si>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</si>
  <si>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</si>
  <si>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</si>
  <si>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</si>
  <si>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</si>
  <si>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</si>
  <si>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</si>
  <si>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</si>
  <si>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</si>
  <si>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</si>
  <si>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</si>
  <si>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</si>
  <si>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</si>
  <si>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</si>
  <si>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</si>
  <si>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</si>
  <si>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</si>
  <si>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</si>
  <si>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</si>
  <si>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</si>
  <si>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</si>
  <si>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</si>
  <si>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</si>
  <si>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</si>
  <si>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</si>
  <si>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</si>
  <si>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</si>
  <si>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</si>
  <si>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</si>
  <si>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</si>
  <si>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</si>
  <si>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</si>
  <si>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</si>
  <si>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</si>
  <si>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</si>
  <si>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</si>
  <si>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</si>
  <si>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</si>
  <si>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</si>
  <si>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</si>
  <si>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</si>
  <si>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</si>
  <si>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</si>
  <si>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</si>
  <si>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</si>
  <si>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</si>
  <si>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</si>
  <si>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</si>
  <si>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</si>
  <si>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</si>
  <si>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</si>
  <si>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</si>
  <si>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</si>
  <si>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</si>
  <si>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</si>
  <si>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</si>
  <si>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</si>
  <si>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</si>
  <si>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</si>
  <si>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</si>
  <si>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</si>
  <si>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</si>
  <si>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</si>
  <si>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</si>
  <si>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</si>
  <si>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</si>
  <si>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</si>
  <si>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</si>
  <si>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</si>
  <si>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</si>
  <si>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</si>
  <si>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</si>
  <si>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</si>
  <si>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</si>
  <si>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</si>
  <si>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</si>
  <si>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</si>
  <si>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</si>
  <si>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</si>
  <si>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</si>
  <si>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</si>
  <si>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</si>
  <si>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</si>
  <si>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</si>
  <si>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</si>
  <si>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</si>
  <si>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</si>
  <si>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</si>
  <si>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</si>
  <si>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</si>
  <si>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</si>
  <si>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</si>
  <si>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</si>
  <si>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</si>
  <si>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</si>
  <si>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</si>
  <si>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</si>
  <si>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</si>
  <si>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</si>
  <si>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</si>
  <si>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</si>
  <si>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</si>
  <si>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</si>
  <si>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</si>
  <si>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</si>
  <si>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</si>
  <si>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</si>
  <si>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</si>
  <si>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</si>
  <si>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</si>
  <si>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</si>
  <si>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</si>
  <si>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</si>
  <si>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</si>
  <si>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</si>
  <si>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</si>
  <si>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</si>
  <si>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</si>
  <si>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</si>
  <si>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</si>
  <si>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</si>
  <si>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</si>
  <si>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</si>
  <si>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idu_status</t>
  </si>
  <si>
    <t>Injecting Drug Use Relapse or Cessation</t>
  </si>
  <si>
    <t>Transfers!$C$168</t>
  </si>
  <si>
    <t>Transfers!$D$168</t>
  </si>
  <si>
    <t>Transfers!$E$168</t>
  </si>
  <si>
    <t>Transfers!$F$168</t>
  </si>
  <si>
    <t>Transfers!$G$168</t>
  </si>
  <si>
    <t>Transfers!$H$168</t>
  </si>
  <si>
    <t>Transfers!$I$168</t>
  </si>
  <si>
    <t>Transfers!$J$168</t>
  </si>
  <si>
    <t>Transfers!$K$168</t>
  </si>
  <si>
    <t>Transfers!$L$168</t>
  </si>
  <si>
    <t>Transfers!$M$168</t>
  </si>
  <si>
    <t>Transfers!$B$169</t>
  </si>
  <si>
    <t>Transfers!$D$169</t>
  </si>
  <si>
    <t>Transfers!$E$169</t>
  </si>
  <si>
    <t>Transfers!$F$169</t>
  </si>
  <si>
    <t>Transfers!$G$169</t>
  </si>
  <si>
    <t>Transfers!$H$169</t>
  </si>
  <si>
    <t>Transfers!$I$169</t>
  </si>
  <si>
    <t>Transfers!$J$169</t>
  </si>
  <si>
    <t>Transfers!$K$169</t>
  </si>
  <si>
    <t>Transfers!$L$169</t>
  </si>
  <si>
    <t>Transfers!$M$169</t>
  </si>
  <si>
    <t>Transfers!$B$170</t>
  </si>
  <si>
    <t>Transfers!$C$170</t>
  </si>
  <si>
    <t>Transfers!$E$170</t>
  </si>
  <si>
    <t>Transfers!$F$170</t>
  </si>
  <si>
    <t>Transfers!$G$170</t>
  </si>
  <si>
    <t>Transfers!$H$170</t>
  </si>
  <si>
    <t>Transfers!$I$170</t>
  </si>
  <si>
    <t>Transfers!$J$170</t>
  </si>
  <si>
    <t>Transfers!$K$170</t>
  </si>
  <si>
    <t>Transfers!$L$170</t>
  </si>
  <si>
    <t>Transfers!$M$170</t>
  </si>
  <si>
    <t>Transfers!$B$171</t>
  </si>
  <si>
    <t>Transfers!$C$171</t>
  </si>
  <si>
    <t>Transfers!$D$171</t>
  </si>
  <si>
    <t>Transfers!$F$171</t>
  </si>
  <si>
    <t>Transfers!$G$171</t>
  </si>
  <si>
    <t>Transfers!$H$171</t>
  </si>
  <si>
    <t>Transfers!$I$171</t>
  </si>
  <si>
    <t>Transfers!$J$171</t>
  </si>
  <si>
    <t>Transfers!$K$171</t>
  </si>
  <si>
    <t>Transfers!$L$171</t>
  </si>
  <si>
    <t>Transfers!$M$171</t>
  </si>
  <si>
    <t>Transfers!$B$172</t>
  </si>
  <si>
    <t>Transfers!$C$172</t>
  </si>
  <si>
    <t>Transfers!$D$172</t>
  </si>
  <si>
    <t>Transfers!$E$172</t>
  </si>
  <si>
    <t>Transfers!$G$172</t>
  </si>
  <si>
    <t>Transfers!$H$172</t>
  </si>
  <si>
    <t>Transfers!$I$172</t>
  </si>
  <si>
    <t>Transfers!$J$172</t>
  </si>
  <si>
    <t>Transfers!$K$172</t>
  </si>
  <si>
    <t>Transfers!$L$172</t>
  </si>
  <si>
    <t>Transfers!$M$172</t>
  </si>
  <si>
    <t>Transfers!$B$173</t>
  </si>
  <si>
    <t>Transfers!$C$173</t>
  </si>
  <si>
    <t>Transfers!$D$173</t>
  </si>
  <si>
    <t>Transfers!$E$173</t>
  </si>
  <si>
    <t>Transfers!$F$173</t>
  </si>
  <si>
    <t>Transfers!$H$173</t>
  </si>
  <si>
    <t>Transfers!$I$173</t>
  </si>
  <si>
    <t>Transfers!$J$173</t>
  </si>
  <si>
    <t>Transfers!$K$173</t>
  </si>
  <si>
    <t>Transfers!$L$173</t>
  </si>
  <si>
    <t>Transfers!$M$173</t>
  </si>
  <si>
    <t>Transfers!$B$174</t>
  </si>
  <si>
    <t>Transfers!$C$174</t>
  </si>
  <si>
    <t>Transfers!$D$174</t>
  </si>
  <si>
    <t>Transfers!$E$174</t>
  </si>
  <si>
    <t>Transfers!$F$174</t>
  </si>
  <si>
    <t>Transfers!$G$174</t>
  </si>
  <si>
    <t>Transfers!$I$174</t>
  </si>
  <si>
    <t>Transfers!$J$174</t>
  </si>
  <si>
    <t>Transfers!$K$174</t>
  </si>
  <si>
    <t>Transfers!$L$174</t>
  </si>
  <si>
    <t>Transfers!$M$174</t>
  </si>
  <si>
    <t>Transfers!$B$175</t>
  </si>
  <si>
    <t>Transfers!$C$175</t>
  </si>
  <si>
    <t>Transfers!$D$175</t>
  </si>
  <si>
    <t>Transfers!$E$175</t>
  </si>
  <si>
    <t>Transfers!$F$175</t>
  </si>
  <si>
    <t>Transfers!$G$175</t>
  </si>
  <si>
    <t>Transfers!$H$175</t>
  </si>
  <si>
    <t>Transfers!$J$175</t>
  </si>
  <si>
    <t>Transfers!$K$175</t>
  </si>
  <si>
    <t>Transfers!$L$175</t>
  </si>
  <si>
    <t>Transfers!$M$175</t>
  </si>
  <si>
    <t>Transfers!$B$176</t>
  </si>
  <si>
    <t>Transfers!$C$176</t>
  </si>
  <si>
    <t>Transfers!$D$176</t>
  </si>
  <si>
    <t>Transfers!$E$176</t>
  </si>
  <si>
    <t>Transfers!$F$176</t>
  </si>
  <si>
    <t>Transfers!$G$176</t>
  </si>
  <si>
    <t>Transfers!$H$176</t>
  </si>
  <si>
    <t>Transfers!$I$176</t>
  </si>
  <si>
    <t>Transfers!$K$176</t>
  </si>
  <si>
    <t>Transfers!$L$176</t>
  </si>
  <si>
    <t>Transfers!$M$176</t>
  </si>
  <si>
    <t>Transfers!$B$177</t>
  </si>
  <si>
    <t>Transfers!$C$177</t>
  </si>
  <si>
    <t>Transfers!$D$177</t>
  </si>
  <si>
    <t>Transfers!$E$177</t>
  </si>
  <si>
    <t>Transfers!$F$177</t>
  </si>
  <si>
    <t>Transfers!$G$177</t>
  </si>
  <si>
    <t>Transfers!$H$177</t>
  </si>
  <si>
    <t>Transfers!$I$177</t>
  </si>
  <si>
    <t>Transfers!$J$177</t>
  </si>
  <si>
    <t>Transfers!$L$177</t>
  </si>
  <si>
    <t>Transfers!$M$177</t>
  </si>
  <si>
    <t>Transfers!$B$178</t>
  </si>
  <si>
    <t>Transfers!$C$178</t>
  </si>
  <si>
    <t>Transfers!$D$178</t>
  </si>
  <si>
    <t>Transfers!$E$178</t>
  </si>
  <si>
    <t>Transfers!$F$178</t>
  </si>
  <si>
    <t>Transfers!$G$178</t>
  </si>
  <si>
    <t>Transfers!$H$178</t>
  </si>
  <si>
    <t>Transfers!$I$178</t>
  </si>
  <si>
    <t>Transfers!$J$178</t>
  </si>
  <si>
    <t>Transfers!$K$178</t>
  </si>
  <si>
    <t>Transfers!$M$178</t>
  </si>
  <si>
    <t>Transfers!$B$179</t>
  </si>
  <si>
    <t>Transfers!$C$179</t>
  </si>
  <si>
    <t>Transfers!$D$179</t>
  </si>
  <si>
    <t>Transfers!$E$179</t>
  </si>
  <si>
    <t>Transfers!$F$179</t>
  </si>
  <si>
    <t>Transfers!$G$179</t>
  </si>
  <si>
    <t>Transfers!$H$179</t>
  </si>
  <si>
    <t>Transfers!$I$179</t>
  </si>
  <si>
    <t>Transfers!$J$179</t>
  </si>
  <si>
    <t>Transfers!$K$179</t>
  </si>
  <si>
    <t>Transfers!$L$179</t>
  </si>
  <si>
    <t>inc</t>
  </si>
  <si>
    <t>Incarceration</t>
  </si>
  <si>
    <t>Transfers!$C$331</t>
  </si>
  <si>
    <t>Transfers!$D$331</t>
  </si>
  <si>
    <t>Transfers!$E$331</t>
  </si>
  <si>
    <t>Transfers!$F$331</t>
  </si>
  <si>
    <t>Transfers!$G$331</t>
  </si>
  <si>
    <t>Transfers!$H$331</t>
  </si>
  <si>
    <t>Transfers!$I$331</t>
  </si>
  <si>
    <t>Transfers!$J$331</t>
  </si>
  <si>
    <t>Transfers!$K$331</t>
  </si>
  <si>
    <t>Transfers!$L$331</t>
  </si>
  <si>
    <t>Transfers!$M$331</t>
  </si>
  <si>
    <t>Transfers!$B$332</t>
  </si>
  <si>
    <t>Transfers!$D$332</t>
  </si>
  <si>
    <t>Transfers!$E$332</t>
  </si>
  <si>
    <t>Transfers!$F$332</t>
  </si>
  <si>
    <t>Transfers!$G$332</t>
  </si>
  <si>
    <t>Transfers!$H$332</t>
  </si>
  <si>
    <t>Transfers!$I$332</t>
  </si>
  <si>
    <t>Transfers!$J$332</t>
  </si>
  <si>
    <t>Transfers!$K$332</t>
  </si>
  <si>
    <t>Transfers!$L$332</t>
  </si>
  <si>
    <t>Transfers!$M$332</t>
  </si>
  <si>
    <t>Transfers!$B$333</t>
  </si>
  <si>
    <t>Transfers!$C$333</t>
  </si>
  <si>
    <t>Transfers!$E$333</t>
  </si>
  <si>
    <t>Transfers!$F$333</t>
  </si>
  <si>
    <t>Transfers!$G$333</t>
  </si>
  <si>
    <t>Transfers!$H$333</t>
  </si>
  <si>
    <t>Transfers!$I$333</t>
  </si>
  <si>
    <t>Transfers!$J$333</t>
  </si>
  <si>
    <t>Transfers!$K$333</t>
  </si>
  <si>
    <t>Transfers!$L$333</t>
  </si>
  <si>
    <t>Transfers!$M$333</t>
  </si>
  <si>
    <t>Transfers!$B$334</t>
  </si>
  <si>
    <t>Transfers!$C$334</t>
  </si>
  <si>
    <t>Transfers!$D$334</t>
  </si>
  <si>
    <t>Transfers!$F$334</t>
  </si>
  <si>
    <t>Transfers!$G$334</t>
  </si>
  <si>
    <t>Transfers!$H$334</t>
  </si>
  <si>
    <t>Transfers!$I$334</t>
  </si>
  <si>
    <t>Transfers!$J$334</t>
  </si>
  <si>
    <t>Transfers!$K$334</t>
  </si>
  <si>
    <t>Transfers!$L$334</t>
  </si>
  <si>
    <t>Transfers!$M$334</t>
  </si>
  <si>
    <t>Transfers!$B$335</t>
  </si>
  <si>
    <t>Transfers!$C$335</t>
  </si>
  <si>
    <t>Transfers!$D$335</t>
  </si>
  <si>
    <t>Transfers!$E$335</t>
  </si>
  <si>
    <t>Transfers!$G$335</t>
  </si>
  <si>
    <t>Transfers!$H$335</t>
  </si>
  <si>
    <t>Transfers!$I$335</t>
  </si>
  <si>
    <t>Transfers!$J$335</t>
  </si>
  <si>
    <t>Transfers!$K$335</t>
  </si>
  <si>
    <t>Transfers!$L$335</t>
  </si>
  <si>
    <t>Transfers!$M$335</t>
  </si>
  <si>
    <t>Transfers!$B$336</t>
  </si>
  <si>
    <t>Transfers!$C$336</t>
  </si>
  <si>
    <t>Transfers!$D$336</t>
  </si>
  <si>
    <t>Transfers!$E$336</t>
  </si>
  <si>
    <t>Transfers!$F$336</t>
  </si>
  <si>
    <t>Transfers!$H$336</t>
  </si>
  <si>
    <t>Transfers!$I$336</t>
  </si>
  <si>
    <t>Transfers!$J$336</t>
  </si>
  <si>
    <t>Transfers!$K$336</t>
  </si>
  <si>
    <t>Transfers!$L$336</t>
  </si>
  <si>
    <t>Transfers!$M$336</t>
  </si>
  <si>
    <t>Transfers!$B$337</t>
  </si>
  <si>
    <t>Transfers!$C$337</t>
  </si>
  <si>
    <t>Transfers!$D$337</t>
  </si>
  <si>
    <t>Transfers!$E$337</t>
  </si>
  <si>
    <t>Transfers!$F$337</t>
  </si>
  <si>
    <t>Transfers!$G$337</t>
  </si>
  <si>
    <t>Transfers!$I$337</t>
  </si>
  <si>
    <t>Transfers!$J$337</t>
  </si>
  <si>
    <t>Transfers!$K$337</t>
  </si>
  <si>
    <t>Transfers!$L$337</t>
  </si>
  <si>
    <t>Transfers!$M$337</t>
  </si>
  <si>
    <t>Transfers!$B$338</t>
  </si>
  <si>
    <t>Transfers!$C$338</t>
  </si>
  <si>
    <t>Transfers!$D$338</t>
  </si>
  <si>
    <t>Transfers!$E$338</t>
  </si>
  <si>
    <t>Transfers!$F$338</t>
  </si>
  <si>
    <t>Transfers!$G$338</t>
  </si>
  <si>
    <t>Transfers!$H$338</t>
  </si>
  <si>
    <t>Transfers!$J$338</t>
  </si>
  <si>
    <t>Transfers!$K$338</t>
  </si>
  <si>
    <t>Transfers!$L$338</t>
  </si>
  <si>
    <t>Transfers!$M$338</t>
  </si>
  <si>
    <t>Transfers!$B$339</t>
  </si>
  <si>
    <t>Transfers!$C$339</t>
  </si>
  <si>
    <t>Transfers!$D$339</t>
  </si>
  <si>
    <t>Transfers!$E$339</t>
  </si>
  <si>
    <t>Transfers!$F$339</t>
  </si>
  <si>
    <t>Transfers!$G$339</t>
  </si>
  <si>
    <t>Transfers!$H$339</t>
  </si>
  <si>
    <t>Transfers!$I$339</t>
  </si>
  <si>
    <t>Transfers!$K$339</t>
  </si>
  <si>
    <t>Transfers!$L$339</t>
  </si>
  <si>
    <t>Transfers!$M$339</t>
  </si>
  <si>
    <t>Transfers!$B$340</t>
  </si>
  <si>
    <t>Transfers!$C$340</t>
  </si>
  <si>
    <t>Transfers!$D$340</t>
  </si>
  <si>
    <t>Transfers!$E$340</t>
  </si>
  <si>
    <t>Transfers!$F$340</t>
  </si>
  <si>
    <t>Transfers!$G$340</t>
  </si>
  <si>
    <t>Transfers!$H$340</t>
  </si>
  <si>
    <t>Transfers!$I$340</t>
  </si>
  <si>
    <t>Transfers!$J$340</t>
  </si>
  <si>
    <t>Transfers!$L$340</t>
  </si>
  <si>
    <t>Transfers!$M$340</t>
  </si>
  <si>
    <t>Transfers!$B$341</t>
  </si>
  <si>
    <t>Transfers!$C$341</t>
  </si>
  <si>
    <t>Transfers!$D$341</t>
  </si>
  <si>
    <t>Transfers!$E$341</t>
  </si>
  <si>
    <t>Transfers!$F$341</t>
  </si>
  <si>
    <t>Transfers!$G$341</t>
  </si>
  <si>
    <t>Transfers!$H$341</t>
  </si>
  <si>
    <t>Transfers!$I$341</t>
  </si>
  <si>
    <t>Transfers!$J$341</t>
  </si>
  <si>
    <t>Transfers!$K$341</t>
  </si>
  <si>
    <t>Transfers!$M$341</t>
  </si>
  <si>
    <t>Transfers!$B$342</t>
  </si>
  <si>
    <t>Transfers!$C$342</t>
  </si>
  <si>
    <t>Transfers!$D$342</t>
  </si>
  <si>
    <t>Transfers!$E$342</t>
  </si>
  <si>
    <t>Transfers!$F$342</t>
  </si>
  <si>
    <t>Transfers!$G$342</t>
  </si>
  <si>
    <t>Transfers!$H$342</t>
  </si>
  <si>
    <t>Transfers!$I$342</t>
  </si>
  <si>
    <t>Transfers!$J$342</t>
  </si>
  <si>
    <t>Transfers!$K$342</t>
  </si>
  <si>
    <t>Transfers!$L$342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</si>
</sst>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3"/>
  <sheetViews>
    <sheetView tabSelected="1" workbookViewId="0"/>
  </sheetViews>
  <sheetFormatPr defaultRowHeight="15"/>
  <cols>
    <col min="1" max="1" width="20.4257812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81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28</v>
      </c>
      <c r="B1" s="1" t="s">
        <v>29</v>
      </c>
      <c r="C1" s="1" t="s">
        <v>30</v>
      </c>
      <c r="D1" s="1" t="s">
        <v>31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32</v>
      </c>
      <c r="D2" s="3"/>
      <c r="E2" s="3">
        <v>38.68787556825563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32</v>
      </c>
      <c r="D3" s="3"/>
      <c r="E3" s="3">
        <v>11.8471144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32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32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32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32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32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32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32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32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32</v>
      </c>
      <c r="D12" s="3"/>
      <c r="E12" s="3">
        <v>41.678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32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5" spans="1:55">
      <c r="A15" s="1" t="s">
        <v>33</v>
      </c>
      <c r="B15" s="1" t="s">
        <v>29</v>
      </c>
      <c r="C15" s="1" t="s">
        <v>30</v>
      </c>
      <c r="D15" s="1" t="s">
        <v>31</v>
      </c>
      <c r="E15" s="1">
        <v>2000</v>
      </c>
      <c r="F15" s="1">
        <v>2001</v>
      </c>
      <c r="G15" s="1">
        <v>2002</v>
      </c>
      <c r="H15" s="1">
        <v>2003</v>
      </c>
      <c r="I15" s="1">
        <v>2004</v>
      </c>
      <c r="J15" s="1">
        <v>2005</v>
      </c>
      <c r="K15" s="1">
        <v>2006</v>
      </c>
      <c r="L15" s="1">
        <v>2007</v>
      </c>
      <c r="M15" s="1">
        <v>2008</v>
      </c>
      <c r="N15" s="1">
        <v>2009</v>
      </c>
      <c r="O15" s="1">
        <v>2010</v>
      </c>
      <c r="P15" s="1">
        <v>2011</v>
      </c>
      <c r="Q15" s="1">
        <v>2012</v>
      </c>
      <c r="R15" s="1">
        <v>2013</v>
      </c>
      <c r="S15" s="1">
        <v>2014</v>
      </c>
      <c r="T15" s="1">
        <v>2015</v>
      </c>
      <c r="U15" s="1">
        <v>2016</v>
      </c>
      <c r="V15" s="1">
        <v>2017</v>
      </c>
      <c r="W15" s="1">
        <v>2018</v>
      </c>
      <c r="X15" s="1">
        <v>2019</v>
      </c>
      <c r="Y15" s="1">
        <v>2020</v>
      </c>
      <c r="Z15" s="1">
        <v>2021</v>
      </c>
      <c r="AA15" s="1">
        <v>2022</v>
      </c>
      <c r="AB15" s="1">
        <v>2023</v>
      </c>
      <c r="AC15" s="1">
        <v>2024</v>
      </c>
      <c r="AD15" s="1">
        <v>2025</v>
      </c>
      <c r="AE15" s="1">
        <v>2026</v>
      </c>
      <c r="AF15" s="1">
        <v>2027</v>
      </c>
      <c r="AG15" s="1">
        <v>2028</v>
      </c>
      <c r="AH15" s="1">
        <v>2029</v>
      </c>
      <c r="AI15" s="1">
        <v>2030</v>
      </c>
      <c r="AJ15" s="1">
        <v>2031</v>
      </c>
      <c r="AK15" s="1">
        <v>2032</v>
      </c>
      <c r="AL15" s="1">
        <v>2033</v>
      </c>
      <c r="AM15" s="1">
        <v>2034</v>
      </c>
      <c r="AN15" s="1">
        <v>2035</v>
      </c>
      <c r="AO15" s="1">
        <v>2036</v>
      </c>
      <c r="AP15" s="1">
        <v>2037</v>
      </c>
      <c r="AQ15" s="1">
        <v>2038</v>
      </c>
      <c r="AR15" s="1">
        <v>2039</v>
      </c>
      <c r="AS15" s="1">
        <v>2040</v>
      </c>
      <c r="AT15" s="1">
        <v>2041</v>
      </c>
      <c r="AU15" s="1">
        <v>2042</v>
      </c>
      <c r="AV15" s="1">
        <v>2043</v>
      </c>
      <c r="AW15" s="1">
        <v>2044</v>
      </c>
      <c r="AX15" s="1">
        <v>2045</v>
      </c>
      <c r="AY15" s="1">
        <v>2046</v>
      </c>
      <c r="AZ15" s="1">
        <v>2047</v>
      </c>
      <c r="BA15" s="1">
        <v>2048</v>
      </c>
      <c r="BB15" s="1">
        <v>2049</v>
      </c>
      <c r="BC15" s="1">
        <v>2050</v>
      </c>
    </row>
    <row r="16" spans="1:55">
      <c r="A16" s="1" t="str">
        <f>'Population Definitions'!$A$2</f>
        <v>PWID_males</v>
      </c>
      <c r="C16" t="s">
        <v>34</v>
      </c>
      <c r="D16" s="3"/>
      <c r="E16" s="3">
        <v>0.388</v>
      </c>
      <c r="F16" s="3"/>
      <c r="G16" s="3"/>
      <c r="H16" s="3"/>
      <c r="I16" s="3"/>
      <c r="J16" s="3"/>
      <c r="K16" s="3"/>
      <c r="L16" s="3"/>
      <c r="M16" s="3"/>
      <c r="N16" s="3"/>
      <c r="O16" s="3">
        <v>0.388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7">
      <c r="A17" s="1" t="str">
        <f>'Population Definitions'!$A$3</f>
        <v>PWID_females</v>
      </c>
      <c r="C17" t="s">
        <v>34</v>
      </c>
      <c r="D17" s="3"/>
      <c r="E17" s="3">
        <v>0.388</v>
      </c>
      <c r="F17" s="3"/>
      <c r="G17" s="3"/>
      <c r="H17" s="3"/>
      <c r="I17" s="3"/>
      <c r="J17" s="3"/>
      <c r="K17" s="3"/>
      <c r="L17" s="3"/>
      <c r="M17" s="3"/>
      <c r="N17" s="3"/>
      <c r="O17" s="3">
        <v>0.388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7">
      <c r="A18" s="1" t="str">
        <f>'Population Definitions'!$A$4</f>
        <v>0-9_males</v>
      </c>
      <c r="C18" t="s">
        <v>34</v>
      </c>
      <c r="D18" s="3"/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7">
      <c r="A19" s="1" t="str">
        <f>'Population Definitions'!$A$5</f>
        <v>0-9_females</v>
      </c>
      <c r="C19" t="s">
        <v>34</v>
      </c>
      <c r="D19" s="3"/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7">
      <c r="A20" s="1" t="str">
        <f>'Population Definitions'!$A$6</f>
        <v>10-17_males</v>
      </c>
      <c r="C20" t="s">
        <v>34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7">
      <c r="A21" s="1" t="str">
        <f>'Population Definitions'!$A$7</f>
        <v>10-17_females</v>
      </c>
      <c r="C21" t="s">
        <v>34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7">
      <c r="A22" s="1" t="str">
        <f>'Population Definitions'!$A$8</f>
        <v>18-64_males</v>
      </c>
      <c r="C22" t="s">
        <v>34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7">
      <c r="A23" s="1" t="str">
        <f>'Population Definitions'!$A$9</f>
        <v>18-64_females</v>
      </c>
      <c r="C23" t="s">
        <v>34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7">
      <c r="A24" s="1" t="str">
        <f>'Population Definitions'!$A$10</f>
        <v>65+_males</v>
      </c>
      <c r="C24" t="s">
        <v>34</v>
      </c>
      <c r="D24" s="3"/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7">
      <c r="A25" s="1" t="str">
        <f>'Population Definitions'!$A$11</f>
        <v>65+_females</v>
      </c>
      <c r="C25" t="s">
        <v>34</v>
      </c>
      <c r="D25" s="3"/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7">
      <c r="A26" s="1" t="str">
        <f>'Population Definitions'!$A$12</f>
        <v>Prisoners_males</v>
      </c>
      <c r="C26" t="s">
        <v>34</v>
      </c>
      <c r="D26" s="3"/>
      <c r="E26" s="3">
        <v>0.458</v>
      </c>
      <c r="F26" s="3"/>
      <c r="G26" s="3"/>
      <c r="H26" s="3"/>
      <c r="I26" s="3"/>
      <c r="J26" s="3">
        <v>0.458</v>
      </c>
      <c r="K26" s="3"/>
      <c r="L26" s="3"/>
      <c r="M26" s="3"/>
      <c r="N26" s="3"/>
      <c r="O26" s="3">
        <v>0.458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7">
      <c r="A27" s="1" t="str">
        <f>'Population Definitions'!$A$13</f>
        <v>Prisoners_females</v>
      </c>
      <c r="C27" t="s">
        <v>34</v>
      </c>
      <c r="D27" s="3"/>
      <c r="E27" s="3">
        <v>0.458</v>
      </c>
      <c r="F27" s="3"/>
      <c r="G27" s="3"/>
      <c r="H27" s="3"/>
      <c r="I27" s="3"/>
      <c r="J27" s="3">
        <v>0.458</v>
      </c>
      <c r="K27" s="3"/>
      <c r="L27" s="3"/>
      <c r="M27" s="3"/>
      <c r="N27" s="3"/>
      <c r="O27" s="3">
        <v>0.458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9" spans="1:57">
      <c r="A29" s="1" t="s">
        <v>35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C30" t="s">
        <v>34</v>
      </c>
      <c r="D30" s="3"/>
      <c r="E30" s="3">
        <v>0.945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C31" t="s">
        <v>34</v>
      </c>
      <c r="D31" s="3"/>
      <c r="E31" s="3">
        <v>0.945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C32" t="s">
        <v>34</v>
      </c>
      <c r="D32" s="3"/>
      <c r="E32" s="3">
        <v>0.945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C33" t="s">
        <v>34</v>
      </c>
      <c r="D33" s="3"/>
      <c r="E33" s="3">
        <v>0.945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C34" t="s">
        <v>34</v>
      </c>
      <c r="D34" s="3"/>
      <c r="E34" s="3">
        <v>0.945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C35" t="s">
        <v>34</v>
      </c>
      <c r="D35" s="3"/>
      <c r="E35" s="3">
        <v>0.945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C36" t="s">
        <v>34</v>
      </c>
      <c r="D36" s="3"/>
      <c r="E36" s="3">
        <v>0.945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C37" t="s">
        <v>34</v>
      </c>
      <c r="D37" s="3"/>
      <c r="E37" s="3">
        <v>0.945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C38" t="s">
        <v>34</v>
      </c>
      <c r="D38" s="3"/>
      <c r="E38" s="3">
        <v>0.945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C39" t="s">
        <v>34</v>
      </c>
      <c r="D39" s="3"/>
      <c r="E39" s="3">
        <v>0.945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C40" t="s">
        <v>34</v>
      </c>
      <c r="D40" s="3"/>
      <c r="E40" s="3">
        <v>0.945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C41" t="s">
        <v>34</v>
      </c>
      <c r="D41" s="3"/>
      <c r="E41" s="3">
        <v>0.945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38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C44" t="s">
        <v>34</v>
      </c>
      <c r="D44" s="3"/>
      <c r="E44" s="3">
        <v>0.03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C45" t="s">
        <v>34</v>
      </c>
      <c r="D45" s="3"/>
      <c r="E45" s="3">
        <v>0.03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C46" t="s">
        <v>34</v>
      </c>
      <c r="D46" s="3"/>
      <c r="E46" s="3">
        <v>0.03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C47" t="s">
        <v>34</v>
      </c>
      <c r="D47" s="3"/>
      <c r="E47" s="3">
        <v>0.03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C48" t="s">
        <v>34</v>
      </c>
      <c r="D48" s="3"/>
      <c r="E48" s="3">
        <v>0.03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C49" t="s">
        <v>34</v>
      </c>
      <c r="D49" s="3"/>
      <c r="E49" s="3">
        <v>0.03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C50" t="s">
        <v>34</v>
      </c>
      <c r="D50" s="3"/>
      <c r="E50" s="3">
        <v>0.03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C51" t="s">
        <v>34</v>
      </c>
      <c r="D51" s="3"/>
      <c r="E51" s="3">
        <v>0.03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C52" t="s">
        <v>34</v>
      </c>
      <c r="D52" s="3"/>
      <c r="E52" s="3">
        <v>0.03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C53" t="s">
        <v>34</v>
      </c>
      <c r="D53" s="3"/>
      <c r="E53" s="3">
        <v>0.03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C54" t="s">
        <v>34</v>
      </c>
      <c r="D54" s="3"/>
      <c r="E54" s="3">
        <v>0.03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C55" t="s">
        <v>34</v>
      </c>
      <c r="D55" s="3"/>
      <c r="E55" s="3">
        <v>0.03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39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C58" t="s">
        <v>34</v>
      </c>
      <c r="D58" s="3"/>
      <c r="E58" s="3">
        <v>0.02</v>
      </c>
      <c r="F58" s="4" t="s">
        <v>37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C59" t="s">
        <v>34</v>
      </c>
      <c r="D59" s="3"/>
      <c r="E59" s="3">
        <v>0.02</v>
      </c>
      <c r="F59" s="4" t="s">
        <v>37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C60" t="s">
        <v>34</v>
      </c>
      <c r="D60" s="3"/>
      <c r="E60" s="3">
        <v>0.02</v>
      </c>
      <c r="F60" s="4" t="s">
        <v>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C61" t="s">
        <v>34</v>
      </c>
      <c r="D61" s="3"/>
      <c r="E61" s="3">
        <v>0.02</v>
      </c>
      <c r="F61" s="4" t="s">
        <v>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C62" t="s">
        <v>34</v>
      </c>
      <c r="D62" s="3"/>
      <c r="E62" s="3">
        <v>0.02</v>
      </c>
      <c r="F62" s="4" t="s">
        <v>37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C63" t="s">
        <v>34</v>
      </c>
      <c r="D63" s="3"/>
      <c r="E63" s="3">
        <v>0.02</v>
      </c>
      <c r="F63" s="4" t="s">
        <v>37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C64" t="s">
        <v>34</v>
      </c>
      <c r="D64" s="3"/>
      <c r="E64" s="3">
        <v>0.02</v>
      </c>
      <c r="F64" s="4" t="s">
        <v>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C65" t="s">
        <v>34</v>
      </c>
      <c r="D65" s="3"/>
      <c r="E65" s="3">
        <v>0.02</v>
      </c>
      <c r="F65" s="4" t="s">
        <v>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C66" t="s">
        <v>34</v>
      </c>
      <c r="D66" s="3"/>
      <c r="E66" s="3">
        <v>0.02</v>
      </c>
      <c r="F66" s="4" t="s">
        <v>37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C67" t="s">
        <v>34</v>
      </c>
      <c r="D67" s="3"/>
      <c r="E67" s="3">
        <v>0.02</v>
      </c>
      <c r="F67" s="4" t="s">
        <v>37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C68" t="s">
        <v>34</v>
      </c>
      <c r="D68" s="3"/>
      <c r="E68" s="3">
        <v>0.02</v>
      </c>
      <c r="F68" s="4" t="s">
        <v>37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C69" t="s">
        <v>34</v>
      </c>
      <c r="D69" s="3"/>
      <c r="E69" s="3">
        <v>0.02</v>
      </c>
      <c r="F69" s="4" t="s">
        <v>37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40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C72" t="s">
        <v>34</v>
      </c>
      <c r="D72" s="3"/>
      <c r="E72" s="3">
        <v>0.0045</v>
      </c>
      <c r="F72" s="4" t="s">
        <v>37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C73" t="s">
        <v>34</v>
      </c>
      <c r="D73" s="3"/>
      <c r="E73" s="3">
        <v>0.0045</v>
      </c>
      <c r="F73" s="4" t="s">
        <v>37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C74" t="s">
        <v>34</v>
      </c>
      <c r="D74" s="3"/>
      <c r="E74" s="3">
        <v>0.0045</v>
      </c>
      <c r="F74" s="4" t="s">
        <v>37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C75" t="s">
        <v>34</v>
      </c>
      <c r="D75" s="3"/>
      <c r="E75" s="3">
        <v>0.0045</v>
      </c>
      <c r="F75" s="4" t="s">
        <v>37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C76" t="s">
        <v>34</v>
      </c>
      <c r="D76" s="3"/>
      <c r="E76" s="3">
        <v>0.0045</v>
      </c>
      <c r="F76" s="4" t="s">
        <v>37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C77" t="s">
        <v>34</v>
      </c>
      <c r="D77" s="3"/>
      <c r="E77" s="3">
        <v>0.0045</v>
      </c>
      <c r="F77" s="4" t="s">
        <v>37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C78" t="s">
        <v>34</v>
      </c>
      <c r="D78" s="3"/>
      <c r="E78" s="3">
        <v>0.0045</v>
      </c>
      <c r="F78" s="4" t="s">
        <v>37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C79" t="s">
        <v>34</v>
      </c>
      <c r="D79" s="3"/>
      <c r="E79" s="3">
        <v>0.0045</v>
      </c>
      <c r="F79" s="4" t="s">
        <v>37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C80" t="s">
        <v>34</v>
      </c>
      <c r="D80" s="3"/>
      <c r="E80" s="3">
        <v>0.0045</v>
      </c>
      <c r="F80" s="4" t="s">
        <v>37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C81" t="s">
        <v>34</v>
      </c>
      <c r="D81" s="3"/>
      <c r="E81" s="3">
        <v>0.0045</v>
      </c>
      <c r="F81" s="4" t="s">
        <v>37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C82" t="s">
        <v>34</v>
      </c>
      <c r="D82" s="3"/>
      <c r="E82" s="3">
        <v>0.0045</v>
      </c>
      <c r="F82" s="4" t="s">
        <v>37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C83" t="s">
        <v>34</v>
      </c>
      <c r="D83" s="3"/>
      <c r="E83" s="3">
        <v>0.0045</v>
      </c>
      <c r="F83" s="4" t="s">
        <v>37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5" spans="1:57">
      <c r="A85" s="1" t="s">
        <v>41</v>
      </c>
      <c r="B85" s="1" t="s">
        <v>29</v>
      </c>
      <c r="C85" s="1" t="s">
        <v>30</v>
      </c>
      <c r="D85" s="1" t="s">
        <v>31</v>
      </c>
      <c r="E85" s="1" t="s">
        <v>36</v>
      </c>
      <c r="F85" s="1"/>
      <c r="G85" s="1">
        <v>2000</v>
      </c>
      <c r="H85" s="1">
        <v>2001</v>
      </c>
      <c r="I85" s="1">
        <v>2002</v>
      </c>
      <c r="J85" s="1">
        <v>2003</v>
      </c>
      <c r="K85" s="1">
        <v>2004</v>
      </c>
      <c r="L85" s="1">
        <v>2005</v>
      </c>
      <c r="M85" s="1">
        <v>2006</v>
      </c>
      <c r="N85" s="1">
        <v>2007</v>
      </c>
      <c r="O85" s="1">
        <v>2008</v>
      </c>
      <c r="P85" s="1">
        <v>2009</v>
      </c>
      <c r="Q85" s="1">
        <v>2010</v>
      </c>
      <c r="R85" s="1">
        <v>2011</v>
      </c>
      <c r="S85" s="1">
        <v>2012</v>
      </c>
      <c r="T85" s="1">
        <v>2013</v>
      </c>
      <c r="U85" s="1">
        <v>2014</v>
      </c>
      <c r="V85" s="1">
        <v>2015</v>
      </c>
      <c r="W85" s="1">
        <v>2016</v>
      </c>
      <c r="X85" s="1">
        <v>2017</v>
      </c>
      <c r="Y85" s="1">
        <v>2018</v>
      </c>
      <c r="Z85" s="1">
        <v>2019</v>
      </c>
      <c r="AA85" s="1">
        <v>2020</v>
      </c>
      <c r="AB85" s="1">
        <v>2021</v>
      </c>
      <c r="AC85" s="1">
        <v>2022</v>
      </c>
      <c r="AD85" s="1">
        <v>2023</v>
      </c>
      <c r="AE85" s="1">
        <v>2024</v>
      </c>
      <c r="AF85" s="1">
        <v>2025</v>
      </c>
      <c r="AG85" s="1">
        <v>2026</v>
      </c>
      <c r="AH85" s="1">
        <v>2027</v>
      </c>
      <c r="AI85" s="1">
        <v>2028</v>
      </c>
      <c r="AJ85" s="1">
        <v>2029</v>
      </c>
      <c r="AK85" s="1">
        <v>2030</v>
      </c>
      <c r="AL85" s="1">
        <v>2031</v>
      </c>
      <c r="AM85" s="1">
        <v>2032</v>
      </c>
      <c r="AN85" s="1">
        <v>2033</v>
      </c>
      <c r="AO85" s="1">
        <v>2034</v>
      </c>
      <c r="AP85" s="1">
        <v>2035</v>
      </c>
      <c r="AQ85" s="1">
        <v>2036</v>
      </c>
      <c r="AR85" s="1">
        <v>2037</v>
      </c>
      <c r="AS85" s="1">
        <v>2038</v>
      </c>
      <c r="AT85" s="1">
        <v>2039</v>
      </c>
      <c r="AU85" s="1">
        <v>2040</v>
      </c>
      <c r="AV85" s="1">
        <v>2041</v>
      </c>
      <c r="AW85" s="1">
        <v>2042</v>
      </c>
      <c r="AX85" s="1">
        <v>2043</v>
      </c>
      <c r="AY85" s="1">
        <v>2044</v>
      </c>
      <c r="AZ85" s="1">
        <v>2045</v>
      </c>
      <c r="BA85" s="1">
        <v>2046</v>
      </c>
      <c r="BB85" s="1">
        <v>2047</v>
      </c>
      <c r="BC85" s="1">
        <v>2048</v>
      </c>
      <c r="BD85" s="1">
        <v>2049</v>
      </c>
      <c r="BE85" s="1">
        <v>2050</v>
      </c>
    </row>
    <row r="86" spans="1:57">
      <c r="A86" s="1" t="str">
        <f>'Population Definitions'!$A$2</f>
        <v>PWID_males</v>
      </c>
      <c r="C86" t="s">
        <v>34</v>
      </c>
      <c r="D86" s="3"/>
      <c r="E86" s="3">
        <v>0.000500000000000056</v>
      </c>
      <c r="F86" s="4" t="s">
        <v>37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Definitions'!$A$3</f>
        <v>PWID_females</v>
      </c>
      <c r="C87" t="s">
        <v>34</v>
      </c>
      <c r="D87" s="3"/>
      <c r="E87" s="3">
        <v>0.000500000000000056</v>
      </c>
      <c r="F87" s="4" t="s">
        <v>37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Definitions'!$A$4</f>
        <v>0-9_males</v>
      </c>
      <c r="C88" t="s">
        <v>34</v>
      </c>
      <c r="D88" s="3"/>
      <c r="E88" s="3">
        <v>0.000500000000000056</v>
      </c>
      <c r="F88" s="4" t="s">
        <v>37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Definitions'!$A$5</f>
        <v>0-9_females</v>
      </c>
      <c r="C89" t="s">
        <v>34</v>
      </c>
      <c r="D89" s="3"/>
      <c r="E89" s="3">
        <v>0.000500000000000056</v>
      </c>
      <c r="F89" s="4" t="s">
        <v>37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Definitions'!$A$6</f>
        <v>10-17_males</v>
      </c>
      <c r="C90" t="s">
        <v>34</v>
      </c>
      <c r="D90" s="3"/>
      <c r="E90" s="3">
        <v>0.000500000000000056</v>
      </c>
      <c r="F90" s="4" t="s">
        <v>37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Definitions'!$A$7</f>
        <v>10-17_females</v>
      </c>
      <c r="C91" t="s">
        <v>34</v>
      </c>
      <c r="D91" s="3"/>
      <c r="E91" s="3">
        <v>0.000500000000000056</v>
      </c>
      <c r="F91" s="4" t="s">
        <v>37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Definitions'!$A$8</f>
        <v>18-64_males</v>
      </c>
      <c r="C92" t="s">
        <v>34</v>
      </c>
      <c r="D92" s="3"/>
      <c r="E92" s="3">
        <v>0.000500000000000056</v>
      </c>
      <c r="F92" s="4" t="s">
        <v>37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Definitions'!$A$9</f>
        <v>18-64_females</v>
      </c>
      <c r="C93" t="s">
        <v>34</v>
      </c>
      <c r="D93" s="3"/>
      <c r="E93" s="3">
        <v>0.000500000000000056</v>
      </c>
      <c r="F93" s="4" t="s">
        <v>37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Definitions'!$A$10</f>
        <v>65+_males</v>
      </c>
      <c r="C94" t="s">
        <v>34</v>
      </c>
      <c r="D94" s="3"/>
      <c r="E94" s="3">
        <v>0.000500000000000056</v>
      </c>
      <c r="F94" s="4" t="s">
        <v>37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Definitions'!$A$11</f>
        <v>65+_females</v>
      </c>
      <c r="C95" t="s">
        <v>34</v>
      </c>
      <c r="D95" s="3"/>
      <c r="E95" s="3">
        <v>0.000500000000000056</v>
      </c>
      <c r="F95" s="4" t="s">
        <v>37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Definitions'!$A$12</f>
        <v>Prisoners_males</v>
      </c>
      <c r="C96" t="s">
        <v>34</v>
      </c>
      <c r="D96" s="3"/>
      <c r="E96" s="3">
        <v>0.000500000000000056</v>
      </c>
      <c r="F96" s="4" t="s">
        <v>37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Definitions'!$A$13</f>
        <v>Prisoners_females</v>
      </c>
      <c r="C97" t="s">
        <v>34</v>
      </c>
      <c r="D97" s="3"/>
      <c r="E97" s="3">
        <v>0.000500000000000056</v>
      </c>
      <c r="F97" s="4" t="s">
        <v>37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9" spans="1:57">
      <c r="A99" s="1" t="s">
        <v>42</v>
      </c>
      <c r="B99" s="1" t="s">
        <v>29</v>
      </c>
      <c r="C99" s="1" t="s">
        <v>30</v>
      </c>
      <c r="D99" s="1" t="s">
        <v>31</v>
      </c>
      <c r="E99" s="1">
        <v>2000</v>
      </c>
      <c r="F99" s="1">
        <v>2001</v>
      </c>
      <c r="G99" s="1">
        <v>2002</v>
      </c>
      <c r="H99" s="1">
        <v>2003</v>
      </c>
      <c r="I99" s="1">
        <v>2004</v>
      </c>
      <c r="J99" s="1">
        <v>2005</v>
      </c>
      <c r="K99" s="1">
        <v>2006</v>
      </c>
      <c r="L99" s="1">
        <v>2007</v>
      </c>
      <c r="M99" s="1">
        <v>2008</v>
      </c>
      <c r="N99" s="1">
        <v>2009</v>
      </c>
      <c r="O99" s="1">
        <v>2010</v>
      </c>
      <c r="P99" s="1">
        <v>2011</v>
      </c>
      <c r="Q99" s="1">
        <v>2012</v>
      </c>
      <c r="R99" s="1">
        <v>2013</v>
      </c>
      <c r="S99" s="1">
        <v>2014</v>
      </c>
      <c r="T99" s="1">
        <v>2015</v>
      </c>
      <c r="U99" s="1">
        <v>2016</v>
      </c>
      <c r="V99" s="1">
        <v>2017</v>
      </c>
      <c r="W99" s="1">
        <v>2018</v>
      </c>
      <c r="X99" s="1">
        <v>2019</v>
      </c>
      <c r="Y99" s="1">
        <v>2020</v>
      </c>
      <c r="Z99" s="1">
        <v>2021</v>
      </c>
      <c r="AA99" s="1">
        <v>2022</v>
      </c>
      <c r="AB99" s="1">
        <v>2023</v>
      </c>
      <c r="AC99" s="1">
        <v>2024</v>
      </c>
      <c r="AD99" s="1">
        <v>2025</v>
      </c>
      <c r="AE99" s="1">
        <v>2026</v>
      </c>
      <c r="AF99" s="1">
        <v>2027</v>
      </c>
      <c r="AG99" s="1">
        <v>2028</v>
      </c>
      <c r="AH99" s="1">
        <v>2029</v>
      </c>
      <c r="AI99" s="1">
        <v>2030</v>
      </c>
      <c r="AJ99" s="1">
        <v>2031</v>
      </c>
      <c r="AK99" s="1">
        <v>2032</v>
      </c>
      <c r="AL99" s="1">
        <v>2033</v>
      </c>
      <c r="AM99" s="1">
        <v>2034</v>
      </c>
      <c r="AN99" s="1">
        <v>2035</v>
      </c>
      <c r="AO99" s="1">
        <v>2036</v>
      </c>
      <c r="AP99" s="1">
        <v>2037</v>
      </c>
      <c r="AQ99" s="1">
        <v>2038</v>
      </c>
      <c r="AR99" s="1">
        <v>2039</v>
      </c>
      <c r="AS99" s="1">
        <v>2040</v>
      </c>
      <c r="AT99" s="1">
        <v>2041</v>
      </c>
      <c r="AU99" s="1">
        <v>2042</v>
      </c>
      <c r="AV99" s="1">
        <v>2043</v>
      </c>
      <c r="AW99" s="1">
        <v>2044</v>
      </c>
      <c r="AX99" s="1">
        <v>2045</v>
      </c>
      <c r="AY99" s="1">
        <v>2046</v>
      </c>
      <c r="AZ99" s="1">
        <v>2047</v>
      </c>
      <c r="BA99" s="1">
        <v>2048</v>
      </c>
      <c r="BB99" s="1">
        <v>2049</v>
      </c>
      <c r="BC99" s="1">
        <v>2050</v>
      </c>
    </row>
    <row r="100" spans="1:57">
      <c r="A100" s="1" t="str">
        <f>'Population Definitions'!$A$2</f>
        <v>PWID_males</v>
      </c>
      <c r="C100" t="s">
        <v>34</v>
      </c>
      <c r="D100" s="3"/>
      <c r="E100" s="3">
        <v>0.995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</row>
    <row r="101" spans="1:57">
      <c r="A101" s="1" t="str">
        <f>'Population Definitions'!$A$3</f>
        <v>PWID_females</v>
      </c>
      <c r="C101" t="s">
        <v>34</v>
      </c>
      <c r="D101" s="3"/>
      <c r="E101" s="3">
        <v>0.995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</row>
    <row r="102" spans="1:57">
      <c r="A102" s="1" t="str">
        <f>'Population Definitions'!$A$4</f>
        <v>0-9_males</v>
      </c>
      <c r="C102" t="s">
        <v>34</v>
      </c>
      <c r="D102" s="3"/>
      <c r="E102" s="3">
        <v>0.995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</row>
    <row r="103" spans="1:57">
      <c r="A103" s="1" t="str">
        <f>'Population Definitions'!$A$5</f>
        <v>0-9_females</v>
      </c>
      <c r="C103" t="s">
        <v>34</v>
      </c>
      <c r="D103" s="3"/>
      <c r="E103" s="3">
        <v>0.995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</row>
    <row r="104" spans="1:57">
      <c r="A104" s="1" t="str">
        <f>'Population Definitions'!$A$6</f>
        <v>10-17_males</v>
      </c>
      <c r="C104" t="s">
        <v>34</v>
      </c>
      <c r="D104" s="3"/>
      <c r="E104" s="3">
        <v>0.995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</row>
    <row r="105" spans="1:57">
      <c r="A105" s="1" t="str">
        <f>'Population Definitions'!$A$7</f>
        <v>10-17_females</v>
      </c>
      <c r="C105" t="s">
        <v>34</v>
      </c>
      <c r="D105" s="3"/>
      <c r="E105" s="3">
        <v>0.995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</row>
    <row r="106" spans="1:57">
      <c r="A106" s="1" t="str">
        <f>'Population Definitions'!$A$8</f>
        <v>18-64_males</v>
      </c>
      <c r="C106" t="s">
        <v>34</v>
      </c>
      <c r="D106" s="3"/>
      <c r="E106" s="3">
        <v>0.995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</row>
    <row r="107" spans="1:57">
      <c r="A107" s="1" t="str">
        <f>'Population Definitions'!$A$9</f>
        <v>18-64_females</v>
      </c>
      <c r="C107" t="s">
        <v>34</v>
      </c>
      <c r="D107" s="3"/>
      <c r="E107" s="3">
        <v>0.995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</row>
    <row r="108" spans="1:57">
      <c r="A108" s="1" t="str">
        <f>'Population Definitions'!$A$10</f>
        <v>65+_males</v>
      </c>
      <c r="C108" t="s">
        <v>34</v>
      </c>
      <c r="D108" s="3"/>
      <c r="E108" s="3">
        <v>0.995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</row>
    <row r="109" spans="1:57">
      <c r="A109" s="1" t="str">
        <f>'Population Definitions'!$A$11</f>
        <v>65+_females</v>
      </c>
      <c r="C109" t="s">
        <v>34</v>
      </c>
      <c r="D109" s="3"/>
      <c r="E109" s="3">
        <v>0.995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</row>
    <row r="110" spans="1:57">
      <c r="A110" s="1" t="str">
        <f>'Population Definitions'!$A$12</f>
        <v>Prisoners_males</v>
      </c>
      <c r="C110" t="s">
        <v>34</v>
      </c>
      <c r="D110" s="3"/>
      <c r="E110" s="3">
        <v>0.995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</row>
    <row r="111" spans="1:57">
      <c r="A111" s="1" t="str">
        <f>'Population Definitions'!$A$13</f>
        <v>Prisoners_females</v>
      </c>
      <c r="C111" t="s">
        <v>34</v>
      </c>
      <c r="D111" s="3"/>
      <c r="E111" s="3">
        <v>0.995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</row>
    <row r="113" spans="1:57">
      <c r="A113" s="1" t="s">
        <v>43</v>
      </c>
      <c r="B113" s="1" t="s">
        <v>29</v>
      </c>
      <c r="C113" s="1" t="s">
        <v>30</v>
      </c>
      <c r="D113" s="1" t="s">
        <v>31</v>
      </c>
      <c r="E113" s="1" t="s">
        <v>36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34</v>
      </c>
      <c r="D114" s="3"/>
      <c r="E114" s="3">
        <v>0</v>
      </c>
      <c r="F114" s="4" t="s">
        <v>37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34</v>
      </c>
      <c r="D115" s="3"/>
      <c r="E115" s="3">
        <v>0</v>
      </c>
      <c r="F115" s="4" t="s">
        <v>37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34</v>
      </c>
      <c r="D116" s="3"/>
      <c r="E116" s="3">
        <v>0</v>
      </c>
      <c r="F116" s="4" t="s">
        <v>37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34</v>
      </c>
      <c r="D117" s="3"/>
      <c r="E117" s="3">
        <v>0</v>
      </c>
      <c r="F117" s="4" t="s">
        <v>37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34</v>
      </c>
      <c r="D118" s="3"/>
      <c r="E118" s="3">
        <v>0</v>
      </c>
      <c r="F118" s="4" t="s">
        <v>37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34</v>
      </c>
      <c r="D119" s="3"/>
      <c r="E119" s="3">
        <v>0</v>
      </c>
      <c r="F119" s="4" t="s">
        <v>37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34</v>
      </c>
      <c r="D120" s="3"/>
      <c r="E120" s="3">
        <v>0</v>
      </c>
      <c r="F120" s="4" t="s">
        <v>37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34</v>
      </c>
      <c r="D121" s="3"/>
      <c r="E121" s="3">
        <v>0</v>
      </c>
      <c r="F121" s="4" t="s">
        <v>37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34</v>
      </c>
      <c r="D122" s="3"/>
      <c r="E122" s="3">
        <v>0</v>
      </c>
      <c r="F122" s="4" t="s">
        <v>37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34</v>
      </c>
      <c r="D123" s="3"/>
      <c r="E123" s="3">
        <v>0</v>
      </c>
      <c r="F123" s="4" t="s">
        <v>37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34</v>
      </c>
      <c r="D124" s="3"/>
      <c r="E124" s="3">
        <v>0</v>
      </c>
      <c r="F124" s="4" t="s">
        <v>37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34</v>
      </c>
      <c r="D125" s="3"/>
      <c r="E125" s="3">
        <v>0</v>
      </c>
      <c r="F125" s="4" t="s">
        <v>37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7" spans="1:57">
      <c r="A127" s="1" t="s">
        <v>44</v>
      </c>
      <c r="B127" s="1" t="s">
        <v>29</v>
      </c>
      <c r="C127" s="1" t="s">
        <v>30</v>
      </c>
      <c r="D127" s="1" t="s">
        <v>31</v>
      </c>
      <c r="E127" s="1" t="s">
        <v>36</v>
      </c>
      <c r="F127" s="1"/>
      <c r="G127" s="1">
        <v>2000</v>
      </c>
      <c r="H127" s="1">
        <v>2001</v>
      </c>
      <c r="I127" s="1">
        <v>2002</v>
      </c>
      <c r="J127" s="1">
        <v>2003</v>
      </c>
      <c r="K127" s="1">
        <v>2004</v>
      </c>
      <c r="L127" s="1">
        <v>2005</v>
      </c>
      <c r="M127" s="1">
        <v>2006</v>
      </c>
      <c r="N127" s="1">
        <v>2007</v>
      </c>
      <c r="O127" s="1">
        <v>2008</v>
      </c>
      <c r="P127" s="1">
        <v>2009</v>
      </c>
      <c r="Q127" s="1">
        <v>2010</v>
      </c>
      <c r="R127" s="1">
        <v>2011</v>
      </c>
      <c r="S127" s="1">
        <v>2012</v>
      </c>
      <c r="T127" s="1">
        <v>2013</v>
      </c>
      <c r="U127" s="1">
        <v>2014</v>
      </c>
      <c r="V127" s="1">
        <v>2015</v>
      </c>
      <c r="W127" s="1">
        <v>2016</v>
      </c>
      <c r="X127" s="1">
        <v>2017</v>
      </c>
      <c r="Y127" s="1">
        <v>2018</v>
      </c>
      <c r="Z127" s="1">
        <v>2019</v>
      </c>
      <c r="AA127" s="1">
        <v>2020</v>
      </c>
      <c r="AB127" s="1">
        <v>2021</v>
      </c>
      <c r="AC127" s="1">
        <v>2022</v>
      </c>
      <c r="AD127" s="1">
        <v>2023</v>
      </c>
      <c r="AE127" s="1">
        <v>2024</v>
      </c>
      <c r="AF127" s="1">
        <v>2025</v>
      </c>
      <c r="AG127" s="1">
        <v>2026</v>
      </c>
      <c r="AH127" s="1">
        <v>2027</v>
      </c>
      <c r="AI127" s="1">
        <v>2028</v>
      </c>
      <c r="AJ127" s="1">
        <v>2029</v>
      </c>
      <c r="AK127" s="1">
        <v>2030</v>
      </c>
      <c r="AL127" s="1">
        <v>2031</v>
      </c>
      <c r="AM127" s="1">
        <v>2032</v>
      </c>
      <c r="AN127" s="1">
        <v>2033</v>
      </c>
      <c r="AO127" s="1">
        <v>2034</v>
      </c>
      <c r="AP127" s="1">
        <v>2035</v>
      </c>
      <c r="AQ127" s="1">
        <v>2036</v>
      </c>
      <c r="AR127" s="1">
        <v>2037</v>
      </c>
      <c r="AS127" s="1">
        <v>2038</v>
      </c>
      <c r="AT127" s="1">
        <v>2039</v>
      </c>
      <c r="AU127" s="1">
        <v>2040</v>
      </c>
      <c r="AV127" s="1">
        <v>2041</v>
      </c>
      <c r="AW127" s="1">
        <v>2042</v>
      </c>
      <c r="AX127" s="1">
        <v>2043</v>
      </c>
      <c r="AY127" s="1">
        <v>2044</v>
      </c>
      <c r="AZ127" s="1">
        <v>2045</v>
      </c>
      <c r="BA127" s="1">
        <v>2046</v>
      </c>
      <c r="BB127" s="1">
        <v>2047</v>
      </c>
      <c r="BC127" s="1">
        <v>2048</v>
      </c>
      <c r="BD127" s="1">
        <v>2049</v>
      </c>
      <c r="BE127" s="1">
        <v>2050</v>
      </c>
    </row>
    <row r="128" spans="1:57">
      <c r="A128" s="1" t="str">
        <f>'Population Definitions'!$A$2</f>
        <v>PWID_males</v>
      </c>
      <c r="C128" t="s">
        <v>34</v>
      </c>
      <c r="D128" s="3"/>
      <c r="E128" s="3">
        <v>0</v>
      </c>
      <c r="F128" s="4" t="s">
        <v>37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Definitions'!$A$3</f>
        <v>PWID_females</v>
      </c>
      <c r="C129" t="s">
        <v>34</v>
      </c>
      <c r="D129" s="3"/>
      <c r="E129" s="3">
        <v>0</v>
      </c>
      <c r="F129" s="4" t="s">
        <v>37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Definitions'!$A$4</f>
        <v>0-9_males</v>
      </c>
      <c r="C130" t="s">
        <v>34</v>
      </c>
      <c r="D130" s="3"/>
      <c r="E130" s="3">
        <v>0</v>
      </c>
      <c r="F130" s="4" t="s">
        <v>37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Definitions'!$A$5</f>
        <v>0-9_females</v>
      </c>
      <c r="C131" t="s">
        <v>34</v>
      </c>
      <c r="D131" s="3"/>
      <c r="E131" s="3">
        <v>0</v>
      </c>
      <c r="F131" s="4" t="s">
        <v>37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Definitions'!$A$6</f>
        <v>10-17_males</v>
      </c>
      <c r="C132" t="s">
        <v>34</v>
      </c>
      <c r="D132" s="3"/>
      <c r="E132" s="3">
        <v>0</v>
      </c>
      <c r="F132" s="4" t="s">
        <v>37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Definitions'!$A$7</f>
        <v>10-17_females</v>
      </c>
      <c r="C133" t="s">
        <v>34</v>
      </c>
      <c r="D133" s="3"/>
      <c r="E133" s="3">
        <v>0</v>
      </c>
      <c r="F133" s="4" t="s">
        <v>37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Definitions'!$A$8</f>
        <v>18-64_males</v>
      </c>
      <c r="C134" t="s">
        <v>34</v>
      </c>
      <c r="D134" s="3"/>
      <c r="E134" s="3">
        <v>0</v>
      </c>
      <c r="F134" s="4" t="s">
        <v>37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Definitions'!$A$9</f>
        <v>18-64_females</v>
      </c>
      <c r="C135" t="s">
        <v>34</v>
      </c>
      <c r="D135" s="3"/>
      <c r="E135" s="3">
        <v>0</v>
      </c>
      <c r="F135" s="4" t="s">
        <v>37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Definitions'!$A$10</f>
        <v>65+_males</v>
      </c>
      <c r="C136" t="s">
        <v>34</v>
      </c>
      <c r="D136" s="3"/>
      <c r="E136" s="3">
        <v>0</v>
      </c>
      <c r="F136" s="4" t="s">
        <v>37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Definitions'!$A$11</f>
        <v>65+_females</v>
      </c>
      <c r="C137" t="s">
        <v>34</v>
      </c>
      <c r="D137" s="3"/>
      <c r="E137" s="3">
        <v>0</v>
      </c>
      <c r="F137" s="4" t="s">
        <v>37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Definitions'!$A$12</f>
        <v>Prisoners_males</v>
      </c>
      <c r="C138" t="s">
        <v>34</v>
      </c>
      <c r="D138" s="3"/>
      <c r="E138" s="3">
        <v>0</v>
      </c>
      <c r="F138" s="4" t="s">
        <v>37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Definitions'!$A$13</f>
        <v>Prisoners_females</v>
      </c>
      <c r="C139" t="s">
        <v>34</v>
      </c>
      <c r="D139" s="3"/>
      <c r="E139" s="3">
        <v>0</v>
      </c>
      <c r="F139" s="4" t="s">
        <v>37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1" spans="1:57">
      <c r="A141" s="1" t="s">
        <v>45</v>
      </c>
      <c r="B141" s="1" t="s">
        <v>29</v>
      </c>
      <c r="C141" s="1" t="s">
        <v>30</v>
      </c>
      <c r="D141" s="1" t="s">
        <v>31</v>
      </c>
      <c r="E141" s="1" t="s">
        <v>36</v>
      </c>
      <c r="F141" s="1"/>
      <c r="G141" s="1">
        <v>2000</v>
      </c>
      <c r="H141" s="1">
        <v>2001</v>
      </c>
      <c r="I141" s="1">
        <v>2002</v>
      </c>
      <c r="J141" s="1">
        <v>2003</v>
      </c>
      <c r="K141" s="1">
        <v>2004</v>
      </c>
      <c r="L141" s="1">
        <v>2005</v>
      </c>
      <c r="M141" s="1">
        <v>2006</v>
      </c>
      <c r="N141" s="1">
        <v>2007</v>
      </c>
      <c r="O141" s="1">
        <v>2008</v>
      </c>
      <c r="P141" s="1">
        <v>2009</v>
      </c>
      <c r="Q141" s="1">
        <v>2010</v>
      </c>
      <c r="R141" s="1">
        <v>2011</v>
      </c>
      <c r="S141" s="1">
        <v>2012</v>
      </c>
      <c r="T141" s="1">
        <v>2013</v>
      </c>
      <c r="U141" s="1">
        <v>2014</v>
      </c>
      <c r="V141" s="1">
        <v>2015</v>
      </c>
      <c r="W141" s="1">
        <v>2016</v>
      </c>
      <c r="X141" s="1">
        <v>2017</v>
      </c>
      <c r="Y141" s="1">
        <v>2018</v>
      </c>
      <c r="Z141" s="1">
        <v>2019</v>
      </c>
      <c r="AA141" s="1">
        <v>2020</v>
      </c>
      <c r="AB141" s="1">
        <v>2021</v>
      </c>
      <c r="AC141" s="1">
        <v>2022</v>
      </c>
      <c r="AD141" s="1">
        <v>2023</v>
      </c>
      <c r="AE141" s="1">
        <v>2024</v>
      </c>
      <c r="AF141" s="1">
        <v>2025</v>
      </c>
      <c r="AG141" s="1">
        <v>2026</v>
      </c>
      <c r="AH141" s="1">
        <v>2027</v>
      </c>
      <c r="AI141" s="1">
        <v>2028</v>
      </c>
      <c r="AJ141" s="1">
        <v>2029</v>
      </c>
      <c r="AK141" s="1">
        <v>2030</v>
      </c>
      <c r="AL141" s="1">
        <v>2031</v>
      </c>
      <c r="AM141" s="1">
        <v>2032</v>
      </c>
      <c r="AN141" s="1">
        <v>2033</v>
      </c>
      <c r="AO141" s="1">
        <v>2034</v>
      </c>
      <c r="AP141" s="1">
        <v>2035</v>
      </c>
      <c r="AQ141" s="1">
        <v>2036</v>
      </c>
      <c r="AR141" s="1">
        <v>2037</v>
      </c>
      <c r="AS141" s="1">
        <v>2038</v>
      </c>
      <c r="AT141" s="1">
        <v>2039</v>
      </c>
      <c r="AU141" s="1">
        <v>2040</v>
      </c>
      <c r="AV141" s="1">
        <v>2041</v>
      </c>
      <c r="AW141" s="1">
        <v>2042</v>
      </c>
      <c r="AX141" s="1">
        <v>2043</v>
      </c>
      <c r="AY141" s="1">
        <v>2044</v>
      </c>
      <c r="AZ141" s="1">
        <v>2045</v>
      </c>
      <c r="BA141" s="1">
        <v>2046</v>
      </c>
      <c r="BB141" s="1">
        <v>2047</v>
      </c>
      <c r="BC141" s="1">
        <v>2048</v>
      </c>
      <c r="BD141" s="1">
        <v>2049</v>
      </c>
      <c r="BE141" s="1">
        <v>2050</v>
      </c>
    </row>
    <row r="142" spans="1:57">
      <c r="A142" s="1" t="str">
        <f>'Population Definitions'!$A$2</f>
        <v>PWID_males</v>
      </c>
      <c r="C142" t="s">
        <v>34</v>
      </c>
      <c r="D142" s="3"/>
      <c r="E142" s="3">
        <v>0</v>
      </c>
      <c r="F142" s="4" t="s">
        <v>37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Definitions'!$A$3</f>
        <v>PWID_females</v>
      </c>
      <c r="C143" t="s">
        <v>34</v>
      </c>
      <c r="D143" s="3"/>
      <c r="E143" s="3">
        <v>0</v>
      </c>
      <c r="F143" s="4" t="s">
        <v>37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Definitions'!$A$4</f>
        <v>0-9_males</v>
      </c>
      <c r="C144" t="s">
        <v>34</v>
      </c>
      <c r="D144" s="3"/>
      <c r="E144" s="3">
        <v>0</v>
      </c>
      <c r="F144" s="4" t="s">
        <v>37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Definitions'!$A$5</f>
        <v>0-9_females</v>
      </c>
      <c r="C145" t="s">
        <v>34</v>
      </c>
      <c r="D145" s="3"/>
      <c r="E145" s="3">
        <v>0</v>
      </c>
      <c r="F145" s="4" t="s">
        <v>37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Definitions'!$A$6</f>
        <v>10-17_males</v>
      </c>
      <c r="C146" t="s">
        <v>34</v>
      </c>
      <c r="D146" s="3"/>
      <c r="E146" s="3">
        <v>0</v>
      </c>
      <c r="F146" s="4" t="s">
        <v>37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Definitions'!$A$7</f>
        <v>10-17_females</v>
      </c>
      <c r="C147" t="s">
        <v>34</v>
      </c>
      <c r="D147" s="3"/>
      <c r="E147" s="3">
        <v>0</v>
      </c>
      <c r="F147" s="4" t="s">
        <v>37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Definitions'!$A$8</f>
        <v>18-64_males</v>
      </c>
      <c r="C148" t="s">
        <v>34</v>
      </c>
      <c r="D148" s="3"/>
      <c r="E148" s="3">
        <v>0</v>
      </c>
      <c r="F148" s="4" t="s">
        <v>37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Definitions'!$A$9</f>
        <v>18-64_females</v>
      </c>
      <c r="C149" t="s">
        <v>34</v>
      </c>
      <c r="D149" s="3"/>
      <c r="E149" s="3">
        <v>0</v>
      </c>
      <c r="F149" s="4" t="s">
        <v>37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Definitions'!$A$10</f>
        <v>65+_males</v>
      </c>
      <c r="C150" t="s">
        <v>34</v>
      </c>
      <c r="D150" s="3"/>
      <c r="E150" s="3">
        <v>0</v>
      </c>
      <c r="F150" s="4" t="s">
        <v>37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Definitions'!$A$11</f>
        <v>65+_females</v>
      </c>
      <c r="C151" t="s">
        <v>34</v>
      </c>
      <c r="D151" s="3"/>
      <c r="E151" s="3">
        <v>0</v>
      </c>
      <c r="F151" s="4" t="s">
        <v>37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Definitions'!$A$12</f>
        <v>Prisoners_males</v>
      </c>
      <c r="C152" t="s">
        <v>34</v>
      </c>
      <c r="D152" s="3"/>
      <c r="E152" s="3">
        <v>0</v>
      </c>
      <c r="F152" s="4" t="s">
        <v>37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Definitions'!$A$13</f>
        <v>Prisoners_females</v>
      </c>
      <c r="C153" t="s">
        <v>34</v>
      </c>
      <c r="D153" s="3"/>
      <c r="E153" s="3">
        <v>0</v>
      </c>
      <c r="F153" s="4" t="s">
        <v>37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5" spans="1:57">
      <c r="A155" s="1" t="s">
        <v>46</v>
      </c>
      <c r="B155" s="1" t="s">
        <v>29</v>
      </c>
      <c r="C155" s="1" t="s">
        <v>30</v>
      </c>
      <c r="D155" s="1" t="s">
        <v>31</v>
      </c>
      <c r="E155" s="1" t="s">
        <v>36</v>
      </c>
      <c r="F155" s="1"/>
      <c r="G155" s="1">
        <v>2000</v>
      </c>
      <c r="H155" s="1">
        <v>2001</v>
      </c>
      <c r="I155" s="1">
        <v>2002</v>
      </c>
      <c r="J155" s="1">
        <v>2003</v>
      </c>
      <c r="K155" s="1">
        <v>2004</v>
      </c>
      <c r="L155" s="1">
        <v>2005</v>
      </c>
      <c r="M155" s="1">
        <v>2006</v>
      </c>
      <c r="N155" s="1">
        <v>2007</v>
      </c>
      <c r="O155" s="1">
        <v>2008</v>
      </c>
      <c r="P155" s="1">
        <v>2009</v>
      </c>
      <c r="Q155" s="1">
        <v>2010</v>
      </c>
      <c r="R155" s="1">
        <v>2011</v>
      </c>
      <c r="S155" s="1">
        <v>2012</v>
      </c>
      <c r="T155" s="1">
        <v>2013</v>
      </c>
      <c r="U155" s="1">
        <v>2014</v>
      </c>
      <c r="V155" s="1">
        <v>2015</v>
      </c>
      <c r="W155" s="1">
        <v>2016</v>
      </c>
      <c r="X155" s="1">
        <v>2017</v>
      </c>
      <c r="Y155" s="1">
        <v>2018</v>
      </c>
      <c r="Z155" s="1">
        <v>2019</v>
      </c>
      <c r="AA155" s="1">
        <v>2020</v>
      </c>
      <c r="AB155" s="1">
        <v>2021</v>
      </c>
      <c r="AC155" s="1">
        <v>2022</v>
      </c>
      <c r="AD155" s="1">
        <v>2023</v>
      </c>
      <c r="AE155" s="1">
        <v>2024</v>
      </c>
      <c r="AF155" s="1">
        <v>2025</v>
      </c>
      <c r="AG155" s="1">
        <v>2026</v>
      </c>
      <c r="AH155" s="1">
        <v>2027</v>
      </c>
      <c r="AI155" s="1">
        <v>2028</v>
      </c>
      <c r="AJ155" s="1">
        <v>2029</v>
      </c>
      <c r="AK155" s="1">
        <v>2030</v>
      </c>
      <c r="AL155" s="1">
        <v>2031</v>
      </c>
      <c r="AM155" s="1">
        <v>2032</v>
      </c>
      <c r="AN155" s="1">
        <v>2033</v>
      </c>
      <c r="AO155" s="1">
        <v>2034</v>
      </c>
      <c r="AP155" s="1">
        <v>2035</v>
      </c>
      <c r="AQ155" s="1">
        <v>2036</v>
      </c>
      <c r="AR155" s="1">
        <v>2037</v>
      </c>
      <c r="AS155" s="1">
        <v>2038</v>
      </c>
      <c r="AT155" s="1">
        <v>2039</v>
      </c>
      <c r="AU155" s="1">
        <v>2040</v>
      </c>
      <c r="AV155" s="1">
        <v>2041</v>
      </c>
      <c r="AW155" s="1">
        <v>2042</v>
      </c>
      <c r="AX155" s="1">
        <v>2043</v>
      </c>
      <c r="AY155" s="1">
        <v>2044</v>
      </c>
      <c r="AZ155" s="1">
        <v>2045</v>
      </c>
      <c r="BA155" s="1">
        <v>2046</v>
      </c>
      <c r="BB155" s="1">
        <v>2047</v>
      </c>
      <c r="BC155" s="1">
        <v>2048</v>
      </c>
      <c r="BD155" s="1">
        <v>2049</v>
      </c>
      <c r="BE155" s="1">
        <v>2050</v>
      </c>
    </row>
    <row r="156" spans="1:57">
      <c r="A156" s="1" t="str">
        <f>'Population Definitions'!$A$2</f>
        <v>PWID_males</v>
      </c>
      <c r="C156" t="s">
        <v>34</v>
      </c>
      <c r="D156" s="3"/>
      <c r="E156" s="3">
        <v>0</v>
      </c>
      <c r="F156" s="4" t="s">
        <v>37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Definitions'!$A$3</f>
        <v>PWID_females</v>
      </c>
      <c r="C157" t="s">
        <v>34</v>
      </c>
      <c r="D157" s="3"/>
      <c r="E157" s="3">
        <v>0</v>
      </c>
      <c r="F157" s="4" t="s">
        <v>37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Definitions'!$A$4</f>
        <v>0-9_males</v>
      </c>
      <c r="C158" t="s">
        <v>34</v>
      </c>
      <c r="D158" s="3"/>
      <c r="E158" s="3">
        <v>0</v>
      </c>
      <c r="F158" s="4" t="s">
        <v>37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Definitions'!$A$5</f>
        <v>0-9_females</v>
      </c>
      <c r="C159" t="s">
        <v>34</v>
      </c>
      <c r="D159" s="3"/>
      <c r="E159" s="3">
        <v>0</v>
      </c>
      <c r="F159" s="4" t="s">
        <v>37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Definitions'!$A$6</f>
        <v>10-17_males</v>
      </c>
      <c r="C160" t="s">
        <v>34</v>
      </c>
      <c r="D160" s="3"/>
      <c r="E160" s="3">
        <v>0</v>
      </c>
      <c r="F160" s="4" t="s">
        <v>37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Definitions'!$A$7</f>
        <v>10-17_females</v>
      </c>
      <c r="C161" t="s">
        <v>34</v>
      </c>
      <c r="D161" s="3"/>
      <c r="E161" s="3">
        <v>0</v>
      </c>
      <c r="F161" s="4" t="s">
        <v>37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Definitions'!$A$8</f>
        <v>18-64_males</v>
      </c>
      <c r="C162" t="s">
        <v>34</v>
      </c>
      <c r="D162" s="3"/>
      <c r="E162" s="3">
        <v>0</v>
      </c>
      <c r="F162" s="4" t="s">
        <v>37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Definitions'!$A$9</f>
        <v>18-64_females</v>
      </c>
      <c r="C163" t="s">
        <v>34</v>
      </c>
      <c r="D163" s="3"/>
      <c r="E163" s="3">
        <v>0</v>
      </c>
      <c r="F163" s="4" t="s">
        <v>37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Definitions'!$A$10</f>
        <v>65+_males</v>
      </c>
      <c r="C164" t="s">
        <v>34</v>
      </c>
      <c r="D164" s="3"/>
      <c r="E164" s="3">
        <v>0</v>
      </c>
      <c r="F164" s="4" t="s">
        <v>37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Definitions'!$A$11</f>
        <v>65+_females</v>
      </c>
      <c r="C165" t="s">
        <v>34</v>
      </c>
      <c r="D165" s="3"/>
      <c r="E165" s="3">
        <v>0</v>
      </c>
      <c r="F165" s="4" t="s">
        <v>37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Definitions'!$A$12</f>
        <v>Prisoners_males</v>
      </c>
      <c r="C166" t="s">
        <v>34</v>
      </c>
      <c r="D166" s="3"/>
      <c r="E166" s="3">
        <v>0</v>
      </c>
      <c r="F166" s="4" t="s">
        <v>37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Definitions'!$A$13</f>
        <v>Prisoners_females</v>
      </c>
      <c r="C167" t="s">
        <v>34</v>
      </c>
      <c r="D167" s="3"/>
      <c r="E167" s="3">
        <v>0</v>
      </c>
      <c r="F167" s="4" t="s">
        <v>37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9" spans="1:57">
      <c r="A169" s="1" t="s">
        <v>47</v>
      </c>
      <c r="B169" s="1" t="s">
        <v>29</v>
      </c>
      <c r="C169" s="1" t="s">
        <v>30</v>
      </c>
      <c r="D169" s="1" t="s">
        <v>31</v>
      </c>
      <c r="E169" s="1" t="s">
        <v>36</v>
      </c>
      <c r="F169" s="1"/>
      <c r="G169" s="1">
        <v>2000</v>
      </c>
      <c r="H169" s="1">
        <v>2001</v>
      </c>
      <c r="I169" s="1">
        <v>2002</v>
      </c>
      <c r="J169" s="1">
        <v>2003</v>
      </c>
      <c r="K169" s="1">
        <v>2004</v>
      </c>
      <c r="L169" s="1">
        <v>2005</v>
      </c>
      <c r="M169" s="1">
        <v>2006</v>
      </c>
      <c r="N169" s="1">
        <v>2007</v>
      </c>
      <c r="O169" s="1">
        <v>2008</v>
      </c>
      <c r="P169" s="1">
        <v>2009</v>
      </c>
      <c r="Q169" s="1">
        <v>2010</v>
      </c>
      <c r="R169" s="1">
        <v>2011</v>
      </c>
      <c r="S169" s="1">
        <v>2012</v>
      </c>
      <c r="T169" s="1">
        <v>2013</v>
      </c>
      <c r="U169" s="1">
        <v>2014</v>
      </c>
      <c r="V169" s="1">
        <v>2015</v>
      </c>
      <c r="W169" s="1">
        <v>2016</v>
      </c>
      <c r="X169" s="1">
        <v>2017</v>
      </c>
      <c r="Y169" s="1">
        <v>2018</v>
      </c>
      <c r="Z169" s="1">
        <v>2019</v>
      </c>
      <c r="AA169" s="1">
        <v>2020</v>
      </c>
      <c r="AB169" s="1">
        <v>2021</v>
      </c>
      <c r="AC169" s="1">
        <v>2022</v>
      </c>
      <c r="AD169" s="1">
        <v>2023</v>
      </c>
      <c r="AE169" s="1">
        <v>2024</v>
      </c>
      <c r="AF169" s="1">
        <v>2025</v>
      </c>
      <c r="AG169" s="1">
        <v>2026</v>
      </c>
      <c r="AH169" s="1">
        <v>2027</v>
      </c>
      <c r="AI169" s="1">
        <v>2028</v>
      </c>
      <c r="AJ169" s="1">
        <v>2029</v>
      </c>
      <c r="AK169" s="1">
        <v>2030</v>
      </c>
      <c r="AL169" s="1">
        <v>2031</v>
      </c>
      <c r="AM169" s="1">
        <v>2032</v>
      </c>
      <c r="AN169" s="1">
        <v>2033</v>
      </c>
      <c r="AO169" s="1">
        <v>2034</v>
      </c>
      <c r="AP169" s="1">
        <v>2035</v>
      </c>
      <c r="AQ169" s="1">
        <v>2036</v>
      </c>
      <c r="AR169" s="1">
        <v>2037</v>
      </c>
      <c r="AS169" s="1">
        <v>2038</v>
      </c>
      <c r="AT169" s="1">
        <v>2039</v>
      </c>
      <c r="AU169" s="1">
        <v>2040</v>
      </c>
      <c r="AV169" s="1">
        <v>2041</v>
      </c>
      <c r="AW169" s="1">
        <v>2042</v>
      </c>
      <c r="AX169" s="1">
        <v>2043</v>
      </c>
      <c r="AY169" s="1">
        <v>2044</v>
      </c>
      <c r="AZ169" s="1">
        <v>2045</v>
      </c>
      <c r="BA169" s="1">
        <v>2046</v>
      </c>
      <c r="BB169" s="1">
        <v>2047</v>
      </c>
      <c r="BC169" s="1">
        <v>2048</v>
      </c>
      <c r="BD169" s="1">
        <v>2049</v>
      </c>
      <c r="BE169" s="1">
        <v>2050</v>
      </c>
    </row>
    <row r="170" spans="1:57">
      <c r="A170" s="1" t="str">
        <f>'Population Definitions'!$A$2</f>
        <v>PWID_males</v>
      </c>
      <c r="C170" t="s">
        <v>48</v>
      </c>
      <c r="D170" s="3"/>
      <c r="E170" s="3">
        <v>0</v>
      </c>
      <c r="F170" s="4" t="s">
        <v>37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Definitions'!$A$3</f>
        <v>PWID_females</v>
      </c>
      <c r="C171" t="s">
        <v>48</v>
      </c>
      <c r="D171" s="3"/>
      <c r="E171" s="3">
        <v>0</v>
      </c>
      <c r="F171" s="4" t="s">
        <v>37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Definitions'!$A$4</f>
        <v>0-9_males</v>
      </c>
      <c r="C172" t="s">
        <v>48</v>
      </c>
      <c r="D172" s="3"/>
      <c r="E172" s="3">
        <v>0</v>
      </c>
      <c r="F172" s="4" t="s">
        <v>37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Definitions'!$A$5</f>
        <v>0-9_females</v>
      </c>
      <c r="C173" t="s">
        <v>48</v>
      </c>
      <c r="D173" s="3"/>
      <c r="E173" s="3">
        <v>0</v>
      </c>
      <c r="F173" s="4" t="s">
        <v>37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Definitions'!$A$6</f>
        <v>10-17_males</v>
      </c>
      <c r="C174" t="s">
        <v>48</v>
      </c>
      <c r="D174" s="3"/>
      <c r="E174" s="3">
        <v>0</v>
      </c>
      <c r="F174" s="4" t="s">
        <v>37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Definitions'!$A$7</f>
        <v>10-17_females</v>
      </c>
      <c r="C175" t="s">
        <v>48</v>
      </c>
      <c r="D175" s="3"/>
      <c r="E175" s="3">
        <v>0</v>
      </c>
      <c r="F175" s="4" t="s">
        <v>37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Definitions'!$A$8</f>
        <v>18-64_males</v>
      </c>
      <c r="C176" t="s">
        <v>48</v>
      </c>
      <c r="D176" s="3"/>
      <c r="E176" s="3">
        <v>0</v>
      </c>
      <c r="F176" s="4" t="s">
        <v>37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Definitions'!$A$9</f>
        <v>18-64_females</v>
      </c>
      <c r="C177" t="s">
        <v>48</v>
      </c>
      <c r="D177" s="3"/>
      <c r="E177" s="3">
        <v>0</v>
      </c>
      <c r="F177" s="4" t="s">
        <v>37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Definitions'!$A$10</f>
        <v>65+_males</v>
      </c>
      <c r="C178" t="s">
        <v>48</v>
      </c>
      <c r="D178" s="3"/>
      <c r="E178" s="3">
        <v>0</v>
      </c>
      <c r="F178" s="4" t="s">
        <v>37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Definitions'!$A$11</f>
        <v>65+_females</v>
      </c>
      <c r="C179" t="s">
        <v>48</v>
      </c>
      <c r="D179" s="3"/>
      <c r="E179" s="3">
        <v>0</v>
      </c>
      <c r="F179" s="4" t="s">
        <v>37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Definitions'!$A$12</f>
        <v>Prisoners_males</v>
      </c>
      <c r="C180" t="s">
        <v>48</v>
      </c>
      <c r="D180" s="3"/>
      <c r="E180" s="3">
        <v>0</v>
      </c>
      <c r="F180" s="4" t="s">
        <v>37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Definitions'!$A$13</f>
        <v>Prisoners_females</v>
      </c>
      <c r="C181" t="s">
        <v>48</v>
      </c>
      <c r="D181" s="3"/>
      <c r="E181" s="3">
        <v>0</v>
      </c>
      <c r="F181" s="4" t="s">
        <v>37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</sheetData>
  <conditionalFormatting sqref="E114">
    <cfRule type="expression" dxfId="0" priority="121">
      <formula>COUNTIF(G114:BE114,"&lt;&gt;" &amp; "")&gt;0</formula>
    </cfRule>
    <cfRule type="expression" dxfId="1" priority="122">
      <formula>AND(COUNTIF(G114:BE114,"&lt;&gt;" &amp; "")&gt;0,NOT(ISBLANK(E114)))</formula>
    </cfRule>
  </conditionalFormatting>
  <conditionalFormatting sqref="E115">
    <cfRule type="expression" dxfId="0" priority="123">
      <formula>COUNTIF(G115:BE115,"&lt;&gt;" &amp; "")&gt;0</formula>
    </cfRule>
    <cfRule type="expression" dxfId="1" priority="124">
      <formula>AND(COUNTIF(G115:BE115,"&lt;&gt;" &amp; "")&gt;0,NOT(ISBLANK(E115)))</formula>
    </cfRule>
  </conditionalFormatting>
  <conditionalFormatting sqref="E116">
    <cfRule type="expression" dxfId="0" priority="125">
      <formula>COUNTIF(G116:BE116,"&lt;&gt;" &amp; "")&gt;0</formula>
    </cfRule>
    <cfRule type="expression" dxfId="1" priority="126">
      <formula>AND(COUNTIF(G116:BE116,"&lt;&gt;" &amp; "")&gt;0,NOT(ISBLANK(E116)))</formula>
    </cfRule>
  </conditionalFormatting>
  <conditionalFormatting sqref="E117">
    <cfRule type="expression" dxfId="0" priority="127">
      <formula>COUNTIF(G117:BE117,"&lt;&gt;" &amp; "")&gt;0</formula>
    </cfRule>
    <cfRule type="expression" dxfId="1" priority="128">
      <formula>AND(COUNTIF(G117:BE117,"&lt;&gt;" &amp; "")&gt;0,NOT(ISBLANK(E117)))</formula>
    </cfRule>
  </conditionalFormatting>
  <conditionalFormatting sqref="E118">
    <cfRule type="expression" dxfId="0" priority="129">
      <formula>COUNTIF(G118:BE118,"&lt;&gt;" &amp; "")&gt;0</formula>
    </cfRule>
    <cfRule type="expression" dxfId="1" priority="130">
      <formula>AND(COUNTIF(G118:BE118,"&lt;&gt;" &amp; "")&gt;0,NOT(ISBLANK(E118)))</formula>
    </cfRule>
  </conditionalFormatting>
  <conditionalFormatting sqref="E119">
    <cfRule type="expression" dxfId="0" priority="131">
      <formula>COUNTIF(G119:BE119,"&lt;&gt;" &amp; "")&gt;0</formula>
    </cfRule>
    <cfRule type="expression" dxfId="1" priority="132">
      <formula>AND(COUNTIF(G119:BE119,"&lt;&gt;" &amp; "")&gt;0,NOT(ISBLANK(E119)))</formula>
    </cfRule>
  </conditionalFormatting>
  <conditionalFormatting sqref="E120">
    <cfRule type="expression" dxfId="0" priority="133">
      <formula>COUNTIF(G120:BE120,"&lt;&gt;" &amp; "")&gt;0</formula>
    </cfRule>
    <cfRule type="expression" dxfId="1" priority="134">
      <formula>AND(COUNTIF(G120:BE120,"&lt;&gt;" &amp; "")&gt;0,NOT(ISBLANK(E120)))</formula>
    </cfRule>
  </conditionalFormatting>
  <conditionalFormatting sqref="E121">
    <cfRule type="expression" dxfId="0" priority="135">
      <formula>COUNTIF(G121:BE121,"&lt;&gt;" &amp; "")&gt;0</formula>
    </cfRule>
    <cfRule type="expression" dxfId="1" priority="136">
      <formula>AND(COUNTIF(G121:BE121,"&lt;&gt;" &amp; "")&gt;0,NOT(ISBLANK(E121)))</formula>
    </cfRule>
  </conditionalFormatting>
  <conditionalFormatting sqref="E122">
    <cfRule type="expression" dxfId="0" priority="137">
      <formula>COUNTIF(G122:BE122,"&lt;&gt;" &amp; "")&gt;0</formula>
    </cfRule>
    <cfRule type="expression" dxfId="1" priority="138">
      <formula>AND(COUNTIF(G122:BE122,"&lt;&gt;" &amp; "")&gt;0,NOT(ISBLANK(E122)))</formula>
    </cfRule>
  </conditionalFormatting>
  <conditionalFormatting sqref="E123">
    <cfRule type="expression" dxfId="0" priority="139">
      <formula>COUNTIF(G123:BE123,"&lt;&gt;" &amp; "")&gt;0</formula>
    </cfRule>
    <cfRule type="expression" dxfId="1" priority="140">
      <formula>AND(COUNTIF(G123:BE123,"&lt;&gt;" &amp; "")&gt;0,NOT(ISBLANK(E123)))</formula>
    </cfRule>
  </conditionalFormatting>
  <conditionalFormatting sqref="E124">
    <cfRule type="expression" dxfId="0" priority="141">
      <formula>COUNTIF(G124:BE124,"&lt;&gt;" &amp; "")&gt;0</formula>
    </cfRule>
    <cfRule type="expression" dxfId="1" priority="142">
      <formula>AND(COUNTIF(G124:BE124,"&lt;&gt;" &amp; "")&gt;0,NOT(ISBLANK(E124)))</formula>
    </cfRule>
  </conditionalFormatting>
  <conditionalFormatting sqref="E125">
    <cfRule type="expression" dxfId="0" priority="143">
      <formula>COUNTIF(G125:BE125,"&lt;&gt;" &amp; "")&gt;0</formula>
    </cfRule>
    <cfRule type="expression" dxfId="1" priority="144">
      <formula>AND(COUNTIF(G125:BE125,"&lt;&gt;" &amp; "")&gt;0,NOT(ISBLANK(E125)))</formula>
    </cfRule>
  </conditionalFormatting>
  <conditionalFormatting sqref="E128">
    <cfRule type="expression" dxfId="0" priority="145">
      <formula>COUNTIF(G128:BE128,"&lt;&gt;" &amp; "")&gt;0</formula>
    </cfRule>
    <cfRule type="expression" dxfId="1" priority="146">
      <formula>AND(COUNTIF(G128:BE128,"&lt;&gt;" &amp; "")&gt;0,NOT(ISBLANK(E128)))</formula>
    </cfRule>
  </conditionalFormatting>
  <conditionalFormatting sqref="E129">
    <cfRule type="expression" dxfId="0" priority="147">
      <formula>COUNTIF(G129:BE129,"&lt;&gt;" &amp; "")&gt;0</formula>
    </cfRule>
    <cfRule type="expression" dxfId="1" priority="148">
      <formula>AND(COUNTIF(G129:BE129,"&lt;&gt;" &amp; "")&gt;0,NOT(ISBLANK(E129)))</formula>
    </cfRule>
  </conditionalFormatting>
  <conditionalFormatting sqref="E130">
    <cfRule type="expression" dxfId="0" priority="149">
      <formula>COUNTIF(G130:BE130,"&lt;&gt;" &amp; "")&gt;0</formula>
    </cfRule>
    <cfRule type="expression" dxfId="1" priority="150">
      <formula>AND(COUNTIF(G130:BE130,"&lt;&gt;" &amp; "")&gt;0,NOT(ISBLANK(E130)))</formula>
    </cfRule>
  </conditionalFormatting>
  <conditionalFormatting sqref="E131">
    <cfRule type="expression" dxfId="0" priority="151">
      <formula>COUNTIF(G131:BE131,"&lt;&gt;" &amp; "")&gt;0</formula>
    </cfRule>
    <cfRule type="expression" dxfId="1" priority="152">
      <formula>AND(COUNTIF(G131:BE131,"&lt;&gt;" &amp; "")&gt;0,NOT(ISBLANK(E131)))</formula>
    </cfRule>
  </conditionalFormatting>
  <conditionalFormatting sqref="E132">
    <cfRule type="expression" dxfId="0" priority="153">
      <formula>COUNTIF(G132:BE132,"&lt;&gt;" &amp; "")&gt;0</formula>
    </cfRule>
    <cfRule type="expression" dxfId="1" priority="154">
      <formula>AND(COUNTIF(G132:BE132,"&lt;&gt;" &amp; "")&gt;0,NOT(ISBLANK(E132)))</formula>
    </cfRule>
  </conditionalFormatting>
  <conditionalFormatting sqref="E133">
    <cfRule type="expression" dxfId="0" priority="155">
      <formula>COUNTIF(G133:BE133,"&lt;&gt;" &amp; "")&gt;0</formula>
    </cfRule>
    <cfRule type="expression" dxfId="1" priority="156">
      <formula>AND(COUNTIF(G133:BE133,"&lt;&gt;" &amp; "")&gt;0,NOT(ISBLANK(E133)))</formula>
    </cfRule>
  </conditionalFormatting>
  <conditionalFormatting sqref="E134">
    <cfRule type="expression" dxfId="0" priority="157">
      <formula>COUNTIF(G134:BE134,"&lt;&gt;" &amp; "")&gt;0</formula>
    </cfRule>
    <cfRule type="expression" dxfId="1" priority="158">
      <formula>AND(COUNTIF(G134:BE134,"&lt;&gt;" &amp; "")&gt;0,NOT(ISBLANK(E134)))</formula>
    </cfRule>
  </conditionalFormatting>
  <conditionalFormatting sqref="E135">
    <cfRule type="expression" dxfId="0" priority="159">
      <formula>COUNTIF(G135:BE135,"&lt;&gt;" &amp; "")&gt;0</formula>
    </cfRule>
    <cfRule type="expression" dxfId="1" priority="160">
      <formula>AND(COUNTIF(G135:BE135,"&lt;&gt;" &amp; "")&gt;0,NOT(ISBLANK(E135)))</formula>
    </cfRule>
  </conditionalFormatting>
  <conditionalFormatting sqref="E136">
    <cfRule type="expression" dxfId="0" priority="161">
      <formula>COUNTIF(G136:BE136,"&lt;&gt;" &amp; "")&gt;0</formula>
    </cfRule>
    <cfRule type="expression" dxfId="1" priority="162">
      <formula>AND(COUNTIF(G136:BE136,"&lt;&gt;" &amp; "")&gt;0,NOT(ISBLANK(E136)))</formula>
    </cfRule>
  </conditionalFormatting>
  <conditionalFormatting sqref="E137">
    <cfRule type="expression" dxfId="0" priority="163">
      <formula>COUNTIF(G137:BE137,"&lt;&gt;" &amp; "")&gt;0</formula>
    </cfRule>
    <cfRule type="expression" dxfId="1" priority="164">
      <formula>AND(COUNTIF(G137:BE137,"&lt;&gt;" &amp; "")&gt;0,NOT(ISBLANK(E137)))</formula>
    </cfRule>
  </conditionalFormatting>
  <conditionalFormatting sqref="E138">
    <cfRule type="expression" dxfId="0" priority="165">
      <formula>COUNTIF(G138:BE138,"&lt;&gt;" &amp; "")&gt;0</formula>
    </cfRule>
    <cfRule type="expression" dxfId="1" priority="166">
      <formula>AND(COUNTIF(G138:BE138,"&lt;&gt;" &amp; "")&gt;0,NOT(ISBLANK(E138)))</formula>
    </cfRule>
  </conditionalFormatting>
  <conditionalFormatting sqref="E139">
    <cfRule type="expression" dxfId="0" priority="167">
      <formula>COUNTIF(G139:BE139,"&lt;&gt;" &amp; "")&gt;0</formula>
    </cfRule>
    <cfRule type="expression" dxfId="1" priority="168">
      <formula>AND(COUNTIF(G139:BE139,"&lt;&gt;" &amp; "")&gt;0,NOT(ISBLANK(E139)))</formula>
    </cfRule>
  </conditionalFormatting>
  <conditionalFormatting sqref="E142">
    <cfRule type="expression" dxfId="0" priority="169">
      <formula>COUNTIF(G142:BE142,"&lt;&gt;" &amp; "")&gt;0</formula>
    </cfRule>
    <cfRule type="expression" dxfId="1" priority="170">
      <formula>AND(COUNTIF(G142:BE142,"&lt;&gt;" &amp; "")&gt;0,NOT(ISBLANK(E142)))</formula>
    </cfRule>
  </conditionalFormatting>
  <conditionalFormatting sqref="E143">
    <cfRule type="expression" dxfId="0" priority="171">
      <formula>COUNTIF(G143:BE143,"&lt;&gt;" &amp; "")&gt;0</formula>
    </cfRule>
    <cfRule type="expression" dxfId="1" priority="172">
      <formula>AND(COUNTIF(G143:BE143,"&lt;&gt;" &amp; "")&gt;0,NOT(ISBLANK(E143)))</formula>
    </cfRule>
  </conditionalFormatting>
  <conditionalFormatting sqref="E144">
    <cfRule type="expression" dxfId="0" priority="173">
      <formula>COUNTIF(G144:BE144,"&lt;&gt;" &amp; "")&gt;0</formula>
    </cfRule>
    <cfRule type="expression" dxfId="1" priority="174">
      <formula>AND(COUNTIF(G144:BE144,"&lt;&gt;" &amp; "")&gt;0,NOT(ISBLANK(E144)))</formula>
    </cfRule>
  </conditionalFormatting>
  <conditionalFormatting sqref="E145">
    <cfRule type="expression" dxfId="0" priority="175">
      <formula>COUNTIF(G145:BE145,"&lt;&gt;" &amp; "")&gt;0</formula>
    </cfRule>
    <cfRule type="expression" dxfId="1" priority="176">
      <formula>AND(COUNTIF(G145:BE145,"&lt;&gt;" &amp; "")&gt;0,NOT(ISBLANK(E145)))</formula>
    </cfRule>
  </conditionalFormatting>
  <conditionalFormatting sqref="E146">
    <cfRule type="expression" dxfId="0" priority="177">
      <formula>COUNTIF(G146:BE146,"&lt;&gt;" &amp; "")&gt;0</formula>
    </cfRule>
    <cfRule type="expression" dxfId="1" priority="178">
      <formula>AND(COUNTIF(G146:BE146,"&lt;&gt;" &amp; "")&gt;0,NOT(ISBLANK(E146)))</formula>
    </cfRule>
  </conditionalFormatting>
  <conditionalFormatting sqref="E147">
    <cfRule type="expression" dxfId="0" priority="179">
      <formula>COUNTIF(G147:BE147,"&lt;&gt;" &amp; "")&gt;0</formula>
    </cfRule>
    <cfRule type="expression" dxfId="1" priority="180">
      <formula>AND(COUNTIF(G147:BE147,"&lt;&gt;" &amp; "")&gt;0,NOT(ISBLANK(E147)))</formula>
    </cfRule>
  </conditionalFormatting>
  <conditionalFormatting sqref="E148">
    <cfRule type="expression" dxfId="0" priority="181">
      <formula>COUNTIF(G148:BE148,"&lt;&gt;" &amp; "")&gt;0</formula>
    </cfRule>
    <cfRule type="expression" dxfId="1" priority="182">
      <formula>AND(COUNTIF(G148:BE148,"&lt;&gt;" &amp; "")&gt;0,NOT(ISBLANK(E148)))</formula>
    </cfRule>
  </conditionalFormatting>
  <conditionalFormatting sqref="E149">
    <cfRule type="expression" dxfId="0" priority="183">
      <formula>COUNTIF(G149:BE149,"&lt;&gt;" &amp; "")&gt;0</formula>
    </cfRule>
    <cfRule type="expression" dxfId="1" priority="184">
      <formula>AND(COUNTIF(G149:BE149,"&lt;&gt;" &amp; "")&gt;0,NOT(ISBLANK(E149)))</formula>
    </cfRule>
  </conditionalFormatting>
  <conditionalFormatting sqref="E150">
    <cfRule type="expression" dxfId="0" priority="185">
      <formula>COUNTIF(G150:BE150,"&lt;&gt;" &amp; "")&gt;0</formula>
    </cfRule>
    <cfRule type="expression" dxfId="1" priority="186">
      <formula>AND(COUNTIF(G150:BE150,"&lt;&gt;" &amp; "")&gt;0,NOT(ISBLANK(E150)))</formula>
    </cfRule>
  </conditionalFormatting>
  <conditionalFormatting sqref="E151">
    <cfRule type="expression" dxfId="0" priority="187">
      <formula>COUNTIF(G151:BE151,"&lt;&gt;" &amp; "")&gt;0</formula>
    </cfRule>
    <cfRule type="expression" dxfId="1" priority="188">
      <formula>AND(COUNTIF(G151:BE151,"&lt;&gt;" &amp; "")&gt;0,NOT(ISBLANK(E151)))</formula>
    </cfRule>
  </conditionalFormatting>
  <conditionalFormatting sqref="E152">
    <cfRule type="expression" dxfId="0" priority="189">
      <formula>COUNTIF(G152:BE152,"&lt;&gt;" &amp; "")&gt;0</formula>
    </cfRule>
    <cfRule type="expression" dxfId="1" priority="190">
      <formula>AND(COUNTIF(G152:BE152,"&lt;&gt;" &amp; "")&gt;0,NOT(ISBLANK(E152)))</formula>
    </cfRule>
  </conditionalFormatting>
  <conditionalFormatting sqref="E153">
    <cfRule type="expression" dxfId="0" priority="191">
      <formula>COUNTIF(G153:BE153,"&lt;&gt;" &amp; "")&gt;0</formula>
    </cfRule>
    <cfRule type="expression" dxfId="1" priority="192">
      <formula>AND(COUNTIF(G153:BE153,"&lt;&gt;" &amp; "")&gt;0,NOT(ISBLANK(E153)))</formula>
    </cfRule>
  </conditionalFormatting>
  <conditionalFormatting sqref="E156">
    <cfRule type="expression" dxfId="0" priority="193">
      <formula>COUNTIF(G156:BE156,"&lt;&gt;" &amp; "")&gt;0</formula>
    </cfRule>
    <cfRule type="expression" dxfId="1" priority="194">
      <formula>AND(COUNTIF(G156:BE156,"&lt;&gt;" &amp; "")&gt;0,NOT(ISBLANK(E156)))</formula>
    </cfRule>
  </conditionalFormatting>
  <conditionalFormatting sqref="E157">
    <cfRule type="expression" dxfId="0" priority="195">
      <formula>COUNTIF(G157:BE157,"&lt;&gt;" &amp; "")&gt;0</formula>
    </cfRule>
    <cfRule type="expression" dxfId="1" priority="196">
      <formula>AND(COUNTIF(G157:BE157,"&lt;&gt;" &amp; "")&gt;0,NOT(ISBLANK(E157)))</formula>
    </cfRule>
  </conditionalFormatting>
  <conditionalFormatting sqref="E158">
    <cfRule type="expression" dxfId="0" priority="197">
      <formula>COUNTIF(G158:BE158,"&lt;&gt;" &amp; "")&gt;0</formula>
    </cfRule>
    <cfRule type="expression" dxfId="1" priority="198">
      <formula>AND(COUNTIF(G158:BE158,"&lt;&gt;" &amp; "")&gt;0,NOT(ISBLANK(E158)))</formula>
    </cfRule>
  </conditionalFormatting>
  <conditionalFormatting sqref="E159">
    <cfRule type="expression" dxfId="0" priority="199">
      <formula>COUNTIF(G159:BE159,"&lt;&gt;" &amp; "")&gt;0</formula>
    </cfRule>
    <cfRule type="expression" dxfId="1" priority="200">
      <formula>AND(COUNTIF(G159:BE159,"&lt;&gt;" &amp; "")&gt;0,NOT(ISBLANK(E159)))</formula>
    </cfRule>
  </conditionalFormatting>
  <conditionalFormatting sqref="E160">
    <cfRule type="expression" dxfId="0" priority="201">
      <formula>COUNTIF(G160:BE160,"&lt;&gt;" &amp; "")&gt;0</formula>
    </cfRule>
    <cfRule type="expression" dxfId="1" priority="202">
      <formula>AND(COUNTIF(G160:BE160,"&lt;&gt;" &amp; "")&gt;0,NOT(ISBLANK(E160)))</formula>
    </cfRule>
  </conditionalFormatting>
  <conditionalFormatting sqref="E161">
    <cfRule type="expression" dxfId="0" priority="203">
      <formula>COUNTIF(G161:BE161,"&lt;&gt;" &amp; "")&gt;0</formula>
    </cfRule>
    <cfRule type="expression" dxfId="1" priority="204">
      <formula>AND(COUNTIF(G161:BE161,"&lt;&gt;" &amp; "")&gt;0,NOT(ISBLANK(E161)))</formula>
    </cfRule>
  </conditionalFormatting>
  <conditionalFormatting sqref="E162">
    <cfRule type="expression" dxfId="0" priority="205">
      <formula>COUNTIF(G162:BE162,"&lt;&gt;" &amp; "")&gt;0</formula>
    </cfRule>
    <cfRule type="expression" dxfId="1" priority="206">
      <formula>AND(COUNTIF(G162:BE162,"&lt;&gt;" &amp; "")&gt;0,NOT(ISBLANK(E162)))</formula>
    </cfRule>
  </conditionalFormatting>
  <conditionalFormatting sqref="E163">
    <cfRule type="expression" dxfId="0" priority="207">
      <formula>COUNTIF(G163:BE163,"&lt;&gt;" &amp; "")&gt;0</formula>
    </cfRule>
    <cfRule type="expression" dxfId="1" priority="208">
      <formula>AND(COUNTIF(G163:BE163,"&lt;&gt;" &amp; "")&gt;0,NOT(ISBLANK(E163)))</formula>
    </cfRule>
  </conditionalFormatting>
  <conditionalFormatting sqref="E164">
    <cfRule type="expression" dxfId="0" priority="209">
      <formula>COUNTIF(G164:BE164,"&lt;&gt;" &amp; "")&gt;0</formula>
    </cfRule>
    <cfRule type="expression" dxfId="1" priority="210">
      <formula>AND(COUNTIF(G164:BE164,"&lt;&gt;" &amp; "")&gt;0,NOT(ISBLANK(E164)))</formula>
    </cfRule>
  </conditionalFormatting>
  <conditionalFormatting sqref="E165">
    <cfRule type="expression" dxfId="0" priority="211">
      <formula>COUNTIF(G165:BE165,"&lt;&gt;" &amp; "")&gt;0</formula>
    </cfRule>
    <cfRule type="expression" dxfId="1" priority="212">
      <formula>AND(COUNTIF(G165:BE165,"&lt;&gt;" &amp; "")&gt;0,NOT(ISBLANK(E165)))</formula>
    </cfRule>
  </conditionalFormatting>
  <conditionalFormatting sqref="E166">
    <cfRule type="expression" dxfId="0" priority="213">
      <formula>COUNTIF(G166:BE166,"&lt;&gt;" &amp; "")&gt;0</formula>
    </cfRule>
    <cfRule type="expression" dxfId="1" priority="214">
      <formula>AND(COUNTIF(G166:BE166,"&lt;&gt;" &amp; "")&gt;0,NOT(ISBLANK(E166)))</formula>
    </cfRule>
  </conditionalFormatting>
  <conditionalFormatting sqref="E167">
    <cfRule type="expression" dxfId="0" priority="215">
      <formula>COUNTIF(G167:BE167,"&lt;&gt;" &amp; "")&gt;0</formula>
    </cfRule>
    <cfRule type="expression" dxfId="1" priority="216">
      <formula>AND(COUNTIF(G167:BE167,"&lt;&gt;" &amp; "")&gt;0,NOT(ISBLANK(E167)))</formula>
    </cfRule>
  </conditionalFormatting>
  <conditionalFormatting sqref="E170">
    <cfRule type="expression" dxfId="0" priority="217">
      <formula>COUNTIF(G170:BE170,"&lt;&gt;" &amp; "")&gt;0</formula>
    </cfRule>
    <cfRule type="expression" dxfId="1" priority="218">
      <formula>AND(COUNTIF(G170:BE170,"&lt;&gt;" &amp; "")&gt;0,NOT(ISBLANK(E170)))</formula>
    </cfRule>
  </conditionalFormatting>
  <conditionalFormatting sqref="E171">
    <cfRule type="expression" dxfId="0" priority="219">
      <formula>COUNTIF(G171:BE171,"&lt;&gt;" &amp; "")&gt;0</formula>
    </cfRule>
    <cfRule type="expression" dxfId="1" priority="220">
      <formula>AND(COUNTIF(G171:BE171,"&lt;&gt;" &amp; "")&gt;0,NOT(ISBLANK(E171)))</formula>
    </cfRule>
  </conditionalFormatting>
  <conditionalFormatting sqref="E172">
    <cfRule type="expression" dxfId="0" priority="221">
      <formula>COUNTIF(G172:BE172,"&lt;&gt;" &amp; "")&gt;0</formula>
    </cfRule>
    <cfRule type="expression" dxfId="1" priority="222">
      <formula>AND(COUNTIF(G172:BE172,"&lt;&gt;" &amp; "")&gt;0,NOT(ISBLANK(E172)))</formula>
    </cfRule>
  </conditionalFormatting>
  <conditionalFormatting sqref="E173">
    <cfRule type="expression" dxfId="0" priority="223">
      <formula>COUNTIF(G173:BE173,"&lt;&gt;" &amp; "")&gt;0</formula>
    </cfRule>
    <cfRule type="expression" dxfId="1" priority="224">
      <formula>AND(COUNTIF(G173:BE173,"&lt;&gt;" &amp; "")&gt;0,NOT(ISBLANK(E173)))</formula>
    </cfRule>
  </conditionalFormatting>
  <conditionalFormatting sqref="E174">
    <cfRule type="expression" dxfId="0" priority="225">
      <formula>COUNTIF(G174:BE174,"&lt;&gt;" &amp; "")&gt;0</formula>
    </cfRule>
    <cfRule type="expression" dxfId="1" priority="226">
      <formula>AND(COUNTIF(G174:BE174,"&lt;&gt;" &amp; "")&gt;0,NOT(ISBLANK(E174)))</formula>
    </cfRule>
  </conditionalFormatting>
  <conditionalFormatting sqref="E175">
    <cfRule type="expression" dxfId="0" priority="227">
      <formula>COUNTIF(G175:BE175,"&lt;&gt;" &amp; "")&gt;0</formula>
    </cfRule>
    <cfRule type="expression" dxfId="1" priority="228">
      <formula>AND(COUNTIF(G175:BE175,"&lt;&gt;" &amp; "")&gt;0,NOT(ISBLANK(E175)))</formula>
    </cfRule>
  </conditionalFormatting>
  <conditionalFormatting sqref="E176">
    <cfRule type="expression" dxfId="0" priority="229">
      <formula>COUNTIF(G176:BE176,"&lt;&gt;" &amp; "")&gt;0</formula>
    </cfRule>
    <cfRule type="expression" dxfId="1" priority="230">
      <formula>AND(COUNTIF(G176:BE176,"&lt;&gt;" &amp; "")&gt;0,NOT(ISBLANK(E176)))</formula>
    </cfRule>
  </conditionalFormatting>
  <conditionalFormatting sqref="E177">
    <cfRule type="expression" dxfId="0" priority="231">
      <formula>COUNTIF(G177:BE177,"&lt;&gt;" &amp; "")&gt;0</formula>
    </cfRule>
    <cfRule type="expression" dxfId="1" priority="232">
      <formula>AND(COUNTIF(G177:BE177,"&lt;&gt;" &amp; "")&gt;0,NOT(ISBLANK(E177)))</formula>
    </cfRule>
  </conditionalFormatting>
  <conditionalFormatting sqref="E178">
    <cfRule type="expression" dxfId="0" priority="233">
      <formula>COUNTIF(G178:BE178,"&lt;&gt;" &amp; "")&gt;0</formula>
    </cfRule>
    <cfRule type="expression" dxfId="1" priority="234">
      <formula>AND(COUNTIF(G178:BE178,"&lt;&gt;" &amp; "")&gt;0,NOT(ISBLANK(E178)))</formula>
    </cfRule>
  </conditionalFormatting>
  <conditionalFormatting sqref="E179">
    <cfRule type="expression" dxfId="0" priority="235">
      <formula>COUNTIF(G179:BE179,"&lt;&gt;" &amp; "")&gt;0</formula>
    </cfRule>
    <cfRule type="expression" dxfId="1" priority="236">
      <formula>AND(COUNTIF(G179:BE179,"&lt;&gt;" &amp; "")&gt;0,NOT(ISBLANK(E179)))</formula>
    </cfRule>
  </conditionalFormatting>
  <conditionalFormatting sqref="E180">
    <cfRule type="expression" dxfId="0" priority="237">
      <formula>COUNTIF(G180:BE180,"&lt;&gt;" &amp; "")&gt;0</formula>
    </cfRule>
    <cfRule type="expression" dxfId="1" priority="238">
      <formula>AND(COUNTIF(G180:BE180,"&lt;&gt;" &amp; "")&gt;0,NOT(ISBLANK(E180)))</formula>
    </cfRule>
  </conditionalFormatting>
  <conditionalFormatting sqref="E181">
    <cfRule type="expression" dxfId="0" priority="239">
      <formula>COUNTIF(G181:BE181,"&lt;&gt;" &amp; "")&gt;0</formula>
    </cfRule>
    <cfRule type="expression" dxfId="1" priority="240">
      <formula>AND(COUNTIF(G181:BE181,"&lt;&gt;" &amp; "")&gt;0,NOT(ISBLANK(E181)))</formula>
    </cfRule>
  </conditionalFormatting>
  <conditionalFormatting sqref="E30">
    <cfRule type="expression" dxfId="0" priority="1">
      <formula>COUNTIF(G30:BE30,"&lt;&gt;" &amp; "")&gt;0</formula>
    </cfRule>
    <cfRule type="expression" dxfId="1" priority="2">
      <formula>AND(COUNTIF(G30:BE30,"&lt;&gt;" &amp; "")&gt;0,NOT(ISBLANK(E30)))</formula>
    </cfRule>
  </conditionalFormatting>
  <conditionalFormatting sqref="E31">
    <cfRule type="expression" dxfId="0" priority="3">
      <formula>COUNTIF(G31:BE31,"&lt;&gt;" &amp; "")&gt;0</formula>
    </cfRule>
    <cfRule type="expression" dxfId="1" priority="4">
      <formula>AND(COUNTIF(G31:BE31,"&lt;&gt;" &amp; "")&gt;0,NOT(ISBLANK(E31)))</formula>
    </cfRule>
  </conditionalFormatting>
  <conditionalFormatting sqref="E32">
    <cfRule type="expression" dxfId="0" priority="5">
      <formula>COUNTIF(G32:BE32,"&lt;&gt;" &amp; "")&gt;0</formula>
    </cfRule>
    <cfRule type="expression" dxfId="1" priority="6">
      <formula>AND(COUNTIF(G32:BE32,"&lt;&gt;" &amp; "")&gt;0,NOT(ISBLANK(E32)))</formula>
    </cfRule>
  </conditionalFormatting>
  <conditionalFormatting sqref="E33">
    <cfRule type="expression" dxfId="0" priority="7">
      <formula>COUNTIF(G33:BE33,"&lt;&gt;" &amp; "")&gt;0</formula>
    </cfRule>
    <cfRule type="expression" dxfId="1" priority="8">
      <formula>AND(COUNTIF(G33:BE33,"&lt;&gt;" &amp; "")&gt;0,NOT(ISBLANK(E33)))</formula>
    </cfRule>
  </conditionalFormatting>
  <conditionalFormatting sqref="E34">
    <cfRule type="expression" dxfId="0" priority="9">
      <formula>COUNTIF(G34:BE34,"&lt;&gt;" &amp; "")&gt;0</formula>
    </cfRule>
    <cfRule type="expression" dxfId="1" priority="10">
      <formula>AND(COUNTIF(G34:BE34,"&lt;&gt;" &amp; "")&gt;0,NOT(ISBLANK(E34)))</formula>
    </cfRule>
  </conditionalFormatting>
  <conditionalFormatting sqref="E35">
    <cfRule type="expression" dxfId="0" priority="11">
      <formula>COUNTIF(G35:BE35,"&lt;&gt;" &amp; "")&gt;0</formula>
    </cfRule>
    <cfRule type="expression" dxfId="1" priority="12">
      <formula>AND(COUNTIF(G35:BE35,"&lt;&gt;" &amp; "")&gt;0,NOT(ISBLANK(E35)))</formula>
    </cfRule>
  </conditionalFormatting>
  <conditionalFormatting sqref="E36">
    <cfRule type="expression" dxfId="0" priority="13">
      <formula>COUNTIF(G36:BE36,"&lt;&gt;" &amp; "")&gt;0</formula>
    </cfRule>
    <cfRule type="expression" dxfId="1" priority="14">
      <formula>AND(COUNTIF(G36:BE36,"&lt;&gt;" &amp; "")&gt;0,NOT(ISBLANK(E36)))</formula>
    </cfRule>
  </conditionalFormatting>
  <conditionalFormatting sqref="E37">
    <cfRule type="expression" dxfId="0" priority="15">
      <formula>COUNTIF(G37:BE37,"&lt;&gt;" &amp; "")&gt;0</formula>
    </cfRule>
    <cfRule type="expression" dxfId="1" priority="16">
      <formula>AND(COUNTIF(G37:BE37,"&lt;&gt;" &amp; "")&gt;0,NOT(ISBLANK(E37)))</formula>
    </cfRule>
  </conditionalFormatting>
  <conditionalFormatting sqref="E38">
    <cfRule type="expression" dxfId="0" priority="17">
      <formula>COUNTIF(G38:BE38,"&lt;&gt;" &amp; "")&gt;0</formula>
    </cfRule>
    <cfRule type="expression" dxfId="1" priority="18">
      <formula>AND(COUNTIF(G38:BE38,"&lt;&gt;" &amp; "")&gt;0,NOT(ISBLANK(E38)))</formula>
    </cfRule>
  </conditionalFormatting>
  <conditionalFormatting sqref="E39">
    <cfRule type="expression" dxfId="0" priority="19">
      <formula>COUNTIF(G39:BE39,"&lt;&gt;" &amp; "")&gt;0</formula>
    </cfRule>
    <cfRule type="expression" dxfId="1" priority="20">
      <formula>AND(COUNTIF(G39:BE39,"&lt;&gt;" &amp; "")&gt;0,NOT(ISBLANK(E39)))</formula>
    </cfRule>
  </conditionalFormatting>
  <conditionalFormatting sqref="E40">
    <cfRule type="expression" dxfId="0" priority="21">
      <formula>COUNTIF(G40:BE40,"&lt;&gt;" &amp; "")&gt;0</formula>
    </cfRule>
    <cfRule type="expression" dxfId="1" priority="22">
      <formula>AND(COUNTIF(G40:BE40,"&lt;&gt;" &amp; "")&gt;0,NOT(ISBLANK(E40)))</formula>
    </cfRule>
  </conditionalFormatting>
  <conditionalFormatting sqref="E41">
    <cfRule type="expression" dxfId="0" priority="23">
      <formula>COUNTIF(G41:BE41,"&lt;&gt;" &amp; "")&gt;0</formula>
    </cfRule>
    <cfRule type="expression" dxfId="1" priority="24">
      <formula>AND(COUNTIF(G41:BE41,"&lt;&gt;" &amp; "")&gt;0,NOT(ISBLANK(E41)))</formula>
    </cfRule>
  </conditionalFormatting>
  <conditionalFormatting sqref="E44">
    <cfRule type="expression" dxfId="0" priority="25">
      <formula>COUNTIF(G44:BE44,"&lt;&gt;" &amp; "")&gt;0</formula>
    </cfRule>
    <cfRule type="expression" dxfId="1" priority="26">
      <formula>AND(COUNTIF(G44:BE44,"&lt;&gt;" &amp; "")&gt;0,NOT(ISBLANK(E44)))</formula>
    </cfRule>
  </conditionalFormatting>
  <conditionalFormatting sqref="E45">
    <cfRule type="expression" dxfId="0" priority="27">
      <formula>COUNTIF(G45:BE45,"&lt;&gt;" &amp; "")&gt;0</formula>
    </cfRule>
    <cfRule type="expression" dxfId="1" priority="28">
      <formula>AND(COUNTIF(G45:BE45,"&lt;&gt;" &amp; "")&gt;0,NOT(ISBLANK(E45)))</formula>
    </cfRule>
  </conditionalFormatting>
  <conditionalFormatting sqref="E46">
    <cfRule type="expression" dxfId="0" priority="29">
      <formula>COUNTIF(G46:BE46,"&lt;&gt;" &amp; "")&gt;0</formula>
    </cfRule>
    <cfRule type="expression" dxfId="1" priority="30">
      <formula>AND(COUNTIF(G46:BE46,"&lt;&gt;" &amp; "")&gt;0,NOT(ISBLANK(E46)))</formula>
    </cfRule>
  </conditionalFormatting>
  <conditionalFormatting sqref="E47">
    <cfRule type="expression" dxfId="0" priority="31">
      <formula>COUNTIF(G47:BE47,"&lt;&gt;" &amp; "")&gt;0</formula>
    </cfRule>
    <cfRule type="expression" dxfId="1" priority="32">
      <formula>AND(COUNTIF(G47:BE47,"&lt;&gt;" &amp; "")&gt;0,NOT(ISBLANK(E47)))</formula>
    </cfRule>
  </conditionalFormatting>
  <conditionalFormatting sqref="E48">
    <cfRule type="expression" dxfId="0" priority="33">
      <formula>COUNTIF(G48:BE48,"&lt;&gt;" &amp; "")&gt;0</formula>
    </cfRule>
    <cfRule type="expression" dxfId="1" priority="34">
      <formula>AND(COUNTIF(G48:BE48,"&lt;&gt;" &amp; "")&gt;0,NOT(ISBLANK(E48)))</formula>
    </cfRule>
  </conditionalFormatting>
  <conditionalFormatting sqref="E49">
    <cfRule type="expression" dxfId="0" priority="35">
      <formula>COUNTIF(G49:BE49,"&lt;&gt;" &amp; "")&gt;0</formula>
    </cfRule>
    <cfRule type="expression" dxfId="1" priority="36">
      <formula>AND(COUNTIF(G49:BE49,"&lt;&gt;" &amp; "")&gt;0,NOT(ISBLANK(E49)))</formula>
    </cfRule>
  </conditionalFormatting>
  <conditionalFormatting sqref="E50">
    <cfRule type="expression" dxfId="0" priority="37">
      <formula>COUNTIF(G50:BE50,"&lt;&gt;" &amp; "")&gt;0</formula>
    </cfRule>
    <cfRule type="expression" dxfId="1" priority="38">
      <formula>AND(COUNTIF(G50:BE50,"&lt;&gt;" &amp; "")&gt;0,NOT(ISBLANK(E50)))</formula>
    </cfRule>
  </conditionalFormatting>
  <conditionalFormatting sqref="E51">
    <cfRule type="expression" dxfId="0" priority="39">
      <formula>COUNTIF(G51:BE51,"&lt;&gt;" &amp; "")&gt;0</formula>
    </cfRule>
    <cfRule type="expression" dxfId="1" priority="40">
      <formula>AND(COUNTIF(G51:BE51,"&lt;&gt;" &amp; "")&gt;0,NOT(ISBLANK(E51)))</formula>
    </cfRule>
  </conditionalFormatting>
  <conditionalFormatting sqref="E52">
    <cfRule type="expression" dxfId="0" priority="41">
      <formula>COUNTIF(G52:BE52,"&lt;&gt;" &amp; "")&gt;0</formula>
    </cfRule>
    <cfRule type="expression" dxfId="1" priority="42">
      <formula>AND(COUNTIF(G52:BE52,"&lt;&gt;" &amp; "")&gt;0,NOT(ISBLANK(E52)))</formula>
    </cfRule>
  </conditionalFormatting>
  <conditionalFormatting sqref="E53">
    <cfRule type="expression" dxfId="0" priority="43">
      <formula>COUNTIF(G53:BE53,"&lt;&gt;" &amp; "")&gt;0</formula>
    </cfRule>
    <cfRule type="expression" dxfId="1" priority="44">
      <formula>AND(COUNTIF(G53:BE53,"&lt;&gt;" &amp; "")&gt;0,NOT(ISBLANK(E53)))</formula>
    </cfRule>
  </conditionalFormatting>
  <conditionalFormatting sqref="E54">
    <cfRule type="expression" dxfId="0" priority="45">
      <formula>COUNTIF(G54:BE54,"&lt;&gt;" &amp; "")&gt;0</formula>
    </cfRule>
    <cfRule type="expression" dxfId="1" priority="46">
      <formula>AND(COUNTIF(G54:BE54,"&lt;&gt;" &amp; "")&gt;0,NOT(ISBLANK(E54)))</formula>
    </cfRule>
  </conditionalFormatting>
  <conditionalFormatting sqref="E55">
    <cfRule type="expression" dxfId="0" priority="47">
      <formula>COUNTIF(G55:BE55,"&lt;&gt;" &amp; "")&gt;0</formula>
    </cfRule>
    <cfRule type="expression" dxfId="1" priority="48">
      <formula>AND(COUNTIF(G55:BE55,"&lt;&gt;" &amp; "")&gt;0,NOT(ISBLANK(E55)))</formula>
    </cfRule>
  </conditionalFormatting>
  <conditionalFormatting sqref="E58">
    <cfRule type="expression" dxfId="0" priority="49">
      <formula>COUNTIF(G58:BE58,"&lt;&gt;" &amp; "")&gt;0</formula>
    </cfRule>
    <cfRule type="expression" dxfId="1" priority="50">
      <formula>AND(COUNTIF(G58:BE58,"&lt;&gt;" &amp; "")&gt;0,NOT(ISBLANK(E58)))</formula>
    </cfRule>
  </conditionalFormatting>
  <conditionalFormatting sqref="E59">
    <cfRule type="expression" dxfId="0" priority="51">
      <formula>COUNTIF(G59:BE59,"&lt;&gt;" &amp; "")&gt;0</formula>
    </cfRule>
    <cfRule type="expression" dxfId="1" priority="52">
      <formula>AND(COUNTIF(G59:BE59,"&lt;&gt;" &amp; "")&gt;0,NOT(ISBLANK(E59)))</formula>
    </cfRule>
  </conditionalFormatting>
  <conditionalFormatting sqref="E60">
    <cfRule type="expression" dxfId="0" priority="53">
      <formula>COUNTIF(G60:BE60,"&lt;&gt;" &amp; "")&gt;0</formula>
    </cfRule>
    <cfRule type="expression" dxfId="1" priority="54">
      <formula>AND(COUNTIF(G60:BE60,"&lt;&gt;" &amp; "")&gt;0,NOT(ISBLANK(E60)))</formula>
    </cfRule>
  </conditionalFormatting>
  <conditionalFormatting sqref="E61">
    <cfRule type="expression" dxfId="0" priority="55">
      <formula>COUNTIF(G61:BE61,"&lt;&gt;" &amp; "")&gt;0</formula>
    </cfRule>
    <cfRule type="expression" dxfId="1" priority="56">
      <formula>AND(COUNTIF(G61:BE61,"&lt;&gt;" &amp; "")&gt;0,NOT(ISBLANK(E61)))</formula>
    </cfRule>
  </conditionalFormatting>
  <conditionalFormatting sqref="E62">
    <cfRule type="expression" dxfId="0" priority="57">
      <formula>COUNTIF(G62:BE62,"&lt;&gt;" &amp; "")&gt;0</formula>
    </cfRule>
    <cfRule type="expression" dxfId="1" priority="58">
      <formula>AND(COUNTIF(G62:BE62,"&lt;&gt;" &amp; "")&gt;0,NOT(ISBLANK(E62)))</formula>
    </cfRule>
  </conditionalFormatting>
  <conditionalFormatting sqref="E63">
    <cfRule type="expression" dxfId="0" priority="59">
      <formula>COUNTIF(G63:BE63,"&lt;&gt;" &amp; "")&gt;0</formula>
    </cfRule>
    <cfRule type="expression" dxfId="1" priority="60">
      <formula>AND(COUNTIF(G63:BE63,"&lt;&gt;" &amp; "")&gt;0,NOT(ISBLANK(E63)))</formula>
    </cfRule>
  </conditionalFormatting>
  <conditionalFormatting sqref="E64">
    <cfRule type="expression" dxfId="0" priority="61">
      <formula>COUNTIF(G64:BE64,"&lt;&gt;" &amp; "")&gt;0</formula>
    </cfRule>
    <cfRule type="expression" dxfId="1" priority="62">
      <formula>AND(COUNTIF(G64:BE64,"&lt;&gt;" &amp; "")&gt;0,NOT(ISBLANK(E64)))</formula>
    </cfRule>
  </conditionalFormatting>
  <conditionalFormatting sqref="E65">
    <cfRule type="expression" dxfId="0" priority="63">
      <formula>COUNTIF(G65:BE65,"&lt;&gt;" &amp; "")&gt;0</formula>
    </cfRule>
    <cfRule type="expression" dxfId="1" priority="64">
      <formula>AND(COUNTIF(G65:BE65,"&lt;&gt;" &amp; "")&gt;0,NOT(ISBLANK(E65)))</formula>
    </cfRule>
  </conditionalFormatting>
  <conditionalFormatting sqref="E66">
    <cfRule type="expression" dxfId="0" priority="65">
      <formula>COUNTIF(G66:BE66,"&lt;&gt;" &amp; "")&gt;0</formula>
    </cfRule>
    <cfRule type="expression" dxfId="1" priority="66">
      <formula>AND(COUNTIF(G66:BE66,"&lt;&gt;" &amp; "")&gt;0,NOT(ISBLANK(E66)))</formula>
    </cfRule>
  </conditionalFormatting>
  <conditionalFormatting sqref="E67">
    <cfRule type="expression" dxfId="0" priority="67">
      <formula>COUNTIF(G67:BE67,"&lt;&gt;" &amp; "")&gt;0</formula>
    </cfRule>
    <cfRule type="expression" dxfId="1" priority="68">
      <formula>AND(COUNTIF(G67:BE67,"&lt;&gt;" &amp; "")&gt;0,NOT(ISBLANK(E67)))</formula>
    </cfRule>
  </conditionalFormatting>
  <conditionalFormatting sqref="E68">
    <cfRule type="expression" dxfId="0" priority="69">
      <formula>COUNTIF(G68:BE68,"&lt;&gt;" &amp; "")&gt;0</formula>
    </cfRule>
    <cfRule type="expression" dxfId="1" priority="70">
      <formula>AND(COUNTIF(G68:BE68,"&lt;&gt;" &amp; "")&gt;0,NOT(ISBLANK(E68)))</formula>
    </cfRule>
  </conditionalFormatting>
  <conditionalFormatting sqref="E69">
    <cfRule type="expression" dxfId="0" priority="71">
      <formula>COUNTIF(G69:BE69,"&lt;&gt;" &amp; "")&gt;0</formula>
    </cfRule>
    <cfRule type="expression" dxfId="1" priority="72">
      <formula>AND(COUNTIF(G69:BE69,"&lt;&gt;" &amp; "")&gt;0,NOT(ISBLANK(E69)))</formula>
    </cfRule>
  </conditionalFormatting>
  <conditionalFormatting sqref="E72">
    <cfRule type="expression" dxfId="0" priority="73">
      <formula>COUNTIF(G72:BE72,"&lt;&gt;" &amp; "")&gt;0</formula>
    </cfRule>
    <cfRule type="expression" dxfId="1" priority="74">
      <formula>AND(COUNTIF(G72:BE72,"&lt;&gt;" &amp; "")&gt;0,NOT(ISBLANK(E72)))</formula>
    </cfRule>
  </conditionalFormatting>
  <conditionalFormatting sqref="E73">
    <cfRule type="expression" dxfId="0" priority="75">
      <formula>COUNTIF(G73:BE73,"&lt;&gt;" &amp; "")&gt;0</formula>
    </cfRule>
    <cfRule type="expression" dxfId="1" priority="76">
      <formula>AND(COUNTIF(G73:BE73,"&lt;&gt;" &amp; "")&gt;0,NOT(ISBLANK(E73)))</formula>
    </cfRule>
  </conditionalFormatting>
  <conditionalFormatting sqref="E74">
    <cfRule type="expression" dxfId="0" priority="77">
      <formula>COUNTIF(G74:BE74,"&lt;&gt;" &amp; "")&gt;0</formula>
    </cfRule>
    <cfRule type="expression" dxfId="1" priority="78">
      <formula>AND(COUNTIF(G74:BE74,"&lt;&gt;" &amp; "")&gt;0,NOT(ISBLANK(E74)))</formula>
    </cfRule>
  </conditionalFormatting>
  <conditionalFormatting sqref="E75">
    <cfRule type="expression" dxfId="0" priority="79">
      <formula>COUNTIF(G75:BE75,"&lt;&gt;" &amp; "")&gt;0</formula>
    </cfRule>
    <cfRule type="expression" dxfId="1" priority="80">
      <formula>AND(COUNTIF(G75:BE75,"&lt;&gt;" &amp; "")&gt;0,NOT(ISBLANK(E75)))</formula>
    </cfRule>
  </conditionalFormatting>
  <conditionalFormatting sqref="E76">
    <cfRule type="expression" dxfId="0" priority="81">
      <formula>COUNTIF(G76:BE76,"&lt;&gt;" &amp; "")&gt;0</formula>
    </cfRule>
    <cfRule type="expression" dxfId="1" priority="82">
      <formula>AND(COUNTIF(G76:BE76,"&lt;&gt;" &amp; "")&gt;0,NOT(ISBLANK(E76)))</formula>
    </cfRule>
  </conditionalFormatting>
  <conditionalFormatting sqref="E77">
    <cfRule type="expression" dxfId="0" priority="83">
      <formula>COUNTIF(G77:BE77,"&lt;&gt;" &amp; "")&gt;0</formula>
    </cfRule>
    <cfRule type="expression" dxfId="1" priority="84">
      <formula>AND(COUNTIF(G77:BE77,"&lt;&gt;" &amp; "")&gt;0,NOT(ISBLANK(E77)))</formula>
    </cfRule>
  </conditionalFormatting>
  <conditionalFormatting sqref="E78">
    <cfRule type="expression" dxfId="0" priority="85">
      <formula>COUNTIF(G78:BE78,"&lt;&gt;" &amp; "")&gt;0</formula>
    </cfRule>
    <cfRule type="expression" dxfId="1" priority="86">
      <formula>AND(COUNTIF(G78:BE78,"&lt;&gt;" &amp; "")&gt;0,NOT(ISBLANK(E78)))</formula>
    </cfRule>
  </conditionalFormatting>
  <conditionalFormatting sqref="E79">
    <cfRule type="expression" dxfId="0" priority="87">
      <formula>COUNTIF(G79:BE79,"&lt;&gt;" &amp; "")&gt;0</formula>
    </cfRule>
    <cfRule type="expression" dxfId="1" priority="88">
      <formula>AND(COUNTIF(G79:BE79,"&lt;&gt;" &amp; "")&gt;0,NOT(ISBLANK(E79)))</formula>
    </cfRule>
  </conditionalFormatting>
  <conditionalFormatting sqref="E80">
    <cfRule type="expression" dxfId="0" priority="89">
      <formula>COUNTIF(G80:BE80,"&lt;&gt;" &amp; "")&gt;0</formula>
    </cfRule>
    <cfRule type="expression" dxfId="1" priority="90">
      <formula>AND(COUNTIF(G80:BE80,"&lt;&gt;" &amp; "")&gt;0,NOT(ISBLANK(E80)))</formula>
    </cfRule>
  </conditionalFormatting>
  <conditionalFormatting sqref="E81">
    <cfRule type="expression" dxfId="0" priority="91">
      <formula>COUNTIF(G81:BE81,"&lt;&gt;" &amp; "")&gt;0</formula>
    </cfRule>
    <cfRule type="expression" dxfId="1" priority="92">
      <formula>AND(COUNTIF(G81:BE81,"&lt;&gt;" &amp; "")&gt;0,NOT(ISBLANK(E81)))</formula>
    </cfRule>
  </conditionalFormatting>
  <conditionalFormatting sqref="E82">
    <cfRule type="expression" dxfId="0" priority="93">
      <formula>COUNTIF(G82:BE82,"&lt;&gt;" &amp; "")&gt;0</formula>
    </cfRule>
    <cfRule type="expression" dxfId="1" priority="94">
      <formula>AND(COUNTIF(G82:BE82,"&lt;&gt;" &amp; "")&gt;0,NOT(ISBLANK(E82)))</formula>
    </cfRule>
  </conditionalFormatting>
  <conditionalFormatting sqref="E83">
    <cfRule type="expression" dxfId="0" priority="95">
      <formula>COUNTIF(G83:BE83,"&lt;&gt;" &amp; "")&gt;0</formula>
    </cfRule>
    <cfRule type="expression" dxfId="1" priority="96">
      <formula>AND(COUNTIF(G83:BE83,"&lt;&gt;" &amp; "")&gt;0,NOT(ISBLANK(E83)))</formula>
    </cfRule>
  </conditionalFormatting>
  <conditionalFormatting sqref="E86">
    <cfRule type="expression" dxfId="0" priority="97">
      <formula>COUNTIF(G86:BE86,"&lt;&gt;" &amp; "")&gt;0</formula>
    </cfRule>
    <cfRule type="expression" dxfId="1" priority="98">
      <formula>AND(COUNTIF(G86:BE86,"&lt;&gt;" &amp; "")&gt;0,NOT(ISBLANK(E86)))</formula>
    </cfRule>
  </conditionalFormatting>
  <conditionalFormatting sqref="E87">
    <cfRule type="expression" dxfId="0" priority="99">
      <formula>COUNTIF(G87:BE87,"&lt;&gt;" &amp; "")&gt;0</formula>
    </cfRule>
    <cfRule type="expression" dxfId="1" priority="100">
      <formula>AND(COUNTIF(G87:BE87,"&lt;&gt;" &amp; "")&gt;0,NOT(ISBLANK(E87)))</formula>
    </cfRule>
  </conditionalFormatting>
  <conditionalFormatting sqref="E88">
    <cfRule type="expression" dxfId="0" priority="101">
      <formula>COUNTIF(G88:BE88,"&lt;&gt;" &amp; "")&gt;0</formula>
    </cfRule>
    <cfRule type="expression" dxfId="1" priority="102">
      <formula>AND(COUNTIF(G88:BE88,"&lt;&gt;" &amp; "")&gt;0,NOT(ISBLANK(E88)))</formula>
    </cfRule>
  </conditionalFormatting>
  <conditionalFormatting sqref="E89">
    <cfRule type="expression" dxfId="0" priority="103">
      <formula>COUNTIF(G89:BE89,"&lt;&gt;" &amp; "")&gt;0</formula>
    </cfRule>
    <cfRule type="expression" dxfId="1" priority="104">
      <formula>AND(COUNTIF(G89:BE89,"&lt;&gt;" &amp; "")&gt;0,NOT(ISBLANK(E89)))</formula>
    </cfRule>
  </conditionalFormatting>
  <conditionalFormatting sqref="E90">
    <cfRule type="expression" dxfId="0" priority="105">
      <formula>COUNTIF(G90:BE90,"&lt;&gt;" &amp; "")&gt;0</formula>
    </cfRule>
    <cfRule type="expression" dxfId="1" priority="106">
      <formula>AND(COUNTIF(G90:BE90,"&lt;&gt;" &amp; "")&gt;0,NOT(ISBLANK(E90)))</formula>
    </cfRule>
  </conditionalFormatting>
  <conditionalFormatting sqref="E91">
    <cfRule type="expression" dxfId="0" priority="107">
      <formula>COUNTIF(G91:BE91,"&lt;&gt;" &amp; "")&gt;0</formula>
    </cfRule>
    <cfRule type="expression" dxfId="1" priority="108">
      <formula>AND(COUNTIF(G91:BE91,"&lt;&gt;" &amp; "")&gt;0,NOT(ISBLANK(E91)))</formula>
    </cfRule>
  </conditionalFormatting>
  <conditionalFormatting sqref="E92">
    <cfRule type="expression" dxfId="0" priority="109">
      <formula>COUNTIF(G92:BE92,"&lt;&gt;" &amp; "")&gt;0</formula>
    </cfRule>
    <cfRule type="expression" dxfId="1" priority="110">
      <formula>AND(COUNTIF(G92:BE92,"&lt;&gt;" &amp; "")&gt;0,NOT(ISBLANK(E92)))</formula>
    </cfRule>
  </conditionalFormatting>
  <conditionalFormatting sqref="E93">
    <cfRule type="expression" dxfId="0" priority="111">
      <formula>COUNTIF(G93:BE93,"&lt;&gt;" &amp; "")&gt;0</formula>
    </cfRule>
    <cfRule type="expression" dxfId="1" priority="112">
      <formula>AND(COUNTIF(G93:BE93,"&lt;&gt;" &amp; "")&gt;0,NOT(ISBLANK(E93)))</formula>
    </cfRule>
  </conditionalFormatting>
  <conditionalFormatting sqref="E94">
    <cfRule type="expression" dxfId="0" priority="113">
      <formula>COUNTIF(G94:BE94,"&lt;&gt;" &amp; "")&gt;0</formula>
    </cfRule>
    <cfRule type="expression" dxfId="1" priority="114">
      <formula>AND(COUNTIF(G94:BE94,"&lt;&gt;" &amp; "")&gt;0,NOT(ISBLANK(E94)))</formula>
    </cfRule>
  </conditionalFormatting>
  <conditionalFormatting sqref="E95">
    <cfRule type="expression" dxfId="0" priority="115">
      <formula>COUNTIF(G95:BE95,"&lt;&gt;" &amp; "")&gt;0</formula>
    </cfRule>
    <cfRule type="expression" dxfId="1" priority="116">
      <formula>AND(COUNTIF(G95:BE95,"&lt;&gt;" &amp; "")&gt;0,NOT(ISBLANK(E95)))</formula>
    </cfRule>
  </conditionalFormatting>
  <conditionalFormatting sqref="E96">
    <cfRule type="expression" dxfId="0" priority="117">
      <formula>COUNTIF(G96:BE96,"&lt;&gt;" &amp; "")&gt;0</formula>
    </cfRule>
    <cfRule type="expression" dxfId="1" priority="118">
      <formula>AND(COUNTIF(G96:BE96,"&lt;&gt;" &amp; "")&gt;0,NOT(ISBLANK(E96)))</formula>
    </cfRule>
  </conditionalFormatting>
  <conditionalFormatting sqref="E97">
    <cfRule type="expression" dxfId="0" priority="119">
      <formula>COUNTIF(G97:BE97,"&lt;&gt;" &amp; "")&gt;0</formula>
    </cfRule>
    <cfRule type="expression" dxfId="1" priority="120">
      <formula>AND(COUNTIF(G97:BE97,"&lt;&gt;" &amp; "")&gt;0,NOT(ISBLANK(E97)))</formula>
    </cfRule>
  </conditionalFormatting>
  <dataValidations count="1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7">
      <formula1>"Fraction"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0">
      <formula1>"Fraction"</formula1>
    </dataValidation>
    <dataValidation type="list" allowBlank="1" showInputMessage="1" showErrorMessage="1" sqref="C81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6">
      <formula1>"Fraction"</formula1>
    </dataValidation>
    <dataValidation type="list" allowBlank="1" showInputMessage="1" showErrorMessage="1" sqref="C97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8">
      <formula1>"Fraction"</formula1>
    </dataValidation>
    <dataValidation type="list" allowBlank="1" showInputMessage="1" showErrorMessage="1" sqref="C129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4">
      <formula1>"Fraction"</formula1>
    </dataValidation>
    <dataValidation type="list" allowBlank="1" showInputMessage="1" showErrorMessage="1" sqref="C145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0">
      <formula1>"Fraction"</formula1>
    </dataValidation>
    <dataValidation type="list" allowBlank="1" showInputMessage="1" showErrorMessage="1" sqref="C161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55"/>
  <sheetViews>
    <sheetView workbookViewId="0"/>
  </sheetViews>
  <sheetFormatPr defaultRowHeight="15"/>
  <cols>
    <col min="1" max="1" width="24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7">
      <c r="A1" s="1" t="s">
        <v>49</v>
      </c>
      <c r="B1" s="1" t="s">
        <v>29</v>
      </c>
      <c r="C1" s="1" t="s">
        <v>30</v>
      </c>
      <c r="D1" s="1" t="s">
        <v>31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7">
      <c r="A2" s="1" t="str">
        <f>'Population Definitions'!$A$2</f>
        <v>PWID_males</v>
      </c>
      <c r="C2" t="s">
        <v>32</v>
      </c>
      <c r="D2" s="3"/>
      <c r="E2" s="3">
        <v>99.71101950581348</v>
      </c>
      <c r="F2" s="3"/>
      <c r="G2" s="3"/>
      <c r="H2" s="3"/>
      <c r="I2" s="3"/>
      <c r="J2" s="3"/>
      <c r="K2" s="3"/>
      <c r="L2" s="3"/>
      <c r="M2" s="3"/>
      <c r="N2" s="3"/>
      <c r="O2" s="3">
        <v>99.71101950581348</v>
      </c>
      <c r="P2" s="3"/>
      <c r="Q2" s="3"/>
      <c r="R2" s="3"/>
      <c r="S2" s="3"/>
      <c r="T2" s="3">
        <v>99.71101950581348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7">
      <c r="A3" s="1" t="str">
        <f>'Population Definitions'!$A$3</f>
        <v>PWID_females</v>
      </c>
      <c r="C3" t="s">
        <v>32</v>
      </c>
      <c r="D3" s="3"/>
      <c r="E3" s="3">
        <v>30.53380000000001</v>
      </c>
      <c r="F3" s="3"/>
      <c r="G3" s="3"/>
      <c r="H3" s="3"/>
      <c r="I3" s="3"/>
      <c r="J3" s="3"/>
      <c r="K3" s="3"/>
      <c r="L3" s="3"/>
      <c r="M3" s="3"/>
      <c r="N3" s="3"/>
      <c r="O3" s="3">
        <v>30.53380000000001</v>
      </c>
      <c r="P3" s="3"/>
      <c r="Q3" s="3"/>
      <c r="R3" s="3"/>
      <c r="S3" s="3"/>
      <c r="T3" s="3">
        <v>30.53380000000001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7">
      <c r="A4" s="1" t="str">
        <f>'Population Definitions'!$A$4</f>
        <v>0-9_males</v>
      </c>
      <c r="C4" t="s">
        <v>32</v>
      </c>
      <c r="D4" s="3"/>
      <c r="E4" s="3">
        <v>15598</v>
      </c>
      <c r="F4" s="3">
        <v>15542.5</v>
      </c>
      <c r="G4" s="3">
        <v>15420</v>
      </c>
      <c r="H4" s="3">
        <v>15211</v>
      </c>
      <c r="I4" s="3">
        <v>14919.5</v>
      </c>
      <c r="J4" s="3">
        <v>14553.5</v>
      </c>
      <c r="K4" s="3">
        <v>14136.5</v>
      </c>
      <c r="L4" s="3">
        <v>13700.5</v>
      </c>
      <c r="M4" s="3">
        <v>13267.5</v>
      </c>
      <c r="N4" s="3">
        <v>12861.5</v>
      </c>
      <c r="O4" s="3">
        <v>12625</v>
      </c>
      <c r="P4" s="3">
        <v>12584.5</v>
      </c>
      <c r="Q4" s="3">
        <v>12596</v>
      </c>
      <c r="R4" s="3">
        <v>12602</v>
      </c>
      <c r="S4" s="3">
        <v>12592</v>
      </c>
      <c r="T4" s="3">
        <v>12568</v>
      </c>
      <c r="U4" s="3">
        <v>12573</v>
      </c>
      <c r="V4" s="3">
        <v>12597.5</v>
      </c>
      <c r="W4" s="3">
        <v>12595.5</v>
      </c>
      <c r="X4" s="3">
        <v>12561.5</v>
      </c>
      <c r="Y4" s="3">
        <v>12509.5</v>
      </c>
      <c r="Z4" s="3">
        <v>12464.5</v>
      </c>
      <c r="AA4" s="3">
        <v>12429.5</v>
      </c>
      <c r="AB4" s="3">
        <v>12404</v>
      </c>
      <c r="AC4" s="3">
        <v>12365.5</v>
      </c>
      <c r="AD4" s="3">
        <v>12311.5</v>
      </c>
      <c r="AE4" s="3">
        <v>12261.5</v>
      </c>
      <c r="AF4" s="3">
        <v>12221.5</v>
      </c>
      <c r="AG4" s="3">
        <v>12188</v>
      </c>
      <c r="AH4" s="3">
        <v>12156.5</v>
      </c>
      <c r="AI4" s="3">
        <v>12128.5</v>
      </c>
      <c r="AJ4" s="3">
        <v>12100</v>
      </c>
      <c r="AK4" s="3">
        <v>12070</v>
      </c>
      <c r="AL4" s="3">
        <v>12038</v>
      </c>
      <c r="AM4" s="3">
        <v>12002</v>
      </c>
      <c r="AN4" s="3">
        <v>11960</v>
      </c>
      <c r="AO4" s="3">
        <v>11908</v>
      </c>
      <c r="AP4" s="3">
        <v>11846</v>
      </c>
      <c r="AQ4" s="3">
        <v>11774</v>
      </c>
      <c r="AR4" s="3">
        <v>11691</v>
      </c>
      <c r="AS4" s="3">
        <v>11599</v>
      </c>
      <c r="AT4" s="3">
        <v>11500</v>
      </c>
      <c r="AU4" s="3">
        <v>11398.5</v>
      </c>
      <c r="AV4" s="3">
        <v>11298</v>
      </c>
      <c r="AW4" s="3">
        <v>11196.5</v>
      </c>
      <c r="AX4" s="3">
        <v>11094</v>
      </c>
      <c r="AY4" s="3">
        <v>10993</v>
      </c>
      <c r="AZ4" s="3">
        <v>10894.5</v>
      </c>
      <c r="BA4" s="3">
        <v>10800</v>
      </c>
      <c r="BB4" s="3">
        <v>10710.5</v>
      </c>
      <c r="BC4" s="3">
        <v>10625.5</v>
      </c>
    </row>
    <row r="5" spans="1:57">
      <c r="A5" s="1" t="str">
        <f>'Population Definitions'!$A$5</f>
        <v>0-9_females</v>
      </c>
      <c r="C5" t="s">
        <v>32</v>
      </c>
      <c r="D5" s="3"/>
      <c r="E5" s="3">
        <v>15044</v>
      </c>
      <c r="F5" s="3">
        <v>14984</v>
      </c>
      <c r="G5" s="3">
        <v>14841</v>
      </c>
      <c r="H5" s="3">
        <v>14631.5</v>
      </c>
      <c r="I5" s="3">
        <v>14386</v>
      </c>
      <c r="J5" s="3">
        <v>14114.5</v>
      </c>
      <c r="K5" s="3">
        <v>13825</v>
      </c>
      <c r="L5" s="3">
        <v>13469.5</v>
      </c>
      <c r="M5" s="3">
        <v>13056.5</v>
      </c>
      <c r="N5" s="3">
        <v>12707.5</v>
      </c>
      <c r="O5" s="3">
        <v>12517</v>
      </c>
      <c r="P5" s="3">
        <v>12457</v>
      </c>
      <c r="Q5" s="3">
        <v>12417.5</v>
      </c>
      <c r="R5" s="3">
        <v>12338</v>
      </c>
      <c r="S5" s="3">
        <v>12244.5</v>
      </c>
      <c r="T5" s="3">
        <v>12135.5</v>
      </c>
      <c r="U5" s="3">
        <v>12023</v>
      </c>
      <c r="V5" s="3">
        <v>11954.5</v>
      </c>
      <c r="W5" s="3">
        <v>11902</v>
      </c>
      <c r="X5" s="3">
        <v>11825.5</v>
      </c>
      <c r="Y5" s="3">
        <v>11756.5</v>
      </c>
      <c r="Z5" s="3">
        <v>11713.5</v>
      </c>
      <c r="AA5" s="3">
        <v>11677.5</v>
      </c>
      <c r="AB5" s="3">
        <v>11652</v>
      </c>
      <c r="AC5" s="3">
        <v>11614</v>
      </c>
      <c r="AD5" s="3">
        <v>11559.5</v>
      </c>
      <c r="AE5" s="3">
        <v>11511</v>
      </c>
      <c r="AF5" s="3">
        <v>11470.5</v>
      </c>
      <c r="AG5" s="3">
        <v>11436.5</v>
      </c>
      <c r="AH5" s="3">
        <v>11407.5</v>
      </c>
      <c r="AI5" s="3">
        <v>11382</v>
      </c>
      <c r="AJ5" s="3">
        <v>11356</v>
      </c>
      <c r="AK5" s="3">
        <v>11328.5</v>
      </c>
      <c r="AL5" s="3">
        <v>11301.5</v>
      </c>
      <c r="AM5" s="3">
        <v>11271.5</v>
      </c>
      <c r="AN5" s="3">
        <v>11234.5</v>
      </c>
      <c r="AO5" s="3">
        <v>11187.5</v>
      </c>
      <c r="AP5" s="3">
        <v>11132</v>
      </c>
      <c r="AQ5" s="3">
        <v>11067.5</v>
      </c>
      <c r="AR5" s="3">
        <v>10991.5</v>
      </c>
      <c r="AS5" s="3">
        <v>10906</v>
      </c>
      <c r="AT5" s="3">
        <v>10815</v>
      </c>
      <c r="AU5" s="3">
        <v>10722.5</v>
      </c>
      <c r="AV5" s="3">
        <v>10629</v>
      </c>
      <c r="AW5" s="3">
        <v>10533.5</v>
      </c>
      <c r="AX5" s="3">
        <v>10438.5</v>
      </c>
      <c r="AY5" s="3">
        <v>10345</v>
      </c>
      <c r="AZ5" s="3">
        <v>10254.5</v>
      </c>
      <c r="BA5" s="3">
        <v>10167.5</v>
      </c>
      <c r="BB5" s="3">
        <v>10082.5</v>
      </c>
      <c r="BC5" s="3">
        <v>10003</v>
      </c>
    </row>
    <row r="6" spans="1:57">
      <c r="A6" s="1" t="str">
        <f>'Population Definitions'!$A$6</f>
        <v>10-17_males</v>
      </c>
      <c r="C6" t="s">
        <v>32</v>
      </c>
      <c r="D6" s="3"/>
      <c r="E6" s="3">
        <v>11910</v>
      </c>
      <c r="F6" s="3">
        <v>11659.5</v>
      </c>
      <c r="G6" s="3">
        <v>11358</v>
      </c>
      <c r="H6" s="3">
        <v>11087</v>
      </c>
      <c r="I6" s="3">
        <v>10887.5</v>
      </c>
      <c r="J6" s="3">
        <v>10791</v>
      </c>
      <c r="K6" s="3">
        <v>10770</v>
      </c>
      <c r="L6" s="3">
        <v>10744</v>
      </c>
      <c r="M6" s="3">
        <v>10693</v>
      </c>
      <c r="N6" s="3">
        <v>10627</v>
      </c>
      <c r="O6" s="3">
        <v>10580.5</v>
      </c>
      <c r="P6" s="3">
        <v>10517</v>
      </c>
      <c r="Q6" s="3">
        <v>10388.5</v>
      </c>
      <c r="R6" s="3">
        <v>10238.5</v>
      </c>
      <c r="S6" s="3">
        <v>10121</v>
      </c>
      <c r="T6" s="3">
        <v>10042</v>
      </c>
      <c r="U6" s="3">
        <v>9921</v>
      </c>
      <c r="V6" s="3">
        <v>9769</v>
      </c>
      <c r="W6" s="3">
        <v>9635</v>
      </c>
      <c r="X6" s="3">
        <v>9583</v>
      </c>
      <c r="Y6" s="3">
        <v>9634.5</v>
      </c>
      <c r="Z6" s="3">
        <v>9692.000000000002</v>
      </c>
      <c r="AA6" s="3">
        <v>9714.500000000002</v>
      </c>
      <c r="AB6" s="3">
        <v>9716.5</v>
      </c>
      <c r="AC6" s="3">
        <v>9741.5</v>
      </c>
      <c r="AD6" s="3">
        <v>9775</v>
      </c>
      <c r="AE6" s="3">
        <v>9768.5</v>
      </c>
      <c r="AF6" s="3">
        <v>9727</v>
      </c>
      <c r="AG6" s="3">
        <v>9653.500000000002</v>
      </c>
      <c r="AH6" s="3">
        <v>9575</v>
      </c>
      <c r="AI6" s="3">
        <v>9511</v>
      </c>
      <c r="AJ6" s="3">
        <v>9460</v>
      </c>
      <c r="AK6" s="3">
        <v>9419</v>
      </c>
      <c r="AL6" s="3">
        <v>9380.499999999998</v>
      </c>
      <c r="AM6" s="3">
        <v>9348.500000000002</v>
      </c>
      <c r="AN6" s="3">
        <v>9325.000000000002</v>
      </c>
      <c r="AO6" s="3">
        <v>9304.5</v>
      </c>
      <c r="AP6" s="3">
        <v>9288.5</v>
      </c>
      <c r="AQ6" s="3">
        <v>9277</v>
      </c>
      <c r="AR6" s="3">
        <v>9265.5</v>
      </c>
      <c r="AS6" s="3">
        <v>9255.5</v>
      </c>
      <c r="AT6" s="3">
        <v>9250.499999999998</v>
      </c>
      <c r="AU6" s="3">
        <v>9241.000000000002</v>
      </c>
      <c r="AV6" s="3">
        <v>9223.499999999998</v>
      </c>
      <c r="AW6" s="3">
        <v>9201.5</v>
      </c>
      <c r="AX6" s="3">
        <v>9172</v>
      </c>
      <c r="AY6" s="3">
        <v>9133</v>
      </c>
      <c r="AZ6" s="3">
        <v>9084.5</v>
      </c>
      <c r="BA6" s="3">
        <v>9027.5</v>
      </c>
      <c r="BB6" s="3">
        <v>8963.000000000002</v>
      </c>
      <c r="BC6" s="3">
        <v>8892.5</v>
      </c>
    </row>
    <row r="7" spans="1:57">
      <c r="A7" s="1" t="str">
        <f>'Population Definitions'!$A$7</f>
        <v>10-17_females</v>
      </c>
      <c r="C7" t="s">
        <v>32</v>
      </c>
      <c r="D7" s="3"/>
      <c r="E7" s="3">
        <v>11250</v>
      </c>
      <c r="F7" s="3">
        <v>10967.5</v>
      </c>
      <c r="G7" s="3">
        <v>10720.5</v>
      </c>
      <c r="H7" s="3">
        <v>10536.5</v>
      </c>
      <c r="I7" s="3">
        <v>10411.5</v>
      </c>
      <c r="J7" s="3">
        <v>10359.5</v>
      </c>
      <c r="K7" s="3">
        <v>10350.5</v>
      </c>
      <c r="L7" s="3">
        <v>10373.5</v>
      </c>
      <c r="M7" s="3">
        <v>10434.5</v>
      </c>
      <c r="N7" s="3">
        <v>10448</v>
      </c>
      <c r="O7" s="3">
        <v>10388.5</v>
      </c>
      <c r="P7" s="3">
        <v>10281.5</v>
      </c>
      <c r="Q7" s="3">
        <v>10160.5</v>
      </c>
      <c r="R7" s="3">
        <v>10077.5</v>
      </c>
      <c r="S7" s="3">
        <v>10020.5</v>
      </c>
      <c r="T7" s="3">
        <v>9953.5</v>
      </c>
      <c r="U7" s="3">
        <v>9837.5</v>
      </c>
      <c r="V7" s="3">
        <v>9706.999999999998</v>
      </c>
      <c r="W7" s="3">
        <v>9608</v>
      </c>
      <c r="X7" s="3">
        <v>9581</v>
      </c>
      <c r="Y7" s="3">
        <v>9602.5</v>
      </c>
      <c r="Z7" s="3">
        <v>9575.000000000002</v>
      </c>
      <c r="AA7" s="3">
        <v>9514</v>
      </c>
      <c r="AB7" s="3">
        <v>9431</v>
      </c>
      <c r="AC7" s="3">
        <v>9341.5</v>
      </c>
      <c r="AD7" s="3">
        <v>9290.000000000002</v>
      </c>
      <c r="AE7" s="3">
        <v>9238.999999999998</v>
      </c>
      <c r="AF7" s="3">
        <v>9155.499999999998</v>
      </c>
      <c r="AG7" s="3">
        <v>9065.000000000002</v>
      </c>
      <c r="AH7" s="3">
        <v>8990.499999999998</v>
      </c>
      <c r="AI7" s="3">
        <v>8927</v>
      </c>
      <c r="AJ7" s="3">
        <v>8877</v>
      </c>
      <c r="AK7" s="3">
        <v>8836.5</v>
      </c>
      <c r="AL7" s="3">
        <v>8797</v>
      </c>
      <c r="AM7" s="3">
        <v>8764</v>
      </c>
      <c r="AN7" s="3">
        <v>8740</v>
      </c>
      <c r="AO7" s="3">
        <v>8720.500000000002</v>
      </c>
      <c r="AP7" s="3">
        <v>8706.000000000002</v>
      </c>
      <c r="AQ7" s="3">
        <v>8695.5</v>
      </c>
      <c r="AR7" s="3">
        <v>8686</v>
      </c>
      <c r="AS7" s="3">
        <v>8678.5</v>
      </c>
      <c r="AT7" s="3">
        <v>8675.5</v>
      </c>
      <c r="AU7" s="3">
        <v>8669.999999999998</v>
      </c>
      <c r="AV7" s="3">
        <v>8658.000000000002</v>
      </c>
      <c r="AW7" s="3">
        <v>8640.5</v>
      </c>
      <c r="AX7" s="3">
        <v>8615</v>
      </c>
      <c r="AY7" s="3">
        <v>8581</v>
      </c>
      <c r="AZ7" s="3">
        <v>8539</v>
      </c>
      <c r="BA7" s="3">
        <v>8488.999999999998</v>
      </c>
      <c r="BB7" s="3">
        <v>8429.5</v>
      </c>
      <c r="BC7" s="3">
        <v>8365.5</v>
      </c>
    </row>
    <row r="8" spans="1:57">
      <c r="A8" s="1" t="str">
        <f>'Population Definitions'!$A$8</f>
        <v>18-64_males</v>
      </c>
      <c r="C8" t="s">
        <v>32</v>
      </c>
      <c r="D8" s="3"/>
      <c r="E8" s="3">
        <v>26859.00000000001</v>
      </c>
      <c r="F8" s="3">
        <v>27275.5</v>
      </c>
      <c r="G8" s="3">
        <v>27695.5</v>
      </c>
      <c r="H8" s="3">
        <v>28066.00000000001</v>
      </c>
      <c r="I8" s="3">
        <v>28370</v>
      </c>
      <c r="J8" s="3">
        <v>28606.50000000001</v>
      </c>
      <c r="K8" s="3">
        <v>28717.5</v>
      </c>
      <c r="L8" s="3">
        <v>28770</v>
      </c>
      <c r="M8" s="3">
        <v>28802</v>
      </c>
      <c r="N8" s="3">
        <v>28793.5</v>
      </c>
      <c r="O8" s="3">
        <v>28829.5</v>
      </c>
      <c r="P8" s="3">
        <v>28984</v>
      </c>
      <c r="Q8" s="3">
        <v>29141.50000000001</v>
      </c>
      <c r="R8" s="3">
        <v>29309.5</v>
      </c>
      <c r="S8" s="3">
        <v>29443</v>
      </c>
      <c r="T8" s="3">
        <v>29597.50000000001</v>
      </c>
      <c r="U8" s="3">
        <v>29778</v>
      </c>
      <c r="V8" s="3">
        <v>30001.49999999999</v>
      </c>
      <c r="W8" s="3">
        <v>30230.99999999999</v>
      </c>
      <c r="X8" s="3">
        <v>30363.49999999999</v>
      </c>
      <c r="Y8" s="3">
        <v>30525.5</v>
      </c>
      <c r="Z8" s="3">
        <v>30719</v>
      </c>
      <c r="AA8" s="3">
        <v>30853.5</v>
      </c>
      <c r="AB8" s="3">
        <v>31022.00000000001</v>
      </c>
      <c r="AC8" s="3">
        <v>31181.5</v>
      </c>
      <c r="AD8" s="3">
        <v>31336.5</v>
      </c>
      <c r="AE8" s="3">
        <v>31535</v>
      </c>
      <c r="AF8" s="3">
        <v>31794.49999999999</v>
      </c>
      <c r="AG8" s="3">
        <v>32096.5</v>
      </c>
      <c r="AH8" s="3">
        <v>32394</v>
      </c>
      <c r="AI8" s="3">
        <v>32677.99999999999</v>
      </c>
      <c r="AJ8" s="3">
        <v>32976.00000000001</v>
      </c>
      <c r="AK8" s="3">
        <v>33299</v>
      </c>
      <c r="AL8" s="3">
        <v>33631.49999999999</v>
      </c>
      <c r="AM8" s="3">
        <v>33951.00000000001</v>
      </c>
      <c r="AN8" s="3">
        <v>34265.5</v>
      </c>
      <c r="AO8" s="3">
        <v>34595.00000000001</v>
      </c>
      <c r="AP8" s="3">
        <v>34936.00000000001</v>
      </c>
      <c r="AQ8" s="3">
        <v>35274.49999999999</v>
      </c>
      <c r="AR8" s="3">
        <v>35608.99999999999</v>
      </c>
      <c r="AS8" s="3">
        <v>35936.00000000001</v>
      </c>
      <c r="AT8" s="3">
        <v>36252</v>
      </c>
      <c r="AU8" s="3">
        <v>36567.49999999998</v>
      </c>
      <c r="AV8" s="3">
        <v>36914.99999999999</v>
      </c>
      <c r="AW8" s="3">
        <v>37276.5</v>
      </c>
      <c r="AX8" s="3">
        <v>37630.99999999999</v>
      </c>
      <c r="AY8" s="3">
        <v>37996.50000000001</v>
      </c>
      <c r="AZ8" s="3">
        <v>38373.50000000001</v>
      </c>
      <c r="BA8" s="3">
        <v>38734</v>
      </c>
      <c r="BB8" s="3">
        <v>39070.5</v>
      </c>
      <c r="BC8" s="3">
        <v>39388</v>
      </c>
    </row>
    <row r="9" spans="1:57">
      <c r="A9" s="1" t="str">
        <f>'Population Definitions'!$A$9</f>
        <v>18-64_females</v>
      </c>
      <c r="C9" t="s">
        <v>32</v>
      </c>
      <c r="D9" s="3"/>
      <c r="E9" s="3">
        <v>27758.00000000001</v>
      </c>
      <c r="F9" s="3">
        <v>28179</v>
      </c>
      <c r="G9" s="3">
        <v>28521.49999999999</v>
      </c>
      <c r="H9" s="3">
        <v>28779.99999999999</v>
      </c>
      <c r="I9" s="3">
        <v>28960</v>
      </c>
      <c r="J9" s="3">
        <v>29056</v>
      </c>
      <c r="K9" s="3">
        <v>29080.00000000001</v>
      </c>
      <c r="L9" s="3">
        <v>29065</v>
      </c>
      <c r="M9" s="3">
        <v>29012</v>
      </c>
      <c r="N9" s="3">
        <v>28928</v>
      </c>
      <c r="O9" s="3">
        <v>28999</v>
      </c>
      <c r="P9" s="3">
        <v>29210.5</v>
      </c>
      <c r="Q9" s="3">
        <v>29411</v>
      </c>
      <c r="R9" s="3">
        <v>29617.5</v>
      </c>
      <c r="S9" s="3">
        <v>29806.99999999999</v>
      </c>
      <c r="T9" s="3">
        <v>30030.99999999999</v>
      </c>
      <c r="U9" s="3">
        <v>30325.00000000001</v>
      </c>
      <c r="V9" s="3">
        <v>30605.50000000001</v>
      </c>
      <c r="W9" s="3">
        <v>30835</v>
      </c>
      <c r="X9" s="3">
        <v>30971.99999999999</v>
      </c>
      <c r="Y9" s="3">
        <v>31172.5</v>
      </c>
      <c r="Z9" s="3">
        <v>31426.5</v>
      </c>
      <c r="AA9" s="3">
        <v>31604.50000000001</v>
      </c>
      <c r="AB9" s="3">
        <v>31817.99999999999</v>
      </c>
      <c r="AC9" s="3">
        <v>32052.00000000001</v>
      </c>
      <c r="AD9" s="3">
        <v>32249.49999999999</v>
      </c>
      <c r="AE9" s="3">
        <v>32460</v>
      </c>
      <c r="AF9" s="3">
        <v>32717.5</v>
      </c>
      <c r="AG9" s="3">
        <v>32980.00000000001</v>
      </c>
      <c r="AH9" s="3">
        <v>33245.49999999999</v>
      </c>
      <c r="AI9" s="3">
        <v>33492.50000000001</v>
      </c>
      <c r="AJ9" s="3">
        <v>33726.5</v>
      </c>
      <c r="AK9" s="3">
        <v>33969.99999999999</v>
      </c>
      <c r="AL9" s="3">
        <v>34210.5</v>
      </c>
      <c r="AM9" s="3">
        <v>34447.00000000001</v>
      </c>
      <c r="AN9" s="3">
        <v>34691</v>
      </c>
      <c r="AO9" s="3">
        <v>34967</v>
      </c>
      <c r="AP9" s="3">
        <v>35256.99999999999</v>
      </c>
      <c r="AQ9" s="3">
        <v>35516.99999999999</v>
      </c>
      <c r="AR9" s="3">
        <v>35759.49999999999</v>
      </c>
      <c r="AS9" s="3">
        <v>36019.00000000001</v>
      </c>
      <c r="AT9" s="3">
        <v>36316.00000000001</v>
      </c>
      <c r="AU9" s="3">
        <v>36646.49999999999</v>
      </c>
      <c r="AV9" s="3">
        <v>36989.49999999999</v>
      </c>
      <c r="AW9" s="3">
        <v>37314.50000000001</v>
      </c>
      <c r="AX9" s="3">
        <v>37625.00000000001</v>
      </c>
      <c r="AY9" s="3">
        <v>37939.00000000001</v>
      </c>
      <c r="AZ9" s="3">
        <v>38256.5</v>
      </c>
      <c r="BA9" s="3">
        <v>38579.00000000001</v>
      </c>
      <c r="BB9" s="3">
        <v>38906</v>
      </c>
      <c r="BC9" s="3">
        <v>39239.5</v>
      </c>
    </row>
    <row r="10" spans="1:57">
      <c r="A10" s="1" t="str">
        <f>'Population Definitions'!$A$10</f>
        <v>65+_males</v>
      </c>
      <c r="C10" t="s">
        <v>32</v>
      </c>
      <c r="D10" s="3"/>
      <c r="E10" s="3">
        <v>1541.999999999999</v>
      </c>
      <c r="F10" s="3">
        <v>1603.499999999999</v>
      </c>
      <c r="G10" s="3">
        <v>1666.999999999999</v>
      </c>
      <c r="H10" s="3">
        <v>1704</v>
      </c>
      <c r="I10" s="3">
        <v>1705.499999999999</v>
      </c>
      <c r="J10" s="3">
        <v>1674</v>
      </c>
      <c r="K10" s="3">
        <v>1621.5</v>
      </c>
      <c r="L10" s="3">
        <v>1559.999999999999</v>
      </c>
      <c r="M10" s="3">
        <v>1501.5</v>
      </c>
      <c r="N10" s="3">
        <v>1450.5</v>
      </c>
      <c r="O10" s="3">
        <v>1433.5</v>
      </c>
      <c r="P10" s="3">
        <v>1460</v>
      </c>
      <c r="Q10" s="3">
        <v>1511.499999999999</v>
      </c>
      <c r="R10" s="3">
        <v>1596.5</v>
      </c>
      <c r="S10" s="3">
        <v>1692.999999999999</v>
      </c>
      <c r="T10" s="3">
        <v>1795</v>
      </c>
      <c r="U10" s="3">
        <v>1905</v>
      </c>
      <c r="V10" s="3">
        <v>2007</v>
      </c>
      <c r="W10" s="3">
        <v>2116.5</v>
      </c>
      <c r="X10" s="3">
        <v>2247.5</v>
      </c>
      <c r="Y10" s="3">
        <v>2385</v>
      </c>
      <c r="Z10" s="3">
        <v>2509.000000000001</v>
      </c>
      <c r="AA10" s="3">
        <v>2609.999999999999</v>
      </c>
      <c r="AB10" s="3">
        <v>2700.999999999999</v>
      </c>
      <c r="AC10" s="3">
        <v>2796.5</v>
      </c>
      <c r="AD10" s="3">
        <v>2900.5</v>
      </c>
      <c r="AE10" s="3">
        <v>2983.999999999999</v>
      </c>
      <c r="AF10" s="3">
        <v>3044</v>
      </c>
      <c r="AG10" s="3">
        <v>3106.5</v>
      </c>
      <c r="AH10" s="3">
        <v>3173.5</v>
      </c>
      <c r="AI10" s="3">
        <v>3239.499999999999</v>
      </c>
      <c r="AJ10" s="3">
        <v>3283.999999999999</v>
      </c>
      <c r="AK10" s="3">
        <v>3300</v>
      </c>
      <c r="AL10" s="3">
        <v>3304</v>
      </c>
      <c r="AM10" s="3">
        <v>3323.499999999999</v>
      </c>
      <c r="AN10" s="3">
        <v>3349.5</v>
      </c>
      <c r="AO10" s="3">
        <v>3353.499999999999</v>
      </c>
      <c r="AP10" s="3">
        <v>3350</v>
      </c>
      <c r="AQ10" s="3">
        <v>3351.499999999999</v>
      </c>
      <c r="AR10" s="3">
        <v>3352.499999999999</v>
      </c>
      <c r="AS10" s="3">
        <v>3361</v>
      </c>
      <c r="AT10" s="3">
        <v>3387.499999999998</v>
      </c>
      <c r="AU10" s="3">
        <v>3422.999999999999</v>
      </c>
      <c r="AV10" s="3">
        <v>3437.999999999999</v>
      </c>
      <c r="AW10" s="3">
        <v>3444</v>
      </c>
      <c r="AX10" s="3">
        <v>3460</v>
      </c>
      <c r="AY10" s="3">
        <v>3473.999999999999</v>
      </c>
      <c r="AZ10" s="3">
        <v>3480.499999999999</v>
      </c>
      <c r="BA10" s="3">
        <v>3512</v>
      </c>
      <c r="BB10" s="3">
        <v>3567.5</v>
      </c>
      <c r="BC10" s="3">
        <v>3633.5</v>
      </c>
    </row>
    <row r="11" spans="1:57">
      <c r="A11" s="1" t="str">
        <f>'Population Definitions'!$A$11</f>
        <v>65+_females</v>
      </c>
      <c r="C11" t="s">
        <v>32</v>
      </c>
      <c r="D11" s="3"/>
      <c r="E11" s="3">
        <v>1992</v>
      </c>
      <c r="F11" s="3">
        <v>2062.999999999999</v>
      </c>
      <c r="G11" s="3">
        <v>2133.5</v>
      </c>
      <c r="H11" s="3">
        <v>2178</v>
      </c>
      <c r="I11" s="3">
        <v>2194.499999999999</v>
      </c>
      <c r="J11" s="3">
        <v>2185</v>
      </c>
      <c r="K11" s="3">
        <v>2155.999999999999</v>
      </c>
      <c r="L11" s="3">
        <v>2125.999999999999</v>
      </c>
      <c r="M11" s="3">
        <v>2097.499999999999</v>
      </c>
      <c r="N11" s="3">
        <v>2069.499999999999</v>
      </c>
      <c r="O11" s="3">
        <v>2066.499999999999</v>
      </c>
      <c r="P11" s="3">
        <v>2103.5</v>
      </c>
      <c r="Q11" s="3">
        <v>2163.499999999999</v>
      </c>
      <c r="R11" s="3">
        <v>2240.999999999999</v>
      </c>
      <c r="S11" s="3">
        <v>2342.999999999999</v>
      </c>
      <c r="T11" s="3">
        <v>2461</v>
      </c>
      <c r="U11" s="3">
        <v>2580</v>
      </c>
      <c r="V11" s="3">
        <v>2707.5</v>
      </c>
      <c r="W11" s="3">
        <v>2854.5</v>
      </c>
      <c r="X11" s="3">
        <v>3016</v>
      </c>
      <c r="Y11" s="3">
        <v>3198.5</v>
      </c>
      <c r="Z11" s="3">
        <v>3393</v>
      </c>
      <c r="AA11" s="3">
        <v>3578</v>
      </c>
      <c r="AB11" s="3">
        <v>3754</v>
      </c>
      <c r="AC11" s="3">
        <v>3936</v>
      </c>
      <c r="AD11" s="3">
        <v>4128.500000000001</v>
      </c>
      <c r="AE11" s="3">
        <v>4291.5</v>
      </c>
      <c r="AF11" s="3">
        <v>4437</v>
      </c>
      <c r="AG11" s="3">
        <v>4590.500000000001</v>
      </c>
      <c r="AH11" s="3">
        <v>4725</v>
      </c>
      <c r="AI11" s="3">
        <v>4859.000000000002</v>
      </c>
      <c r="AJ11" s="3">
        <v>4991.500000000001</v>
      </c>
      <c r="AK11" s="3">
        <v>5108.5</v>
      </c>
      <c r="AL11" s="3">
        <v>5224</v>
      </c>
      <c r="AM11" s="3">
        <v>5340.499999999999</v>
      </c>
      <c r="AN11" s="3">
        <v>5445.499999999999</v>
      </c>
      <c r="AO11" s="3">
        <v>5509.499999999999</v>
      </c>
      <c r="AP11" s="3">
        <v>5562.5</v>
      </c>
      <c r="AQ11" s="3">
        <v>5641.999999999999</v>
      </c>
      <c r="AR11" s="3">
        <v>5725.000000000002</v>
      </c>
      <c r="AS11" s="3">
        <v>5794.000000000001</v>
      </c>
      <c r="AT11" s="3">
        <v>5826</v>
      </c>
      <c r="AU11" s="3">
        <v>5826.000000000003</v>
      </c>
      <c r="AV11" s="3">
        <v>5826</v>
      </c>
      <c r="AW11" s="3">
        <v>5851.000000000003</v>
      </c>
      <c r="AX11" s="3">
        <v>5897</v>
      </c>
      <c r="AY11" s="3">
        <v>5945.999999999999</v>
      </c>
      <c r="AZ11" s="3">
        <v>5994.000000000001</v>
      </c>
      <c r="BA11" s="3">
        <v>6044.000000000001</v>
      </c>
      <c r="BB11" s="3">
        <v>6091</v>
      </c>
      <c r="BC11" s="3">
        <v>6128.499999999997</v>
      </c>
    </row>
    <row r="12" spans="1:57">
      <c r="A12" s="1" t="str">
        <f>'Population Definitions'!$A$12</f>
        <v>Prisoners_males</v>
      </c>
      <c r="C12" t="s">
        <v>32</v>
      </c>
      <c r="D12" s="3"/>
      <c r="E12" s="3">
        <v>91</v>
      </c>
      <c r="F12" s="3"/>
      <c r="G12" s="3"/>
      <c r="H12" s="3"/>
      <c r="I12" s="3"/>
      <c r="J12" s="3">
        <v>72</v>
      </c>
      <c r="K12" s="3"/>
      <c r="L12" s="3"/>
      <c r="M12" s="3"/>
      <c r="N12" s="3"/>
      <c r="O12" s="3">
        <v>100</v>
      </c>
      <c r="P12" s="3"/>
      <c r="Q12" s="3"/>
      <c r="R12" s="3"/>
      <c r="S12" s="3">
        <v>132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7">
      <c r="A13" s="1" t="str">
        <f>'Population Definitions'!$A$13</f>
        <v>Prisoners_females</v>
      </c>
      <c r="C13" t="s">
        <v>32</v>
      </c>
      <c r="D13" s="3"/>
      <c r="E13" s="3">
        <v>0</v>
      </c>
      <c r="F13" s="3"/>
      <c r="G13" s="3"/>
      <c r="H13" s="3"/>
      <c r="I13" s="3"/>
      <c r="J13" s="3">
        <v>0</v>
      </c>
      <c r="K13" s="3"/>
      <c r="L13" s="3"/>
      <c r="M13" s="3"/>
      <c r="N13" s="3"/>
      <c r="O13" s="3">
        <v>0</v>
      </c>
      <c r="P13" s="3"/>
      <c r="Q13" s="3"/>
      <c r="R13" s="3"/>
      <c r="S13" s="3">
        <v>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5" spans="1:57">
      <c r="A15" s="1" t="s">
        <v>50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C16" t="s">
        <v>51</v>
      </c>
      <c r="D16" s="3"/>
      <c r="E16" s="3">
        <v>0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C17" t="s">
        <v>51</v>
      </c>
      <c r="D17" s="3"/>
      <c r="E17" s="3">
        <v>0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C18" t="s">
        <v>51</v>
      </c>
      <c r="D18" s="3"/>
      <c r="E18" s="3"/>
      <c r="F18" s="4" t="s">
        <v>37</v>
      </c>
      <c r="G18" s="3">
        <v>1861.903381642512</v>
      </c>
      <c r="H18" s="3">
        <v>1826.236714975845</v>
      </c>
      <c r="I18" s="3">
        <v>1771.444444444444</v>
      </c>
      <c r="J18" s="3">
        <v>1717.685990338164</v>
      </c>
      <c r="K18" s="3">
        <v>1675.816425120773</v>
      </c>
      <c r="L18" s="3">
        <v>1634.980676328502</v>
      </c>
      <c r="M18" s="3">
        <v>1588.975845410628</v>
      </c>
      <c r="N18" s="3">
        <v>1538.835748792271</v>
      </c>
      <c r="O18" s="3">
        <v>1487.144927536232</v>
      </c>
      <c r="P18" s="3">
        <v>1441.140096618358</v>
      </c>
      <c r="Q18" s="3">
        <v>1401.338164251208</v>
      </c>
      <c r="R18" s="3">
        <v>1377.56038647343</v>
      </c>
      <c r="S18" s="3">
        <v>1358.951690821256</v>
      </c>
      <c r="T18" s="3">
        <v>1342.927536231884</v>
      </c>
      <c r="U18" s="3">
        <v>1332.589371980676</v>
      </c>
      <c r="V18" s="3">
        <v>1324.835748792271</v>
      </c>
      <c r="W18" s="3">
        <v>1316.565217391304</v>
      </c>
      <c r="X18" s="3">
        <v>1311.3961352657</v>
      </c>
      <c r="Y18" s="3">
        <v>1309.845410628019</v>
      </c>
      <c r="Z18" s="3">
        <v>1305.193236714976</v>
      </c>
      <c r="AA18" s="3">
        <v>1301.057971014493</v>
      </c>
      <c r="AB18" s="3">
        <v>1308.811594202899</v>
      </c>
      <c r="AC18" s="3">
        <v>1304.676328502416</v>
      </c>
      <c r="AD18" s="3">
        <v>1298.473429951691</v>
      </c>
      <c r="AE18" s="3">
        <v>1305.710144927536</v>
      </c>
      <c r="AF18" s="3">
        <v>1301.057971014493</v>
      </c>
      <c r="AG18" s="3">
        <v>1296.92270531401</v>
      </c>
      <c r="AH18" s="3">
        <v>1293.304347826087</v>
      </c>
      <c r="AI18" s="3">
        <v>1291.236714975845</v>
      </c>
      <c r="AJ18" s="3">
        <v>1286.584541062802</v>
      </c>
      <c r="AK18" s="3">
        <v>1282.449275362319</v>
      </c>
      <c r="AL18" s="3">
        <v>1275.212560386473</v>
      </c>
      <c r="AM18" s="3">
        <v>1265.908212560387</v>
      </c>
      <c r="AN18" s="3">
        <v>1256.6038647343</v>
      </c>
      <c r="AO18" s="3">
        <v>1246.265700483092</v>
      </c>
      <c r="AP18" s="3">
        <v>1235.410628019324</v>
      </c>
      <c r="AQ18" s="3">
        <v>1222.487922705314</v>
      </c>
      <c r="AR18" s="3">
        <v>1209.565217391304</v>
      </c>
      <c r="AS18" s="3">
        <v>1196.125603864734</v>
      </c>
      <c r="AT18" s="3">
        <v>1183.719806763285</v>
      </c>
      <c r="AU18" s="3">
        <v>1169.763285024155</v>
      </c>
      <c r="AV18" s="3">
        <v>1158.391304347826</v>
      </c>
      <c r="AW18" s="3">
        <v>1148.053140096618</v>
      </c>
      <c r="AX18" s="3">
        <v>1136.164251207729</v>
      </c>
      <c r="AY18" s="3">
        <v>1124.792270531401</v>
      </c>
      <c r="AZ18" s="3">
        <v>1114.454106280193</v>
      </c>
      <c r="BA18" s="3">
        <v>1105.149758454106</v>
      </c>
      <c r="BB18" s="3">
        <v>1094.811594202899</v>
      </c>
      <c r="BC18" s="3">
        <v>1086.024154589372</v>
      </c>
      <c r="BD18" s="3">
        <v>1078.270531400966</v>
      </c>
      <c r="BE18" s="3">
        <v>1071.033816425121</v>
      </c>
    </row>
    <row r="19" spans="1:57">
      <c r="A19" s="1" t="str">
        <f>'Population Definitions'!$A$5</f>
        <v>0-9_females</v>
      </c>
      <c r="C19" t="s">
        <v>51</v>
      </c>
      <c r="D19" s="3"/>
      <c r="E19" s="3"/>
      <c r="F19" s="4" t="s">
        <v>37</v>
      </c>
      <c r="G19" s="3">
        <v>1740.096618357488</v>
      </c>
      <c r="H19" s="3">
        <v>1706.763285024155</v>
      </c>
      <c r="I19" s="3">
        <v>1655.555555555556</v>
      </c>
      <c r="J19" s="3">
        <v>1605.314009661836</v>
      </c>
      <c r="K19" s="3">
        <v>1566.183574879227</v>
      </c>
      <c r="L19" s="3">
        <v>1528.019323671498</v>
      </c>
      <c r="M19" s="3">
        <v>1485.024154589372</v>
      </c>
      <c r="N19" s="3">
        <v>1438.164251207729</v>
      </c>
      <c r="O19" s="3">
        <v>1389.855072463768</v>
      </c>
      <c r="P19" s="3">
        <v>1346.859903381642</v>
      </c>
      <c r="Q19" s="3">
        <v>1309.661835748792</v>
      </c>
      <c r="R19" s="3">
        <v>1287.43961352657</v>
      </c>
      <c r="S19" s="3">
        <v>1270.048309178744</v>
      </c>
      <c r="T19" s="3">
        <v>1255.072463768116</v>
      </c>
      <c r="U19" s="3">
        <v>1245.410628019324</v>
      </c>
      <c r="V19" s="3">
        <v>1238.164251207729</v>
      </c>
      <c r="W19" s="3">
        <v>1230.434782608696</v>
      </c>
      <c r="X19" s="3">
        <v>1225.6038647343</v>
      </c>
      <c r="Y19" s="3">
        <v>1224.154589371981</v>
      </c>
      <c r="Z19" s="3">
        <v>1219.806763285024</v>
      </c>
      <c r="AA19" s="3">
        <v>1215.942028985507</v>
      </c>
      <c r="AB19" s="3">
        <v>1223.188405797101</v>
      </c>
      <c r="AC19" s="3">
        <v>1219.323671497584</v>
      </c>
      <c r="AD19" s="3">
        <v>1213.526570048309</v>
      </c>
      <c r="AE19" s="3">
        <v>1220.289855072464</v>
      </c>
      <c r="AF19" s="3">
        <v>1215.942028985507</v>
      </c>
      <c r="AG19" s="3">
        <v>1212.07729468599</v>
      </c>
      <c r="AH19" s="3">
        <v>1208.695652173913</v>
      </c>
      <c r="AI19" s="3">
        <v>1206.763285024155</v>
      </c>
      <c r="AJ19" s="3">
        <v>1202.415458937198</v>
      </c>
      <c r="AK19" s="3">
        <v>1198.550724637681</v>
      </c>
      <c r="AL19" s="3">
        <v>1191.787439613527</v>
      </c>
      <c r="AM19" s="3">
        <v>1183.091787439613</v>
      </c>
      <c r="AN19" s="3">
        <v>1174.3961352657</v>
      </c>
      <c r="AO19" s="3">
        <v>1164.734299516908</v>
      </c>
      <c r="AP19" s="3">
        <v>1154.589371980676</v>
      </c>
      <c r="AQ19" s="3">
        <v>1142.512077294686</v>
      </c>
      <c r="AR19" s="3">
        <v>1130.434782608696</v>
      </c>
      <c r="AS19" s="3">
        <v>1117.874396135266</v>
      </c>
      <c r="AT19" s="3">
        <v>1106.280193236715</v>
      </c>
      <c r="AU19" s="3">
        <v>1093.236714975845</v>
      </c>
      <c r="AV19" s="3">
        <v>1082.608695652174</v>
      </c>
      <c r="AW19" s="3">
        <v>1072.946859903382</v>
      </c>
      <c r="AX19" s="3">
        <v>1061.835748792271</v>
      </c>
      <c r="AY19" s="3">
        <v>1051.207729468599</v>
      </c>
      <c r="AZ19" s="3">
        <v>1041.545893719807</v>
      </c>
      <c r="BA19" s="3">
        <v>1032.850241545894</v>
      </c>
      <c r="BB19" s="3">
        <v>1023.188405797101</v>
      </c>
      <c r="BC19" s="3">
        <v>1014.975845410628</v>
      </c>
      <c r="BD19" s="3">
        <v>1007.729468599034</v>
      </c>
      <c r="BE19" s="3">
        <v>1000.966183574879</v>
      </c>
    </row>
    <row r="20" spans="1:57">
      <c r="A20" s="1" t="str">
        <f>'Population Definitions'!$A$6</f>
        <v>10-17_males</v>
      </c>
      <c r="C20" t="s">
        <v>51</v>
      </c>
      <c r="D20" s="3"/>
      <c r="E20" s="3">
        <v>0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C21" t="s">
        <v>51</v>
      </c>
      <c r="D21" s="3"/>
      <c r="E21" s="3">
        <v>0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C22" t="s">
        <v>51</v>
      </c>
      <c r="D22" s="3"/>
      <c r="E22" s="3">
        <v>0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C23" t="s">
        <v>51</v>
      </c>
      <c r="D23" s="3"/>
      <c r="E23" s="3">
        <v>0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C24" t="s">
        <v>51</v>
      </c>
      <c r="D24" s="3"/>
      <c r="E24" s="3">
        <v>0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C25" t="s">
        <v>51</v>
      </c>
      <c r="D25" s="3"/>
      <c r="E25" s="3">
        <v>0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C26" t="s">
        <v>51</v>
      </c>
      <c r="D26" s="3"/>
      <c r="E26" s="3">
        <v>0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C27" t="s">
        <v>51</v>
      </c>
      <c r="D27" s="3"/>
      <c r="E27" s="3">
        <v>0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52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C30" t="s">
        <v>53</v>
      </c>
      <c r="D30" s="3"/>
      <c r="E30" s="3">
        <v>0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C31" t="s">
        <v>53</v>
      </c>
      <c r="D31" s="3"/>
      <c r="E31" s="3">
        <v>0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C32" t="s">
        <v>53</v>
      </c>
      <c r="D32" s="3"/>
      <c r="E32" s="3"/>
      <c r="F32" s="4" t="s">
        <v>37</v>
      </c>
      <c r="G32" s="3">
        <v>-0.02140680738828788</v>
      </c>
      <c r="H32" s="3">
        <v>-0.02616932378805474</v>
      </c>
      <c r="I32" s="3">
        <v>-0.02924412739587866</v>
      </c>
      <c r="J32" s="3">
        <v>-0.03258733747539041</v>
      </c>
      <c r="K32" s="3">
        <v>-0.0346738446409578</v>
      </c>
      <c r="L32" s="3">
        <v>-0.03799640473621482</v>
      </c>
      <c r="M32" s="3">
        <v>-0.03964742654904884</v>
      </c>
      <c r="N32" s="3">
        <v>-0.03746839522588741</v>
      </c>
      <c r="O32" s="3">
        <v>-0.03321235557084844</v>
      </c>
      <c r="P32" s="3">
        <v>-0.0192154955968089</v>
      </c>
      <c r="Q32" s="3">
        <v>-0.006799062514946962</v>
      </c>
      <c r="R32" s="3">
        <v>-0.006322093565372482</v>
      </c>
      <c r="S32" s="3">
        <v>-0.006029826200480512</v>
      </c>
      <c r="T32" s="3">
        <v>-0.005469571197578494</v>
      </c>
      <c r="U32" s="3">
        <v>-0.005327936148401754</v>
      </c>
      <c r="V32" s="3">
        <v>-0.004999661743497166</v>
      </c>
      <c r="W32" s="3">
        <v>-0.004538711317211714</v>
      </c>
      <c r="X32" s="3">
        <v>-0.004198939096304789</v>
      </c>
      <c r="Y32" s="3">
        <v>-0.004592545800327309</v>
      </c>
      <c r="Z32" s="3">
        <v>-0.003637562131510802</v>
      </c>
      <c r="AA32" s="3">
        <v>-0.002802507775250173</v>
      </c>
      <c r="AB32" s="3">
        <v>-0.004036390886349302</v>
      </c>
      <c r="AC32" s="3">
        <v>-0.00403687425096881</v>
      </c>
      <c r="AD32" s="3">
        <v>-0.005479960492719042</v>
      </c>
      <c r="AE32" s="3">
        <v>-0.007982705505441379</v>
      </c>
      <c r="AF32" s="3">
        <v>-0.008005358487145616</v>
      </c>
      <c r="AG32" s="3">
        <v>-0.007537634491212775</v>
      </c>
      <c r="AH32" s="3">
        <v>-0.007143505120164407</v>
      </c>
      <c r="AI32" s="3">
        <v>-0.007321686492931186</v>
      </c>
      <c r="AJ32" s="3">
        <v>-0.007122489290733509</v>
      </c>
      <c r="AK32" s="3">
        <v>-0.006962878786521064</v>
      </c>
      <c r="AL32" s="3">
        <v>-0.006835748792270287</v>
      </c>
      <c r="AM32" s="3">
        <v>-0.006868948845102471</v>
      </c>
      <c r="AN32" s="3">
        <v>-0.006612715129946598</v>
      </c>
      <c r="AO32" s="3">
        <v>-0.006271096524169999</v>
      </c>
      <c r="AP32" s="3">
        <v>-0.006347042476532108</v>
      </c>
      <c r="AQ32" s="3">
        <v>-0.006255284069979519</v>
      </c>
      <c r="AR32" s="3">
        <v>-0.006125714789068383</v>
      </c>
      <c r="AS32" s="3">
        <v>-0.006125836917337843</v>
      </c>
      <c r="AT32" s="3">
        <v>-0.006049081067768725</v>
      </c>
      <c r="AU32" s="3">
        <v>-0.005885273301504902</v>
      </c>
      <c r="AV32" s="3">
        <v>-0.005686200378071906</v>
      </c>
      <c r="AW32" s="3">
        <v>-0.005356243373831634</v>
      </c>
      <c r="AX32" s="3">
        <v>-0.00514819005202054</v>
      </c>
      <c r="AY32" s="3">
        <v>-0.004983009916616821</v>
      </c>
      <c r="AZ32" s="3">
        <v>-0.00490842854517713</v>
      </c>
      <c r="BA32" s="3">
        <v>-0.004925839939425753</v>
      </c>
      <c r="BB32" s="3">
        <v>-0.004663967525163884</v>
      </c>
      <c r="BC32" s="3">
        <v>-0.00449297727679362</v>
      </c>
      <c r="BD32" s="3">
        <v>-0.004413475692168311</v>
      </c>
      <c r="BE32" s="3">
        <v>-0.00442650382806647</v>
      </c>
    </row>
    <row r="33" spans="1:57">
      <c r="A33" s="1" t="str">
        <f>'Population Definitions'!$A$5</f>
        <v>0-9_females</v>
      </c>
      <c r="C33" t="s">
        <v>53</v>
      </c>
      <c r="D33" s="3"/>
      <c r="E33" s="3"/>
      <c r="F33" s="4" t="s">
        <v>37</v>
      </c>
      <c r="G33" s="3">
        <v>-0.01961556888842677</v>
      </c>
      <c r="H33" s="3">
        <v>-0.02377624699840832</v>
      </c>
      <c r="I33" s="3">
        <v>-0.02520420157371869</v>
      </c>
      <c r="J33" s="3">
        <v>-0.02742808390539829</v>
      </c>
      <c r="K33" s="3">
        <v>-0.02813037500898309</v>
      </c>
      <c r="L33" s="3">
        <v>-0.02844729346923331</v>
      </c>
      <c r="M33" s="3">
        <v>-0.02954966760140125</v>
      </c>
      <c r="N33" s="3">
        <v>-0.02866953125266188</v>
      </c>
      <c r="O33" s="3">
        <v>-0.02411481426597987</v>
      </c>
      <c r="P33" s="3">
        <v>-0.01423253223542328</v>
      </c>
      <c r="Q33" s="3">
        <v>-0.006843639510169594</v>
      </c>
      <c r="R33" s="3">
        <v>-0.006336968252915636</v>
      </c>
      <c r="S33" s="3">
        <v>-0.006043753507448945</v>
      </c>
      <c r="T33" s="3">
        <v>-0.005679402153356861</v>
      </c>
      <c r="U33" s="3">
        <v>-0.005342041571262206</v>
      </c>
      <c r="V33" s="3">
        <v>-0.005040109695334199</v>
      </c>
      <c r="W33" s="3">
        <v>-0.004901836697055375</v>
      </c>
      <c r="X33" s="3">
        <v>-0.004693116795708763</v>
      </c>
      <c r="Y33" s="3">
        <v>-0.005012148325657778</v>
      </c>
      <c r="Z33" s="3">
        <v>-0.003915839777178773</v>
      </c>
      <c r="AA33" s="3">
        <v>-0.003099734528601906</v>
      </c>
      <c r="AB33" s="3">
        <v>-0.00441272086029805</v>
      </c>
      <c r="AC33" s="3">
        <v>-0.004309455919296528</v>
      </c>
      <c r="AD33" s="3">
        <v>-0.00570945503332534</v>
      </c>
      <c r="AE33" s="3">
        <v>-0.008333894874501785</v>
      </c>
      <c r="AF33" s="3">
        <v>-0.008213333533933732</v>
      </c>
      <c r="AG33" s="3">
        <v>-0.007999069992701689</v>
      </c>
      <c r="AH33" s="3">
        <v>-0.007601730715654602</v>
      </c>
      <c r="AI33" s="3">
        <v>-0.007499084949429467</v>
      </c>
      <c r="AJ33" s="3">
        <v>-0.007312334774245153</v>
      </c>
      <c r="AK33" s="3">
        <v>-0.00725274333488674</v>
      </c>
      <c r="AL33" s="3">
        <v>-0.007246164108271127</v>
      </c>
      <c r="AM33" s="3">
        <v>-0.007069937541564499</v>
      </c>
      <c r="AN33" s="3">
        <v>-0.006936790272592339</v>
      </c>
      <c r="AO33" s="3">
        <v>-0.006630377457916576</v>
      </c>
      <c r="AP33" s="3">
        <v>-0.006861842714911784</v>
      </c>
      <c r="AQ33" s="3">
        <v>-0.006660297411815718</v>
      </c>
      <c r="AR33" s="3">
        <v>-0.00646198190879385</v>
      </c>
      <c r="AS33" s="3">
        <v>-0.006449008008607362</v>
      </c>
      <c r="AT33" s="3">
        <v>-0.006621497815286257</v>
      </c>
      <c r="AU33" s="3">
        <v>-0.006256804967526545</v>
      </c>
      <c r="AV33" s="3">
        <v>-0.005927757341856221</v>
      </c>
      <c r="AW33" s="3">
        <v>-0.005917170426988229</v>
      </c>
      <c r="AX33" s="3">
        <v>-0.005723562780343562</v>
      </c>
      <c r="AY33" s="3">
        <v>-0.005620898036606846</v>
      </c>
      <c r="AZ33" s="3">
        <v>-0.005417051656828451</v>
      </c>
      <c r="BA33" s="3">
        <v>-0.005253769119951587</v>
      </c>
      <c r="BB33" s="3">
        <v>-0.005186835613350361</v>
      </c>
      <c r="BC33" s="3">
        <v>-0.005161135521084806</v>
      </c>
      <c r="BD33" s="3">
        <v>-0.004882664874687383</v>
      </c>
      <c r="BE33" s="3">
        <v>-0.004895149812544217</v>
      </c>
    </row>
    <row r="34" spans="1:57">
      <c r="A34" s="1" t="str">
        <f>'Population Definitions'!$A$6</f>
        <v>10-17_males</v>
      </c>
      <c r="C34" t="s">
        <v>53</v>
      </c>
      <c r="D34" s="3"/>
      <c r="E34" s="3"/>
      <c r="F34" s="4" t="s">
        <v>37</v>
      </c>
      <c r="G34" s="3">
        <v>-0.02888329135180501</v>
      </c>
      <c r="H34" s="3">
        <v>-0.02886058578841296</v>
      </c>
      <c r="I34" s="3">
        <v>-0.02557668603627381</v>
      </c>
      <c r="J34" s="3">
        <v>-0.02299990980427551</v>
      </c>
      <c r="K34" s="3">
        <v>-0.02034443168771517</v>
      </c>
      <c r="L34" s="3">
        <v>-0.0177926049485681</v>
      </c>
      <c r="M34" s="3">
        <v>-0.01624883936861676</v>
      </c>
      <c r="N34" s="3">
        <v>-0.01582278481012641</v>
      </c>
      <c r="O34" s="3">
        <v>-0.01636584681567371</v>
      </c>
      <c r="P34" s="3">
        <v>-0.01157429189799561</v>
      </c>
      <c r="Q34" s="3">
        <v>-0.006001606729360564</v>
      </c>
      <c r="R34" s="3">
        <v>-0.005705048968337025</v>
      </c>
      <c r="S34" s="3">
        <v>-0.005631226837368286</v>
      </c>
      <c r="T34" s="3">
        <v>-0.005420715925184212</v>
      </c>
      <c r="U34" s="3">
        <v>-0.00503902776405495</v>
      </c>
      <c r="V34" s="3">
        <v>-0.004779924317864972</v>
      </c>
      <c r="W34" s="3">
        <v>-0.004737425662735492</v>
      </c>
      <c r="X34" s="3">
        <v>-0.004708772648172727</v>
      </c>
      <c r="Y34" s="3">
        <v>-0.004722366372599768</v>
      </c>
      <c r="Z34" s="3">
        <v>-0.003756652405301196</v>
      </c>
      <c r="AA34" s="3">
        <v>-0.003477087549950523</v>
      </c>
      <c r="AB34" s="3">
        <v>-0.004230293025175439</v>
      </c>
      <c r="AC34" s="3">
        <v>-0.004117556230377366</v>
      </c>
      <c r="AD34" s="3">
        <v>-0.004116708691401137</v>
      </c>
      <c r="AE34" s="3">
        <v>-0.004260124210850586</v>
      </c>
      <c r="AF34" s="3">
        <v>-0.004296675191816019</v>
      </c>
      <c r="AG34" s="3">
        <v>-0.003992424630188842</v>
      </c>
      <c r="AH34" s="3">
        <v>-0.003855248277989066</v>
      </c>
      <c r="AI34" s="3">
        <v>-0.003832806754027304</v>
      </c>
      <c r="AJ34" s="3">
        <v>-0.003603133159269066</v>
      </c>
      <c r="AK34" s="3">
        <v>-0.003627378824518742</v>
      </c>
      <c r="AL34" s="3">
        <v>-0.003541226215644829</v>
      </c>
      <c r="AM34" s="3">
        <v>-0.003397388257777025</v>
      </c>
      <c r="AN34" s="3">
        <v>-0.003251425830179247</v>
      </c>
      <c r="AO34" s="3">
        <v>-0.003262555490185588</v>
      </c>
      <c r="AP34" s="3">
        <v>-0.003217158176943821</v>
      </c>
      <c r="AQ34" s="3">
        <v>-0.003116771454672462</v>
      </c>
      <c r="AR34" s="3">
        <v>-0.003122140280992425</v>
      </c>
      <c r="AS34" s="3">
        <v>-0.003072113829901833</v>
      </c>
      <c r="AT34" s="3">
        <v>-0.002914035939776509</v>
      </c>
      <c r="AU34" s="3">
        <v>-0.002701096645238005</v>
      </c>
      <c r="AV34" s="3">
        <v>-0.002648505486189716</v>
      </c>
      <c r="AW34" s="3">
        <v>-0.00254301482523578</v>
      </c>
      <c r="AX34" s="3">
        <v>-0.002331002331002292</v>
      </c>
      <c r="AY34" s="3">
        <v>-0.002390914524805764</v>
      </c>
      <c r="AZ34" s="3">
        <v>-0.002398604448321003</v>
      </c>
      <c r="BA34" s="3">
        <v>-0.0024088470382131</v>
      </c>
      <c r="BB34" s="3">
        <v>-0.002311629698937643</v>
      </c>
      <c r="BC34" s="3">
        <v>-0.002326225422320578</v>
      </c>
      <c r="BD34" s="3">
        <v>-0.002398750418386659</v>
      </c>
      <c r="BE34" s="3">
        <v>-0.002249086308687048</v>
      </c>
    </row>
    <row r="35" spans="1:57">
      <c r="A35" s="1" t="str">
        <f>'Population Definitions'!$A$7</f>
        <v>10-17_females</v>
      </c>
      <c r="C35" t="s">
        <v>53</v>
      </c>
      <c r="D35" s="3"/>
      <c r="E35" s="3"/>
      <c r="F35" s="4" t="s">
        <v>37</v>
      </c>
      <c r="G35" s="3">
        <v>-0.02897777777777798</v>
      </c>
      <c r="H35" s="3">
        <v>-0.02926829268292681</v>
      </c>
      <c r="I35" s="3">
        <v>-0.02569842824495152</v>
      </c>
      <c r="J35" s="3">
        <v>-0.02311014093864179</v>
      </c>
      <c r="K35" s="3">
        <v>-0.02026605196177307</v>
      </c>
      <c r="L35" s="3">
        <v>-0.01795453448525507</v>
      </c>
      <c r="M35" s="3">
        <v>-0.01627940679194275</v>
      </c>
      <c r="N35" s="3">
        <v>-0.01513471827252133</v>
      </c>
      <c r="O35" s="3">
        <v>-0.01475873304902024</v>
      </c>
      <c r="P35" s="3">
        <v>-0.01086332312404306</v>
      </c>
      <c r="Q35" s="3">
        <v>-0.006834480435096476</v>
      </c>
      <c r="R35" s="3">
        <v>-0.006662451976851476</v>
      </c>
      <c r="S35" s="3">
        <v>-0.006249692436395966</v>
      </c>
      <c r="T35" s="3">
        <v>-0.006053088563632024</v>
      </c>
      <c r="U35" s="3">
        <v>-0.005788134324634482</v>
      </c>
      <c r="V35" s="3">
        <v>-0.005575928065504629</v>
      </c>
      <c r="W35" s="3">
        <v>-0.005336721728081524</v>
      </c>
      <c r="X35" s="3">
        <v>-0.005150922015040583</v>
      </c>
      <c r="Y35" s="3">
        <v>-0.005360116569525475</v>
      </c>
      <c r="Z35" s="3">
        <v>-0.004174929548063788</v>
      </c>
      <c r="AA35" s="3">
        <v>-0.003749023691746898</v>
      </c>
      <c r="AB35" s="3">
        <v>-0.004699738903394433</v>
      </c>
      <c r="AC35" s="3">
        <v>-0.00467731763716621</v>
      </c>
      <c r="AD35" s="3">
        <v>-0.004400381719859952</v>
      </c>
      <c r="AE35" s="3">
        <v>-0.004228442969544539</v>
      </c>
      <c r="AF35" s="3">
        <v>-0.004305705059203735</v>
      </c>
      <c r="AG35" s="3">
        <v>-0.004329472886676147</v>
      </c>
      <c r="AH35" s="3">
        <v>-0.004041286658292725</v>
      </c>
      <c r="AI35" s="3">
        <v>-0.003916161059018677</v>
      </c>
      <c r="AJ35" s="3">
        <v>-0.003948612424225458</v>
      </c>
      <c r="AK35" s="3">
        <v>-0.003864680183712281</v>
      </c>
      <c r="AL35" s="3">
        <v>-0.003830122789230674</v>
      </c>
      <c r="AM35" s="3">
        <v>-0.003847677247778976</v>
      </c>
      <c r="AN35" s="3">
        <v>-0.003864953961577889</v>
      </c>
      <c r="AO35" s="3">
        <v>-0.003708352350524745</v>
      </c>
      <c r="AP35" s="3">
        <v>-0.003489702517162265</v>
      </c>
      <c r="AQ35" s="3">
        <v>-0.003382833553122014</v>
      </c>
      <c r="AR35" s="3">
        <v>-0.003560762692396319</v>
      </c>
      <c r="AS35" s="3">
        <v>-0.003507561382324188</v>
      </c>
      <c r="AT35" s="3">
        <v>-0.003396269859544155</v>
      </c>
      <c r="AU35" s="3">
        <v>-0.003283977645906675</v>
      </c>
      <c r="AV35" s="3">
        <v>-0.003112212552590747</v>
      </c>
      <c r="AW35" s="3">
        <v>-0.002941176470587938</v>
      </c>
      <c r="AX35" s="3">
        <v>-0.002945252945253057</v>
      </c>
      <c r="AY35" s="3">
        <v>-0.002893351079219788</v>
      </c>
      <c r="AZ35" s="3">
        <v>-0.002785838653511423</v>
      </c>
      <c r="BA35" s="3">
        <v>-0.00256380375247643</v>
      </c>
      <c r="BB35" s="3">
        <v>-0.002400749502283661</v>
      </c>
      <c r="BC35" s="3">
        <v>-0.002591589115325744</v>
      </c>
      <c r="BD35" s="3">
        <v>-0.002609881962156319</v>
      </c>
      <c r="BE35" s="3">
        <v>-0.002390771621540801</v>
      </c>
    </row>
    <row r="36" spans="1:57">
      <c r="A36" s="1" t="str">
        <f>'Population Definitions'!$A$8</f>
        <v>18-64_males</v>
      </c>
      <c r="C36" t="s">
        <v>53</v>
      </c>
      <c r="D36" s="3"/>
      <c r="E36" s="3"/>
      <c r="F36" s="4" t="s">
        <v>37</v>
      </c>
      <c r="G36" s="3">
        <v>-0.01996289424860893</v>
      </c>
      <c r="H36" s="3">
        <v>-0.02033508121243125</v>
      </c>
      <c r="I36" s="3">
        <v>-0.02180915192629469</v>
      </c>
      <c r="J36" s="3">
        <v>-0.02352878502681398</v>
      </c>
      <c r="K36" s="3">
        <v>-0.02522750430413536</v>
      </c>
      <c r="L36" s="3">
        <v>-0.0267970779503813</v>
      </c>
      <c r="M36" s="3">
        <v>-0.02830893207593039</v>
      </c>
      <c r="N36" s="3">
        <v>-0.02954025379654672</v>
      </c>
      <c r="O36" s="3">
        <v>-0.03063309551845936</v>
      </c>
      <c r="P36" s="3">
        <v>-0.02814778888292252</v>
      </c>
      <c r="Q36" s="3">
        <v>-0.02469797265766781</v>
      </c>
      <c r="R36" s="3">
        <v>-0.02346651079631391</v>
      </c>
      <c r="S36" s="3">
        <v>-0.02227997879725751</v>
      </c>
      <c r="T36" s="3">
        <v>-0.02099661673948905</v>
      </c>
      <c r="U36" s="3">
        <v>-0.01974640743871476</v>
      </c>
      <c r="V36" s="3">
        <v>-0.0187860542558741</v>
      </c>
      <c r="W36" s="3">
        <v>-0.01770310932798462</v>
      </c>
      <c r="X36" s="3">
        <v>-0.01723994889408789</v>
      </c>
      <c r="Y36" s="3">
        <v>-0.01755426011922399</v>
      </c>
      <c r="Z36" s="3">
        <v>-0.01352658588972125</v>
      </c>
      <c r="AA36" s="3">
        <v>-0.01216668025768576</v>
      </c>
      <c r="AB36" s="3">
        <v>-0.01513727269780554</v>
      </c>
      <c r="AC36" s="3">
        <v>-0.01500701941230552</v>
      </c>
      <c r="AD36" s="3">
        <v>-0.01380240097579775</v>
      </c>
      <c r="AE36" s="3">
        <v>-0.01264630271288755</v>
      </c>
      <c r="AF36" s="3">
        <v>-0.01266345710790162</v>
      </c>
      <c r="AG36" s="3">
        <v>-0.01223671329775519</v>
      </c>
      <c r="AH36" s="3">
        <v>-0.01143250904421032</v>
      </c>
      <c r="AI36" s="3">
        <v>-0.01118575174147133</v>
      </c>
      <c r="AJ36" s="3">
        <v>-0.01082211154153612</v>
      </c>
      <c r="AK36" s="3">
        <v>-0.01046936909478792</v>
      </c>
      <c r="AL36" s="3">
        <v>-0.01007309411622592</v>
      </c>
      <c r="AM36" s="3">
        <v>-0.009661691244653391</v>
      </c>
      <c r="AN36" s="3">
        <v>-0.009166703688894389</v>
      </c>
      <c r="AO36" s="3">
        <v>-0.008684681512777818</v>
      </c>
      <c r="AP36" s="3">
        <v>-0.0086198124863724</v>
      </c>
      <c r="AQ36" s="3">
        <v>-0.008278860828750206</v>
      </c>
      <c r="AR36" s="3">
        <v>-0.007870423177826236</v>
      </c>
      <c r="AS36" s="3">
        <v>-0.007936395859517689</v>
      </c>
      <c r="AT36" s="3">
        <v>-0.007596317954169776</v>
      </c>
      <c r="AU36" s="3">
        <v>-0.007139292447599184</v>
      </c>
      <c r="AV36" s="3">
        <v>-0.006788698328936378</v>
      </c>
      <c r="AW36" s="3">
        <v>-0.006389732830147473</v>
      </c>
      <c r="AX36" s="3">
        <v>-0.006302804545576842</v>
      </c>
      <c r="AY36" s="3">
        <v>-0.00597457797024782</v>
      </c>
      <c r="AZ36" s="3">
        <v>-0.005719884543070726</v>
      </c>
      <c r="BA36" s="3">
        <v>-0.005494577546979439</v>
      </c>
      <c r="BB36" s="3">
        <v>-0.005064211606134196</v>
      </c>
      <c r="BC36" s="3">
        <v>-0.004837132712396317</v>
      </c>
      <c r="BD36" s="3">
        <v>-0.004719086792934001</v>
      </c>
      <c r="BE36" s="3">
        <v>-0.004719129554655749</v>
      </c>
    </row>
    <row r="37" spans="1:57">
      <c r="A37" s="1" t="str">
        <f>'Population Definitions'!$A$9</f>
        <v>18-64_females</v>
      </c>
      <c r="C37" t="s">
        <v>53</v>
      </c>
      <c r="D37" s="3"/>
      <c r="E37" s="3"/>
      <c r="F37" s="4" t="s">
        <v>37</v>
      </c>
      <c r="G37" s="3">
        <v>-0.02139923625621485</v>
      </c>
      <c r="H37" s="3">
        <v>-0.02265871748465171</v>
      </c>
      <c r="I37" s="3">
        <v>-0.02387672457619694</v>
      </c>
      <c r="J37" s="3">
        <v>-0.02562543432939544</v>
      </c>
      <c r="K37" s="3">
        <v>-0.02710635359115986</v>
      </c>
      <c r="L37" s="3">
        <v>-0.02878923458149734</v>
      </c>
      <c r="M37" s="3">
        <v>-0.03000343878954651</v>
      </c>
      <c r="N37" s="3">
        <v>-0.03130913469809049</v>
      </c>
      <c r="O37" s="3">
        <v>-0.03257272852612689</v>
      </c>
      <c r="P37" s="3">
        <v>-0.02927959070796501</v>
      </c>
      <c r="Q37" s="3">
        <v>-0.02475947446463671</v>
      </c>
      <c r="R37" s="3">
        <v>-0.02339912017938751</v>
      </c>
      <c r="S37" s="3">
        <v>-0.02211757505695127</v>
      </c>
      <c r="T37" s="3">
        <v>-0.02076475056976492</v>
      </c>
      <c r="U37" s="3">
        <v>-0.01964303687053376</v>
      </c>
      <c r="V37" s="3">
        <v>-0.01864739768905413</v>
      </c>
      <c r="W37" s="3">
        <v>-0.01760923330585322</v>
      </c>
      <c r="X37" s="3">
        <v>-0.01689238862296014</v>
      </c>
      <c r="Y37" s="3">
        <v>-0.01748013620885385</v>
      </c>
      <c r="Z37" s="3">
        <v>-0.01339919927676586</v>
      </c>
      <c r="AA37" s="3">
        <v>-0.01222231133210351</v>
      </c>
      <c r="AB37" s="3">
        <v>-0.01476460948562492</v>
      </c>
      <c r="AC37" s="3">
        <v>-0.01450742773972097</v>
      </c>
      <c r="AD37" s="3">
        <v>-0.01324721855553421</v>
      </c>
      <c r="AE37" s="3">
        <v>-0.01215212779233784</v>
      </c>
      <c r="AF37" s="3">
        <v>-0.01215522721282466</v>
      </c>
      <c r="AG37" s="3">
        <v>-0.01170671595810214</v>
      </c>
      <c r="AH37" s="3">
        <v>-0.01109497975089782</v>
      </c>
      <c r="AI37" s="3">
        <v>-0.01077926015767151</v>
      </c>
      <c r="AJ37" s="3">
        <v>-0.01054278022589492</v>
      </c>
      <c r="AK37" s="3">
        <v>-0.01045010076882888</v>
      </c>
      <c r="AL37" s="3">
        <v>-0.01006626836463974</v>
      </c>
      <c r="AM37" s="3">
        <v>-0.009640859581983706</v>
      </c>
      <c r="AN37" s="3">
        <v>-0.009163853202963725</v>
      </c>
      <c r="AO37" s="3">
        <v>-0.008912241994949029</v>
      </c>
      <c r="AP37" s="3">
        <v>-0.00877749272145526</v>
      </c>
      <c r="AQ37" s="3">
        <v>-0.008193439528698594</v>
      </c>
      <c r="AR37" s="3">
        <v>-0.00787077743426827</v>
      </c>
      <c r="AS37" s="3">
        <v>-0.007982093082186099</v>
      </c>
      <c r="AT37" s="3">
        <v>-0.007732211020847371</v>
      </c>
      <c r="AU37" s="3">
        <v>-0.007273938754546026</v>
      </c>
      <c r="AV37" s="3">
        <v>-0.006980394316555341</v>
      </c>
      <c r="AW37" s="3">
        <v>-0.006576344262071405</v>
      </c>
      <c r="AX37" s="3">
        <v>-0.006231498127846497</v>
      </c>
      <c r="AY37" s="3">
        <v>-0.006003028313390525</v>
      </c>
      <c r="AZ37" s="3">
        <v>-0.005647840531561234</v>
      </c>
      <c r="BA37" s="3">
        <v>-0.005350694535965892</v>
      </c>
      <c r="BB37" s="3">
        <v>-0.005097173029419659</v>
      </c>
      <c r="BC37" s="3">
        <v>-0.004976800850203666</v>
      </c>
      <c r="BD37" s="3">
        <v>-0.004729347658458786</v>
      </c>
      <c r="BE37" s="3">
        <v>-0.004574472151786122</v>
      </c>
    </row>
    <row r="38" spans="1:57">
      <c r="A38" s="1" t="str">
        <f>'Population Definitions'!$A$10</f>
        <v>65+_males</v>
      </c>
      <c r="C38" t="s">
        <v>53</v>
      </c>
      <c r="D38" s="3"/>
      <c r="E38" s="3"/>
      <c r="F38" s="4" t="s">
        <v>37</v>
      </c>
      <c r="G38" s="3">
        <v>-0.02529182879377428</v>
      </c>
      <c r="H38" s="3">
        <v>-0.02182725288431552</v>
      </c>
      <c r="I38" s="3">
        <v>-0.02849430113977159</v>
      </c>
      <c r="J38" s="3">
        <v>-0.03227699530516442</v>
      </c>
      <c r="K38" s="3">
        <v>-0.03488712987393708</v>
      </c>
      <c r="L38" s="3">
        <v>-0.03703703703703695</v>
      </c>
      <c r="M38" s="3">
        <v>-0.04286154794942976</v>
      </c>
      <c r="N38" s="3">
        <v>-0.04871794871794836</v>
      </c>
      <c r="O38" s="3">
        <v>-0.05361305361305378</v>
      </c>
      <c r="P38" s="3">
        <v>-0.0389520854877627</v>
      </c>
      <c r="Q38" s="3">
        <v>-0.0198814091384721</v>
      </c>
      <c r="R38" s="3">
        <v>-0.02020547945205501</v>
      </c>
      <c r="S38" s="3">
        <v>-0.01918623883559359</v>
      </c>
      <c r="T38" s="3">
        <v>-0.0159724397118699</v>
      </c>
      <c r="U38" s="3">
        <v>-0.01653868871825125</v>
      </c>
      <c r="V38" s="3">
        <v>-0.0144846796657383</v>
      </c>
      <c r="W38" s="3">
        <v>-0.01312335958005245</v>
      </c>
      <c r="X38" s="3">
        <v>-0.01295465869456913</v>
      </c>
      <c r="Y38" s="3">
        <v>-0.01181195369714126</v>
      </c>
      <c r="Z38" s="3">
        <v>-0.01423804226918761</v>
      </c>
      <c r="AA38" s="3">
        <v>-0.005660377358490408</v>
      </c>
      <c r="AB38" s="3">
        <v>-0.009764846552412276</v>
      </c>
      <c r="AC38" s="3">
        <v>-0.0097701149425286</v>
      </c>
      <c r="AD38" s="3">
        <v>-0.009626064420584406</v>
      </c>
      <c r="AE38" s="3">
        <v>-0.01108528517790084</v>
      </c>
      <c r="AF38" s="3">
        <v>-0.01017066023099514</v>
      </c>
      <c r="AG38" s="3">
        <v>-0.009718498659516954</v>
      </c>
      <c r="AH38" s="3">
        <v>-0.009198423127464016</v>
      </c>
      <c r="AI38" s="3">
        <v>-0.00997907613069361</v>
      </c>
      <c r="AJ38" s="3">
        <v>-0.008350401764613614</v>
      </c>
      <c r="AK38" s="3">
        <v>-0.008334619540052247</v>
      </c>
      <c r="AL38" s="3">
        <v>-0.006851400730815799</v>
      </c>
      <c r="AM38" s="3">
        <v>-0.006363636363636471</v>
      </c>
      <c r="AN38" s="3">
        <v>-0.006961259079903055</v>
      </c>
      <c r="AO38" s="3">
        <v>-0.007070859034150569</v>
      </c>
      <c r="AP38" s="3">
        <v>-0.00716524854455903</v>
      </c>
      <c r="AQ38" s="3">
        <v>-0.006560310123750717</v>
      </c>
      <c r="AR38" s="3">
        <v>-0.006417910447761613</v>
      </c>
      <c r="AS38" s="3">
        <v>-0.005519916455318504</v>
      </c>
      <c r="AT38" s="3">
        <v>-0.006263982102907854</v>
      </c>
      <c r="AU38" s="3">
        <v>-0.00580184468908151</v>
      </c>
      <c r="AV38" s="3">
        <v>-0.005461254612545724</v>
      </c>
      <c r="AW38" s="3">
        <v>-0.005112474437627834</v>
      </c>
      <c r="AX38" s="3">
        <v>-0.005235602094240779</v>
      </c>
      <c r="AY38" s="3">
        <v>-0.004936120789779299</v>
      </c>
      <c r="AZ38" s="3">
        <v>-0.005924855491329662</v>
      </c>
      <c r="BA38" s="3">
        <v>-0.004893494530800077</v>
      </c>
      <c r="BB38" s="3">
        <v>-0.004166068093664437</v>
      </c>
      <c r="BC38" s="3">
        <v>-0.00498291571754001</v>
      </c>
      <c r="BD38" s="3">
        <v>-0.004625087596355795</v>
      </c>
      <c r="BE38" s="3">
        <v>-0.005091509563781834</v>
      </c>
    </row>
    <row r="39" spans="1:57">
      <c r="A39" s="1" t="str">
        <f>'Population Definitions'!$A$11</f>
        <v>65+_females</v>
      </c>
      <c r="C39" t="s">
        <v>53</v>
      </c>
      <c r="D39" s="3"/>
      <c r="E39" s="3"/>
      <c r="F39" s="4" t="s">
        <v>37</v>
      </c>
      <c r="G39" s="3">
        <v>-0.0233433734939759</v>
      </c>
      <c r="H39" s="3">
        <v>-0.0227823557925348</v>
      </c>
      <c r="I39" s="3">
        <v>-0.0274197328333726</v>
      </c>
      <c r="J39" s="3">
        <v>-0.03213957759412339</v>
      </c>
      <c r="K39" s="3">
        <v>-0.03303713830029571</v>
      </c>
      <c r="L39" s="3">
        <v>-0.03592677345537799</v>
      </c>
      <c r="M39" s="3">
        <v>-0.0375695732838592</v>
      </c>
      <c r="N39" s="3">
        <v>-0.04115710253998116</v>
      </c>
      <c r="O39" s="3">
        <v>-0.04457687723480322</v>
      </c>
      <c r="P39" s="3">
        <v>-0.02681807199806712</v>
      </c>
      <c r="Q39" s="3">
        <v>-0.009920154851197125</v>
      </c>
      <c r="R39" s="3">
        <v>-0.009745661991918531</v>
      </c>
      <c r="S39" s="3">
        <v>-0.00855095909406074</v>
      </c>
      <c r="T39" s="3">
        <v>-0.01070950468540832</v>
      </c>
      <c r="U39" s="3">
        <v>-0.00917626973964949</v>
      </c>
      <c r="V39" s="3">
        <v>-0.006907761072734622</v>
      </c>
      <c r="W39" s="3">
        <v>-0.007364341085271368</v>
      </c>
      <c r="X39" s="3">
        <v>-0.006463527239150207</v>
      </c>
      <c r="Y39" s="3">
        <v>-0.008057453144158547</v>
      </c>
      <c r="Z39" s="3">
        <v>-0.007294429708222598</v>
      </c>
      <c r="AA39" s="3">
        <v>-0.004220728466468955</v>
      </c>
      <c r="AB39" s="3">
        <v>-0.004273504273504</v>
      </c>
      <c r="AC39" s="3">
        <v>-0.004471771939631083</v>
      </c>
      <c r="AD39" s="3">
        <v>-0.006526371870005378</v>
      </c>
      <c r="AE39" s="3">
        <v>-0.008003048780487658</v>
      </c>
      <c r="AF39" s="3">
        <v>-0.007024342981712679</v>
      </c>
      <c r="AG39" s="3">
        <v>-0.006291506466270359</v>
      </c>
      <c r="AH39" s="3">
        <v>-0.006310570205093236</v>
      </c>
      <c r="AI39" s="3">
        <v>-0.006644156409977505</v>
      </c>
      <c r="AJ39" s="3">
        <v>-0.00507936507936452</v>
      </c>
      <c r="AK39" s="3">
        <v>-0.00555669890924061</v>
      </c>
      <c r="AL39" s="3">
        <v>-0.005108684764098982</v>
      </c>
      <c r="AM39" s="3">
        <v>-0.004698052265831461</v>
      </c>
      <c r="AN39" s="3">
        <v>-0.005264165390505672</v>
      </c>
      <c r="AO39" s="3">
        <v>-0.004213088662110117</v>
      </c>
      <c r="AP39" s="3">
        <v>-0.004040033054815948</v>
      </c>
      <c r="AQ39" s="3">
        <v>-0.00381159814865215</v>
      </c>
      <c r="AR39" s="3">
        <v>-0.003505617977528063</v>
      </c>
      <c r="AS39" s="3">
        <v>-0.003987947536334312</v>
      </c>
      <c r="AT39" s="3">
        <v>-0.003842794759825524</v>
      </c>
      <c r="AU39" s="3">
        <v>-0.003883327580255583</v>
      </c>
      <c r="AV39" s="3">
        <v>-0.003690353587366303</v>
      </c>
      <c r="AW39" s="3">
        <v>-0.002832131822863591</v>
      </c>
      <c r="AX39" s="3">
        <v>-0.002574665293511331</v>
      </c>
      <c r="AY39" s="3">
        <v>-0.002392753375491712</v>
      </c>
      <c r="AZ39" s="3">
        <v>-0.001865355265389352</v>
      </c>
      <c r="BA39" s="3">
        <v>-0.002774974772956267</v>
      </c>
      <c r="BB39" s="3">
        <v>-0.002168835502168819</v>
      </c>
      <c r="BC39" s="3">
        <v>-0.00165453342157508</v>
      </c>
      <c r="BD39" s="3">
        <v>-0.001970119848957844</v>
      </c>
      <c r="BE39" s="3">
        <v>-0.002284408909194495</v>
      </c>
    </row>
    <row r="40" spans="1:57">
      <c r="A40" s="1" t="str">
        <f>'Population Definitions'!$A$12</f>
        <v>Prisoners_males</v>
      </c>
      <c r="C40" t="s">
        <v>53</v>
      </c>
      <c r="D40" s="3"/>
      <c r="E40" s="3">
        <v>0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C41" t="s">
        <v>53</v>
      </c>
      <c r="D41" s="3"/>
      <c r="E41" s="3">
        <v>0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54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C44" t="s">
        <v>53</v>
      </c>
      <c r="D44" s="3"/>
      <c r="E44" s="3"/>
      <c r="F44" s="4" t="s">
        <v>37</v>
      </c>
      <c r="G44" s="3">
        <v>0.007792207792207797</v>
      </c>
      <c r="H44" s="3">
        <v>0.007673615551860859</v>
      </c>
      <c r="I44" s="3">
        <v>0.007665593003796815</v>
      </c>
      <c r="J44" s="3">
        <v>0.007564726355790749</v>
      </c>
      <c r="K44" s="3">
        <v>0.007554196971294058</v>
      </c>
      <c r="L44" s="3">
        <v>0.00770612131038932</v>
      </c>
      <c r="M44" s="3">
        <v>0.007815349346115778</v>
      </c>
      <c r="N44" s="3">
        <v>0.007974481658692191</v>
      </c>
      <c r="O44" s="3">
        <v>0.008138810002078001</v>
      </c>
      <c r="P44" s="3">
        <v>0.008418354090523297</v>
      </c>
      <c r="Q44" s="3">
        <v>0.008468863962391337</v>
      </c>
      <c r="R44" s="3">
        <v>0.008492642002475594</v>
      </c>
      <c r="S44" s="3">
        <v>0.00854949301506421</v>
      </c>
      <c r="T44" s="3">
        <v>0.00856865978680359</v>
      </c>
      <c r="U44" s="3">
        <v>0.008723584108199501</v>
      </c>
      <c r="V44" s="3">
        <v>0.008678248877377693</v>
      </c>
      <c r="W44" s="3">
        <v>0.008625877632898704</v>
      </c>
      <c r="X44" s="3">
        <v>0.008595085204174766</v>
      </c>
      <c r="Y44" s="3">
        <v>0.008563053716694672</v>
      </c>
      <c r="Z44" s="3">
        <v>0.008558639799314663</v>
      </c>
      <c r="AA44" s="3">
        <v>0.008872217238848576</v>
      </c>
      <c r="AB44" s="3">
        <v>0.008719328384817355</v>
      </c>
      <c r="AC44" s="3">
        <v>0.00819738264672186</v>
      </c>
      <c r="AD44" s="3">
        <v>0.008088848943955836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C45" t="s">
        <v>53</v>
      </c>
      <c r="D45" s="3"/>
      <c r="E45" s="3"/>
      <c r="F45" s="4" t="s">
        <v>37</v>
      </c>
      <c r="G45" s="3">
        <v>0.004719360184451332</v>
      </c>
      <c r="H45" s="3">
        <v>0.004577877142552969</v>
      </c>
      <c r="I45" s="3">
        <v>0.004978700278737099</v>
      </c>
      <c r="J45" s="3">
        <v>0.00462126476719945</v>
      </c>
      <c r="K45" s="3">
        <v>0.004661602209944755</v>
      </c>
      <c r="L45" s="3">
        <v>0.004646200440528638</v>
      </c>
      <c r="M45" s="3">
        <v>0.004814305364511694</v>
      </c>
      <c r="N45" s="3">
        <v>0.004851195596077761</v>
      </c>
      <c r="O45" s="3">
        <v>0.004928994898662626</v>
      </c>
      <c r="P45" s="3">
        <v>0.005081581858407083</v>
      </c>
      <c r="Q45" s="3">
        <v>0.005241560053794963</v>
      </c>
      <c r="R45" s="3">
        <v>0.005306311086766748</v>
      </c>
      <c r="S45" s="3">
        <v>0.005440141443677539</v>
      </c>
      <c r="T45" s="3">
        <v>0.005571030640668527</v>
      </c>
      <c r="U45" s="3">
        <v>0.005468514107424436</v>
      </c>
      <c r="V45" s="3">
        <v>0.005594219306716399</v>
      </c>
      <c r="W45" s="3">
        <v>0.005474031327287718</v>
      </c>
      <c r="X45" s="3">
        <v>0.005391187858391468</v>
      </c>
      <c r="Y45" s="3">
        <v>0.005188908707637429</v>
      </c>
      <c r="Z45" s="3">
        <v>0.005165956347668868</v>
      </c>
      <c r="AA45" s="3">
        <v>0.005036490496431152</v>
      </c>
      <c r="AB45" s="3">
        <v>0.005186705487407128</v>
      </c>
      <c r="AC45" s="3">
        <v>0.004714518502112043</v>
      </c>
      <c r="AD45" s="3">
        <v>0.004651455151172297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C46" t="s">
        <v>53</v>
      </c>
      <c r="D46" s="3"/>
      <c r="E46" s="3"/>
      <c r="F46" s="4" t="s">
        <v>37</v>
      </c>
      <c r="G46" s="3">
        <v>0.005705859725605849</v>
      </c>
      <c r="H46" s="3">
        <v>0.005404535949815025</v>
      </c>
      <c r="I46" s="3">
        <v>0.005966277561608303</v>
      </c>
      <c r="J46" s="3">
        <v>0.004996384195647887</v>
      </c>
      <c r="K46" s="3">
        <v>0.004959951741010088</v>
      </c>
      <c r="L46" s="3">
        <v>0.004809839557494761</v>
      </c>
      <c r="M46" s="3">
        <v>0.004810242988009763</v>
      </c>
      <c r="N46" s="3">
        <v>0.004744352395897961</v>
      </c>
      <c r="O46" s="3">
        <v>0.004748445449406445</v>
      </c>
      <c r="P46" s="3">
        <v>0.004665085720950123</v>
      </c>
      <c r="Q46" s="3">
        <v>0.004594059405940595</v>
      </c>
      <c r="R46" s="3">
        <v>0.004529381381858637</v>
      </c>
      <c r="S46" s="3">
        <v>0.004287075261987934</v>
      </c>
      <c r="T46" s="3">
        <v>0.004205681637835265</v>
      </c>
      <c r="U46" s="3">
        <v>0.003970775095298603</v>
      </c>
      <c r="V46" s="3">
        <v>0.003978357733927435</v>
      </c>
      <c r="W46" s="3">
        <v>0.00381770460510618</v>
      </c>
      <c r="X46" s="3">
        <v>0.003730898987894424</v>
      </c>
      <c r="Y46" s="3">
        <v>0.003572704537334763</v>
      </c>
      <c r="Z46" s="3">
        <v>0.003502766389364328</v>
      </c>
      <c r="AA46" s="3">
        <v>0.00343738758543507</v>
      </c>
      <c r="AB46" s="3">
        <v>0.003289341730514662</v>
      </c>
      <c r="AC46" s="3">
        <v>0.003218150368075949</v>
      </c>
      <c r="AD46" s="3">
        <v>0.003063527894227669</v>
      </c>
      <c r="AE46" s="3">
        <v>0.002992196029274999</v>
      </c>
      <c r="AF46" s="3">
        <v>0.003005320229054137</v>
      </c>
      <c r="AG46" s="3">
        <v>0.003017575337438324</v>
      </c>
      <c r="AH46" s="3">
        <v>0.003027451622141309</v>
      </c>
      <c r="AI46" s="3">
        <v>0.002953724975385626</v>
      </c>
      <c r="AJ46" s="3">
        <v>0.002961378686299511</v>
      </c>
      <c r="AK46" s="3">
        <v>0.002968215360514491</v>
      </c>
      <c r="AL46" s="3">
        <v>0.002892561983471075</v>
      </c>
      <c r="AM46" s="3">
        <v>0.002899751449875726</v>
      </c>
      <c r="AN46" s="3">
        <v>0.002907459710915435</v>
      </c>
      <c r="AO46" s="3">
        <v>0.0028328611898017</v>
      </c>
      <c r="AP46" s="3">
        <v>0.002842809364548496</v>
      </c>
      <c r="AQ46" s="3">
        <v>0.002771246221027881</v>
      </c>
      <c r="AR46" s="3">
        <v>0.002701333783555631</v>
      </c>
      <c r="AS46" s="3">
        <v>0.002632919993205369</v>
      </c>
      <c r="AT46" s="3">
        <v>0.002651612351381406</v>
      </c>
      <c r="AU46" s="3">
        <v>0.002586429864643505</v>
      </c>
      <c r="AV46" s="3">
        <v>0.002608695652173914</v>
      </c>
      <c r="AW46" s="3">
        <v>0.002631925253322807</v>
      </c>
      <c r="AX46" s="3">
        <v>0.002566825986900338</v>
      </c>
      <c r="AY46" s="3">
        <v>0.002590095119010406</v>
      </c>
      <c r="AZ46" s="3">
        <v>0.002523886785649902</v>
      </c>
      <c r="BA46" s="3">
        <v>0.002456108432638953</v>
      </c>
      <c r="BB46" s="3">
        <v>0.002478314745972739</v>
      </c>
      <c r="BC46" s="3">
        <v>0.002407407407407408</v>
      </c>
      <c r="BD46" s="3">
        <v>0.002334158069184445</v>
      </c>
      <c r="BE46" s="3">
        <v>0.00235283045503741</v>
      </c>
    </row>
    <row r="47" spans="1:57">
      <c r="A47" s="1" t="str">
        <f>'Population Definitions'!$A$5</f>
        <v>0-9_females</v>
      </c>
      <c r="C47" t="s">
        <v>53</v>
      </c>
      <c r="D47" s="3"/>
      <c r="E47" s="3"/>
      <c r="F47" s="4" t="s">
        <v>37</v>
      </c>
      <c r="G47" s="3">
        <v>0.004453602765222016</v>
      </c>
      <c r="H47" s="3">
        <v>0.004071009076348105</v>
      </c>
      <c r="I47" s="3">
        <v>0.004851425106124925</v>
      </c>
      <c r="J47" s="3">
        <v>0.003895704473225575</v>
      </c>
      <c r="K47" s="3">
        <v>0.003823161406923398</v>
      </c>
      <c r="L47" s="3">
        <v>0.003755003719579156</v>
      </c>
      <c r="M47" s="3">
        <v>0.003688969258589512</v>
      </c>
      <c r="N47" s="3">
        <v>0.003637848472474851</v>
      </c>
      <c r="O47" s="3">
        <v>0.003599739593306017</v>
      </c>
      <c r="P47" s="3">
        <v>0.003619909502262444</v>
      </c>
      <c r="Q47" s="3">
        <v>0.003515219301749621</v>
      </c>
      <c r="R47" s="3">
        <v>0.00345187444810147</v>
      </c>
      <c r="S47" s="3">
        <v>0.003221260318099457</v>
      </c>
      <c r="T47" s="3">
        <v>0.003160966120927217</v>
      </c>
      <c r="U47" s="3">
        <v>0.00310343419494467</v>
      </c>
      <c r="V47" s="3">
        <v>0.003131308969552141</v>
      </c>
      <c r="W47" s="3">
        <v>0.002911087083090743</v>
      </c>
      <c r="X47" s="3">
        <v>0.002760466769835627</v>
      </c>
      <c r="Y47" s="3">
        <v>0.002688623760712486</v>
      </c>
      <c r="Z47" s="3">
        <v>0.002621453638323962</v>
      </c>
      <c r="AA47" s="3">
        <v>0.002551779866456855</v>
      </c>
      <c r="AB47" s="3">
        <v>0.002561147394032528</v>
      </c>
      <c r="AC47" s="3">
        <v>0.002483408263755085</v>
      </c>
      <c r="AD47" s="3">
        <v>0.002403020940611055</v>
      </c>
      <c r="AE47" s="3">
        <v>0.002410883416566214</v>
      </c>
      <c r="AF47" s="3">
        <v>0.00242225009732255</v>
      </c>
      <c r="AG47" s="3">
        <v>0.002345582486317437</v>
      </c>
      <c r="AH47" s="3">
        <v>0.002353864260494313</v>
      </c>
      <c r="AI47" s="3">
        <v>0.002273422812923535</v>
      </c>
      <c r="AJ47" s="3">
        <v>0.00227920227920228</v>
      </c>
      <c r="AK47" s="3">
        <v>0.002284308557371289</v>
      </c>
      <c r="AL47" s="3">
        <v>0.002113420218386757</v>
      </c>
      <c r="AM47" s="3">
        <v>0.002118550558326346</v>
      </c>
      <c r="AN47" s="3">
        <v>0.001946644250763174</v>
      </c>
      <c r="AO47" s="3">
        <v>0.001951825400346006</v>
      </c>
      <c r="AP47" s="3">
        <v>0.001869242066847657</v>
      </c>
      <c r="AQ47" s="3">
        <v>0.001787709497206704</v>
      </c>
      <c r="AR47" s="3">
        <v>0.001706791232482932</v>
      </c>
      <c r="AS47" s="3">
        <v>0.001716738197424893</v>
      </c>
      <c r="AT47" s="3">
        <v>0.001546649683846609</v>
      </c>
      <c r="AU47" s="3">
        <v>0.001558774986246103</v>
      </c>
      <c r="AV47" s="3">
        <v>0.001571890892279242</v>
      </c>
      <c r="AW47" s="3">
        <v>0.001398927488925157</v>
      </c>
      <c r="AX47" s="3">
        <v>0.001411233418007338</v>
      </c>
      <c r="AY47" s="3">
        <v>0.001234157687378364</v>
      </c>
      <c r="AZ47" s="3">
        <v>0.001245389663265795</v>
      </c>
      <c r="BA47" s="3">
        <v>0.00125664572257129</v>
      </c>
      <c r="BB47" s="3">
        <v>0.00107269979033595</v>
      </c>
      <c r="BC47" s="3">
        <v>0.001081878534546349</v>
      </c>
      <c r="BD47" s="3">
        <v>0.001090999256136871</v>
      </c>
      <c r="BE47" s="3">
        <v>0.0009997000899730078</v>
      </c>
    </row>
    <row r="48" spans="1:57">
      <c r="A48" s="1" t="str">
        <f>'Population Definitions'!$A$6</f>
        <v>10-17_males</v>
      </c>
      <c r="C48" t="s">
        <v>53</v>
      </c>
      <c r="D48" s="3"/>
      <c r="E48" s="3"/>
      <c r="F48" s="4" t="s">
        <v>37</v>
      </c>
      <c r="G48" s="3">
        <v>0.001259445843828715</v>
      </c>
      <c r="H48" s="3">
        <v>0.001200737595951799</v>
      </c>
      <c r="I48" s="3">
        <v>0.001584786053882726</v>
      </c>
      <c r="J48" s="3">
        <v>0.001262740146117074</v>
      </c>
      <c r="K48" s="3">
        <v>0.001194029850746269</v>
      </c>
      <c r="L48" s="3">
        <v>0.001204707626725975</v>
      </c>
      <c r="M48" s="3">
        <v>0.001207056638811513</v>
      </c>
      <c r="N48" s="3">
        <v>0.001209977661950856</v>
      </c>
      <c r="O48" s="3">
        <v>0.001215748620592911</v>
      </c>
      <c r="P48" s="3">
        <v>0.0012232991436906</v>
      </c>
      <c r="Q48" s="3">
        <v>0.001134161901611455</v>
      </c>
      <c r="R48" s="3">
        <v>0.001141009793667396</v>
      </c>
      <c r="S48" s="3">
        <v>0.001155123453819127</v>
      </c>
      <c r="T48" s="3">
        <v>0.001172046686526347</v>
      </c>
      <c r="U48" s="3">
        <v>0.001185653591542338</v>
      </c>
      <c r="V48" s="3">
        <v>0.001194981079466242</v>
      </c>
      <c r="W48" s="3">
        <v>0.001209555488358028</v>
      </c>
      <c r="X48" s="3">
        <v>0.00122837547343638</v>
      </c>
      <c r="Y48" s="3">
        <v>0.001245459263103269</v>
      </c>
      <c r="Z48" s="3">
        <v>0.001147866012730878</v>
      </c>
      <c r="AA48" s="3">
        <v>0.001037936582074835</v>
      </c>
      <c r="AB48" s="3">
        <v>0.001031778786628147</v>
      </c>
      <c r="AC48" s="3">
        <v>0.001029389057594318</v>
      </c>
      <c r="AD48" s="3">
        <v>0.001029177172850306</v>
      </c>
      <c r="AE48" s="3">
        <v>0.001026535954421804</v>
      </c>
      <c r="AF48" s="3">
        <v>0.001023017902813299</v>
      </c>
      <c r="AG48" s="3">
        <v>0.001023698623125352</v>
      </c>
      <c r="AH48" s="3">
        <v>0.001028066207463761</v>
      </c>
      <c r="AI48" s="3">
        <v>0.001035893717304604</v>
      </c>
      <c r="AJ48" s="3">
        <v>0.001044386422976501</v>
      </c>
      <c r="AK48" s="3">
        <v>0.001051414152034486</v>
      </c>
      <c r="AL48" s="3">
        <v>0.00105708245243129</v>
      </c>
      <c r="AM48" s="3">
        <v>0.001061683830555261</v>
      </c>
      <c r="AN48" s="3">
        <v>0.0010660412557966</v>
      </c>
      <c r="AO48" s="3">
        <v>0.0009627212921859122</v>
      </c>
      <c r="AP48" s="3">
        <v>0.00096514745308311</v>
      </c>
      <c r="AQ48" s="3">
        <v>0.0009672738997259392</v>
      </c>
      <c r="AR48" s="3">
        <v>0.0009689400872046081</v>
      </c>
      <c r="AS48" s="3">
        <v>0.000970141209442708</v>
      </c>
      <c r="AT48" s="3">
        <v>0.0009713453132588637</v>
      </c>
      <c r="AU48" s="3">
        <v>0.0009723947922856682</v>
      </c>
      <c r="AV48" s="3">
        <v>0.0009729203826820175</v>
      </c>
      <c r="AW48" s="3">
        <v>0.0009739205713667353</v>
      </c>
      <c r="AX48" s="3">
        <v>0.0009757684176288831</v>
      </c>
      <c r="AY48" s="3">
        <v>0.0008694234635657229</v>
      </c>
      <c r="AZ48" s="3">
        <v>0.0007631923244657653</v>
      </c>
      <c r="BA48" s="3">
        <v>0.00065695828314902</v>
      </c>
      <c r="BB48" s="3">
        <v>0.0006604656282679288</v>
      </c>
      <c r="BC48" s="3">
        <v>0.0005538631957906397</v>
      </c>
      <c r="BD48" s="3">
        <v>0.000557848934508535</v>
      </c>
      <c r="BE48" s="3">
        <v>0.000562271577171774</v>
      </c>
    </row>
    <row r="49" spans="1:57">
      <c r="A49" s="1" t="str">
        <f>'Population Definitions'!$A$7</f>
        <v>10-17_females</v>
      </c>
      <c r="C49" t="s">
        <v>53</v>
      </c>
      <c r="D49" s="3"/>
      <c r="E49" s="3"/>
      <c r="F49" s="4" t="s">
        <v>37</v>
      </c>
      <c r="G49" s="3">
        <v>0.001155555555555556</v>
      </c>
      <c r="H49" s="3">
        <v>0.001002963300661044</v>
      </c>
      <c r="I49" s="3">
        <v>0.001585746933445268</v>
      </c>
      <c r="J49" s="3">
        <v>0.001043989939733308</v>
      </c>
      <c r="K49" s="3">
        <v>0.001056524035921817</v>
      </c>
      <c r="L49" s="3">
        <v>0.001061827308267774</v>
      </c>
      <c r="M49" s="3">
        <v>0.001062750591758852</v>
      </c>
      <c r="N49" s="3">
        <v>0.001060394273870921</v>
      </c>
      <c r="O49" s="3">
        <v>0.001054195217787148</v>
      </c>
      <c r="P49" s="3">
        <v>0.001052833078101072</v>
      </c>
      <c r="Q49" s="3">
        <v>0.001058863166000866</v>
      </c>
      <c r="R49" s="3">
        <v>0.001069882799202451</v>
      </c>
      <c r="S49" s="3">
        <v>0.001181044239948821</v>
      </c>
      <c r="T49" s="3">
        <v>0.001091540560654924</v>
      </c>
      <c r="U49" s="3">
        <v>0.00109774961329275</v>
      </c>
      <c r="V49" s="3">
        <v>0.001105138895865776</v>
      </c>
      <c r="W49" s="3">
        <v>0.001118170266836086</v>
      </c>
      <c r="X49" s="3">
        <v>0.001133202843308952</v>
      </c>
      <c r="Y49" s="3">
        <v>0.001144879267277269</v>
      </c>
      <c r="Z49" s="3">
        <v>0.001043732387015969</v>
      </c>
      <c r="AA49" s="3">
        <v>0.001041395469929706</v>
      </c>
      <c r="AB49" s="3">
        <v>0.001044386422976501</v>
      </c>
      <c r="AC49" s="3">
        <v>0.0009459743535841919</v>
      </c>
      <c r="AD49" s="3">
        <v>0.0009542996500901285</v>
      </c>
      <c r="AE49" s="3">
        <v>0.0008563935128191404</v>
      </c>
      <c r="AF49" s="3">
        <v>0.0008611410118406887</v>
      </c>
      <c r="AG49" s="3">
        <v>0.0008658945773352096</v>
      </c>
      <c r="AH49" s="3">
        <v>0.0008737917099011525</v>
      </c>
      <c r="AI49" s="3">
        <v>0.0008825151682294538</v>
      </c>
      <c r="AJ49" s="3">
        <v>0.0008898281519381571</v>
      </c>
      <c r="AK49" s="3">
        <v>0.0007841380082894589</v>
      </c>
      <c r="AL49" s="3">
        <v>0.0006759040216289286</v>
      </c>
      <c r="AM49" s="3">
        <v>0.0006790018672551349</v>
      </c>
      <c r="AN49" s="3">
        <v>0.0005683755825849721</v>
      </c>
      <c r="AO49" s="3">
        <v>0.0005705157462345961</v>
      </c>
      <c r="AP49" s="3">
        <v>0.0005720823798627002</v>
      </c>
      <c r="AQ49" s="3">
        <v>0.0005733616191732125</v>
      </c>
      <c r="AR49" s="3">
        <v>0.0004594532506317481</v>
      </c>
      <c r="AS49" s="3">
        <v>0.0004600080501408775</v>
      </c>
      <c r="AT49" s="3">
        <v>0.0004605111673958093</v>
      </c>
      <c r="AU49" s="3">
        <v>0.0004609091432851299</v>
      </c>
      <c r="AV49" s="3">
        <v>0.0004610685263097228</v>
      </c>
      <c r="AW49" s="3">
        <v>0.0004613610149942331</v>
      </c>
      <c r="AX49" s="3">
        <v>0.0003465003465003464</v>
      </c>
      <c r="AY49" s="3">
        <v>0.0003472021295063943</v>
      </c>
      <c r="AZ49" s="3">
        <v>0.0003482298316889147</v>
      </c>
      <c r="BA49" s="3">
        <v>0.0003496096026104183</v>
      </c>
      <c r="BB49" s="3">
        <v>0.0003513291954561424</v>
      </c>
      <c r="BC49" s="3">
        <v>0.000353398515726234</v>
      </c>
      <c r="BD49" s="3">
        <v>0.0002372619965597011</v>
      </c>
      <c r="BE49" s="3">
        <v>0.0002390771621540852</v>
      </c>
    </row>
    <row r="50" spans="1:57">
      <c r="A50" s="1" t="str">
        <f>'Population Definitions'!$A$8</f>
        <v>18-64_males</v>
      </c>
      <c r="C50" t="s">
        <v>53</v>
      </c>
      <c r="D50" s="3"/>
      <c r="E50" s="3"/>
      <c r="F50" s="4" t="s">
        <v>37</v>
      </c>
      <c r="G50" s="3">
        <v>0.007792207792207797</v>
      </c>
      <c r="H50" s="3">
        <v>0.007673615551860859</v>
      </c>
      <c r="I50" s="3">
        <v>0.007665593003796815</v>
      </c>
      <c r="J50" s="3">
        <v>0.007564726355790749</v>
      </c>
      <c r="K50" s="3">
        <v>0.007554196971294058</v>
      </c>
      <c r="L50" s="3">
        <v>0.00770612131038932</v>
      </c>
      <c r="M50" s="3">
        <v>0.007815349346115778</v>
      </c>
      <c r="N50" s="3">
        <v>0.007974481658692191</v>
      </c>
      <c r="O50" s="3">
        <v>0.008138810002078001</v>
      </c>
      <c r="P50" s="3">
        <v>0.008418354090523297</v>
      </c>
      <c r="Q50" s="3">
        <v>0.008468863962391337</v>
      </c>
      <c r="R50" s="3">
        <v>0.008492642002475594</v>
      </c>
      <c r="S50" s="3">
        <v>0.00854949301506421</v>
      </c>
      <c r="T50" s="3">
        <v>0.00856865978680359</v>
      </c>
      <c r="U50" s="3">
        <v>0.008723584108199501</v>
      </c>
      <c r="V50" s="3">
        <v>0.008678248877377693</v>
      </c>
      <c r="W50" s="3">
        <v>0.008625877632898704</v>
      </c>
      <c r="X50" s="3">
        <v>0.008595085204174766</v>
      </c>
      <c r="Y50" s="3">
        <v>0.008563053716694672</v>
      </c>
      <c r="Z50" s="3">
        <v>0.008558639799314663</v>
      </c>
      <c r="AA50" s="3">
        <v>0.008872217238848576</v>
      </c>
      <c r="AB50" s="3">
        <v>0.008719328384817355</v>
      </c>
      <c r="AC50" s="3">
        <v>0.00819738264672186</v>
      </c>
      <c r="AD50" s="3">
        <v>0.008088848943955836</v>
      </c>
      <c r="AE50" s="3">
        <v>0.008079582288789187</v>
      </c>
      <c r="AF50" s="3">
        <v>0.007976230198452427</v>
      </c>
      <c r="AG50" s="3">
        <v>0.007799917895601105</v>
      </c>
      <c r="AH50" s="3">
        <v>0.007736519818959181</v>
      </c>
      <c r="AI50" s="3">
        <v>0.007570938765378475</v>
      </c>
      <c r="AJ50" s="3">
        <v>0.007501690954928371</v>
      </c>
      <c r="AK50" s="3">
        <v>0.00734532154830845</v>
      </c>
      <c r="AL50" s="3">
        <v>0.007188594901534374</v>
      </c>
      <c r="AM50" s="3">
        <v>0.007149053273907457</v>
      </c>
      <c r="AN50" s="3">
        <v>0.007167503369022768</v>
      </c>
      <c r="AO50" s="3">
        <v>0.007158994219992376</v>
      </c>
      <c r="AP50" s="3">
        <v>0.007035395014172548</v>
      </c>
      <c r="AQ50" s="3">
        <v>0.006968641114982583</v>
      </c>
      <c r="AR50" s="3">
        <v>0.007043458423634087</v>
      </c>
      <c r="AS50" s="3">
        <v>0.006919633400646781</v>
      </c>
      <c r="AT50" s="3">
        <v>0.006966788841946231</v>
      </c>
      <c r="AU50" s="3">
        <v>0.006959077298436291</v>
      </c>
      <c r="AV50" s="3">
        <v>0.006926121372031668</v>
      </c>
      <c r="AW50" s="3">
        <v>0.006893826891374551</v>
      </c>
      <c r="AX50" s="3">
        <v>0.006748184738305403</v>
      </c>
      <c r="AY50" s="3">
        <v>0.006816632583503754</v>
      </c>
      <c r="AZ50" s="3">
        <v>0.006699679580541807</v>
      </c>
      <c r="BA50" s="3">
        <v>0.006766591919430352</v>
      </c>
      <c r="BB50" s="3">
        <v>0.006856163405227829</v>
      </c>
      <c r="BC50" s="3">
        <v>0.006869757628775799</v>
      </c>
      <c r="BD50" s="3">
        <v>0.00691282443721702</v>
      </c>
      <c r="BE50" s="3">
        <v>0.006806680161943326</v>
      </c>
    </row>
    <row r="51" spans="1:57">
      <c r="A51" s="1" t="str">
        <f>'Population Definitions'!$A$9</f>
        <v>18-64_females</v>
      </c>
      <c r="C51" t="s">
        <v>53</v>
      </c>
      <c r="D51" s="3"/>
      <c r="E51" s="3"/>
      <c r="F51" s="4" t="s">
        <v>37</v>
      </c>
      <c r="G51" s="3">
        <v>0.004719360184451332</v>
      </c>
      <c r="H51" s="3">
        <v>0.004577877142552969</v>
      </c>
      <c r="I51" s="3">
        <v>0.004978700278737099</v>
      </c>
      <c r="J51" s="3">
        <v>0.00462126476719945</v>
      </c>
      <c r="K51" s="3">
        <v>0.004661602209944755</v>
      </c>
      <c r="L51" s="3">
        <v>0.004646200440528638</v>
      </c>
      <c r="M51" s="3">
        <v>0.004814305364511694</v>
      </c>
      <c r="N51" s="3">
        <v>0.004851195596077761</v>
      </c>
      <c r="O51" s="3">
        <v>0.004928994898662626</v>
      </c>
      <c r="P51" s="3">
        <v>0.005081581858407083</v>
      </c>
      <c r="Q51" s="3">
        <v>0.005241560053794963</v>
      </c>
      <c r="R51" s="3">
        <v>0.005306311086766748</v>
      </c>
      <c r="S51" s="3">
        <v>0.005440141443677539</v>
      </c>
      <c r="T51" s="3">
        <v>0.005571030640668527</v>
      </c>
      <c r="U51" s="3">
        <v>0.005468514107424436</v>
      </c>
      <c r="V51" s="3">
        <v>0.005594219306716399</v>
      </c>
      <c r="W51" s="3">
        <v>0.005474031327287718</v>
      </c>
      <c r="X51" s="3">
        <v>0.005391187858391468</v>
      </c>
      <c r="Y51" s="3">
        <v>0.005188908707637429</v>
      </c>
      <c r="Z51" s="3">
        <v>0.005165956347668868</v>
      </c>
      <c r="AA51" s="3">
        <v>0.005036490496431152</v>
      </c>
      <c r="AB51" s="3">
        <v>0.005186705487407128</v>
      </c>
      <c r="AC51" s="3">
        <v>0.004714518502112043</v>
      </c>
      <c r="AD51" s="3">
        <v>0.004651455151172297</v>
      </c>
      <c r="AE51" s="3">
        <v>0.004648695869212531</v>
      </c>
      <c r="AF51" s="3">
        <v>0.004527201972123604</v>
      </c>
      <c r="AG51" s="3">
        <v>0.004467036352433769</v>
      </c>
      <c r="AH51" s="3">
        <v>0.004401314281347906</v>
      </c>
      <c r="AI51" s="3">
        <v>0.00421467556094603</v>
      </c>
      <c r="AJ51" s="3">
        <v>0.004150937720894561</v>
      </c>
      <c r="AK51" s="3">
        <v>0.003881465999850715</v>
      </c>
      <c r="AL51" s="3">
        <v>0.003735934650793889</v>
      </c>
      <c r="AM51" s="3">
        <v>0.003709155136885491</v>
      </c>
      <c r="AN51" s="3">
        <v>0.003653848964499207</v>
      </c>
      <c r="AO51" s="3">
        <v>0.003541672714605047</v>
      </c>
      <c r="AP51" s="3">
        <v>0.003545588192903061</v>
      </c>
      <c r="AQ51" s="3">
        <v>0.003631995881831444</v>
      </c>
      <c r="AR51" s="3">
        <v>0.003630484726437307</v>
      </c>
      <c r="AS51" s="3">
        <v>0.003547596925416001</v>
      </c>
      <c r="AT51" s="3">
        <v>0.003411680812091895</v>
      </c>
      <c r="AU51" s="3">
        <v>0.003414864377134292</v>
      </c>
      <c r="AV51" s="3">
        <v>0.003442009031831702</v>
      </c>
      <c r="AW51" s="3">
        <v>0.00343825467643568</v>
      </c>
      <c r="AX51" s="3">
        <v>0.003433406777599052</v>
      </c>
      <c r="AY51" s="3">
        <v>0.003376703426282011</v>
      </c>
      <c r="AZ51" s="3">
        <v>0.00340199335548173</v>
      </c>
      <c r="BA51" s="3">
        <v>0.003452911252273389</v>
      </c>
      <c r="BB51" s="3">
        <v>0.003398115352946561</v>
      </c>
      <c r="BC51" s="3">
        <v>0.003343788071230465</v>
      </c>
      <c r="BD51" s="3">
        <v>0.003444198838225469</v>
      </c>
      <c r="BE51" s="3">
        <v>0.003414926286012821</v>
      </c>
    </row>
    <row r="52" spans="1:57">
      <c r="A52" s="1" t="str">
        <f>'Population Definitions'!$A$10</f>
        <v>65+_males</v>
      </c>
      <c r="C52" t="s">
        <v>53</v>
      </c>
      <c r="D52" s="3"/>
      <c r="E52" s="3"/>
      <c r="F52" s="4" t="s">
        <v>37</v>
      </c>
      <c r="G52" s="3">
        <v>0.07846952010376146</v>
      </c>
      <c r="H52" s="3">
        <v>0.07733083879014666</v>
      </c>
      <c r="I52" s="3">
        <v>0.07558488302339542</v>
      </c>
      <c r="J52" s="3">
        <v>0.07746478873239443</v>
      </c>
      <c r="K52" s="3">
        <v>0.07856933450601007</v>
      </c>
      <c r="L52" s="3">
        <v>0.08064516129032265</v>
      </c>
      <c r="M52" s="3">
        <v>0.08263953129818077</v>
      </c>
      <c r="N52" s="3">
        <v>0.08333333333333345</v>
      </c>
      <c r="O52" s="3">
        <v>0.08458208458208465</v>
      </c>
      <c r="P52" s="3">
        <v>0.08410892795587735</v>
      </c>
      <c r="Q52" s="3">
        <v>0.08161841646320195</v>
      </c>
      <c r="R52" s="3">
        <v>0.08082191780821918</v>
      </c>
      <c r="S52" s="3">
        <v>0.07872973867019521</v>
      </c>
      <c r="T52" s="3">
        <v>0.07766990291262142</v>
      </c>
      <c r="U52" s="3">
        <v>0.07619610159480224</v>
      </c>
      <c r="V52" s="3">
        <v>0.07520891364902513</v>
      </c>
      <c r="W52" s="3">
        <v>0.07454068241469822</v>
      </c>
      <c r="X52" s="3">
        <v>0.07274539113104141</v>
      </c>
      <c r="Y52" s="3">
        <v>0.07276163477439174</v>
      </c>
      <c r="Z52" s="3">
        <v>0.07296996662958843</v>
      </c>
      <c r="AA52" s="3">
        <v>0.08008385744234801</v>
      </c>
      <c r="AB52" s="3">
        <v>0.07293742526903146</v>
      </c>
      <c r="AC52" s="3">
        <v>0.07049808429118777</v>
      </c>
      <c r="AD52" s="3">
        <v>0.07145501666049618</v>
      </c>
      <c r="AE52" s="3">
        <v>0.07151796888968358</v>
      </c>
      <c r="AF52" s="3">
        <v>0.0720565419755215</v>
      </c>
      <c r="AG52" s="3">
        <v>0.07272117962466494</v>
      </c>
      <c r="AH52" s="3">
        <v>0.07358738501971095</v>
      </c>
      <c r="AI52" s="3">
        <v>0.07371640109447936</v>
      </c>
      <c r="AJ52" s="3">
        <v>0.07531117063179459</v>
      </c>
      <c r="AK52" s="3">
        <v>0.07501157586047236</v>
      </c>
      <c r="AL52" s="3">
        <v>0.07673568818514014</v>
      </c>
      <c r="AM52" s="3">
        <v>0.07787878787878791</v>
      </c>
      <c r="AN52" s="3">
        <v>0.07748184019370463</v>
      </c>
      <c r="AO52" s="3">
        <v>0.0779298931848955</v>
      </c>
      <c r="AP52" s="3">
        <v>0.07851918196745786</v>
      </c>
      <c r="AQ52" s="3">
        <v>0.07932011331444765</v>
      </c>
      <c r="AR52" s="3">
        <v>0.0794029850746269</v>
      </c>
      <c r="AS52" s="3">
        <v>0.0805609428614054</v>
      </c>
      <c r="AT52" s="3">
        <v>0.08083519761372115</v>
      </c>
      <c r="AU52" s="3">
        <v>0.080630764653377</v>
      </c>
      <c r="AV52" s="3">
        <v>0.08029520295202959</v>
      </c>
      <c r="AW52" s="3">
        <v>0.08033888401986566</v>
      </c>
      <c r="AX52" s="3">
        <v>0.07940663176265277</v>
      </c>
      <c r="AY52" s="3">
        <v>0.08013937282229969</v>
      </c>
      <c r="AZ52" s="3">
        <v>0.07919075144508674</v>
      </c>
      <c r="BA52" s="3">
        <v>0.07915947035118025</v>
      </c>
      <c r="BB52" s="3">
        <v>0.07929895130010062</v>
      </c>
      <c r="BC52" s="3">
        <v>0.07830296127562646</v>
      </c>
      <c r="BD52" s="3">
        <v>0.07820602662929226</v>
      </c>
      <c r="BE52" s="3">
        <v>0.07733590202284302</v>
      </c>
    </row>
    <row r="53" spans="1:57">
      <c r="A53" s="1" t="str">
        <f>'Population Definitions'!$A$11</f>
        <v>65+_females</v>
      </c>
      <c r="C53" t="s">
        <v>53</v>
      </c>
      <c r="D53" s="3"/>
      <c r="E53" s="3"/>
      <c r="F53" s="4" t="s">
        <v>37</v>
      </c>
      <c r="G53" s="3">
        <v>0.05923694779116466</v>
      </c>
      <c r="H53" s="3">
        <v>0.05816771691711108</v>
      </c>
      <c r="I53" s="3">
        <v>0.05905788610264823</v>
      </c>
      <c r="J53" s="3">
        <v>0.05785123966942149</v>
      </c>
      <c r="K53" s="3">
        <v>0.0587833219412167</v>
      </c>
      <c r="L53" s="3">
        <v>0.05949656750572083</v>
      </c>
      <c r="M53" s="3">
        <v>0.06029684601113175</v>
      </c>
      <c r="N53" s="3">
        <v>0.06114769520225779</v>
      </c>
      <c r="O53" s="3">
        <v>0.06150178784266987</v>
      </c>
      <c r="P53" s="3">
        <v>0.06185068857211889</v>
      </c>
      <c r="Q53" s="3">
        <v>0.06097265908541014</v>
      </c>
      <c r="R53" s="3">
        <v>0.06037556453529831</v>
      </c>
      <c r="S53" s="3">
        <v>0.0596256066558817</v>
      </c>
      <c r="T53" s="3">
        <v>0.05756358768406963</v>
      </c>
      <c r="U53" s="3">
        <v>0.05847204438753742</v>
      </c>
      <c r="V53" s="3">
        <v>0.05810646078829749</v>
      </c>
      <c r="W53" s="3">
        <v>0.05620155038759694</v>
      </c>
      <c r="X53" s="3">
        <v>0.05577100646352728</v>
      </c>
      <c r="Y53" s="3">
        <v>0.05359957961114035</v>
      </c>
      <c r="Z53" s="3">
        <v>0.05305039787798412</v>
      </c>
      <c r="AA53" s="3">
        <v>0.05440050023448495</v>
      </c>
      <c r="AB53" s="3">
        <v>0.05275567344532865</v>
      </c>
      <c r="AC53" s="3">
        <v>0.05086640581330355</v>
      </c>
      <c r="AD53" s="3">
        <v>0.04954714970697925</v>
      </c>
      <c r="AE53" s="3">
        <v>0.04928861788617889</v>
      </c>
      <c r="AF53" s="3">
        <v>0.04941261959549472</v>
      </c>
      <c r="AG53" s="3">
        <v>0.04986601421414426</v>
      </c>
      <c r="AH53" s="3">
        <v>0.05025918413342351</v>
      </c>
      <c r="AI53" s="3">
        <v>0.05010347456704065</v>
      </c>
      <c r="AJ53" s="3">
        <v>0.05185185185185188</v>
      </c>
      <c r="AK53" s="3">
        <v>0.05165671948960692</v>
      </c>
      <c r="AL53" s="3">
        <v>0.05248923169387961</v>
      </c>
      <c r="AM53" s="3">
        <v>0.05324459234608987</v>
      </c>
      <c r="AN53" s="3">
        <v>0.05340735068912713</v>
      </c>
      <c r="AO53" s="3">
        <v>0.05448928002995979</v>
      </c>
      <c r="AP53" s="3">
        <v>0.05472408410614274</v>
      </c>
      <c r="AQ53" s="3">
        <v>0.05554043016607683</v>
      </c>
      <c r="AR53" s="3">
        <v>0.05662921348314611</v>
      </c>
      <c r="AS53" s="3">
        <v>0.05689471818504079</v>
      </c>
      <c r="AT53" s="3">
        <v>0.05711790393013103</v>
      </c>
      <c r="AU53" s="3">
        <v>0.05747324818778049</v>
      </c>
      <c r="AV53" s="3">
        <v>0.05801579128046691</v>
      </c>
      <c r="AW53" s="3">
        <v>0.05904565739787162</v>
      </c>
      <c r="AX53" s="3">
        <v>0.05973223480947481</v>
      </c>
      <c r="AY53" s="3">
        <v>0.05998974534267647</v>
      </c>
      <c r="AZ53" s="3">
        <v>0.06070883500084793</v>
      </c>
      <c r="BA53" s="3">
        <v>0.06004036326942487</v>
      </c>
      <c r="BB53" s="3">
        <v>0.06039372706039375</v>
      </c>
      <c r="BC53" s="3">
        <v>0.06055592322964927</v>
      </c>
      <c r="BD53" s="3">
        <v>0.06008865539320312</v>
      </c>
      <c r="BE53" s="3">
        <v>0.05972097576894842</v>
      </c>
    </row>
    <row r="54" spans="1:57">
      <c r="A54" s="1" t="str">
        <f>'Population Definitions'!$A$12</f>
        <v>Prisoners_males</v>
      </c>
      <c r="C54" t="s">
        <v>53</v>
      </c>
      <c r="D54" s="3"/>
      <c r="E54" s="3"/>
      <c r="F54" s="4" t="s">
        <v>37</v>
      </c>
      <c r="G54" s="3">
        <v>0.007792207792207797</v>
      </c>
      <c r="H54" s="3">
        <v>0.007673615551860859</v>
      </c>
      <c r="I54" s="3">
        <v>0.007665593003796815</v>
      </c>
      <c r="J54" s="3">
        <v>0.007564726355790749</v>
      </c>
      <c r="K54" s="3">
        <v>0.007554196971294058</v>
      </c>
      <c r="L54" s="3">
        <v>0.00770612131038932</v>
      </c>
      <c r="M54" s="3">
        <v>0.007815349346115778</v>
      </c>
      <c r="N54" s="3">
        <v>0.007974481658692191</v>
      </c>
      <c r="O54" s="3">
        <v>0.008138810002078001</v>
      </c>
      <c r="P54" s="3">
        <v>0.008418354090523297</v>
      </c>
      <c r="Q54" s="3">
        <v>0.008468863962391337</v>
      </c>
      <c r="R54" s="3">
        <v>0.008492642002475594</v>
      </c>
      <c r="S54" s="3">
        <v>0.00854949301506421</v>
      </c>
      <c r="T54" s="3">
        <v>0.00856865978680359</v>
      </c>
      <c r="U54" s="3">
        <v>0.008723584108199501</v>
      </c>
      <c r="V54" s="3">
        <v>0.008678248877377693</v>
      </c>
      <c r="W54" s="3">
        <v>0.008625877632898704</v>
      </c>
      <c r="X54" s="3">
        <v>0.008595085204174766</v>
      </c>
      <c r="Y54" s="3">
        <v>0.008563053716694672</v>
      </c>
      <c r="Z54" s="3">
        <v>0.008558639799314663</v>
      </c>
      <c r="AA54" s="3">
        <v>0.008872217238848576</v>
      </c>
      <c r="AB54" s="3">
        <v>0.008719328384817355</v>
      </c>
      <c r="AC54" s="3">
        <v>0.00819738264672186</v>
      </c>
      <c r="AD54" s="3">
        <v>0.008088848943955836</v>
      </c>
      <c r="AE54" s="3">
        <v>0.007770472205618649</v>
      </c>
      <c r="AF54" s="3">
        <v>0.008033826638477803</v>
      </c>
      <c r="AG54" s="3">
        <v>0.008526870862784698</v>
      </c>
      <c r="AH54" s="3">
        <v>0.008817921830314586</v>
      </c>
      <c r="AI54" s="3">
        <v>0.009111617312072894</v>
      </c>
      <c r="AJ54" s="3">
        <v>0.009389671361502348</v>
      </c>
      <c r="AK54" s="3">
        <v>0.009601807399039819</v>
      </c>
      <c r="AL54" s="3">
        <v>0.01003838204901092</v>
      </c>
      <c r="AM54" s="3">
        <v>0.01009637448370812</v>
      </c>
      <c r="AN54" s="3">
        <v>0.01024105876792185</v>
      </c>
      <c r="AO54" s="3">
        <v>0.01021732079143691</v>
      </c>
      <c r="AP54" s="3">
        <v>0.01019896338404949</v>
      </c>
      <c r="AQ54" s="3">
        <v>0.010139199175116</v>
      </c>
      <c r="AR54" s="3">
        <v>0.01019869878670653</v>
      </c>
      <c r="AS54" s="3">
        <v>0.01042977881675958</v>
      </c>
      <c r="AT54" s="3">
        <v>0.01016072418252356</v>
      </c>
      <c r="AU54" s="3">
        <v>0.01015714833269452</v>
      </c>
      <c r="AV54" s="3">
        <v>0.009992006394884092</v>
      </c>
      <c r="AW54" s="3">
        <v>0.01027900146842878</v>
      </c>
      <c r="AX54" s="3">
        <v>0.01024042742653606</v>
      </c>
      <c r="AY54" s="3">
        <v>0.01032621450363765</v>
      </c>
      <c r="AZ54" s="3">
        <v>0.01035502958579882</v>
      </c>
      <c r="BA54" s="3">
        <v>0.01017214397496088</v>
      </c>
      <c r="BB54" s="3">
        <v>0.01051466519092418</v>
      </c>
      <c r="BC54" s="3">
        <v>0.01056648077487526</v>
      </c>
      <c r="BD54" s="3">
        <v>0.01016009852216749</v>
      </c>
      <c r="BE54" s="3">
        <v>0.01017811704834606</v>
      </c>
    </row>
    <row r="55" spans="1:57">
      <c r="A55" s="1" t="str">
        <f>'Population Definitions'!$A$13</f>
        <v>Prisoners_females</v>
      </c>
      <c r="C55" t="s">
        <v>53</v>
      </c>
      <c r="D55" s="3"/>
      <c r="E55" s="3"/>
      <c r="F55" s="4" t="s">
        <v>37</v>
      </c>
      <c r="G55" s="3">
        <v>0.004719360184451332</v>
      </c>
      <c r="H55" s="3">
        <v>0.004577877142552969</v>
      </c>
      <c r="I55" s="3">
        <v>0.004978700278737099</v>
      </c>
      <c r="J55" s="3">
        <v>0.00462126476719945</v>
      </c>
      <c r="K55" s="3">
        <v>0.004661602209944755</v>
      </c>
      <c r="L55" s="3">
        <v>0.004646200440528638</v>
      </c>
      <c r="M55" s="3">
        <v>0.004814305364511694</v>
      </c>
      <c r="N55" s="3">
        <v>0.004851195596077761</v>
      </c>
      <c r="O55" s="3">
        <v>0.004928994898662626</v>
      </c>
      <c r="P55" s="3">
        <v>0.005081581858407083</v>
      </c>
      <c r="Q55" s="3">
        <v>0.005241560053794963</v>
      </c>
      <c r="R55" s="3">
        <v>0.005306311086766748</v>
      </c>
      <c r="S55" s="3">
        <v>0.005440141443677539</v>
      </c>
      <c r="T55" s="3">
        <v>0.005571030640668527</v>
      </c>
      <c r="U55" s="3">
        <v>0.005468514107424436</v>
      </c>
      <c r="V55" s="3">
        <v>0.005594219306716399</v>
      </c>
      <c r="W55" s="3">
        <v>0.005474031327287718</v>
      </c>
      <c r="X55" s="3">
        <v>0.005391187858391468</v>
      </c>
      <c r="Y55" s="3">
        <v>0.005188908707637429</v>
      </c>
      <c r="Z55" s="3">
        <v>0.005165956347668868</v>
      </c>
      <c r="AA55" s="3">
        <v>0.005036490496431152</v>
      </c>
      <c r="AB55" s="3">
        <v>0.005186705487407128</v>
      </c>
      <c r="AC55" s="3">
        <v>0.004714518502112043</v>
      </c>
      <c r="AD55" s="3">
        <v>0.004651455151172297</v>
      </c>
      <c r="AE55" s="3">
        <v>0.005479168820427997</v>
      </c>
      <c r="AF55" s="3">
        <v>0.005801225919439579</v>
      </c>
      <c r="AG55" s="3">
        <v>0.006031782855817193</v>
      </c>
      <c r="AH55" s="3">
        <v>0.006266126059712497</v>
      </c>
      <c r="AI55" s="3">
        <v>0.006258148631029988</v>
      </c>
      <c r="AJ55" s="3">
        <v>0.006641760066417601</v>
      </c>
      <c r="AK55" s="3">
        <v>0.006845324788814448</v>
      </c>
      <c r="AL55" s="3">
        <v>0.006970753144415821</v>
      </c>
      <c r="AM55" s="3">
        <v>0.006872852233676977</v>
      </c>
      <c r="AN55" s="3">
        <v>0.006874500399680255</v>
      </c>
      <c r="AO55" s="3">
        <v>0.007183673469387755</v>
      </c>
      <c r="AP55" s="3">
        <v>0.00700817620557317</v>
      </c>
      <c r="AQ55" s="3">
        <v>0.007163568139177895</v>
      </c>
      <c r="AR55" s="3">
        <v>0.006808659217877095</v>
      </c>
      <c r="AS55" s="3">
        <v>0.006800286327845383</v>
      </c>
      <c r="AT55" s="3">
        <v>0.006615214994487321</v>
      </c>
      <c r="AU55" s="3">
        <v>0.006447942347809596</v>
      </c>
      <c r="AV55" s="3">
        <v>0.006305418719211824</v>
      </c>
      <c r="AW55" s="3">
        <v>0.006612936557139905</v>
      </c>
      <c r="AX55" s="3">
        <v>0.006805708013172338</v>
      </c>
      <c r="AY55" s="3">
        <v>0.007185906351414003</v>
      </c>
      <c r="AZ55" s="3">
        <v>0.006824274920789666</v>
      </c>
      <c r="BA55" s="3">
        <v>0.006980351602895553</v>
      </c>
      <c r="BB55" s="3">
        <v>0.006877579092159559</v>
      </c>
      <c r="BC55" s="3">
        <v>0.006731050629206907</v>
      </c>
      <c r="BD55" s="3">
        <v>0.007092198581560284</v>
      </c>
      <c r="BE55" s="3">
        <v>0.006418485237483954</v>
      </c>
    </row>
  </sheetData>
  <conditionalFormatting sqref="E16">
    <cfRule type="expression" dxfId="0" priority="1">
      <formula>COUNTIF(G16:BE16,"&lt;&gt;" &amp; "")&gt;0</formula>
    </cfRule>
    <cfRule type="expression" dxfId="1" priority="2">
      <formula>AND(COUNTIF(G16:BE16,"&lt;&gt;" &amp; "")&gt;0,NOT(ISBLANK(E16)))</formula>
    </cfRule>
  </conditionalFormatting>
  <conditionalFormatting sqref="E17">
    <cfRule type="expression" dxfId="0" priority="3">
      <formula>COUNTIF(G17:BE17,"&lt;&gt;" &amp; "")&gt;0</formula>
    </cfRule>
    <cfRule type="expression" dxfId="1" priority="4">
      <formula>AND(COUNTIF(G17:BE17,"&lt;&gt;" &amp; "")&gt;0,NOT(ISBLANK(E17)))</formula>
    </cfRule>
  </conditionalFormatting>
  <conditionalFormatting sqref="E18">
    <cfRule type="expression" dxfId="0" priority="5">
      <formula>COUNTIF(G18:BE18,"&lt;&gt;" &amp; "")&gt;0</formula>
    </cfRule>
    <cfRule type="expression" dxfId="1" priority="6">
      <formula>AND(COUNTIF(G18:BE18,"&lt;&gt;" &amp; "")&gt;0,NOT(ISBLANK(E18)))</formula>
    </cfRule>
  </conditionalFormatting>
  <conditionalFormatting sqref="E19">
    <cfRule type="expression" dxfId="0" priority="7">
      <formula>COUNTIF(G19:BE19,"&lt;&gt;" &amp; "")&gt;0</formula>
    </cfRule>
    <cfRule type="expression" dxfId="1" priority="8">
      <formula>AND(COUNTIF(G19:BE19,"&lt;&gt;" &amp; "")&gt;0,NOT(ISBLANK(E19)))</formula>
    </cfRule>
  </conditionalFormatting>
  <conditionalFormatting sqref="E20">
    <cfRule type="expression" dxfId="0" priority="9">
      <formula>COUNTIF(G20:BE20,"&lt;&gt;" &amp; "")&gt;0</formula>
    </cfRule>
    <cfRule type="expression" dxfId="1" priority="10">
      <formula>AND(COUNTIF(G20:BE20,"&lt;&gt;" &amp; "")&gt;0,NOT(ISBLANK(E20)))</formula>
    </cfRule>
  </conditionalFormatting>
  <conditionalFormatting sqref="E21">
    <cfRule type="expression" dxfId="0" priority="11">
      <formula>COUNTIF(G21:BE21,"&lt;&gt;" &amp; "")&gt;0</formula>
    </cfRule>
    <cfRule type="expression" dxfId="1" priority="12">
      <formula>AND(COUNTIF(G21:BE21,"&lt;&gt;" &amp; "")&gt;0,NOT(ISBLANK(E21)))</formula>
    </cfRule>
  </conditionalFormatting>
  <conditionalFormatting sqref="E22">
    <cfRule type="expression" dxfId="0" priority="13">
      <formula>COUNTIF(G22:BE22,"&lt;&gt;" &amp; "")&gt;0</formula>
    </cfRule>
    <cfRule type="expression" dxfId="1" priority="14">
      <formula>AND(COUNTIF(G22:BE22,"&lt;&gt;" &amp; "")&gt;0,NOT(ISBLANK(E22)))</formula>
    </cfRule>
  </conditionalFormatting>
  <conditionalFormatting sqref="E23">
    <cfRule type="expression" dxfId="0" priority="15">
      <formula>COUNTIF(G23:BE23,"&lt;&gt;" &amp; "")&gt;0</formula>
    </cfRule>
    <cfRule type="expression" dxfId="1" priority="16">
      <formula>AND(COUNTIF(G23:BE23,"&lt;&gt;" &amp; "")&gt;0,NOT(ISBLANK(E23)))</formula>
    </cfRule>
  </conditionalFormatting>
  <conditionalFormatting sqref="E24">
    <cfRule type="expression" dxfId="0" priority="17">
      <formula>COUNTIF(G24:BE24,"&lt;&gt;" &amp; "")&gt;0</formula>
    </cfRule>
    <cfRule type="expression" dxfId="1" priority="18">
      <formula>AND(COUNTIF(G24:BE24,"&lt;&gt;" &amp; "")&gt;0,NOT(ISBLANK(E24)))</formula>
    </cfRule>
  </conditionalFormatting>
  <conditionalFormatting sqref="E25">
    <cfRule type="expression" dxfId="0" priority="19">
      <formula>COUNTIF(G25:BE25,"&lt;&gt;" &amp; "")&gt;0</formula>
    </cfRule>
    <cfRule type="expression" dxfId="1" priority="20">
      <formula>AND(COUNTIF(G25:BE25,"&lt;&gt;" &amp; "")&gt;0,NOT(ISBLANK(E25)))</formula>
    </cfRule>
  </conditionalFormatting>
  <conditionalFormatting sqref="E26">
    <cfRule type="expression" dxfId="0" priority="21">
      <formula>COUNTIF(G26:BE26,"&lt;&gt;" &amp; "")&gt;0</formula>
    </cfRule>
    <cfRule type="expression" dxfId="1" priority="22">
      <formula>AND(COUNTIF(G26:BE26,"&lt;&gt;" &amp; "")&gt;0,NOT(ISBLANK(E26)))</formula>
    </cfRule>
  </conditionalFormatting>
  <conditionalFormatting sqref="E27">
    <cfRule type="expression" dxfId="0" priority="23">
      <formula>COUNTIF(G27:BE27,"&lt;&gt;" &amp; "")&gt;0</formula>
    </cfRule>
    <cfRule type="expression" dxfId="1" priority="24">
      <formula>AND(COUNTIF(G27:BE27,"&lt;&gt;" &amp; "")&gt;0,NOT(ISBLANK(E27)))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2">
    <cfRule type="expression" dxfId="0" priority="29">
      <formula>COUNTIF(G32:BE32,"&lt;&gt;" &amp; "")&gt;0</formula>
    </cfRule>
    <cfRule type="expression" dxfId="1" priority="30">
      <formula>AND(COUNTIF(G32:BE32,"&lt;&gt;" &amp; "")&gt;0,NOT(ISBLANK(E32)))</formula>
    </cfRule>
  </conditionalFormatting>
  <conditionalFormatting sqref="E33">
    <cfRule type="expression" dxfId="0" priority="31">
      <formula>COUNTIF(G33:BE33,"&lt;&gt;" &amp; "")&gt;0</formula>
    </cfRule>
    <cfRule type="expression" dxfId="1" priority="32">
      <formula>AND(COUNTIF(G33:BE33,"&lt;&gt;" &amp; "")&gt;0,NOT(ISBLANK(E33)))</formula>
    </cfRule>
  </conditionalFormatting>
  <conditionalFormatting sqref="E34">
    <cfRule type="expression" dxfId="0" priority="33">
      <formula>COUNTIF(G34:BE34,"&lt;&gt;" &amp; "")&gt;0</formula>
    </cfRule>
    <cfRule type="expression" dxfId="1" priority="34">
      <formula>AND(COUNTIF(G34:BE34,"&lt;&gt;" &amp; "")&gt;0,NOT(ISBLANK(E34)))</formula>
    </cfRule>
  </conditionalFormatting>
  <conditionalFormatting sqref="E35">
    <cfRule type="expression" dxfId="0" priority="35">
      <formula>COUNTIF(G35:BE35,"&lt;&gt;" &amp; "")&gt;0</formula>
    </cfRule>
    <cfRule type="expression" dxfId="1" priority="36">
      <formula>AND(COUNTIF(G35:BE35,"&lt;&gt;" &amp; "")&gt;0,NOT(ISBLANK(E35)))</formula>
    </cfRule>
  </conditionalFormatting>
  <conditionalFormatting sqref="E36">
    <cfRule type="expression" dxfId="0" priority="37">
      <formula>COUNTIF(G36:BE36,"&lt;&gt;" &amp; "")&gt;0</formula>
    </cfRule>
    <cfRule type="expression" dxfId="1" priority="38">
      <formula>AND(COUNTIF(G36:BE36,"&lt;&gt;" &amp; "")&gt;0,NOT(ISBLANK(E36)))</formula>
    </cfRule>
  </conditionalFormatting>
  <conditionalFormatting sqref="E37">
    <cfRule type="expression" dxfId="0" priority="39">
      <formula>COUNTIF(G37:BE37,"&lt;&gt;" &amp; "")&gt;0</formula>
    </cfRule>
    <cfRule type="expression" dxfId="1" priority="40">
      <formula>AND(COUNTIF(G37:BE37,"&lt;&gt;" &amp; "")&gt;0,NOT(ISBLANK(E37)))</formula>
    </cfRule>
  </conditionalFormatting>
  <conditionalFormatting sqref="E38">
    <cfRule type="expression" dxfId="0" priority="41">
      <formula>COUNTIF(G38:BE38,"&lt;&gt;" &amp; "")&gt;0</formula>
    </cfRule>
    <cfRule type="expression" dxfId="1" priority="42">
      <formula>AND(COUNTIF(G38:BE38,"&lt;&gt;" &amp; "")&gt;0,NOT(ISBLANK(E38)))</formula>
    </cfRule>
  </conditionalFormatting>
  <conditionalFormatting sqref="E39">
    <cfRule type="expression" dxfId="0" priority="43">
      <formula>COUNTIF(G39:BE39,"&lt;&gt;" &amp; "")&gt;0</formula>
    </cfRule>
    <cfRule type="expression" dxfId="1" priority="44">
      <formula>AND(COUNTIF(G39:BE39,"&lt;&gt;" &amp; "")&gt;0,NOT(ISBLANK(E39)))</formula>
    </cfRule>
  </conditionalFormatting>
  <conditionalFormatting sqref="E40">
    <cfRule type="expression" dxfId="0" priority="45">
      <formula>COUNTIF(G40:BE40,"&lt;&gt;" &amp; "")&gt;0</formula>
    </cfRule>
    <cfRule type="expression" dxfId="1" priority="46">
      <formula>AND(COUNTIF(G40:BE40,"&lt;&gt;" &amp; "")&gt;0,NOT(ISBLANK(E40)))</formula>
    </cfRule>
  </conditionalFormatting>
  <conditionalFormatting sqref="E41">
    <cfRule type="expression" dxfId="0" priority="47">
      <formula>COUNTIF(G41:BE41,"&lt;&gt;" &amp; "")&gt;0</formula>
    </cfRule>
    <cfRule type="expression" dxfId="1" priority="48">
      <formula>AND(COUNTIF(G41:BE41,"&lt;&gt;" &amp; "")&gt;0,NOT(ISBLANK(E41)))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48">
    <cfRule type="expression" dxfId="0" priority="57">
      <formula>COUNTIF(G48:BE48,"&lt;&gt;" &amp; "")&gt;0</formula>
    </cfRule>
    <cfRule type="expression" dxfId="1" priority="58">
      <formula>AND(COUNTIF(G48:BE48,"&lt;&gt;" &amp; "")&gt;0,NOT(ISBLANK(E48)))</formula>
    </cfRule>
  </conditionalFormatting>
  <conditionalFormatting sqref="E49">
    <cfRule type="expression" dxfId="0" priority="59">
      <formula>COUNTIF(G49:BE49,"&lt;&gt;" &amp; "")&gt;0</formula>
    </cfRule>
    <cfRule type="expression" dxfId="1" priority="60">
      <formula>AND(COUNTIF(G49:BE49,"&lt;&gt;" &amp; "")&gt;0,NOT(ISBLANK(E49)))</formula>
    </cfRule>
  </conditionalFormatting>
  <conditionalFormatting sqref="E50">
    <cfRule type="expression" dxfId="0" priority="61">
      <formula>COUNTIF(G50:BE50,"&lt;&gt;" &amp; "")&gt;0</formula>
    </cfRule>
    <cfRule type="expression" dxfId="1" priority="62">
      <formula>AND(COUNTIF(G50:BE50,"&lt;&gt;" &amp; "")&gt;0,NOT(ISBLANK(E50)))</formula>
    </cfRule>
  </conditionalFormatting>
  <conditionalFormatting sqref="E51">
    <cfRule type="expression" dxfId="0" priority="63">
      <formula>COUNTIF(G51:BE51,"&lt;&gt;" &amp; "")&gt;0</formula>
    </cfRule>
    <cfRule type="expression" dxfId="1" priority="64">
      <formula>AND(COUNTIF(G51:BE51,"&lt;&gt;" &amp; "")&gt;0,NOT(ISBLANK(E51)))</formula>
    </cfRule>
  </conditionalFormatting>
  <conditionalFormatting sqref="E52">
    <cfRule type="expression" dxfId="0" priority="65">
      <formula>COUNTIF(G52:BE52,"&lt;&gt;" &amp; "")&gt;0</formula>
    </cfRule>
    <cfRule type="expression" dxfId="1" priority="66">
      <formula>AND(COUNTIF(G52:BE52,"&lt;&gt;" &amp; "")&gt;0,NOT(ISBLANK(E52)))</formula>
    </cfRule>
  </conditionalFormatting>
  <conditionalFormatting sqref="E53">
    <cfRule type="expression" dxfId="0" priority="67">
      <formula>COUNTIF(G53:BE53,"&lt;&gt;" &amp; "")&gt;0</formula>
    </cfRule>
    <cfRule type="expression" dxfId="1" priority="68">
      <formula>AND(COUNTIF(G53:BE53,"&lt;&gt;" &amp; "")&gt;0,NOT(ISBLANK(E53)))</formula>
    </cfRule>
  </conditionalFormatting>
  <conditionalFormatting sqref="E54">
    <cfRule type="expression" dxfId="0" priority="69">
      <formula>COUNTIF(G54:BE54,"&lt;&gt;" &amp; "")&gt;0</formula>
    </cfRule>
    <cfRule type="expression" dxfId="1" priority="70">
      <formula>AND(COUNTIF(G54:BE54,"&lt;&gt;" &amp; "")&gt;0,NOT(ISBLANK(E54)))</formula>
    </cfRule>
  </conditionalFormatting>
  <conditionalFormatting sqref="E55">
    <cfRule type="expression" dxfId="0" priority="71">
      <formula>COUNTIF(G55:BE55,"&lt;&gt;" &amp; "")&gt;0</formula>
    </cfRule>
    <cfRule type="expression" dxfId="1" priority="72">
      <formula>AND(COUNTIF(G55:BE55,"&lt;&gt;" &amp; "")&gt;0,NOT(ISBLANK(E55)))</formula>
    </cfRule>
  </conditionalFormatting>
  <dataValidations count="48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6">
      <formula1>"Number (per year)"</formula1>
    </dataValidation>
    <dataValidation type="list" allowBlank="1" showInputMessage="1" showErrorMessage="1" sqref="C17">
      <formula1>"Number (per year)"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2">
      <formula1>"Rate (per year)"</formula1>
    </dataValidation>
    <dataValidation type="list" allowBlank="1" showInputMessage="1" showErrorMessage="1" sqref="C33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48">
      <formula1>"Rate (per year)"</formula1>
    </dataValidation>
    <dataValidation type="list" allowBlank="1" showInputMessage="1" showErrorMessage="1" sqref="C49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7"/>
  <sheetViews>
    <sheetView workbookViewId="0"/>
  </sheetViews>
  <sheetFormatPr defaultRowHeight="15"/>
  <cols>
    <col min="1" max="1" width="45.71093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55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56</v>
      </c>
      <c r="D2" s="3"/>
      <c r="E2" s="3">
        <v>0.1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56</v>
      </c>
      <c r="D3" s="3"/>
      <c r="E3" s="3">
        <v>0.1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56</v>
      </c>
      <c r="D4" s="3"/>
      <c r="E4" s="3">
        <v>0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56</v>
      </c>
      <c r="D5" s="3"/>
      <c r="E5" s="3">
        <v>0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56</v>
      </c>
      <c r="D6" s="3"/>
      <c r="E6" s="3">
        <v>0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56</v>
      </c>
      <c r="D7" s="3"/>
      <c r="E7" s="3">
        <v>0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56</v>
      </c>
      <c r="D8" s="3"/>
      <c r="E8" s="3">
        <v>0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56</v>
      </c>
      <c r="D9" s="3"/>
      <c r="E9" s="3">
        <v>0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56</v>
      </c>
      <c r="D10" s="3"/>
      <c r="E10" s="3">
        <v>0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56</v>
      </c>
      <c r="D11" s="3"/>
      <c r="E11" s="3">
        <v>0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56</v>
      </c>
      <c r="D12" s="3"/>
      <c r="E12" s="3">
        <v>0.1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56</v>
      </c>
      <c r="D13" s="3"/>
      <c r="E13" s="3">
        <v>0.1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57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C16" t="s">
        <v>58</v>
      </c>
      <c r="D16" s="3"/>
      <c r="E16" s="3">
        <v>0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C17" t="s">
        <v>58</v>
      </c>
      <c r="D17" s="3"/>
      <c r="E17" s="3">
        <v>0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C18" t="s">
        <v>58</v>
      </c>
      <c r="D18" s="3"/>
      <c r="E18" s="3">
        <v>0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C19" t="s">
        <v>58</v>
      </c>
      <c r="D19" s="3"/>
      <c r="E19" s="3">
        <v>0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C20" t="s">
        <v>58</v>
      </c>
      <c r="D20" s="3"/>
      <c r="E20" s="3">
        <v>0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C21" t="s">
        <v>58</v>
      </c>
      <c r="D21" s="3"/>
      <c r="E21" s="3">
        <v>0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C22" t="s">
        <v>58</v>
      </c>
      <c r="D22" s="3"/>
      <c r="E22" s="3">
        <v>0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C23" t="s">
        <v>58</v>
      </c>
      <c r="D23" s="3"/>
      <c r="E23" s="3">
        <v>0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C24" t="s">
        <v>58</v>
      </c>
      <c r="D24" s="3"/>
      <c r="E24" s="3">
        <v>0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C25" t="s">
        <v>58</v>
      </c>
      <c r="D25" s="3"/>
      <c r="E25" s="3">
        <v>0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C26" t="s">
        <v>58</v>
      </c>
      <c r="D26" s="3"/>
      <c r="E26" s="3">
        <v>0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C27" t="s">
        <v>58</v>
      </c>
      <c r="D27" s="3"/>
      <c r="E27" s="3">
        <v>0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6">
      <formula1>"Probability (per year)"</formula1>
    </dataValidation>
    <dataValidation type="list" allowBlank="1" showInputMessage="1" showErrorMessage="1" sqref="C17">
      <formula1>"Probability (per year)"</formula1>
    </dataValidation>
    <dataValidation type="list" allowBlank="1" showInputMessage="1" showErrorMessage="1" sqref="C18">
      <formula1>"Probability (per year)"</formula1>
    </dataValidation>
    <dataValidation type="list" allowBlank="1" showInputMessage="1" showErrorMessage="1" sqref="C19">
      <formula1>"Probability (per year)"</formula1>
    </dataValidation>
    <dataValidation type="list" allowBlank="1" showInputMessage="1" showErrorMessage="1" sqref="C20">
      <formula1>"Probability (per year)"</formula1>
    </dataValidation>
    <dataValidation type="list" allowBlank="1" showInputMessage="1" showErrorMessage="1" sqref="C21">
      <formula1>"Probability (per year)"</formula1>
    </dataValidation>
    <dataValidation type="list" allowBlank="1" showInputMessage="1" showErrorMessage="1" sqref="C22">
      <formula1>"Probability (per year)"</formula1>
    </dataValidation>
    <dataValidation type="list" allowBlank="1" showInputMessage="1" showErrorMessage="1" sqref="C23">
      <formula1>"Probability (per year)"</formula1>
    </dataValidation>
    <dataValidation type="list" allowBlank="1" showInputMessage="1" showErrorMessage="1" sqref="C24">
      <formula1>"Probability (per year)"</formula1>
    </dataValidation>
    <dataValidation type="list" allowBlank="1" showInputMessage="1" showErrorMessage="1" sqref="C25">
      <formula1>"Probability (per year)"</formula1>
    </dataValidation>
    <dataValidation type="list" allowBlank="1" showInputMessage="1" showErrorMessage="1" sqref="C26">
      <formula1>"Probability (per year)"</formula1>
    </dataValidation>
    <dataValidation type="list" allowBlank="1" showInputMessage="1" showErrorMessage="1" sqref="C27">
      <formula1>"Probability (per year)"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51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59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48</v>
      </c>
      <c r="D2" s="3">
        <v>0.02806122448979592</v>
      </c>
      <c r="E2" s="3">
        <v>0.1988950276243094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48</v>
      </c>
      <c r="D3" s="3">
        <v>0.03316326530612245</v>
      </c>
      <c r="E3" s="3">
        <v>0.4210526315789473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48</v>
      </c>
      <c r="D4" s="3">
        <v>0.02806122448979592</v>
      </c>
      <c r="E4" s="3">
        <v>0.1988950276243094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48</v>
      </c>
      <c r="D5" s="3">
        <v>0.03316326530612245</v>
      </c>
      <c r="E5" s="3">
        <v>0.4210526315789473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48</v>
      </c>
      <c r="D6" s="3">
        <v>0.02806122448979592</v>
      </c>
      <c r="E6" s="3">
        <v>0.1988950276243094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48</v>
      </c>
      <c r="D7" s="3">
        <v>0.03316326530612245</v>
      </c>
      <c r="E7" s="3">
        <v>0.4210526315789473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48</v>
      </c>
      <c r="D8" s="3">
        <v>0.02806122448979592</v>
      </c>
      <c r="E8" s="3">
        <v>0.1988950276243094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48</v>
      </c>
      <c r="D9" s="3">
        <v>0.03316326530612245</v>
      </c>
      <c r="E9" s="3">
        <v>0.4210526315789473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48</v>
      </c>
      <c r="D10" s="3">
        <v>0.02806122448979592</v>
      </c>
      <c r="E10" s="3">
        <v>0.1988950276243094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48</v>
      </c>
      <c r="D11" s="3">
        <v>0.03316326530612245</v>
      </c>
      <c r="E11" s="3">
        <v>0.4210526315789473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48</v>
      </c>
      <c r="D12" s="3">
        <v>0.02806122448979592</v>
      </c>
      <c r="E12" s="3">
        <v>0.1988950276243094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48</v>
      </c>
      <c r="D13" s="3">
        <v>0.03316326530612245</v>
      </c>
      <c r="E13" s="3">
        <v>0.4210526315789473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60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B16" t="s">
        <v>61</v>
      </c>
      <c r="C16" t="s">
        <v>62</v>
      </c>
      <c r="D16" s="3"/>
      <c r="E16" s="3">
        <v>1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B17" t="s">
        <v>61</v>
      </c>
      <c r="C17" t="s">
        <v>62</v>
      </c>
      <c r="D17" s="3"/>
      <c r="E17" s="3">
        <v>1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B18" t="s">
        <v>61</v>
      </c>
      <c r="C18" t="s">
        <v>62</v>
      </c>
      <c r="D18" s="3"/>
      <c r="E18" s="3">
        <v>1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B19" t="s">
        <v>61</v>
      </c>
      <c r="C19" t="s">
        <v>62</v>
      </c>
      <c r="D19" s="3"/>
      <c r="E19" s="3">
        <v>1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B20" t="s">
        <v>61</v>
      </c>
      <c r="C20" t="s">
        <v>62</v>
      </c>
      <c r="D20" s="3"/>
      <c r="E20" s="3">
        <v>1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B21" t="s">
        <v>61</v>
      </c>
      <c r="C21" t="s">
        <v>62</v>
      </c>
      <c r="D21" s="3"/>
      <c r="E21" s="3">
        <v>1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B22" t="s">
        <v>61</v>
      </c>
      <c r="C22" t="s">
        <v>62</v>
      </c>
      <c r="D22" s="3"/>
      <c r="E22" s="3">
        <v>1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B23" t="s">
        <v>61</v>
      </c>
      <c r="C23" t="s">
        <v>62</v>
      </c>
      <c r="D23" s="3"/>
      <c r="E23" s="3">
        <v>1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B24" t="s">
        <v>61</v>
      </c>
      <c r="C24" t="s">
        <v>62</v>
      </c>
      <c r="D24" s="3"/>
      <c r="E24" s="3">
        <v>1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B25" t="s">
        <v>61</v>
      </c>
      <c r="C25" t="s">
        <v>62</v>
      </c>
      <c r="D25" s="3"/>
      <c r="E25" s="3">
        <v>1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B26" t="s">
        <v>61</v>
      </c>
      <c r="C26" t="s">
        <v>62</v>
      </c>
      <c r="D26" s="3"/>
      <c r="E26" s="3">
        <v>1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B27" t="s">
        <v>61</v>
      </c>
      <c r="C27" t="s">
        <v>62</v>
      </c>
      <c r="D27" s="3"/>
      <c r="E27" s="3">
        <v>1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63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C30" t="s">
        <v>53</v>
      </c>
      <c r="D30" s="3">
        <v>0.09438775510204081</v>
      </c>
      <c r="E30" s="3">
        <v>0.39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C31" t="s">
        <v>53</v>
      </c>
      <c r="D31" s="3">
        <v>0.09438775510204081</v>
      </c>
      <c r="E31" s="3">
        <v>0.39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C32" t="s">
        <v>53</v>
      </c>
      <c r="D32" s="3">
        <v>0.09438775510204081</v>
      </c>
      <c r="E32" s="3">
        <v>0.39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C33" t="s">
        <v>53</v>
      </c>
      <c r="D33" s="3">
        <v>0.09438775510204081</v>
      </c>
      <c r="E33" s="3">
        <v>0.39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C34" t="s">
        <v>53</v>
      </c>
      <c r="D34" s="3">
        <v>0.09438775510204081</v>
      </c>
      <c r="E34" s="3">
        <v>0.39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C35" t="s">
        <v>53</v>
      </c>
      <c r="D35" s="3">
        <v>0.09438775510204081</v>
      </c>
      <c r="E35" s="3">
        <v>0.39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C36" t="s">
        <v>53</v>
      </c>
      <c r="D36" s="3">
        <v>0.09438775510204081</v>
      </c>
      <c r="E36" s="3">
        <v>0.39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C37" t="s">
        <v>53</v>
      </c>
      <c r="D37" s="3">
        <v>0.09438775510204081</v>
      </c>
      <c r="E37" s="3">
        <v>0.39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C38" t="s">
        <v>53</v>
      </c>
      <c r="D38" s="3">
        <v>0.09438775510204081</v>
      </c>
      <c r="E38" s="3">
        <v>0.39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C39" t="s">
        <v>53</v>
      </c>
      <c r="D39" s="3">
        <v>0.09438775510204081</v>
      </c>
      <c r="E39" s="3">
        <v>0.39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C40" t="s">
        <v>53</v>
      </c>
      <c r="D40" s="3">
        <v>0.09438775510204081</v>
      </c>
      <c r="E40" s="3">
        <v>0.39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C41" t="s">
        <v>53</v>
      </c>
      <c r="D41" s="3">
        <v>0.09438775510204081</v>
      </c>
      <c r="E41" s="3">
        <v>0.39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64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C44" t="s">
        <v>53</v>
      </c>
      <c r="D44" s="3">
        <v>0.03061224489795919</v>
      </c>
      <c r="E44" s="3">
        <v>0.13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C45" t="s">
        <v>53</v>
      </c>
      <c r="D45" s="3">
        <v>0.03061224489795919</v>
      </c>
      <c r="E45" s="3">
        <v>0.13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C46" t="s">
        <v>53</v>
      </c>
      <c r="D46" s="3">
        <v>0.03061224489795919</v>
      </c>
      <c r="E46" s="3">
        <v>0.13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C47" t="s">
        <v>53</v>
      </c>
      <c r="D47" s="3">
        <v>0.03061224489795919</v>
      </c>
      <c r="E47" s="3">
        <v>0.13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C48" t="s">
        <v>53</v>
      </c>
      <c r="D48" s="3">
        <v>0.03061224489795919</v>
      </c>
      <c r="E48" s="3">
        <v>0.13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C49" t="s">
        <v>53</v>
      </c>
      <c r="D49" s="3">
        <v>0.03061224489795919</v>
      </c>
      <c r="E49" s="3">
        <v>0.13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C50" t="s">
        <v>53</v>
      </c>
      <c r="D50" s="3">
        <v>0.03061224489795919</v>
      </c>
      <c r="E50" s="3">
        <v>0.13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C51" t="s">
        <v>53</v>
      </c>
      <c r="D51" s="3">
        <v>0.03061224489795919</v>
      </c>
      <c r="E51" s="3">
        <v>0.13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C52" t="s">
        <v>53</v>
      </c>
      <c r="D52" s="3">
        <v>0.03061224489795919</v>
      </c>
      <c r="E52" s="3">
        <v>0.13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C53" t="s">
        <v>53</v>
      </c>
      <c r="D53" s="3">
        <v>0.03061224489795919</v>
      </c>
      <c r="E53" s="3">
        <v>0.13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C54" t="s">
        <v>53</v>
      </c>
      <c r="D54" s="3">
        <v>0.03061224489795919</v>
      </c>
      <c r="E54" s="3">
        <v>0.13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C55" t="s">
        <v>53</v>
      </c>
      <c r="D55" s="3">
        <v>0.03061224489795919</v>
      </c>
      <c r="E55" s="3">
        <v>0.13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65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C58" t="s">
        <v>53</v>
      </c>
      <c r="D58" s="3">
        <v>0.01530612244897959</v>
      </c>
      <c r="E58" s="3">
        <v>0.05</v>
      </c>
      <c r="F58" s="4" t="s">
        <v>37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C59" t="s">
        <v>53</v>
      </c>
      <c r="D59" s="3">
        <v>0.01530612244897959</v>
      </c>
      <c r="E59" s="3">
        <v>0.05</v>
      </c>
      <c r="F59" s="4" t="s">
        <v>37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C60" t="s">
        <v>53</v>
      </c>
      <c r="D60" s="3">
        <v>0.01530612244897959</v>
      </c>
      <c r="E60" s="3">
        <v>0.05</v>
      </c>
      <c r="F60" s="4" t="s">
        <v>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C61" t="s">
        <v>53</v>
      </c>
      <c r="D61" s="3">
        <v>0.01530612244897959</v>
      </c>
      <c r="E61" s="3">
        <v>0.05</v>
      </c>
      <c r="F61" s="4" t="s">
        <v>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C62" t="s">
        <v>53</v>
      </c>
      <c r="D62" s="3">
        <v>0.01530612244897959</v>
      </c>
      <c r="E62" s="3">
        <v>0.05</v>
      </c>
      <c r="F62" s="4" t="s">
        <v>37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C63" t="s">
        <v>53</v>
      </c>
      <c r="D63" s="3">
        <v>0.01530612244897959</v>
      </c>
      <c r="E63" s="3">
        <v>0.05</v>
      </c>
      <c r="F63" s="4" t="s">
        <v>37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C64" t="s">
        <v>53</v>
      </c>
      <c r="D64" s="3">
        <v>0.01530612244897959</v>
      </c>
      <c r="E64" s="3">
        <v>0.05</v>
      </c>
      <c r="F64" s="4" t="s">
        <v>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C65" t="s">
        <v>53</v>
      </c>
      <c r="D65" s="3">
        <v>0.01530612244897959</v>
      </c>
      <c r="E65" s="3">
        <v>0.05</v>
      </c>
      <c r="F65" s="4" t="s">
        <v>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C66" t="s">
        <v>53</v>
      </c>
      <c r="D66" s="3">
        <v>0.01530612244897959</v>
      </c>
      <c r="E66" s="3">
        <v>0.05</v>
      </c>
      <c r="F66" s="4" t="s">
        <v>37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C67" t="s">
        <v>53</v>
      </c>
      <c r="D67" s="3">
        <v>0.01530612244897959</v>
      </c>
      <c r="E67" s="3">
        <v>0.05</v>
      </c>
      <c r="F67" s="4" t="s">
        <v>37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C68" t="s">
        <v>53</v>
      </c>
      <c r="D68" s="3">
        <v>0.01530612244897959</v>
      </c>
      <c r="E68" s="3">
        <v>0.05</v>
      </c>
      <c r="F68" s="4" t="s">
        <v>37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C69" t="s">
        <v>53</v>
      </c>
      <c r="D69" s="3">
        <v>0.01530612244897959</v>
      </c>
      <c r="E69" s="3">
        <v>0.05</v>
      </c>
      <c r="F69" s="4" t="s">
        <v>37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66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C72" t="s">
        <v>53</v>
      </c>
      <c r="D72" s="3">
        <v>0.05102040816326531</v>
      </c>
      <c r="E72" s="3">
        <v>0.12</v>
      </c>
      <c r="F72" s="4" t="s">
        <v>37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C73" t="s">
        <v>53</v>
      </c>
      <c r="D73" s="3">
        <v>0.05102040816326531</v>
      </c>
      <c r="E73" s="3">
        <v>0.12</v>
      </c>
      <c r="F73" s="4" t="s">
        <v>37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C74" t="s">
        <v>53</v>
      </c>
      <c r="D74" s="3">
        <v>0.05102040816326531</v>
      </c>
      <c r="E74" s="3">
        <v>0.12</v>
      </c>
      <c r="F74" s="4" t="s">
        <v>37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C75" t="s">
        <v>53</v>
      </c>
      <c r="D75" s="3">
        <v>0.05102040816326531</v>
      </c>
      <c r="E75" s="3">
        <v>0.12</v>
      </c>
      <c r="F75" s="4" t="s">
        <v>37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C76" t="s">
        <v>53</v>
      </c>
      <c r="D76" s="3">
        <v>0.05102040816326531</v>
      </c>
      <c r="E76" s="3">
        <v>0.12</v>
      </c>
      <c r="F76" s="4" t="s">
        <v>37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C77" t="s">
        <v>53</v>
      </c>
      <c r="D77" s="3">
        <v>0.05102040816326531</v>
      </c>
      <c r="E77" s="3">
        <v>0.12</v>
      </c>
      <c r="F77" s="4" t="s">
        <v>37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C78" t="s">
        <v>53</v>
      </c>
      <c r="D78" s="3">
        <v>0.05102040816326531</v>
      </c>
      <c r="E78" s="3">
        <v>0.12</v>
      </c>
      <c r="F78" s="4" t="s">
        <v>37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C79" t="s">
        <v>53</v>
      </c>
      <c r="D79" s="3">
        <v>0.05102040816326531</v>
      </c>
      <c r="E79" s="3">
        <v>0.12</v>
      </c>
      <c r="F79" s="4" t="s">
        <v>37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C80" t="s">
        <v>53</v>
      </c>
      <c r="D80" s="3">
        <v>0.05102040816326531</v>
      </c>
      <c r="E80" s="3">
        <v>0.12</v>
      </c>
      <c r="F80" s="4" t="s">
        <v>37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C81" t="s">
        <v>53</v>
      </c>
      <c r="D81" s="3">
        <v>0.05102040816326531</v>
      </c>
      <c r="E81" s="3">
        <v>0.12</v>
      </c>
      <c r="F81" s="4" t="s">
        <v>37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C82" t="s">
        <v>53</v>
      </c>
      <c r="D82" s="3">
        <v>0.05102040816326531</v>
      </c>
      <c r="E82" s="3">
        <v>0.12</v>
      </c>
      <c r="F82" s="4" t="s">
        <v>37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C83" t="s">
        <v>53</v>
      </c>
      <c r="D83" s="3">
        <v>0.05102040816326531</v>
      </c>
      <c r="E83" s="3">
        <v>0.12</v>
      </c>
      <c r="F83" s="4" t="s">
        <v>37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5" spans="1:57">
      <c r="A85" s="1" t="s">
        <v>67</v>
      </c>
      <c r="B85" s="1" t="s">
        <v>29</v>
      </c>
      <c r="C85" s="1" t="s">
        <v>30</v>
      </c>
      <c r="D85" s="1" t="s">
        <v>31</v>
      </c>
      <c r="E85" s="1" t="s">
        <v>36</v>
      </c>
      <c r="F85" s="1"/>
      <c r="G85" s="1">
        <v>2000</v>
      </c>
      <c r="H85" s="1">
        <v>2001</v>
      </c>
      <c r="I85" s="1">
        <v>2002</v>
      </c>
      <c r="J85" s="1">
        <v>2003</v>
      </c>
      <c r="K85" s="1">
        <v>2004</v>
      </c>
      <c r="L85" s="1">
        <v>2005</v>
      </c>
      <c r="M85" s="1">
        <v>2006</v>
      </c>
      <c r="N85" s="1">
        <v>2007</v>
      </c>
      <c r="O85" s="1">
        <v>2008</v>
      </c>
      <c r="P85" s="1">
        <v>2009</v>
      </c>
      <c r="Q85" s="1">
        <v>2010</v>
      </c>
      <c r="R85" s="1">
        <v>2011</v>
      </c>
      <c r="S85" s="1">
        <v>2012</v>
      </c>
      <c r="T85" s="1">
        <v>2013</v>
      </c>
      <c r="U85" s="1">
        <v>2014</v>
      </c>
      <c r="V85" s="1">
        <v>2015</v>
      </c>
      <c r="W85" s="1">
        <v>2016</v>
      </c>
      <c r="X85" s="1">
        <v>2017</v>
      </c>
      <c r="Y85" s="1">
        <v>2018</v>
      </c>
      <c r="Z85" s="1">
        <v>2019</v>
      </c>
      <c r="AA85" s="1">
        <v>2020</v>
      </c>
      <c r="AB85" s="1">
        <v>2021</v>
      </c>
      <c r="AC85" s="1">
        <v>2022</v>
      </c>
      <c r="AD85" s="1">
        <v>2023</v>
      </c>
      <c r="AE85" s="1">
        <v>2024</v>
      </c>
      <c r="AF85" s="1">
        <v>2025</v>
      </c>
      <c r="AG85" s="1">
        <v>2026</v>
      </c>
      <c r="AH85" s="1">
        <v>2027</v>
      </c>
      <c r="AI85" s="1">
        <v>2028</v>
      </c>
      <c r="AJ85" s="1">
        <v>2029</v>
      </c>
      <c r="AK85" s="1">
        <v>2030</v>
      </c>
      <c r="AL85" s="1">
        <v>2031</v>
      </c>
      <c r="AM85" s="1">
        <v>2032</v>
      </c>
      <c r="AN85" s="1">
        <v>2033</v>
      </c>
      <c r="AO85" s="1">
        <v>2034</v>
      </c>
      <c r="AP85" s="1">
        <v>2035</v>
      </c>
      <c r="AQ85" s="1">
        <v>2036</v>
      </c>
      <c r="AR85" s="1">
        <v>2037</v>
      </c>
      <c r="AS85" s="1">
        <v>2038</v>
      </c>
      <c r="AT85" s="1">
        <v>2039</v>
      </c>
      <c r="AU85" s="1">
        <v>2040</v>
      </c>
      <c r="AV85" s="1">
        <v>2041</v>
      </c>
      <c r="AW85" s="1">
        <v>2042</v>
      </c>
      <c r="AX85" s="1">
        <v>2043</v>
      </c>
      <c r="AY85" s="1">
        <v>2044</v>
      </c>
      <c r="AZ85" s="1">
        <v>2045</v>
      </c>
      <c r="BA85" s="1">
        <v>2046</v>
      </c>
      <c r="BB85" s="1">
        <v>2047</v>
      </c>
      <c r="BC85" s="1">
        <v>2048</v>
      </c>
      <c r="BD85" s="1">
        <v>2049</v>
      </c>
      <c r="BE85" s="1">
        <v>2050</v>
      </c>
    </row>
    <row r="86" spans="1:57">
      <c r="A86" s="1" t="str">
        <f>'Population Definitions'!$A$2</f>
        <v>PWID_males</v>
      </c>
      <c r="C86" t="s">
        <v>53</v>
      </c>
      <c r="D86" s="3">
        <v>0.003571428571428571</v>
      </c>
      <c r="E86" s="3">
        <v>0.055</v>
      </c>
      <c r="F86" s="4" t="s">
        <v>37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Definitions'!$A$3</f>
        <v>PWID_females</v>
      </c>
      <c r="C87" t="s">
        <v>53</v>
      </c>
      <c r="D87" s="3">
        <v>0.003571428571428571</v>
      </c>
      <c r="E87" s="3">
        <v>0.055</v>
      </c>
      <c r="F87" s="4" t="s">
        <v>37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Definitions'!$A$4</f>
        <v>0-9_males</v>
      </c>
      <c r="C88" t="s">
        <v>53</v>
      </c>
      <c r="D88" s="3">
        <v>0.003571428571428571</v>
      </c>
      <c r="E88" s="3">
        <v>0.055</v>
      </c>
      <c r="F88" s="4" t="s">
        <v>37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Definitions'!$A$5</f>
        <v>0-9_females</v>
      </c>
      <c r="C89" t="s">
        <v>53</v>
      </c>
      <c r="D89" s="3">
        <v>0.003571428571428571</v>
      </c>
      <c r="E89" s="3">
        <v>0.055</v>
      </c>
      <c r="F89" s="4" t="s">
        <v>37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Definitions'!$A$6</f>
        <v>10-17_males</v>
      </c>
      <c r="C90" t="s">
        <v>53</v>
      </c>
      <c r="D90" s="3">
        <v>0.003571428571428571</v>
      </c>
      <c r="E90" s="3">
        <v>0.055</v>
      </c>
      <c r="F90" s="4" t="s">
        <v>37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Definitions'!$A$7</f>
        <v>10-17_females</v>
      </c>
      <c r="C91" t="s">
        <v>53</v>
      </c>
      <c r="D91" s="3">
        <v>0.003571428571428571</v>
      </c>
      <c r="E91" s="3">
        <v>0.055</v>
      </c>
      <c r="F91" s="4" t="s">
        <v>37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Definitions'!$A$8</f>
        <v>18-64_males</v>
      </c>
      <c r="C92" t="s">
        <v>53</v>
      </c>
      <c r="D92" s="3">
        <v>0.003571428571428571</v>
      </c>
      <c r="E92" s="3">
        <v>0.055</v>
      </c>
      <c r="F92" s="4" t="s">
        <v>37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Definitions'!$A$9</f>
        <v>18-64_females</v>
      </c>
      <c r="C93" t="s">
        <v>53</v>
      </c>
      <c r="D93" s="3">
        <v>0.003571428571428571</v>
      </c>
      <c r="E93" s="3">
        <v>0.055</v>
      </c>
      <c r="F93" s="4" t="s">
        <v>37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Definitions'!$A$10</f>
        <v>65+_males</v>
      </c>
      <c r="C94" t="s">
        <v>53</v>
      </c>
      <c r="D94" s="3">
        <v>0.003571428571428571</v>
      </c>
      <c r="E94" s="3">
        <v>0.055</v>
      </c>
      <c r="F94" s="4" t="s">
        <v>37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Definitions'!$A$11</f>
        <v>65+_females</v>
      </c>
      <c r="C95" t="s">
        <v>53</v>
      </c>
      <c r="D95" s="3">
        <v>0.003571428571428571</v>
      </c>
      <c r="E95" s="3">
        <v>0.055</v>
      </c>
      <c r="F95" s="4" t="s">
        <v>37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Definitions'!$A$12</f>
        <v>Prisoners_males</v>
      </c>
      <c r="C96" t="s">
        <v>53</v>
      </c>
      <c r="D96" s="3">
        <v>0.003571428571428571</v>
      </c>
      <c r="E96" s="3">
        <v>0.055</v>
      </c>
      <c r="F96" s="4" t="s">
        <v>37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Definitions'!$A$13</f>
        <v>Prisoners_females</v>
      </c>
      <c r="C97" t="s">
        <v>53</v>
      </c>
      <c r="D97" s="3">
        <v>0.003571428571428571</v>
      </c>
      <c r="E97" s="3">
        <v>0.055</v>
      </c>
      <c r="F97" s="4" t="s">
        <v>37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9" spans="1:57">
      <c r="A99" s="1" t="s">
        <v>68</v>
      </c>
      <c r="B99" s="1" t="s">
        <v>29</v>
      </c>
      <c r="C99" s="1" t="s">
        <v>30</v>
      </c>
      <c r="D99" s="1" t="s">
        <v>31</v>
      </c>
      <c r="E99" s="1" t="s">
        <v>36</v>
      </c>
      <c r="F99" s="1"/>
      <c r="G99" s="1">
        <v>2000</v>
      </c>
      <c r="H99" s="1">
        <v>2001</v>
      </c>
      <c r="I99" s="1">
        <v>2002</v>
      </c>
      <c r="J99" s="1">
        <v>2003</v>
      </c>
      <c r="K99" s="1">
        <v>2004</v>
      </c>
      <c r="L99" s="1">
        <v>2005</v>
      </c>
      <c r="M99" s="1">
        <v>2006</v>
      </c>
      <c r="N99" s="1">
        <v>2007</v>
      </c>
      <c r="O99" s="1">
        <v>2008</v>
      </c>
      <c r="P99" s="1">
        <v>2009</v>
      </c>
      <c r="Q99" s="1">
        <v>2010</v>
      </c>
      <c r="R99" s="1">
        <v>2011</v>
      </c>
      <c r="S99" s="1">
        <v>2012</v>
      </c>
      <c r="T99" s="1">
        <v>2013</v>
      </c>
      <c r="U99" s="1">
        <v>2014</v>
      </c>
      <c r="V99" s="1">
        <v>2015</v>
      </c>
      <c r="W99" s="1">
        <v>2016</v>
      </c>
      <c r="X99" s="1">
        <v>2017</v>
      </c>
      <c r="Y99" s="1">
        <v>2018</v>
      </c>
      <c r="Z99" s="1">
        <v>2019</v>
      </c>
      <c r="AA99" s="1">
        <v>2020</v>
      </c>
      <c r="AB99" s="1">
        <v>2021</v>
      </c>
      <c r="AC99" s="1">
        <v>2022</v>
      </c>
      <c r="AD99" s="1">
        <v>2023</v>
      </c>
      <c r="AE99" s="1">
        <v>2024</v>
      </c>
      <c r="AF99" s="1">
        <v>2025</v>
      </c>
      <c r="AG99" s="1">
        <v>2026</v>
      </c>
      <c r="AH99" s="1">
        <v>2027</v>
      </c>
      <c r="AI99" s="1">
        <v>2028</v>
      </c>
      <c r="AJ99" s="1">
        <v>2029</v>
      </c>
      <c r="AK99" s="1">
        <v>2030</v>
      </c>
      <c r="AL99" s="1">
        <v>2031</v>
      </c>
      <c r="AM99" s="1">
        <v>2032</v>
      </c>
      <c r="AN99" s="1">
        <v>2033</v>
      </c>
      <c r="AO99" s="1">
        <v>2034</v>
      </c>
      <c r="AP99" s="1">
        <v>2035</v>
      </c>
      <c r="AQ99" s="1">
        <v>2036</v>
      </c>
      <c r="AR99" s="1">
        <v>2037</v>
      </c>
      <c r="AS99" s="1">
        <v>2038</v>
      </c>
      <c r="AT99" s="1">
        <v>2039</v>
      </c>
      <c r="AU99" s="1">
        <v>2040</v>
      </c>
      <c r="AV99" s="1">
        <v>2041</v>
      </c>
      <c r="AW99" s="1">
        <v>2042</v>
      </c>
      <c r="AX99" s="1">
        <v>2043</v>
      </c>
      <c r="AY99" s="1">
        <v>2044</v>
      </c>
      <c r="AZ99" s="1">
        <v>2045</v>
      </c>
      <c r="BA99" s="1">
        <v>2046</v>
      </c>
      <c r="BB99" s="1">
        <v>2047</v>
      </c>
      <c r="BC99" s="1">
        <v>2048</v>
      </c>
      <c r="BD99" s="1">
        <v>2049</v>
      </c>
      <c r="BE99" s="1">
        <v>2050</v>
      </c>
    </row>
    <row r="100" spans="1:57">
      <c r="A100" s="1" t="str">
        <f>'Population Definitions'!$A$2</f>
        <v>PWID_males</v>
      </c>
      <c r="C100" t="s">
        <v>53</v>
      </c>
      <c r="D100" s="3"/>
      <c r="E100" s="3">
        <v>0.015</v>
      </c>
      <c r="F100" s="4" t="s">
        <v>37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Definitions'!$A$3</f>
        <v>PWID_females</v>
      </c>
      <c r="C101" t="s">
        <v>53</v>
      </c>
      <c r="D101" s="3"/>
      <c r="E101" s="3">
        <v>0.015</v>
      </c>
      <c r="F101" s="4" t="s">
        <v>37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Definitions'!$A$4</f>
        <v>0-9_males</v>
      </c>
      <c r="C102" t="s">
        <v>53</v>
      </c>
      <c r="D102" s="3"/>
      <c r="E102" s="3">
        <v>0.015</v>
      </c>
      <c r="F102" s="4" t="s">
        <v>37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Definitions'!$A$5</f>
        <v>0-9_females</v>
      </c>
      <c r="C103" t="s">
        <v>53</v>
      </c>
      <c r="D103" s="3"/>
      <c r="E103" s="3">
        <v>0.015</v>
      </c>
      <c r="F103" s="4" t="s">
        <v>37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Definitions'!$A$6</f>
        <v>10-17_males</v>
      </c>
      <c r="C104" t="s">
        <v>53</v>
      </c>
      <c r="D104" s="3"/>
      <c r="E104" s="3">
        <v>0.015</v>
      </c>
      <c r="F104" s="4" t="s">
        <v>37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Definitions'!$A$7</f>
        <v>10-17_females</v>
      </c>
      <c r="C105" t="s">
        <v>53</v>
      </c>
      <c r="D105" s="3"/>
      <c r="E105" s="3">
        <v>0.015</v>
      </c>
      <c r="F105" s="4" t="s">
        <v>37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Definitions'!$A$8</f>
        <v>18-64_males</v>
      </c>
      <c r="C106" t="s">
        <v>53</v>
      </c>
      <c r="D106" s="3"/>
      <c r="E106" s="3">
        <v>0.015</v>
      </c>
      <c r="F106" s="4" t="s">
        <v>37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Definitions'!$A$9</f>
        <v>18-64_females</v>
      </c>
      <c r="C107" t="s">
        <v>53</v>
      </c>
      <c r="D107" s="3"/>
      <c r="E107" s="3">
        <v>0.015</v>
      </c>
      <c r="F107" s="4" t="s">
        <v>37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Definitions'!$A$10</f>
        <v>65+_males</v>
      </c>
      <c r="C108" t="s">
        <v>53</v>
      </c>
      <c r="D108" s="3"/>
      <c r="E108" s="3">
        <v>0.015</v>
      </c>
      <c r="F108" s="4" t="s">
        <v>37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Definitions'!$A$11</f>
        <v>65+_females</v>
      </c>
      <c r="C109" t="s">
        <v>53</v>
      </c>
      <c r="D109" s="3"/>
      <c r="E109" s="3">
        <v>0.015</v>
      </c>
      <c r="F109" s="4" t="s">
        <v>37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Definitions'!$A$12</f>
        <v>Prisoners_males</v>
      </c>
      <c r="C110" t="s">
        <v>53</v>
      </c>
      <c r="D110" s="3"/>
      <c r="E110" s="3">
        <v>0.015</v>
      </c>
      <c r="F110" s="4" t="s">
        <v>37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Definitions'!$A$13</f>
        <v>Prisoners_females</v>
      </c>
      <c r="C111" t="s">
        <v>53</v>
      </c>
      <c r="D111" s="3"/>
      <c r="E111" s="3">
        <v>0.015</v>
      </c>
      <c r="F111" s="4" t="s">
        <v>37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29</v>
      </c>
      <c r="C113" s="1" t="s">
        <v>30</v>
      </c>
      <c r="D113" s="1" t="s">
        <v>31</v>
      </c>
      <c r="E113" s="1" t="s">
        <v>36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53</v>
      </c>
      <c r="D114" s="3"/>
      <c r="E114" s="3">
        <v>0.02</v>
      </c>
      <c r="F114" s="4" t="s">
        <v>37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53</v>
      </c>
      <c r="D115" s="3"/>
      <c r="E115" s="3">
        <v>0.02</v>
      </c>
      <c r="F115" s="4" t="s">
        <v>37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53</v>
      </c>
      <c r="D116" s="3"/>
      <c r="E116" s="3">
        <v>0.02</v>
      </c>
      <c r="F116" s="4" t="s">
        <v>37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53</v>
      </c>
      <c r="D117" s="3"/>
      <c r="E117" s="3">
        <v>0.02</v>
      </c>
      <c r="F117" s="4" t="s">
        <v>37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53</v>
      </c>
      <c r="D118" s="3"/>
      <c r="E118" s="3">
        <v>0.02</v>
      </c>
      <c r="F118" s="4" t="s">
        <v>37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53</v>
      </c>
      <c r="D119" s="3"/>
      <c r="E119" s="3">
        <v>0.02</v>
      </c>
      <c r="F119" s="4" t="s">
        <v>37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53</v>
      </c>
      <c r="D120" s="3"/>
      <c r="E120" s="3">
        <v>0.02</v>
      </c>
      <c r="F120" s="4" t="s">
        <v>37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53</v>
      </c>
      <c r="D121" s="3"/>
      <c r="E121" s="3">
        <v>0.02</v>
      </c>
      <c r="F121" s="4" t="s">
        <v>37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53</v>
      </c>
      <c r="D122" s="3"/>
      <c r="E122" s="3">
        <v>0.02</v>
      </c>
      <c r="F122" s="4" t="s">
        <v>37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53</v>
      </c>
      <c r="D123" s="3"/>
      <c r="E123" s="3">
        <v>0.02</v>
      </c>
      <c r="F123" s="4" t="s">
        <v>37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53</v>
      </c>
      <c r="D124" s="3"/>
      <c r="E124" s="3">
        <v>0.02</v>
      </c>
      <c r="F124" s="4" t="s">
        <v>37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53</v>
      </c>
      <c r="D125" s="3"/>
      <c r="E125" s="3">
        <v>0.02</v>
      </c>
      <c r="F125" s="4" t="s">
        <v>37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7" spans="1:57">
      <c r="A127" s="1" t="s">
        <v>70</v>
      </c>
      <c r="B127" s="1" t="s">
        <v>29</v>
      </c>
      <c r="C127" s="1" t="s">
        <v>30</v>
      </c>
      <c r="D127" s="1" t="s">
        <v>31</v>
      </c>
      <c r="E127" s="1" t="s">
        <v>36</v>
      </c>
      <c r="F127" s="1"/>
      <c r="G127" s="1">
        <v>2000</v>
      </c>
      <c r="H127" s="1">
        <v>2001</v>
      </c>
      <c r="I127" s="1">
        <v>2002</v>
      </c>
      <c r="J127" s="1">
        <v>2003</v>
      </c>
      <c r="K127" s="1">
        <v>2004</v>
      </c>
      <c r="L127" s="1">
        <v>2005</v>
      </c>
      <c r="M127" s="1">
        <v>2006</v>
      </c>
      <c r="N127" s="1">
        <v>2007</v>
      </c>
      <c r="O127" s="1">
        <v>2008</v>
      </c>
      <c r="P127" s="1">
        <v>2009</v>
      </c>
      <c r="Q127" s="1">
        <v>2010</v>
      </c>
      <c r="R127" s="1">
        <v>2011</v>
      </c>
      <c r="S127" s="1">
        <v>2012</v>
      </c>
      <c r="T127" s="1">
        <v>2013</v>
      </c>
      <c r="U127" s="1">
        <v>2014</v>
      </c>
      <c r="V127" s="1">
        <v>2015</v>
      </c>
      <c r="W127" s="1">
        <v>2016</v>
      </c>
      <c r="X127" s="1">
        <v>2017</v>
      </c>
      <c r="Y127" s="1">
        <v>2018</v>
      </c>
      <c r="Z127" s="1">
        <v>2019</v>
      </c>
      <c r="AA127" s="1">
        <v>2020</v>
      </c>
      <c r="AB127" s="1">
        <v>2021</v>
      </c>
      <c r="AC127" s="1">
        <v>2022</v>
      </c>
      <c r="AD127" s="1">
        <v>2023</v>
      </c>
      <c r="AE127" s="1">
        <v>2024</v>
      </c>
      <c r="AF127" s="1">
        <v>2025</v>
      </c>
      <c r="AG127" s="1">
        <v>2026</v>
      </c>
      <c r="AH127" s="1">
        <v>2027</v>
      </c>
      <c r="AI127" s="1">
        <v>2028</v>
      </c>
      <c r="AJ127" s="1">
        <v>2029</v>
      </c>
      <c r="AK127" s="1">
        <v>2030</v>
      </c>
      <c r="AL127" s="1">
        <v>2031</v>
      </c>
      <c r="AM127" s="1">
        <v>2032</v>
      </c>
      <c r="AN127" s="1">
        <v>2033</v>
      </c>
      <c r="AO127" s="1">
        <v>2034</v>
      </c>
      <c r="AP127" s="1">
        <v>2035</v>
      </c>
      <c r="AQ127" s="1">
        <v>2036</v>
      </c>
      <c r="AR127" s="1">
        <v>2037</v>
      </c>
      <c r="AS127" s="1">
        <v>2038</v>
      </c>
      <c r="AT127" s="1">
        <v>2039</v>
      </c>
      <c r="AU127" s="1">
        <v>2040</v>
      </c>
      <c r="AV127" s="1">
        <v>2041</v>
      </c>
      <c r="AW127" s="1">
        <v>2042</v>
      </c>
      <c r="AX127" s="1">
        <v>2043</v>
      </c>
      <c r="AY127" s="1">
        <v>2044</v>
      </c>
      <c r="AZ127" s="1">
        <v>2045</v>
      </c>
      <c r="BA127" s="1">
        <v>2046</v>
      </c>
      <c r="BB127" s="1">
        <v>2047</v>
      </c>
      <c r="BC127" s="1">
        <v>2048</v>
      </c>
      <c r="BD127" s="1">
        <v>2049</v>
      </c>
      <c r="BE127" s="1">
        <v>2050</v>
      </c>
    </row>
    <row r="128" spans="1:57">
      <c r="A128" s="1" t="str">
        <f>'Population Definitions'!$A$2</f>
        <v>PWID_males</v>
      </c>
      <c r="C128" t="s">
        <v>53</v>
      </c>
      <c r="D128" s="3">
        <v>0.02551020408163265</v>
      </c>
      <c r="E128" s="3">
        <v>0.183258146374831</v>
      </c>
      <c r="F128" s="4" t="s">
        <v>37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Definitions'!$A$3</f>
        <v>PWID_females</v>
      </c>
      <c r="C129" t="s">
        <v>53</v>
      </c>
      <c r="D129" s="3">
        <v>0.02551020408163265</v>
      </c>
      <c r="E129" s="3">
        <v>0.183258146374831</v>
      </c>
      <c r="F129" s="4" t="s">
        <v>37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Definitions'!$A$4</f>
        <v>0-9_males</v>
      </c>
      <c r="C130" t="s">
        <v>53</v>
      </c>
      <c r="D130" s="3">
        <v>0.02551020408163265</v>
      </c>
      <c r="E130" s="3">
        <v>0.183258146374831</v>
      </c>
      <c r="F130" s="4" t="s">
        <v>37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Definitions'!$A$5</f>
        <v>0-9_females</v>
      </c>
      <c r="C131" t="s">
        <v>53</v>
      </c>
      <c r="D131" s="3">
        <v>0.02551020408163265</v>
      </c>
      <c r="E131" s="3">
        <v>0.183258146374831</v>
      </c>
      <c r="F131" s="4" t="s">
        <v>37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Definitions'!$A$6</f>
        <v>10-17_males</v>
      </c>
      <c r="C132" t="s">
        <v>53</v>
      </c>
      <c r="D132" s="3">
        <v>0.02551020408163265</v>
      </c>
      <c r="E132" s="3">
        <v>0.183258146374831</v>
      </c>
      <c r="F132" s="4" t="s">
        <v>37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Definitions'!$A$7</f>
        <v>10-17_females</v>
      </c>
      <c r="C133" t="s">
        <v>53</v>
      </c>
      <c r="D133" s="3">
        <v>0.02551020408163265</v>
      </c>
      <c r="E133" s="3">
        <v>0.183258146374831</v>
      </c>
      <c r="F133" s="4" t="s">
        <v>37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Definitions'!$A$8</f>
        <v>18-64_males</v>
      </c>
      <c r="C134" t="s">
        <v>53</v>
      </c>
      <c r="D134" s="3">
        <v>0.02551020408163265</v>
      </c>
      <c r="E134" s="3">
        <v>0.183258146374831</v>
      </c>
      <c r="F134" s="4" t="s">
        <v>37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Definitions'!$A$9</f>
        <v>18-64_females</v>
      </c>
      <c r="C135" t="s">
        <v>53</v>
      </c>
      <c r="D135" s="3">
        <v>0.02551020408163265</v>
      </c>
      <c r="E135" s="3">
        <v>0.183258146374831</v>
      </c>
      <c r="F135" s="4" t="s">
        <v>37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Definitions'!$A$10</f>
        <v>65+_males</v>
      </c>
      <c r="C136" t="s">
        <v>53</v>
      </c>
      <c r="D136" s="3">
        <v>0.02551020408163265</v>
      </c>
      <c r="E136" s="3">
        <v>0.183258146374831</v>
      </c>
      <c r="F136" s="4" t="s">
        <v>37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Definitions'!$A$11</f>
        <v>65+_females</v>
      </c>
      <c r="C137" t="s">
        <v>53</v>
      </c>
      <c r="D137" s="3">
        <v>0.02551020408163265</v>
      </c>
      <c r="E137" s="3">
        <v>0.183258146374831</v>
      </c>
      <c r="F137" s="4" t="s">
        <v>37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Definitions'!$A$12</f>
        <v>Prisoners_males</v>
      </c>
      <c r="C138" t="s">
        <v>53</v>
      </c>
      <c r="D138" s="3">
        <v>0.02551020408163265</v>
      </c>
      <c r="E138" s="3">
        <v>0.183258146374831</v>
      </c>
      <c r="F138" s="4" t="s">
        <v>37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Definitions'!$A$13</f>
        <v>Prisoners_females</v>
      </c>
      <c r="C139" t="s">
        <v>53</v>
      </c>
      <c r="D139" s="3">
        <v>0.02551020408163265</v>
      </c>
      <c r="E139" s="3">
        <v>0.183258146374831</v>
      </c>
      <c r="F139" s="4" t="s">
        <v>37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1" spans="1:57">
      <c r="A141" s="1" t="s">
        <v>71</v>
      </c>
      <c r="B141" s="1" t="s">
        <v>29</v>
      </c>
      <c r="C141" s="1" t="s">
        <v>30</v>
      </c>
      <c r="D141" s="1" t="s">
        <v>31</v>
      </c>
      <c r="E141" s="1" t="s">
        <v>36</v>
      </c>
      <c r="F141" s="1"/>
      <c r="G141" s="1">
        <v>2000</v>
      </c>
      <c r="H141" s="1">
        <v>2001</v>
      </c>
      <c r="I141" s="1">
        <v>2002</v>
      </c>
      <c r="J141" s="1">
        <v>2003</v>
      </c>
      <c r="K141" s="1">
        <v>2004</v>
      </c>
      <c r="L141" s="1">
        <v>2005</v>
      </c>
      <c r="M141" s="1">
        <v>2006</v>
      </c>
      <c r="N141" s="1">
        <v>2007</v>
      </c>
      <c r="O141" s="1">
        <v>2008</v>
      </c>
      <c r="P141" s="1">
        <v>2009</v>
      </c>
      <c r="Q141" s="1">
        <v>2010</v>
      </c>
      <c r="R141" s="1">
        <v>2011</v>
      </c>
      <c r="S141" s="1">
        <v>2012</v>
      </c>
      <c r="T141" s="1">
        <v>2013</v>
      </c>
      <c r="U141" s="1">
        <v>2014</v>
      </c>
      <c r="V141" s="1">
        <v>2015</v>
      </c>
      <c r="W141" s="1">
        <v>2016</v>
      </c>
      <c r="X141" s="1">
        <v>2017</v>
      </c>
      <c r="Y141" s="1">
        <v>2018</v>
      </c>
      <c r="Z141" s="1">
        <v>2019</v>
      </c>
      <c r="AA141" s="1">
        <v>2020</v>
      </c>
      <c r="AB141" s="1">
        <v>2021</v>
      </c>
      <c r="AC141" s="1">
        <v>2022</v>
      </c>
      <c r="AD141" s="1">
        <v>2023</v>
      </c>
      <c r="AE141" s="1">
        <v>2024</v>
      </c>
      <c r="AF141" s="1">
        <v>2025</v>
      </c>
      <c r="AG141" s="1">
        <v>2026</v>
      </c>
      <c r="AH141" s="1">
        <v>2027</v>
      </c>
      <c r="AI141" s="1">
        <v>2028</v>
      </c>
      <c r="AJ141" s="1">
        <v>2029</v>
      </c>
      <c r="AK141" s="1">
        <v>2030</v>
      </c>
      <c r="AL141" s="1">
        <v>2031</v>
      </c>
      <c r="AM141" s="1">
        <v>2032</v>
      </c>
      <c r="AN141" s="1">
        <v>2033</v>
      </c>
      <c r="AO141" s="1">
        <v>2034</v>
      </c>
      <c r="AP141" s="1">
        <v>2035</v>
      </c>
      <c r="AQ141" s="1">
        <v>2036</v>
      </c>
      <c r="AR141" s="1">
        <v>2037</v>
      </c>
      <c r="AS141" s="1">
        <v>2038</v>
      </c>
      <c r="AT141" s="1">
        <v>2039</v>
      </c>
      <c r="AU141" s="1">
        <v>2040</v>
      </c>
      <c r="AV141" s="1">
        <v>2041</v>
      </c>
      <c r="AW141" s="1">
        <v>2042</v>
      </c>
      <c r="AX141" s="1">
        <v>2043</v>
      </c>
      <c r="AY141" s="1">
        <v>2044</v>
      </c>
      <c r="AZ141" s="1">
        <v>2045</v>
      </c>
      <c r="BA141" s="1">
        <v>2046</v>
      </c>
      <c r="BB141" s="1">
        <v>2047</v>
      </c>
      <c r="BC141" s="1">
        <v>2048</v>
      </c>
      <c r="BD141" s="1">
        <v>2049</v>
      </c>
      <c r="BE141" s="1">
        <v>2050</v>
      </c>
    </row>
    <row r="142" spans="1:57">
      <c r="A142" s="1" t="str">
        <f>'Population Definitions'!$A$2</f>
        <v>PWID_males</v>
      </c>
      <c r="C142" t="s">
        <v>53</v>
      </c>
      <c r="D142" s="3"/>
      <c r="E142" s="3">
        <v>0.04</v>
      </c>
      <c r="F142" s="4" t="s">
        <v>37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Definitions'!$A$3</f>
        <v>PWID_females</v>
      </c>
      <c r="C143" t="s">
        <v>53</v>
      </c>
      <c r="D143" s="3"/>
      <c r="E143" s="3">
        <v>0.04</v>
      </c>
      <c r="F143" s="4" t="s">
        <v>37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Definitions'!$A$4</f>
        <v>0-9_males</v>
      </c>
      <c r="C144" t="s">
        <v>53</v>
      </c>
      <c r="D144" s="3"/>
      <c r="E144" s="3">
        <v>0.04</v>
      </c>
      <c r="F144" s="4" t="s">
        <v>37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Definitions'!$A$5</f>
        <v>0-9_females</v>
      </c>
      <c r="C145" t="s">
        <v>53</v>
      </c>
      <c r="D145" s="3"/>
      <c r="E145" s="3">
        <v>0.04</v>
      </c>
      <c r="F145" s="4" t="s">
        <v>37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Definitions'!$A$6</f>
        <v>10-17_males</v>
      </c>
      <c r="C146" t="s">
        <v>53</v>
      </c>
      <c r="D146" s="3"/>
      <c r="E146" s="3">
        <v>0.04</v>
      </c>
      <c r="F146" s="4" t="s">
        <v>37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Definitions'!$A$7</f>
        <v>10-17_females</v>
      </c>
      <c r="C147" t="s">
        <v>53</v>
      </c>
      <c r="D147" s="3"/>
      <c r="E147" s="3">
        <v>0.04</v>
      </c>
      <c r="F147" s="4" t="s">
        <v>37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Definitions'!$A$8</f>
        <v>18-64_males</v>
      </c>
      <c r="C148" t="s">
        <v>53</v>
      </c>
      <c r="D148" s="3"/>
      <c r="E148" s="3">
        <v>0.04</v>
      </c>
      <c r="F148" s="4" t="s">
        <v>37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Definitions'!$A$9</f>
        <v>18-64_females</v>
      </c>
      <c r="C149" t="s">
        <v>53</v>
      </c>
      <c r="D149" s="3"/>
      <c r="E149" s="3">
        <v>0.04</v>
      </c>
      <c r="F149" s="4" t="s">
        <v>37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Definitions'!$A$10</f>
        <v>65+_males</v>
      </c>
      <c r="C150" t="s">
        <v>53</v>
      </c>
      <c r="D150" s="3"/>
      <c r="E150" s="3">
        <v>0.04</v>
      </c>
      <c r="F150" s="4" t="s">
        <v>37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Definitions'!$A$11</f>
        <v>65+_females</v>
      </c>
      <c r="C151" t="s">
        <v>53</v>
      </c>
      <c r="D151" s="3"/>
      <c r="E151" s="3">
        <v>0.04</v>
      </c>
      <c r="F151" s="4" t="s">
        <v>37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Definitions'!$A$12</f>
        <v>Prisoners_males</v>
      </c>
      <c r="C152" t="s">
        <v>53</v>
      </c>
      <c r="D152" s="3"/>
      <c r="E152" s="3">
        <v>0.04</v>
      </c>
      <c r="F152" s="4" t="s">
        <v>37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Definitions'!$A$13</f>
        <v>Prisoners_females</v>
      </c>
      <c r="C153" t="s">
        <v>53</v>
      </c>
      <c r="D153" s="3"/>
      <c r="E153" s="3">
        <v>0.04</v>
      </c>
      <c r="F153" s="4" t="s">
        <v>37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5" spans="1:57">
      <c r="A155" s="1" t="s">
        <v>72</v>
      </c>
      <c r="B155" s="1" t="s">
        <v>29</v>
      </c>
      <c r="C155" s="1" t="s">
        <v>30</v>
      </c>
      <c r="D155" s="1" t="s">
        <v>31</v>
      </c>
      <c r="E155" s="1" t="s">
        <v>36</v>
      </c>
      <c r="F155" s="1"/>
      <c r="G155" s="1">
        <v>2000</v>
      </c>
      <c r="H155" s="1">
        <v>2001</v>
      </c>
      <c r="I155" s="1">
        <v>2002</v>
      </c>
      <c r="J155" s="1">
        <v>2003</v>
      </c>
      <c r="K155" s="1">
        <v>2004</v>
      </c>
      <c r="L155" s="1">
        <v>2005</v>
      </c>
      <c r="M155" s="1">
        <v>2006</v>
      </c>
      <c r="N155" s="1">
        <v>2007</v>
      </c>
      <c r="O155" s="1">
        <v>2008</v>
      </c>
      <c r="P155" s="1">
        <v>2009</v>
      </c>
      <c r="Q155" s="1">
        <v>2010</v>
      </c>
      <c r="R155" s="1">
        <v>2011</v>
      </c>
      <c r="S155" s="1">
        <v>2012</v>
      </c>
      <c r="T155" s="1">
        <v>2013</v>
      </c>
      <c r="U155" s="1">
        <v>2014</v>
      </c>
      <c r="V155" s="1">
        <v>2015</v>
      </c>
      <c r="W155" s="1">
        <v>2016</v>
      </c>
      <c r="X155" s="1">
        <v>2017</v>
      </c>
      <c r="Y155" s="1">
        <v>2018</v>
      </c>
      <c r="Z155" s="1">
        <v>2019</v>
      </c>
      <c r="AA155" s="1">
        <v>2020</v>
      </c>
      <c r="AB155" s="1">
        <v>2021</v>
      </c>
      <c r="AC155" s="1">
        <v>2022</v>
      </c>
      <c r="AD155" s="1">
        <v>2023</v>
      </c>
      <c r="AE155" s="1">
        <v>2024</v>
      </c>
      <c r="AF155" s="1">
        <v>2025</v>
      </c>
      <c r="AG155" s="1">
        <v>2026</v>
      </c>
      <c r="AH155" s="1">
        <v>2027</v>
      </c>
      <c r="AI155" s="1">
        <v>2028</v>
      </c>
      <c r="AJ155" s="1">
        <v>2029</v>
      </c>
      <c r="AK155" s="1">
        <v>2030</v>
      </c>
      <c r="AL155" s="1">
        <v>2031</v>
      </c>
      <c r="AM155" s="1">
        <v>2032</v>
      </c>
      <c r="AN155" s="1">
        <v>2033</v>
      </c>
      <c r="AO155" s="1">
        <v>2034</v>
      </c>
      <c r="AP155" s="1">
        <v>2035</v>
      </c>
      <c r="AQ155" s="1">
        <v>2036</v>
      </c>
      <c r="AR155" s="1">
        <v>2037</v>
      </c>
      <c r="AS155" s="1">
        <v>2038</v>
      </c>
      <c r="AT155" s="1">
        <v>2039</v>
      </c>
      <c r="AU155" s="1">
        <v>2040</v>
      </c>
      <c r="AV155" s="1">
        <v>2041</v>
      </c>
      <c r="AW155" s="1">
        <v>2042</v>
      </c>
      <c r="AX155" s="1">
        <v>2043</v>
      </c>
      <c r="AY155" s="1">
        <v>2044</v>
      </c>
      <c r="AZ155" s="1">
        <v>2045</v>
      </c>
      <c r="BA155" s="1">
        <v>2046</v>
      </c>
      <c r="BB155" s="1">
        <v>2047</v>
      </c>
      <c r="BC155" s="1">
        <v>2048</v>
      </c>
      <c r="BD155" s="1">
        <v>2049</v>
      </c>
      <c r="BE155" s="1">
        <v>2050</v>
      </c>
    </row>
    <row r="156" spans="1:57">
      <c r="A156" s="1" t="str">
        <f>'Population Definitions'!$A$2</f>
        <v>PWID_males</v>
      </c>
      <c r="C156" t="s">
        <v>53</v>
      </c>
      <c r="D156" s="3"/>
      <c r="E156" s="3">
        <v>0.026</v>
      </c>
      <c r="F156" s="4" t="s">
        <v>37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Definitions'!$A$3</f>
        <v>PWID_females</v>
      </c>
      <c r="C157" t="s">
        <v>53</v>
      </c>
      <c r="D157" s="3"/>
      <c r="E157" s="3">
        <v>0.026</v>
      </c>
      <c r="F157" s="4" t="s">
        <v>37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Definitions'!$A$4</f>
        <v>0-9_males</v>
      </c>
      <c r="C158" t="s">
        <v>53</v>
      </c>
      <c r="D158" s="3"/>
      <c r="E158" s="3">
        <v>0.026</v>
      </c>
      <c r="F158" s="4" t="s">
        <v>37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Definitions'!$A$5</f>
        <v>0-9_females</v>
      </c>
      <c r="C159" t="s">
        <v>53</v>
      </c>
      <c r="D159" s="3"/>
      <c r="E159" s="3">
        <v>0.026</v>
      </c>
      <c r="F159" s="4" t="s">
        <v>37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Definitions'!$A$6</f>
        <v>10-17_males</v>
      </c>
      <c r="C160" t="s">
        <v>53</v>
      </c>
      <c r="D160" s="3"/>
      <c r="E160" s="3">
        <v>0.026</v>
      </c>
      <c r="F160" s="4" t="s">
        <v>37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Definitions'!$A$7</f>
        <v>10-17_females</v>
      </c>
      <c r="C161" t="s">
        <v>53</v>
      </c>
      <c r="D161" s="3"/>
      <c r="E161" s="3">
        <v>0.026</v>
      </c>
      <c r="F161" s="4" t="s">
        <v>37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Definitions'!$A$8</f>
        <v>18-64_males</v>
      </c>
      <c r="C162" t="s">
        <v>53</v>
      </c>
      <c r="D162" s="3"/>
      <c r="E162" s="3">
        <v>0.026</v>
      </c>
      <c r="F162" s="4" t="s">
        <v>37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Definitions'!$A$9</f>
        <v>18-64_females</v>
      </c>
      <c r="C163" t="s">
        <v>53</v>
      </c>
      <c r="D163" s="3"/>
      <c r="E163" s="3">
        <v>0.026</v>
      </c>
      <c r="F163" s="4" t="s">
        <v>37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Definitions'!$A$10</f>
        <v>65+_males</v>
      </c>
      <c r="C164" t="s">
        <v>53</v>
      </c>
      <c r="D164" s="3"/>
      <c r="E164" s="3">
        <v>0.026</v>
      </c>
      <c r="F164" s="4" t="s">
        <v>37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Definitions'!$A$11</f>
        <v>65+_females</v>
      </c>
      <c r="C165" t="s">
        <v>53</v>
      </c>
      <c r="D165" s="3"/>
      <c r="E165" s="3">
        <v>0.026</v>
      </c>
      <c r="F165" s="4" t="s">
        <v>37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Definitions'!$A$12</f>
        <v>Prisoners_males</v>
      </c>
      <c r="C166" t="s">
        <v>53</v>
      </c>
      <c r="D166" s="3"/>
      <c r="E166" s="3">
        <v>0.026</v>
      </c>
      <c r="F166" s="4" t="s">
        <v>37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Definitions'!$A$13</f>
        <v>Prisoners_females</v>
      </c>
      <c r="C167" t="s">
        <v>53</v>
      </c>
      <c r="D167" s="3"/>
      <c r="E167" s="3">
        <v>0.026</v>
      </c>
      <c r="F167" s="4" t="s">
        <v>37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9" spans="1:57">
      <c r="A169" s="1" t="s">
        <v>73</v>
      </c>
      <c r="B169" s="1" t="s">
        <v>29</v>
      </c>
      <c r="C169" s="1" t="s">
        <v>30</v>
      </c>
      <c r="D169" s="1" t="s">
        <v>31</v>
      </c>
      <c r="E169" s="1" t="s">
        <v>36</v>
      </c>
      <c r="F169" s="1"/>
      <c r="G169" s="1">
        <v>2000</v>
      </c>
      <c r="H169" s="1">
        <v>2001</v>
      </c>
      <c r="I169" s="1">
        <v>2002</v>
      </c>
      <c r="J169" s="1">
        <v>2003</v>
      </c>
      <c r="K169" s="1">
        <v>2004</v>
      </c>
      <c r="L169" s="1">
        <v>2005</v>
      </c>
      <c r="M169" s="1">
        <v>2006</v>
      </c>
      <c r="N169" s="1">
        <v>2007</v>
      </c>
      <c r="O169" s="1">
        <v>2008</v>
      </c>
      <c r="P169" s="1">
        <v>2009</v>
      </c>
      <c r="Q169" s="1">
        <v>2010</v>
      </c>
      <c r="R169" s="1">
        <v>2011</v>
      </c>
      <c r="S169" s="1">
        <v>2012</v>
      </c>
      <c r="T169" s="1">
        <v>2013</v>
      </c>
      <c r="U169" s="1">
        <v>2014</v>
      </c>
      <c r="V169" s="1">
        <v>2015</v>
      </c>
      <c r="W169" s="1">
        <v>2016</v>
      </c>
      <c r="X169" s="1">
        <v>2017</v>
      </c>
      <c r="Y169" s="1">
        <v>2018</v>
      </c>
      <c r="Z169" s="1">
        <v>2019</v>
      </c>
      <c r="AA169" s="1">
        <v>2020</v>
      </c>
      <c r="AB169" s="1">
        <v>2021</v>
      </c>
      <c r="AC169" s="1">
        <v>2022</v>
      </c>
      <c r="AD169" s="1">
        <v>2023</v>
      </c>
      <c r="AE169" s="1">
        <v>2024</v>
      </c>
      <c r="AF169" s="1">
        <v>2025</v>
      </c>
      <c r="AG169" s="1">
        <v>2026</v>
      </c>
      <c r="AH169" s="1">
        <v>2027</v>
      </c>
      <c r="AI169" s="1">
        <v>2028</v>
      </c>
      <c r="AJ169" s="1">
        <v>2029</v>
      </c>
      <c r="AK169" s="1">
        <v>2030</v>
      </c>
      <c r="AL169" s="1">
        <v>2031</v>
      </c>
      <c r="AM169" s="1">
        <v>2032</v>
      </c>
      <c r="AN169" s="1">
        <v>2033</v>
      </c>
      <c r="AO169" s="1">
        <v>2034</v>
      </c>
      <c r="AP169" s="1">
        <v>2035</v>
      </c>
      <c r="AQ169" s="1">
        <v>2036</v>
      </c>
      <c r="AR169" s="1">
        <v>2037</v>
      </c>
      <c r="AS169" s="1">
        <v>2038</v>
      </c>
      <c r="AT169" s="1">
        <v>2039</v>
      </c>
      <c r="AU169" s="1">
        <v>2040</v>
      </c>
      <c r="AV169" s="1">
        <v>2041</v>
      </c>
      <c r="AW169" s="1">
        <v>2042</v>
      </c>
      <c r="AX169" s="1">
        <v>2043</v>
      </c>
      <c r="AY169" s="1">
        <v>2044</v>
      </c>
      <c r="AZ169" s="1">
        <v>2045</v>
      </c>
      <c r="BA169" s="1">
        <v>2046</v>
      </c>
      <c r="BB169" s="1">
        <v>2047</v>
      </c>
      <c r="BC169" s="1">
        <v>2048</v>
      </c>
      <c r="BD169" s="1">
        <v>2049</v>
      </c>
      <c r="BE169" s="1">
        <v>2050</v>
      </c>
    </row>
    <row r="170" spans="1:57">
      <c r="A170" s="1" t="str">
        <f>'Population Definitions'!$A$2</f>
        <v>PWID_males</v>
      </c>
      <c r="C170" t="s">
        <v>53</v>
      </c>
      <c r="D170" s="3"/>
      <c r="E170" s="3">
        <v>0.06</v>
      </c>
      <c r="F170" s="4" t="s">
        <v>37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Definitions'!$A$3</f>
        <v>PWID_females</v>
      </c>
      <c r="C171" t="s">
        <v>53</v>
      </c>
      <c r="D171" s="3"/>
      <c r="E171" s="3">
        <v>0.06</v>
      </c>
      <c r="F171" s="4" t="s">
        <v>37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Definitions'!$A$4</f>
        <v>0-9_males</v>
      </c>
      <c r="C172" t="s">
        <v>53</v>
      </c>
      <c r="D172" s="3"/>
      <c r="E172" s="3">
        <v>0.06</v>
      </c>
      <c r="F172" s="4" t="s">
        <v>37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Definitions'!$A$5</f>
        <v>0-9_females</v>
      </c>
      <c r="C173" t="s">
        <v>53</v>
      </c>
      <c r="D173" s="3"/>
      <c r="E173" s="3">
        <v>0.06</v>
      </c>
      <c r="F173" s="4" t="s">
        <v>37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Definitions'!$A$6</f>
        <v>10-17_males</v>
      </c>
      <c r="C174" t="s">
        <v>53</v>
      </c>
      <c r="D174" s="3"/>
      <c r="E174" s="3">
        <v>0.06</v>
      </c>
      <c r="F174" s="4" t="s">
        <v>37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Definitions'!$A$7</f>
        <v>10-17_females</v>
      </c>
      <c r="C175" t="s">
        <v>53</v>
      </c>
      <c r="D175" s="3"/>
      <c r="E175" s="3">
        <v>0.06</v>
      </c>
      <c r="F175" s="4" t="s">
        <v>37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Definitions'!$A$8</f>
        <v>18-64_males</v>
      </c>
      <c r="C176" t="s">
        <v>53</v>
      </c>
      <c r="D176" s="3"/>
      <c r="E176" s="3">
        <v>0.06</v>
      </c>
      <c r="F176" s="4" t="s">
        <v>37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Definitions'!$A$9</f>
        <v>18-64_females</v>
      </c>
      <c r="C177" t="s">
        <v>53</v>
      </c>
      <c r="D177" s="3"/>
      <c r="E177" s="3">
        <v>0.06</v>
      </c>
      <c r="F177" s="4" t="s">
        <v>37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Definitions'!$A$10</f>
        <v>65+_males</v>
      </c>
      <c r="C178" t="s">
        <v>53</v>
      </c>
      <c r="D178" s="3"/>
      <c r="E178" s="3">
        <v>0.06</v>
      </c>
      <c r="F178" s="4" t="s">
        <v>37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Definitions'!$A$11</f>
        <v>65+_females</v>
      </c>
      <c r="C179" t="s">
        <v>53</v>
      </c>
      <c r="D179" s="3"/>
      <c r="E179" s="3">
        <v>0.06</v>
      </c>
      <c r="F179" s="4" t="s">
        <v>37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Definitions'!$A$12</f>
        <v>Prisoners_males</v>
      </c>
      <c r="C180" t="s">
        <v>53</v>
      </c>
      <c r="D180" s="3"/>
      <c r="E180" s="3">
        <v>0.06</v>
      </c>
      <c r="F180" s="4" t="s">
        <v>37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Definitions'!$A$13</f>
        <v>Prisoners_females</v>
      </c>
      <c r="C181" t="s">
        <v>53</v>
      </c>
      <c r="D181" s="3"/>
      <c r="E181" s="3">
        <v>0.06</v>
      </c>
      <c r="F181" s="4" t="s">
        <v>37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3" spans="1:5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36</v>
      </c>
      <c r="F183" s="1"/>
      <c r="G183" s="1">
        <v>2000</v>
      </c>
      <c r="H183" s="1">
        <v>2001</v>
      </c>
      <c r="I183" s="1">
        <v>2002</v>
      </c>
      <c r="J183" s="1">
        <v>2003</v>
      </c>
      <c r="K183" s="1">
        <v>2004</v>
      </c>
      <c r="L183" s="1">
        <v>2005</v>
      </c>
      <c r="M183" s="1">
        <v>2006</v>
      </c>
      <c r="N183" s="1">
        <v>2007</v>
      </c>
      <c r="O183" s="1">
        <v>2008</v>
      </c>
      <c r="P183" s="1">
        <v>2009</v>
      </c>
      <c r="Q183" s="1">
        <v>2010</v>
      </c>
      <c r="R183" s="1">
        <v>2011</v>
      </c>
      <c r="S183" s="1">
        <v>2012</v>
      </c>
      <c r="T183" s="1">
        <v>2013</v>
      </c>
      <c r="U183" s="1">
        <v>2014</v>
      </c>
      <c r="V183" s="1">
        <v>2015</v>
      </c>
      <c r="W183" s="1">
        <v>2016</v>
      </c>
      <c r="X183" s="1">
        <v>2017</v>
      </c>
      <c r="Y183" s="1">
        <v>2018</v>
      </c>
      <c r="Z183" s="1">
        <v>2019</v>
      </c>
      <c r="AA183" s="1">
        <v>2020</v>
      </c>
      <c r="AB183" s="1">
        <v>2021</v>
      </c>
      <c r="AC183" s="1">
        <v>2022</v>
      </c>
      <c r="AD183" s="1">
        <v>2023</v>
      </c>
      <c r="AE183" s="1">
        <v>2024</v>
      </c>
      <c r="AF183" s="1">
        <v>2025</v>
      </c>
      <c r="AG183" s="1">
        <v>2026</v>
      </c>
      <c r="AH183" s="1">
        <v>2027</v>
      </c>
      <c r="AI183" s="1">
        <v>2028</v>
      </c>
      <c r="AJ183" s="1">
        <v>2029</v>
      </c>
      <c r="AK183" s="1">
        <v>2030</v>
      </c>
      <c r="AL183" s="1">
        <v>2031</v>
      </c>
      <c r="AM183" s="1">
        <v>2032</v>
      </c>
      <c r="AN183" s="1">
        <v>2033</v>
      </c>
      <c r="AO183" s="1">
        <v>2034</v>
      </c>
      <c r="AP183" s="1">
        <v>2035</v>
      </c>
      <c r="AQ183" s="1">
        <v>2036</v>
      </c>
      <c r="AR183" s="1">
        <v>2037</v>
      </c>
      <c r="AS183" s="1">
        <v>2038</v>
      </c>
      <c r="AT183" s="1">
        <v>2039</v>
      </c>
      <c r="AU183" s="1">
        <v>2040</v>
      </c>
      <c r="AV183" s="1">
        <v>2041</v>
      </c>
      <c r="AW183" s="1">
        <v>2042</v>
      </c>
      <c r="AX183" s="1">
        <v>2043</v>
      </c>
      <c r="AY183" s="1">
        <v>2044</v>
      </c>
      <c r="AZ183" s="1">
        <v>2045</v>
      </c>
      <c r="BA183" s="1">
        <v>2046</v>
      </c>
      <c r="BB183" s="1">
        <v>2047</v>
      </c>
      <c r="BC183" s="1">
        <v>2048</v>
      </c>
      <c r="BD183" s="1">
        <v>2049</v>
      </c>
      <c r="BE183" s="1">
        <v>2050</v>
      </c>
    </row>
    <row r="184" spans="1:57">
      <c r="A184" s="1" t="str">
        <f>'Population Definitions'!$A$2</f>
        <v>PWID_males</v>
      </c>
      <c r="C184" t="s">
        <v>53</v>
      </c>
      <c r="D184" s="3"/>
      <c r="E184" s="3">
        <v>0.07000000000000001</v>
      </c>
      <c r="F184" s="4" t="s">
        <v>37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Definitions'!$A$3</f>
        <v>PWID_females</v>
      </c>
      <c r="C185" t="s">
        <v>53</v>
      </c>
      <c r="D185" s="3"/>
      <c r="E185" s="3">
        <v>0.07000000000000001</v>
      </c>
      <c r="F185" s="4" t="s">
        <v>37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Definitions'!$A$4</f>
        <v>0-9_males</v>
      </c>
      <c r="C186" t="s">
        <v>53</v>
      </c>
      <c r="D186" s="3"/>
      <c r="E186" s="3">
        <v>0.07000000000000001</v>
      </c>
      <c r="F186" s="4" t="s">
        <v>37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Definitions'!$A$5</f>
        <v>0-9_females</v>
      </c>
      <c r="C187" t="s">
        <v>53</v>
      </c>
      <c r="D187" s="3"/>
      <c r="E187" s="3">
        <v>0.07000000000000001</v>
      </c>
      <c r="F187" s="4" t="s">
        <v>37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Definitions'!$A$6</f>
        <v>10-17_males</v>
      </c>
      <c r="C188" t="s">
        <v>53</v>
      </c>
      <c r="D188" s="3"/>
      <c r="E188" s="3">
        <v>0.07000000000000001</v>
      </c>
      <c r="F188" s="4" t="s">
        <v>37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Definitions'!$A$7</f>
        <v>10-17_females</v>
      </c>
      <c r="C189" t="s">
        <v>53</v>
      </c>
      <c r="D189" s="3"/>
      <c r="E189" s="3">
        <v>0.07000000000000001</v>
      </c>
      <c r="F189" s="4" t="s">
        <v>37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Definitions'!$A$8</f>
        <v>18-64_males</v>
      </c>
      <c r="C190" t="s">
        <v>53</v>
      </c>
      <c r="D190" s="3"/>
      <c r="E190" s="3">
        <v>0.07000000000000001</v>
      </c>
      <c r="F190" s="4" t="s">
        <v>37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Definitions'!$A$9</f>
        <v>18-64_females</v>
      </c>
      <c r="C191" t="s">
        <v>53</v>
      </c>
      <c r="D191" s="3"/>
      <c r="E191" s="3">
        <v>0.07000000000000001</v>
      </c>
      <c r="F191" s="4" t="s">
        <v>37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Definitions'!$A$10</f>
        <v>65+_males</v>
      </c>
      <c r="C192" t="s">
        <v>53</v>
      </c>
      <c r="D192" s="3"/>
      <c r="E192" s="3">
        <v>0.07000000000000001</v>
      </c>
      <c r="F192" s="4" t="s">
        <v>37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Definitions'!$A$11</f>
        <v>65+_females</v>
      </c>
      <c r="C193" t="s">
        <v>53</v>
      </c>
      <c r="D193" s="3"/>
      <c r="E193" s="3">
        <v>0.07000000000000001</v>
      </c>
      <c r="F193" s="4" t="s">
        <v>37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Definitions'!$A$12</f>
        <v>Prisoners_males</v>
      </c>
      <c r="C194" t="s">
        <v>53</v>
      </c>
      <c r="D194" s="3"/>
      <c r="E194" s="3">
        <v>0.07000000000000001</v>
      </c>
      <c r="F194" s="4" t="s">
        <v>37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Definitions'!$A$13</f>
        <v>Prisoners_females</v>
      </c>
      <c r="C195" t="s">
        <v>53</v>
      </c>
      <c r="D195" s="3"/>
      <c r="E195" s="3">
        <v>0.07000000000000001</v>
      </c>
      <c r="F195" s="4" t="s">
        <v>37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7" spans="1:57">
      <c r="A197" s="1" t="s">
        <v>75</v>
      </c>
      <c r="B197" s="1" t="s">
        <v>29</v>
      </c>
      <c r="C197" s="1" t="s">
        <v>30</v>
      </c>
      <c r="D197" s="1" t="s">
        <v>31</v>
      </c>
      <c r="E197" s="1" t="s">
        <v>36</v>
      </c>
      <c r="F197" s="1"/>
      <c r="G197" s="1">
        <v>2000</v>
      </c>
      <c r="H197" s="1">
        <v>2001</v>
      </c>
      <c r="I197" s="1">
        <v>2002</v>
      </c>
      <c r="J197" s="1">
        <v>2003</v>
      </c>
      <c r="K197" s="1">
        <v>2004</v>
      </c>
      <c r="L197" s="1">
        <v>2005</v>
      </c>
      <c r="M197" s="1">
        <v>2006</v>
      </c>
      <c r="N197" s="1">
        <v>2007</v>
      </c>
      <c r="O197" s="1">
        <v>2008</v>
      </c>
      <c r="P197" s="1">
        <v>2009</v>
      </c>
      <c r="Q197" s="1">
        <v>2010</v>
      </c>
      <c r="R197" s="1">
        <v>2011</v>
      </c>
      <c r="S197" s="1">
        <v>2012</v>
      </c>
      <c r="T197" s="1">
        <v>2013</v>
      </c>
      <c r="U197" s="1">
        <v>2014</v>
      </c>
      <c r="V197" s="1">
        <v>2015</v>
      </c>
      <c r="W197" s="1">
        <v>2016</v>
      </c>
      <c r="X197" s="1">
        <v>2017</v>
      </c>
      <c r="Y197" s="1">
        <v>2018</v>
      </c>
      <c r="Z197" s="1">
        <v>2019</v>
      </c>
      <c r="AA197" s="1">
        <v>2020</v>
      </c>
      <c r="AB197" s="1">
        <v>2021</v>
      </c>
      <c r="AC197" s="1">
        <v>2022</v>
      </c>
      <c r="AD197" s="1">
        <v>2023</v>
      </c>
      <c r="AE197" s="1">
        <v>2024</v>
      </c>
      <c r="AF197" s="1">
        <v>2025</v>
      </c>
      <c r="AG197" s="1">
        <v>2026</v>
      </c>
      <c r="AH197" s="1">
        <v>2027</v>
      </c>
      <c r="AI197" s="1">
        <v>2028</v>
      </c>
      <c r="AJ197" s="1">
        <v>2029</v>
      </c>
      <c r="AK197" s="1">
        <v>2030</v>
      </c>
      <c r="AL197" s="1">
        <v>2031</v>
      </c>
      <c r="AM197" s="1">
        <v>2032</v>
      </c>
      <c r="AN197" s="1">
        <v>2033</v>
      </c>
      <c r="AO197" s="1">
        <v>2034</v>
      </c>
      <c r="AP197" s="1">
        <v>2035</v>
      </c>
      <c r="AQ197" s="1">
        <v>2036</v>
      </c>
      <c r="AR197" s="1">
        <v>2037</v>
      </c>
      <c r="AS197" s="1">
        <v>2038</v>
      </c>
      <c r="AT197" s="1">
        <v>2039</v>
      </c>
      <c r="AU197" s="1">
        <v>2040</v>
      </c>
      <c r="AV197" s="1">
        <v>2041</v>
      </c>
      <c r="AW197" s="1">
        <v>2042</v>
      </c>
      <c r="AX197" s="1">
        <v>2043</v>
      </c>
      <c r="AY197" s="1">
        <v>2044</v>
      </c>
      <c r="AZ197" s="1">
        <v>2045</v>
      </c>
      <c r="BA197" s="1">
        <v>2046</v>
      </c>
      <c r="BB197" s="1">
        <v>2047</v>
      </c>
      <c r="BC197" s="1">
        <v>2048</v>
      </c>
      <c r="BD197" s="1">
        <v>2049</v>
      </c>
      <c r="BE197" s="1">
        <v>2050</v>
      </c>
    </row>
    <row r="198" spans="1:57">
      <c r="A198" s="1" t="str">
        <f>'Population Definitions'!$A$2</f>
        <v>PWID_males</v>
      </c>
      <c r="C198" t="s">
        <v>53</v>
      </c>
      <c r="D198" s="3"/>
      <c r="E198" s="3">
        <v>0.05</v>
      </c>
      <c r="F198" s="4" t="s">
        <v>37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Definitions'!$A$3</f>
        <v>PWID_females</v>
      </c>
      <c r="C199" t="s">
        <v>53</v>
      </c>
      <c r="D199" s="3"/>
      <c r="E199" s="3">
        <v>0.05</v>
      </c>
      <c r="F199" s="4" t="s">
        <v>37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Definitions'!$A$4</f>
        <v>0-9_males</v>
      </c>
      <c r="C200" t="s">
        <v>53</v>
      </c>
      <c r="D200" s="3"/>
      <c r="E200" s="3">
        <v>0.05</v>
      </c>
      <c r="F200" s="4" t="s">
        <v>37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Definitions'!$A$5</f>
        <v>0-9_females</v>
      </c>
      <c r="C201" t="s">
        <v>53</v>
      </c>
      <c r="D201" s="3"/>
      <c r="E201" s="3">
        <v>0.05</v>
      </c>
      <c r="F201" s="4" t="s">
        <v>37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Definitions'!$A$6</f>
        <v>10-17_males</v>
      </c>
      <c r="C202" t="s">
        <v>53</v>
      </c>
      <c r="D202" s="3"/>
      <c r="E202" s="3">
        <v>0.05</v>
      </c>
      <c r="F202" s="4" t="s">
        <v>37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Definitions'!$A$7</f>
        <v>10-17_females</v>
      </c>
      <c r="C203" t="s">
        <v>53</v>
      </c>
      <c r="D203" s="3"/>
      <c r="E203" s="3">
        <v>0.05</v>
      </c>
      <c r="F203" s="4" t="s">
        <v>37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Definitions'!$A$8</f>
        <v>18-64_males</v>
      </c>
      <c r="C204" t="s">
        <v>53</v>
      </c>
      <c r="D204" s="3"/>
      <c r="E204" s="3">
        <v>0.05</v>
      </c>
      <c r="F204" s="4" t="s">
        <v>37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Definitions'!$A$9</f>
        <v>18-64_females</v>
      </c>
      <c r="C205" t="s">
        <v>53</v>
      </c>
      <c r="D205" s="3"/>
      <c r="E205" s="3">
        <v>0.05</v>
      </c>
      <c r="F205" s="4" t="s">
        <v>37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Definitions'!$A$10</f>
        <v>65+_males</v>
      </c>
      <c r="C206" t="s">
        <v>53</v>
      </c>
      <c r="D206" s="3"/>
      <c r="E206" s="3">
        <v>0.05</v>
      </c>
      <c r="F206" s="4" t="s">
        <v>37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Definitions'!$A$11</f>
        <v>65+_females</v>
      </c>
      <c r="C207" t="s">
        <v>53</v>
      </c>
      <c r="D207" s="3"/>
      <c r="E207" s="3">
        <v>0.05</v>
      </c>
      <c r="F207" s="4" t="s">
        <v>37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Definitions'!$A$12</f>
        <v>Prisoners_males</v>
      </c>
      <c r="C208" t="s">
        <v>53</v>
      </c>
      <c r="D208" s="3"/>
      <c r="E208" s="3">
        <v>0.05</v>
      </c>
      <c r="F208" s="4" t="s">
        <v>37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Definitions'!$A$13</f>
        <v>Prisoners_females</v>
      </c>
      <c r="C209" t="s">
        <v>53</v>
      </c>
      <c r="D209" s="3"/>
      <c r="E209" s="3">
        <v>0.05</v>
      </c>
      <c r="F209" s="4" t="s">
        <v>37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1" spans="1:57">
      <c r="A211" s="1" t="s">
        <v>76</v>
      </c>
      <c r="B211" s="1" t="s">
        <v>29</v>
      </c>
      <c r="C211" s="1" t="s">
        <v>30</v>
      </c>
      <c r="D211" s="1" t="s">
        <v>31</v>
      </c>
      <c r="E211" s="1" t="s">
        <v>36</v>
      </c>
      <c r="F211" s="1"/>
      <c r="G211" s="1">
        <v>2000</v>
      </c>
      <c r="H211" s="1">
        <v>2001</v>
      </c>
      <c r="I211" s="1">
        <v>2002</v>
      </c>
      <c r="J211" s="1">
        <v>2003</v>
      </c>
      <c r="K211" s="1">
        <v>2004</v>
      </c>
      <c r="L211" s="1">
        <v>2005</v>
      </c>
      <c r="M211" s="1">
        <v>2006</v>
      </c>
      <c r="N211" s="1">
        <v>2007</v>
      </c>
      <c r="O211" s="1">
        <v>2008</v>
      </c>
      <c r="P211" s="1">
        <v>2009</v>
      </c>
      <c r="Q211" s="1">
        <v>2010</v>
      </c>
      <c r="R211" s="1">
        <v>2011</v>
      </c>
      <c r="S211" s="1">
        <v>2012</v>
      </c>
      <c r="T211" s="1">
        <v>2013</v>
      </c>
      <c r="U211" s="1">
        <v>2014</v>
      </c>
      <c r="V211" s="1">
        <v>2015</v>
      </c>
      <c r="W211" s="1">
        <v>2016</v>
      </c>
      <c r="X211" s="1">
        <v>2017</v>
      </c>
      <c r="Y211" s="1">
        <v>2018</v>
      </c>
      <c r="Z211" s="1">
        <v>2019</v>
      </c>
      <c r="AA211" s="1">
        <v>2020</v>
      </c>
      <c r="AB211" s="1">
        <v>2021</v>
      </c>
      <c r="AC211" s="1">
        <v>2022</v>
      </c>
      <c r="AD211" s="1">
        <v>2023</v>
      </c>
      <c r="AE211" s="1">
        <v>2024</v>
      </c>
      <c r="AF211" s="1">
        <v>2025</v>
      </c>
      <c r="AG211" s="1">
        <v>2026</v>
      </c>
      <c r="AH211" s="1">
        <v>2027</v>
      </c>
      <c r="AI211" s="1">
        <v>2028</v>
      </c>
      <c r="AJ211" s="1">
        <v>2029</v>
      </c>
      <c r="AK211" s="1">
        <v>2030</v>
      </c>
      <c r="AL211" s="1">
        <v>2031</v>
      </c>
      <c r="AM211" s="1">
        <v>2032</v>
      </c>
      <c r="AN211" s="1">
        <v>2033</v>
      </c>
      <c r="AO211" s="1">
        <v>2034</v>
      </c>
      <c r="AP211" s="1">
        <v>2035</v>
      </c>
      <c r="AQ211" s="1">
        <v>2036</v>
      </c>
      <c r="AR211" s="1">
        <v>2037</v>
      </c>
      <c r="AS211" s="1">
        <v>2038</v>
      </c>
      <c r="AT211" s="1">
        <v>2039</v>
      </c>
      <c r="AU211" s="1">
        <v>2040</v>
      </c>
      <c r="AV211" s="1">
        <v>2041</v>
      </c>
      <c r="AW211" s="1">
        <v>2042</v>
      </c>
      <c r="AX211" s="1">
        <v>2043</v>
      </c>
      <c r="AY211" s="1">
        <v>2044</v>
      </c>
      <c r="AZ211" s="1">
        <v>2045</v>
      </c>
      <c r="BA211" s="1">
        <v>2046</v>
      </c>
      <c r="BB211" s="1">
        <v>2047</v>
      </c>
      <c r="BC211" s="1">
        <v>2048</v>
      </c>
      <c r="BD211" s="1">
        <v>2049</v>
      </c>
      <c r="BE211" s="1">
        <v>2050</v>
      </c>
    </row>
    <row r="212" spans="1:57">
      <c r="A212" s="1" t="str">
        <f>'Population Definitions'!$A$2</f>
        <v>PWID_males</v>
      </c>
      <c r="C212" t="s">
        <v>53</v>
      </c>
      <c r="D212" s="3"/>
      <c r="E212" s="3">
        <v>0.03</v>
      </c>
      <c r="F212" s="4" t="s">
        <v>37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Definitions'!$A$3</f>
        <v>PWID_females</v>
      </c>
      <c r="C213" t="s">
        <v>53</v>
      </c>
      <c r="D213" s="3"/>
      <c r="E213" s="3">
        <v>0.03</v>
      </c>
      <c r="F213" s="4" t="s">
        <v>37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Definitions'!$A$4</f>
        <v>0-9_males</v>
      </c>
      <c r="C214" t="s">
        <v>53</v>
      </c>
      <c r="D214" s="3"/>
      <c r="E214" s="3">
        <v>0.03</v>
      </c>
      <c r="F214" s="4" t="s">
        <v>37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Definitions'!$A$5</f>
        <v>0-9_females</v>
      </c>
      <c r="C215" t="s">
        <v>53</v>
      </c>
      <c r="D215" s="3"/>
      <c r="E215" s="3">
        <v>0.03</v>
      </c>
      <c r="F215" s="4" t="s">
        <v>37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Definitions'!$A$6</f>
        <v>10-17_males</v>
      </c>
      <c r="C216" t="s">
        <v>53</v>
      </c>
      <c r="D216" s="3"/>
      <c r="E216" s="3">
        <v>0.03</v>
      </c>
      <c r="F216" s="4" t="s">
        <v>37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Definitions'!$A$7</f>
        <v>10-17_females</v>
      </c>
      <c r="C217" t="s">
        <v>53</v>
      </c>
      <c r="D217" s="3"/>
      <c r="E217" s="3">
        <v>0.03</v>
      </c>
      <c r="F217" s="4" t="s">
        <v>37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Definitions'!$A$8</f>
        <v>18-64_males</v>
      </c>
      <c r="C218" t="s">
        <v>53</v>
      </c>
      <c r="D218" s="3"/>
      <c r="E218" s="3">
        <v>0.03</v>
      </c>
      <c r="F218" s="4" t="s">
        <v>37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Definitions'!$A$9</f>
        <v>18-64_females</v>
      </c>
      <c r="C219" t="s">
        <v>53</v>
      </c>
      <c r="D219" s="3"/>
      <c r="E219" s="3">
        <v>0.03</v>
      </c>
      <c r="F219" s="4" t="s">
        <v>37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Definitions'!$A$10</f>
        <v>65+_males</v>
      </c>
      <c r="C220" t="s">
        <v>53</v>
      </c>
      <c r="D220" s="3"/>
      <c r="E220" s="3">
        <v>0.03</v>
      </c>
      <c r="F220" s="4" t="s">
        <v>37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Definitions'!$A$11</f>
        <v>65+_females</v>
      </c>
      <c r="C221" t="s">
        <v>53</v>
      </c>
      <c r="D221" s="3"/>
      <c r="E221" s="3">
        <v>0.03</v>
      </c>
      <c r="F221" s="4" t="s">
        <v>37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Definitions'!$A$12</f>
        <v>Prisoners_males</v>
      </c>
      <c r="C222" t="s">
        <v>53</v>
      </c>
      <c r="D222" s="3"/>
      <c r="E222" s="3">
        <v>0.03</v>
      </c>
      <c r="F222" s="4" t="s">
        <v>37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Definitions'!$A$13</f>
        <v>Prisoners_females</v>
      </c>
      <c r="C223" t="s">
        <v>53</v>
      </c>
      <c r="D223" s="3"/>
      <c r="E223" s="3">
        <v>0.03</v>
      </c>
      <c r="F223" s="4" t="s">
        <v>37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77</v>
      </c>
      <c r="B225" s="1" t="s">
        <v>29</v>
      </c>
      <c r="C225" s="1" t="s">
        <v>30</v>
      </c>
      <c r="D225" s="1" t="s">
        <v>31</v>
      </c>
      <c r="E225" s="1" t="s">
        <v>36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56</v>
      </c>
      <c r="D226" s="3"/>
      <c r="E226" s="3">
        <v>0.5</v>
      </c>
      <c r="F226" s="4" t="s">
        <v>37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56</v>
      </c>
      <c r="D227" s="3"/>
      <c r="E227" s="3">
        <v>0.5</v>
      </c>
      <c r="F227" s="4" t="s">
        <v>37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56</v>
      </c>
      <c r="D228" s="3"/>
      <c r="E228" s="3">
        <v>0.5</v>
      </c>
      <c r="F228" s="4" t="s">
        <v>37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56</v>
      </c>
      <c r="D229" s="3"/>
      <c r="E229" s="3">
        <v>0.5</v>
      </c>
      <c r="F229" s="4" t="s">
        <v>37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56</v>
      </c>
      <c r="D230" s="3"/>
      <c r="E230" s="3">
        <v>0.5</v>
      </c>
      <c r="F230" s="4" t="s">
        <v>37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56</v>
      </c>
      <c r="D231" s="3"/>
      <c r="E231" s="3">
        <v>0.5</v>
      </c>
      <c r="F231" s="4" t="s">
        <v>37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56</v>
      </c>
      <c r="D232" s="3"/>
      <c r="E232" s="3">
        <v>0.5</v>
      </c>
      <c r="F232" s="4" t="s">
        <v>37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56</v>
      </c>
      <c r="D233" s="3"/>
      <c r="E233" s="3">
        <v>0.5</v>
      </c>
      <c r="F233" s="4" t="s">
        <v>37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56</v>
      </c>
      <c r="D234" s="3"/>
      <c r="E234" s="3">
        <v>0.5</v>
      </c>
      <c r="F234" s="4" t="s">
        <v>37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56</v>
      </c>
      <c r="D235" s="3"/>
      <c r="E235" s="3">
        <v>0.5</v>
      </c>
      <c r="F235" s="4" t="s">
        <v>37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56</v>
      </c>
      <c r="D236" s="3"/>
      <c r="E236" s="3">
        <v>0.5</v>
      </c>
      <c r="F236" s="4" t="s">
        <v>37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56</v>
      </c>
      <c r="D237" s="3"/>
      <c r="E237" s="3">
        <v>0.5</v>
      </c>
      <c r="F237" s="4" t="s">
        <v>37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78</v>
      </c>
      <c r="B239" s="1" t="s">
        <v>29</v>
      </c>
      <c r="C239" s="1" t="s">
        <v>30</v>
      </c>
      <c r="D239" s="1" t="s">
        <v>31</v>
      </c>
      <c r="E239" s="1" t="s">
        <v>36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56</v>
      </c>
      <c r="D240" s="3"/>
      <c r="E240" s="3">
        <v>0.5</v>
      </c>
      <c r="F240" s="4" t="s">
        <v>37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56</v>
      </c>
      <c r="D241" s="3"/>
      <c r="E241" s="3">
        <v>0.5</v>
      </c>
      <c r="F241" s="4" t="s">
        <v>37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56</v>
      </c>
      <c r="D242" s="3"/>
      <c r="E242" s="3">
        <v>0.5</v>
      </c>
      <c r="F242" s="4" t="s">
        <v>37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56</v>
      </c>
      <c r="D243" s="3"/>
      <c r="E243" s="3">
        <v>0.5</v>
      </c>
      <c r="F243" s="4" t="s">
        <v>37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56</v>
      </c>
      <c r="D244" s="3"/>
      <c r="E244" s="3">
        <v>0.5</v>
      </c>
      <c r="F244" s="4" t="s">
        <v>37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56</v>
      </c>
      <c r="D245" s="3"/>
      <c r="E245" s="3">
        <v>0.5</v>
      </c>
      <c r="F245" s="4" t="s">
        <v>37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56</v>
      </c>
      <c r="D246" s="3"/>
      <c r="E246" s="3">
        <v>0.5</v>
      </c>
      <c r="F246" s="4" t="s">
        <v>37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56</v>
      </c>
      <c r="D247" s="3"/>
      <c r="E247" s="3">
        <v>0.5</v>
      </c>
      <c r="F247" s="4" t="s">
        <v>37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56</v>
      </c>
      <c r="D248" s="3"/>
      <c r="E248" s="3">
        <v>0.5</v>
      </c>
      <c r="F248" s="4" t="s">
        <v>37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56</v>
      </c>
      <c r="D249" s="3"/>
      <c r="E249" s="3">
        <v>0.5</v>
      </c>
      <c r="F249" s="4" t="s">
        <v>37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56</v>
      </c>
      <c r="D250" s="3"/>
      <c r="E250" s="3">
        <v>0.5</v>
      </c>
      <c r="F250" s="4" t="s">
        <v>37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56</v>
      </c>
      <c r="D251" s="3"/>
      <c r="E251" s="3">
        <v>0.5</v>
      </c>
      <c r="F251" s="4" t="s">
        <v>37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69">
      <formula>COUNTIF(G100:BE100,"&lt;&gt;" &amp; "")&gt;0</formula>
    </cfRule>
    <cfRule type="expression" dxfId="1" priority="170">
      <formula>AND(COUNTIF(G100:BE100,"&lt;&gt;" &amp; "")&gt;0,NOT(ISBLANK(E100)))</formula>
    </cfRule>
  </conditionalFormatting>
  <conditionalFormatting sqref="E101">
    <cfRule type="expression" dxfId="0" priority="171">
      <formula>COUNTIF(G101:BE101,"&lt;&gt;" &amp; "")&gt;0</formula>
    </cfRule>
    <cfRule type="expression" dxfId="1" priority="172">
      <formula>AND(COUNTIF(G101:BE101,"&lt;&gt;" &amp; "")&gt;0,NOT(ISBLANK(E101)))</formula>
    </cfRule>
  </conditionalFormatting>
  <conditionalFormatting sqref="E102">
    <cfRule type="expression" dxfId="0" priority="173">
      <formula>COUNTIF(G102:BE102,"&lt;&gt;" &amp; "")&gt;0</formula>
    </cfRule>
    <cfRule type="expression" dxfId="1" priority="174">
      <formula>AND(COUNTIF(G102:BE102,"&lt;&gt;" &amp; "")&gt;0,NOT(ISBLANK(E102)))</formula>
    </cfRule>
  </conditionalFormatting>
  <conditionalFormatting sqref="E103">
    <cfRule type="expression" dxfId="0" priority="175">
      <formula>COUNTIF(G103:BE103,"&lt;&gt;" &amp; "")&gt;0</formula>
    </cfRule>
    <cfRule type="expression" dxfId="1" priority="176">
      <formula>AND(COUNTIF(G103:BE103,"&lt;&gt;" &amp; "")&gt;0,NOT(ISBLANK(E103)))</formula>
    </cfRule>
  </conditionalFormatting>
  <conditionalFormatting sqref="E104">
    <cfRule type="expression" dxfId="0" priority="177">
      <formula>COUNTIF(G104:BE104,"&lt;&gt;" &amp; "")&gt;0</formula>
    </cfRule>
    <cfRule type="expression" dxfId="1" priority="178">
      <formula>AND(COUNTIF(G104:BE104,"&lt;&gt;" &amp; "")&gt;0,NOT(ISBLANK(E104)))</formula>
    </cfRule>
  </conditionalFormatting>
  <conditionalFormatting sqref="E105">
    <cfRule type="expression" dxfId="0" priority="179">
      <formula>COUNTIF(G105:BE105,"&lt;&gt;" &amp; "")&gt;0</formula>
    </cfRule>
    <cfRule type="expression" dxfId="1" priority="180">
      <formula>AND(COUNTIF(G105:BE105,"&lt;&gt;" &amp; "")&gt;0,NOT(ISBLANK(E105)))</formula>
    </cfRule>
  </conditionalFormatting>
  <conditionalFormatting sqref="E106">
    <cfRule type="expression" dxfId="0" priority="181">
      <formula>COUNTIF(G106:BE106,"&lt;&gt;" &amp; "")&gt;0</formula>
    </cfRule>
    <cfRule type="expression" dxfId="1" priority="182">
      <formula>AND(COUNTIF(G106:BE106,"&lt;&gt;" &amp; "")&gt;0,NOT(ISBLANK(E106)))</formula>
    </cfRule>
  </conditionalFormatting>
  <conditionalFormatting sqref="E107">
    <cfRule type="expression" dxfId="0" priority="183">
      <formula>COUNTIF(G107:BE107,"&lt;&gt;" &amp; "")&gt;0</formula>
    </cfRule>
    <cfRule type="expression" dxfId="1" priority="184">
      <formula>AND(COUNTIF(G107:BE107,"&lt;&gt;" &amp; "")&gt;0,NOT(ISBLANK(E107)))</formula>
    </cfRule>
  </conditionalFormatting>
  <conditionalFormatting sqref="E108">
    <cfRule type="expression" dxfId="0" priority="185">
      <formula>COUNTIF(G108:BE108,"&lt;&gt;" &amp; "")&gt;0</formula>
    </cfRule>
    <cfRule type="expression" dxfId="1" priority="186">
      <formula>AND(COUNTIF(G108:BE108,"&lt;&gt;" &amp; "")&gt;0,NOT(ISBLANK(E108)))</formula>
    </cfRule>
  </conditionalFormatting>
  <conditionalFormatting sqref="E109">
    <cfRule type="expression" dxfId="0" priority="187">
      <formula>COUNTIF(G109:BE109,"&lt;&gt;" &amp; "")&gt;0</formula>
    </cfRule>
    <cfRule type="expression" dxfId="1" priority="188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89">
      <formula>COUNTIF(G110:BE110,"&lt;&gt;" &amp; "")&gt;0</formula>
    </cfRule>
    <cfRule type="expression" dxfId="1" priority="190">
      <formula>AND(COUNTIF(G110:BE110,"&lt;&gt;" &amp; "")&gt;0,NOT(ISBLANK(E110)))</formula>
    </cfRule>
  </conditionalFormatting>
  <conditionalFormatting sqref="E111">
    <cfRule type="expression" dxfId="0" priority="191">
      <formula>COUNTIF(G111:BE111,"&lt;&gt;" &amp; "")&gt;0</formula>
    </cfRule>
    <cfRule type="expression" dxfId="1" priority="192">
      <formula>AND(COUNTIF(G111:BE111,"&lt;&gt;" &amp; "")&gt;0,NOT(ISBLANK(E111)))</formula>
    </cfRule>
  </conditionalFormatting>
  <conditionalFormatting sqref="E114">
    <cfRule type="expression" dxfId="0" priority="193">
      <formula>COUNTIF(G114:BE114,"&lt;&gt;" &amp; "")&gt;0</formula>
    </cfRule>
    <cfRule type="expression" dxfId="1" priority="194">
      <formula>AND(COUNTIF(G114:BE114,"&lt;&gt;" &amp; "")&gt;0,NOT(ISBLANK(E114)))</formula>
    </cfRule>
  </conditionalFormatting>
  <conditionalFormatting sqref="E115">
    <cfRule type="expression" dxfId="0" priority="195">
      <formula>COUNTIF(G115:BE115,"&lt;&gt;" &amp; "")&gt;0</formula>
    </cfRule>
    <cfRule type="expression" dxfId="1" priority="196">
      <formula>AND(COUNTIF(G115:BE115,"&lt;&gt;" &amp; "")&gt;0,NOT(ISBLANK(E115)))</formula>
    </cfRule>
  </conditionalFormatting>
  <conditionalFormatting sqref="E116">
    <cfRule type="expression" dxfId="0" priority="197">
      <formula>COUNTIF(G116:BE116,"&lt;&gt;" &amp; "")&gt;0</formula>
    </cfRule>
    <cfRule type="expression" dxfId="1" priority="198">
      <formula>AND(COUNTIF(G116:BE116,"&lt;&gt;" &amp; "")&gt;0,NOT(ISBLANK(E116)))</formula>
    </cfRule>
  </conditionalFormatting>
  <conditionalFormatting sqref="E117">
    <cfRule type="expression" dxfId="0" priority="199">
      <formula>COUNTIF(G117:BE117,"&lt;&gt;" &amp; "")&gt;0</formula>
    </cfRule>
    <cfRule type="expression" dxfId="1" priority="200">
      <formula>AND(COUNTIF(G117:BE117,"&lt;&gt;" &amp; "")&gt;0,NOT(ISBLANK(E117)))</formula>
    </cfRule>
  </conditionalFormatting>
  <conditionalFormatting sqref="E118">
    <cfRule type="expression" dxfId="0" priority="201">
      <formula>COUNTIF(G118:BE118,"&lt;&gt;" &amp; "")&gt;0</formula>
    </cfRule>
    <cfRule type="expression" dxfId="1" priority="202">
      <formula>AND(COUNTIF(G118:BE118,"&lt;&gt;" &amp; "")&gt;0,NOT(ISBLANK(E118)))</formula>
    </cfRule>
  </conditionalFormatting>
  <conditionalFormatting sqref="E119">
    <cfRule type="expression" dxfId="0" priority="203">
      <formula>COUNTIF(G119:BE119,"&lt;&gt;" &amp; "")&gt;0</formula>
    </cfRule>
    <cfRule type="expression" dxfId="1" priority="204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5">
      <formula>COUNTIF(G120:BE120,"&lt;&gt;" &amp; "")&gt;0</formula>
    </cfRule>
    <cfRule type="expression" dxfId="1" priority="206">
      <formula>AND(COUNTIF(G120:BE120,"&lt;&gt;" &amp; "")&gt;0,NOT(ISBLANK(E120)))</formula>
    </cfRule>
  </conditionalFormatting>
  <conditionalFormatting sqref="E121">
    <cfRule type="expression" dxfId="0" priority="207">
      <formula>COUNTIF(G121:BE121,"&lt;&gt;" &amp; "")&gt;0</formula>
    </cfRule>
    <cfRule type="expression" dxfId="1" priority="208">
      <formula>AND(COUNTIF(G121:BE121,"&lt;&gt;" &amp; "")&gt;0,NOT(ISBLANK(E121)))</formula>
    </cfRule>
  </conditionalFormatting>
  <conditionalFormatting sqref="E122">
    <cfRule type="expression" dxfId="0" priority="209">
      <formula>COUNTIF(G122:BE122,"&lt;&gt;" &amp; "")&gt;0</formula>
    </cfRule>
    <cfRule type="expression" dxfId="1" priority="210">
      <formula>AND(COUNTIF(G122:BE122,"&lt;&gt;" &amp; "")&gt;0,NOT(ISBLANK(E122)))</formula>
    </cfRule>
  </conditionalFormatting>
  <conditionalFormatting sqref="E123">
    <cfRule type="expression" dxfId="0" priority="211">
      <formula>COUNTIF(G123:BE123,"&lt;&gt;" &amp; "")&gt;0</formula>
    </cfRule>
    <cfRule type="expression" dxfId="1" priority="212">
      <formula>AND(COUNTIF(G123:BE123,"&lt;&gt;" &amp; "")&gt;0,NOT(ISBLANK(E123)))</formula>
    </cfRule>
  </conditionalFormatting>
  <conditionalFormatting sqref="E124">
    <cfRule type="expression" dxfId="0" priority="213">
      <formula>COUNTIF(G124:BE124,"&lt;&gt;" &amp; "")&gt;0</formula>
    </cfRule>
    <cfRule type="expression" dxfId="1" priority="214">
      <formula>AND(COUNTIF(G124:BE124,"&lt;&gt;" &amp; "")&gt;0,NOT(ISBLANK(E124)))</formula>
    </cfRule>
  </conditionalFormatting>
  <conditionalFormatting sqref="E125">
    <cfRule type="expression" dxfId="0" priority="215">
      <formula>COUNTIF(G125:BE125,"&lt;&gt;" &amp; "")&gt;0</formula>
    </cfRule>
    <cfRule type="expression" dxfId="1" priority="216">
      <formula>AND(COUNTIF(G125:BE125,"&lt;&gt;" &amp; "")&gt;0,NOT(ISBLANK(E125)))</formula>
    </cfRule>
  </conditionalFormatting>
  <conditionalFormatting sqref="E128">
    <cfRule type="expression" dxfId="0" priority="217">
      <formula>COUNTIF(G128:BE128,"&lt;&gt;" &amp; "")&gt;0</formula>
    </cfRule>
    <cfRule type="expression" dxfId="1" priority="218">
      <formula>AND(COUNTIF(G128:BE128,"&lt;&gt;" &amp; "")&gt;0,NOT(ISBLANK(E128)))</formula>
    </cfRule>
  </conditionalFormatting>
  <conditionalFormatting sqref="E129">
    <cfRule type="expression" dxfId="0" priority="219">
      <formula>COUNTIF(G129:BE129,"&lt;&gt;" &amp; "")&gt;0</formula>
    </cfRule>
    <cfRule type="expression" dxfId="1" priority="220">
      <formula>AND(COUNTIF(G129:BE129,"&lt;&gt;" &amp; "")&gt;0,NOT(ISBLANK(E129)))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1">
      <formula>COUNTIF(G130:BE130,"&lt;&gt;" &amp; "")&gt;0</formula>
    </cfRule>
    <cfRule type="expression" dxfId="1" priority="222">
      <formula>AND(COUNTIF(G130:BE130,"&lt;&gt;" &amp; "")&gt;0,NOT(ISBLANK(E130)))</formula>
    </cfRule>
  </conditionalFormatting>
  <conditionalFormatting sqref="E131">
    <cfRule type="expression" dxfId="0" priority="223">
      <formula>COUNTIF(G131:BE131,"&lt;&gt;" &amp; "")&gt;0</formula>
    </cfRule>
    <cfRule type="expression" dxfId="1" priority="224">
      <formula>AND(COUNTIF(G131:BE131,"&lt;&gt;" &amp; "")&gt;0,NOT(ISBLANK(E131)))</formula>
    </cfRule>
  </conditionalFormatting>
  <conditionalFormatting sqref="E132">
    <cfRule type="expression" dxfId="0" priority="225">
      <formula>COUNTIF(G132:BE132,"&lt;&gt;" &amp; "")&gt;0</formula>
    </cfRule>
    <cfRule type="expression" dxfId="1" priority="226">
      <formula>AND(COUNTIF(G132:BE132,"&lt;&gt;" &amp; "")&gt;0,NOT(ISBLANK(E132)))</formula>
    </cfRule>
  </conditionalFormatting>
  <conditionalFormatting sqref="E133">
    <cfRule type="expression" dxfId="0" priority="227">
      <formula>COUNTIF(G133:BE133,"&lt;&gt;" &amp; "")&gt;0</formula>
    </cfRule>
    <cfRule type="expression" dxfId="1" priority="228">
      <formula>AND(COUNTIF(G133:BE133,"&lt;&gt;" &amp; "")&gt;0,NOT(ISBLANK(E133)))</formula>
    </cfRule>
  </conditionalFormatting>
  <conditionalFormatting sqref="E134">
    <cfRule type="expression" dxfId="0" priority="229">
      <formula>COUNTIF(G134:BE134,"&lt;&gt;" &amp; "")&gt;0</formula>
    </cfRule>
    <cfRule type="expression" dxfId="1" priority="230">
      <formula>AND(COUNTIF(G134:BE134,"&lt;&gt;" &amp; "")&gt;0,NOT(ISBLANK(E134)))</formula>
    </cfRule>
  </conditionalFormatting>
  <conditionalFormatting sqref="E135">
    <cfRule type="expression" dxfId="0" priority="231">
      <formula>COUNTIF(G135:BE135,"&lt;&gt;" &amp; "")&gt;0</formula>
    </cfRule>
    <cfRule type="expression" dxfId="1" priority="232">
      <formula>AND(COUNTIF(G135:BE135,"&lt;&gt;" &amp; "")&gt;0,NOT(ISBLANK(E135)))</formula>
    </cfRule>
  </conditionalFormatting>
  <conditionalFormatting sqref="E136">
    <cfRule type="expression" dxfId="0" priority="233">
      <formula>COUNTIF(G136:BE136,"&lt;&gt;" &amp; "")&gt;0</formula>
    </cfRule>
    <cfRule type="expression" dxfId="1" priority="234">
      <formula>AND(COUNTIF(G136:BE136,"&lt;&gt;" &amp; "")&gt;0,NOT(ISBLANK(E136)))</formula>
    </cfRule>
  </conditionalFormatting>
  <conditionalFormatting sqref="E137">
    <cfRule type="expression" dxfId="0" priority="235">
      <formula>COUNTIF(G137:BE137,"&lt;&gt;" &amp; "")&gt;0</formula>
    </cfRule>
    <cfRule type="expression" dxfId="1" priority="236">
      <formula>AND(COUNTIF(G137:BE137,"&lt;&gt;" &amp; "")&gt;0,NOT(ISBLANK(E137)))</formula>
    </cfRule>
  </conditionalFormatting>
  <conditionalFormatting sqref="E138">
    <cfRule type="expression" dxfId="0" priority="237">
      <formula>COUNTIF(G138:BE138,"&lt;&gt;" &amp; "")&gt;0</formula>
    </cfRule>
    <cfRule type="expression" dxfId="1" priority="238">
      <formula>AND(COUNTIF(G138:BE138,"&lt;&gt;" &amp; "")&gt;0,NOT(ISBLANK(E138)))</formula>
    </cfRule>
  </conditionalFormatting>
  <conditionalFormatting sqref="E139">
    <cfRule type="expression" dxfId="0" priority="239">
      <formula>COUNTIF(G139:BE139,"&lt;&gt;" &amp; "")&gt;0</formula>
    </cfRule>
    <cfRule type="expression" dxfId="1" priority="240">
      <formula>AND(COUNTIF(G139:BE139,"&lt;&gt;" &amp; "")&gt;0,NOT(ISBLANK(E139)))</formula>
    </cfRule>
  </conditionalFormatting>
  <conditionalFormatting sqref="E142">
    <cfRule type="expression" dxfId="0" priority="241">
      <formula>COUNTIF(G142:BE142,"&lt;&gt;" &amp; "")&gt;0</formula>
    </cfRule>
    <cfRule type="expression" dxfId="1" priority="242">
      <formula>AND(COUNTIF(G142:BE142,"&lt;&gt;" &amp; "")&gt;0,NOT(ISBLANK(E142)))</formula>
    </cfRule>
  </conditionalFormatting>
  <conditionalFormatting sqref="E143">
    <cfRule type="expression" dxfId="0" priority="243">
      <formula>COUNTIF(G143:BE143,"&lt;&gt;" &amp; "")&gt;0</formula>
    </cfRule>
    <cfRule type="expression" dxfId="1" priority="244">
      <formula>AND(COUNTIF(G143:BE143,"&lt;&gt;" &amp; "")&gt;0,NOT(ISBLANK(E143)))</formula>
    </cfRule>
  </conditionalFormatting>
  <conditionalFormatting sqref="E144">
    <cfRule type="expression" dxfId="0" priority="245">
      <formula>COUNTIF(G144:BE144,"&lt;&gt;" &amp; "")&gt;0</formula>
    </cfRule>
    <cfRule type="expression" dxfId="1" priority="246">
      <formula>AND(COUNTIF(G144:BE144,"&lt;&gt;" &amp; "")&gt;0,NOT(ISBLANK(E144)))</formula>
    </cfRule>
  </conditionalFormatting>
  <conditionalFormatting sqref="E145">
    <cfRule type="expression" dxfId="0" priority="247">
      <formula>COUNTIF(G145:BE145,"&lt;&gt;" &amp; "")&gt;0</formula>
    </cfRule>
    <cfRule type="expression" dxfId="1" priority="248">
      <formula>AND(COUNTIF(G145:BE145,"&lt;&gt;" &amp; "")&gt;0,NOT(ISBLANK(E145)))</formula>
    </cfRule>
  </conditionalFormatting>
  <conditionalFormatting sqref="E146">
    <cfRule type="expression" dxfId="0" priority="249">
      <formula>COUNTIF(G146:BE146,"&lt;&gt;" &amp; "")&gt;0</formula>
    </cfRule>
    <cfRule type="expression" dxfId="1" priority="250">
      <formula>AND(COUNTIF(G146:BE146,"&lt;&gt;" &amp; "")&gt;0,NOT(ISBLANK(E146)))</formula>
    </cfRule>
  </conditionalFormatting>
  <conditionalFormatting sqref="E147">
    <cfRule type="expression" dxfId="0" priority="251">
      <formula>COUNTIF(G147:BE147,"&lt;&gt;" &amp; "")&gt;0</formula>
    </cfRule>
    <cfRule type="expression" dxfId="1" priority="252">
      <formula>AND(COUNTIF(G147:BE147,"&lt;&gt;" &amp; "")&gt;0,NOT(ISBLANK(E147)))</formula>
    </cfRule>
  </conditionalFormatting>
  <conditionalFormatting sqref="E148">
    <cfRule type="expression" dxfId="0" priority="253">
      <formula>COUNTIF(G148:BE148,"&lt;&gt;" &amp; "")&gt;0</formula>
    </cfRule>
    <cfRule type="expression" dxfId="1" priority="254">
      <formula>AND(COUNTIF(G148:BE148,"&lt;&gt;" &amp; "")&gt;0,NOT(ISBLANK(E148)))</formula>
    </cfRule>
  </conditionalFormatting>
  <conditionalFormatting sqref="E149">
    <cfRule type="expression" dxfId="0" priority="255">
      <formula>COUNTIF(G149:BE149,"&lt;&gt;" &amp; "")&gt;0</formula>
    </cfRule>
    <cfRule type="expression" dxfId="1" priority="256">
      <formula>AND(COUNTIF(G149:BE149,"&lt;&gt;" &amp; "")&gt;0,NOT(ISBLANK(E149)))</formula>
    </cfRule>
  </conditionalFormatting>
  <conditionalFormatting sqref="E150">
    <cfRule type="expression" dxfId="0" priority="257">
      <formula>COUNTIF(G150:BE150,"&lt;&gt;" &amp; "")&gt;0</formula>
    </cfRule>
    <cfRule type="expression" dxfId="1" priority="258">
      <formula>AND(COUNTIF(G150:BE150,"&lt;&gt;" &amp; "")&gt;0,NOT(ISBLANK(E150)))</formula>
    </cfRule>
  </conditionalFormatting>
  <conditionalFormatting sqref="E151">
    <cfRule type="expression" dxfId="0" priority="259">
      <formula>COUNTIF(G151:BE151,"&lt;&gt;" &amp; "")&gt;0</formula>
    </cfRule>
    <cfRule type="expression" dxfId="1" priority="260">
      <formula>AND(COUNTIF(G151:BE151,"&lt;&gt;" &amp; "")&gt;0,NOT(ISBLANK(E151)))</formula>
    </cfRule>
  </conditionalFormatting>
  <conditionalFormatting sqref="E152">
    <cfRule type="expression" dxfId="0" priority="261">
      <formula>COUNTIF(G152:BE152,"&lt;&gt;" &amp; "")&gt;0</formula>
    </cfRule>
    <cfRule type="expression" dxfId="1" priority="262">
      <formula>AND(COUNTIF(G152:BE152,"&lt;&gt;" &amp; "")&gt;0,NOT(ISBLANK(E152)))</formula>
    </cfRule>
  </conditionalFormatting>
  <conditionalFormatting sqref="E153">
    <cfRule type="expression" dxfId="0" priority="263">
      <formula>COUNTIF(G153:BE153,"&lt;&gt;" &amp; "")&gt;0</formula>
    </cfRule>
    <cfRule type="expression" dxfId="1" priority="264">
      <formula>AND(COUNTIF(G153:BE153,"&lt;&gt;" &amp; "")&gt;0,NOT(ISBLANK(E153)))</formula>
    </cfRule>
  </conditionalFormatting>
  <conditionalFormatting sqref="E156">
    <cfRule type="expression" dxfId="0" priority="265">
      <formula>COUNTIF(G156:BE156,"&lt;&gt;" &amp; "")&gt;0</formula>
    </cfRule>
    <cfRule type="expression" dxfId="1" priority="266">
      <formula>AND(COUNTIF(G156:BE156,"&lt;&gt;" &amp; "")&gt;0,NOT(ISBLANK(E156)))</formula>
    </cfRule>
  </conditionalFormatting>
  <conditionalFormatting sqref="E157">
    <cfRule type="expression" dxfId="0" priority="267">
      <formula>COUNTIF(G157:BE157,"&lt;&gt;" &amp; "")&gt;0</formula>
    </cfRule>
    <cfRule type="expression" dxfId="1" priority="268">
      <formula>AND(COUNTIF(G157:BE157,"&lt;&gt;" &amp; "")&gt;0,NOT(ISBLANK(E157)))</formula>
    </cfRule>
  </conditionalFormatting>
  <conditionalFormatting sqref="E158">
    <cfRule type="expression" dxfId="0" priority="269">
      <formula>COUNTIF(G158:BE158,"&lt;&gt;" &amp; "")&gt;0</formula>
    </cfRule>
    <cfRule type="expression" dxfId="1" priority="270">
      <formula>AND(COUNTIF(G158:BE158,"&lt;&gt;" &amp; "")&gt;0,NOT(ISBLANK(E158)))</formula>
    </cfRule>
  </conditionalFormatting>
  <conditionalFormatting sqref="E159">
    <cfRule type="expression" dxfId="0" priority="271">
      <formula>COUNTIF(G159:BE159,"&lt;&gt;" &amp; "")&gt;0</formula>
    </cfRule>
    <cfRule type="expression" dxfId="1" priority="272">
      <formula>AND(COUNTIF(G159:BE159,"&lt;&gt;" &amp; "")&gt;0,NOT(ISBLANK(E159)))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60">
    <cfRule type="expression" dxfId="0" priority="273">
      <formula>COUNTIF(G160:BE160,"&lt;&gt;" &amp; "")&gt;0</formula>
    </cfRule>
    <cfRule type="expression" dxfId="1" priority="274">
      <formula>AND(COUNTIF(G160:BE160,"&lt;&gt;" &amp; "")&gt;0,NOT(ISBLANK(E160)))</formula>
    </cfRule>
  </conditionalFormatting>
  <conditionalFormatting sqref="E161">
    <cfRule type="expression" dxfId="0" priority="275">
      <formula>COUNTIF(G161:BE161,"&lt;&gt;" &amp; "")&gt;0</formula>
    </cfRule>
    <cfRule type="expression" dxfId="1" priority="276">
      <formula>AND(COUNTIF(G161:BE161,"&lt;&gt;" &amp; "")&gt;0,NOT(ISBLANK(E161)))</formula>
    </cfRule>
  </conditionalFormatting>
  <conditionalFormatting sqref="E162">
    <cfRule type="expression" dxfId="0" priority="277">
      <formula>COUNTIF(G162:BE162,"&lt;&gt;" &amp; "")&gt;0</formula>
    </cfRule>
    <cfRule type="expression" dxfId="1" priority="278">
      <formula>AND(COUNTIF(G162:BE162,"&lt;&gt;" &amp; "")&gt;0,NOT(ISBLANK(E162)))</formula>
    </cfRule>
  </conditionalFormatting>
  <conditionalFormatting sqref="E163">
    <cfRule type="expression" dxfId="0" priority="279">
      <formula>COUNTIF(G163:BE163,"&lt;&gt;" &amp; "")&gt;0</formula>
    </cfRule>
    <cfRule type="expression" dxfId="1" priority="280">
      <formula>AND(COUNTIF(G163:BE163,"&lt;&gt;" &amp; "")&gt;0,NOT(ISBLANK(E163)))</formula>
    </cfRule>
  </conditionalFormatting>
  <conditionalFormatting sqref="E164">
    <cfRule type="expression" dxfId="0" priority="281">
      <formula>COUNTIF(G164:BE164,"&lt;&gt;" &amp; "")&gt;0</formula>
    </cfRule>
    <cfRule type="expression" dxfId="1" priority="282">
      <formula>AND(COUNTIF(G164:BE164,"&lt;&gt;" &amp; "")&gt;0,NOT(ISBLANK(E164)))</formula>
    </cfRule>
  </conditionalFormatting>
  <conditionalFormatting sqref="E165">
    <cfRule type="expression" dxfId="0" priority="283">
      <formula>COUNTIF(G165:BE165,"&lt;&gt;" &amp; "")&gt;0</formula>
    </cfRule>
    <cfRule type="expression" dxfId="1" priority="284">
      <formula>AND(COUNTIF(G165:BE165,"&lt;&gt;" &amp; "")&gt;0,NOT(ISBLANK(E165)))</formula>
    </cfRule>
  </conditionalFormatting>
  <conditionalFormatting sqref="E166">
    <cfRule type="expression" dxfId="0" priority="285">
      <formula>COUNTIF(G166:BE166,"&lt;&gt;" &amp; "")&gt;0</formula>
    </cfRule>
    <cfRule type="expression" dxfId="1" priority="286">
      <formula>AND(COUNTIF(G166:BE166,"&lt;&gt;" &amp; "")&gt;0,NOT(ISBLANK(E166)))</formula>
    </cfRule>
  </conditionalFormatting>
  <conditionalFormatting sqref="E167">
    <cfRule type="expression" dxfId="0" priority="287">
      <formula>COUNTIF(G167:BE167,"&lt;&gt;" &amp; "")&gt;0</formula>
    </cfRule>
    <cfRule type="expression" dxfId="1" priority="288">
      <formula>AND(COUNTIF(G167:BE167,"&lt;&gt;" &amp; "")&gt;0,NOT(ISBLANK(E167)))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70">
    <cfRule type="expression" dxfId="0" priority="289">
      <formula>COUNTIF(G170:BE170,"&lt;&gt;" &amp; "")&gt;0</formula>
    </cfRule>
    <cfRule type="expression" dxfId="1" priority="290">
      <formula>AND(COUNTIF(G170:BE170,"&lt;&gt;" &amp; "")&gt;0,NOT(ISBLANK(E170)))</formula>
    </cfRule>
  </conditionalFormatting>
  <conditionalFormatting sqref="E171">
    <cfRule type="expression" dxfId="0" priority="291">
      <formula>COUNTIF(G171:BE171,"&lt;&gt;" &amp; "")&gt;0</formula>
    </cfRule>
    <cfRule type="expression" dxfId="1" priority="292">
      <formula>AND(COUNTIF(G171:BE171,"&lt;&gt;" &amp; "")&gt;0,NOT(ISBLANK(E171)))</formula>
    </cfRule>
  </conditionalFormatting>
  <conditionalFormatting sqref="E172">
    <cfRule type="expression" dxfId="0" priority="293">
      <formula>COUNTIF(G172:BE172,"&lt;&gt;" &amp; "")&gt;0</formula>
    </cfRule>
    <cfRule type="expression" dxfId="1" priority="294">
      <formula>AND(COUNTIF(G172:BE172,"&lt;&gt;" &amp; "")&gt;0,NOT(ISBLANK(E172)))</formula>
    </cfRule>
  </conditionalFormatting>
  <conditionalFormatting sqref="E173">
    <cfRule type="expression" dxfId="0" priority="295">
      <formula>COUNTIF(G173:BE173,"&lt;&gt;" &amp; "")&gt;0</formula>
    </cfRule>
    <cfRule type="expression" dxfId="1" priority="296">
      <formula>AND(COUNTIF(G173:BE173,"&lt;&gt;" &amp; "")&gt;0,NOT(ISBLANK(E173)))</formula>
    </cfRule>
  </conditionalFormatting>
  <conditionalFormatting sqref="E174">
    <cfRule type="expression" dxfId="0" priority="297">
      <formula>COUNTIF(G174:BE174,"&lt;&gt;" &amp; "")&gt;0</formula>
    </cfRule>
    <cfRule type="expression" dxfId="1" priority="298">
      <formula>AND(COUNTIF(G174:BE174,"&lt;&gt;" &amp; "")&gt;0,NOT(ISBLANK(E174)))</formula>
    </cfRule>
  </conditionalFormatting>
  <conditionalFormatting sqref="E175">
    <cfRule type="expression" dxfId="0" priority="299">
      <formula>COUNTIF(G175:BE175,"&lt;&gt;" &amp; "")&gt;0</formula>
    </cfRule>
    <cfRule type="expression" dxfId="1" priority="300">
      <formula>AND(COUNTIF(G175:BE175,"&lt;&gt;" &amp; "")&gt;0,NOT(ISBLANK(E175)))</formula>
    </cfRule>
  </conditionalFormatting>
  <conditionalFormatting sqref="E176">
    <cfRule type="expression" dxfId="0" priority="301">
      <formula>COUNTIF(G176:BE176,"&lt;&gt;" &amp; "")&gt;0</formula>
    </cfRule>
    <cfRule type="expression" dxfId="1" priority="302">
      <formula>AND(COUNTIF(G176:BE176,"&lt;&gt;" &amp; "")&gt;0,NOT(ISBLANK(E176)))</formula>
    </cfRule>
  </conditionalFormatting>
  <conditionalFormatting sqref="E177">
    <cfRule type="expression" dxfId="0" priority="303">
      <formula>COUNTIF(G177:BE177,"&lt;&gt;" &amp; "")&gt;0</formula>
    </cfRule>
    <cfRule type="expression" dxfId="1" priority="304">
      <formula>AND(COUNTIF(G177:BE177,"&lt;&gt;" &amp; "")&gt;0,NOT(ISBLANK(E177)))</formula>
    </cfRule>
  </conditionalFormatting>
  <conditionalFormatting sqref="E178">
    <cfRule type="expression" dxfId="0" priority="305">
      <formula>COUNTIF(G178:BE178,"&lt;&gt;" &amp; "")&gt;0</formula>
    </cfRule>
    <cfRule type="expression" dxfId="1" priority="306">
      <formula>AND(COUNTIF(G178:BE178,"&lt;&gt;" &amp; "")&gt;0,NOT(ISBLANK(E178)))</formula>
    </cfRule>
  </conditionalFormatting>
  <conditionalFormatting sqref="E179">
    <cfRule type="expression" dxfId="0" priority="307">
      <formula>COUNTIF(G179:BE179,"&lt;&gt;" &amp; "")&gt;0</formula>
    </cfRule>
    <cfRule type="expression" dxfId="1" priority="308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09">
      <formula>COUNTIF(G180:BE180,"&lt;&gt;" &amp; "")&gt;0</formula>
    </cfRule>
    <cfRule type="expression" dxfId="1" priority="310">
      <formula>AND(COUNTIF(G180:BE180,"&lt;&gt;" &amp; "")&gt;0,NOT(ISBLANK(E180)))</formula>
    </cfRule>
  </conditionalFormatting>
  <conditionalFormatting sqref="E181">
    <cfRule type="expression" dxfId="0" priority="311">
      <formula>COUNTIF(G181:BE181,"&lt;&gt;" &amp; "")&gt;0</formula>
    </cfRule>
    <cfRule type="expression" dxfId="1" priority="312">
      <formula>AND(COUNTIF(G181:BE181,"&lt;&gt;" &amp; "")&gt;0,NOT(ISBLANK(E181)))</formula>
    </cfRule>
  </conditionalFormatting>
  <conditionalFormatting sqref="E184">
    <cfRule type="expression" dxfId="0" priority="313">
      <formula>COUNTIF(G184:BE184,"&lt;&gt;" &amp; "")&gt;0</formula>
    </cfRule>
    <cfRule type="expression" dxfId="1" priority="314">
      <formula>AND(COUNTIF(G184:BE184,"&lt;&gt;" &amp; "")&gt;0,NOT(ISBLANK(E184)))</formula>
    </cfRule>
  </conditionalFormatting>
  <conditionalFormatting sqref="E185">
    <cfRule type="expression" dxfId="0" priority="315">
      <formula>COUNTIF(G185:BE185,"&lt;&gt;" &amp; "")&gt;0</formula>
    </cfRule>
    <cfRule type="expression" dxfId="1" priority="316">
      <formula>AND(COUNTIF(G185:BE185,"&lt;&gt;" &amp; "")&gt;0,NOT(ISBLANK(E185)))</formula>
    </cfRule>
  </conditionalFormatting>
  <conditionalFormatting sqref="E186">
    <cfRule type="expression" dxfId="0" priority="317">
      <formula>COUNTIF(G186:BE186,"&lt;&gt;" &amp; "")&gt;0</formula>
    </cfRule>
    <cfRule type="expression" dxfId="1" priority="318">
      <formula>AND(COUNTIF(G186:BE186,"&lt;&gt;" &amp; "")&gt;0,NOT(ISBLANK(E186)))</formula>
    </cfRule>
  </conditionalFormatting>
  <conditionalFormatting sqref="E187">
    <cfRule type="expression" dxfId="0" priority="319">
      <formula>COUNTIF(G187:BE187,"&lt;&gt;" &amp; "")&gt;0</formula>
    </cfRule>
    <cfRule type="expression" dxfId="1" priority="320">
      <formula>AND(COUNTIF(G187:BE187,"&lt;&gt;" &amp; "")&gt;0,NOT(ISBLANK(E187)))</formula>
    </cfRule>
  </conditionalFormatting>
  <conditionalFormatting sqref="E188">
    <cfRule type="expression" dxfId="0" priority="321">
      <formula>COUNTIF(G188:BE188,"&lt;&gt;" &amp; "")&gt;0</formula>
    </cfRule>
    <cfRule type="expression" dxfId="1" priority="322">
      <formula>AND(COUNTIF(G188:BE188,"&lt;&gt;" &amp; "")&gt;0,NOT(ISBLANK(E188)))</formula>
    </cfRule>
  </conditionalFormatting>
  <conditionalFormatting sqref="E189">
    <cfRule type="expression" dxfId="0" priority="323">
      <formula>COUNTIF(G189:BE189,"&lt;&gt;" &amp; "")&gt;0</formula>
    </cfRule>
    <cfRule type="expression" dxfId="1" priority="324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25">
      <formula>COUNTIF(G190:BE190,"&lt;&gt;" &amp; "")&gt;0</formula>
    </cfRule>
    <cfRule type="expression" dxfId="1" priority="326">
      <formula>AND(COUNTIF(G190:BE190,"&lt;&gt;" &amp; "")&gt;0,NOT(ISBLANK(E190)))</formula>
    </cfRule>
  </conditionalFormatting>
  <conditionalFormatting sqref="E191">
    <cfRule type="expression" dxfId="0" priority="327">
      <formula>COUNTIF(G191:BE191,"&lt;&gt;" &amp; "")&gt;0</formula>
    </cfRule>
    <cfRule type="expression" dxfId="1" priority="328">
      <formula>AND(COUNTIF(G191:BE191,"&lt;&gt;" &amp; "")&gt;0,NOT(ISBLANK(E191)))</formula>
    </cfRule>
  </conditionalFormatting>
  <conditionalFormatting sqref="E192">
    <cfRule type="expression" dxfId="0" priority="329">
      <formula>COUNTIF(G192:BE192,"&lt;&gt;" &amp; "")&gt;0</formula>
    </cfRule>
    <cfRule type="expression" dxfId="1" priority="330">
      <formula>AND(COUNTIF(G192:BE192,"&lt;&gt;" &amp; "")&gt;0,NOT(ISBLANK(E192)))</formula>
    </cfRule>
  </conditionalFormatting>
  <conditionalFormatting sqref="E193">
    <cfRule type="expression" dxfId="0" priority="331">
      <formula>COUNTIF(G193:BE193,"&lt;&gt;" &amp; "")&gt;0</formula>
    </cfRule>
    <cfRule type="expression" dxfId="1" priority="332">
      <formula>AND(COUNTIF(G193:BE193,"&lt;&gt;" &amp; "")&gt;0,NOT(ISBLANK(E193)))</formula>
    </cfRule>
  </conditionalFormatting>
  <conditionalFormatting sqref="E194">
    <cfRule type="expression" dxfId="0" priority="333">
      <formula>COUNTIF(G194:BE194,"&lt;&gt;" &amp; "")&gt;0</formula>
    </cfRule>
    <cfRule type="expression" dxfId="1" priority="334">
      <formula>AND(COUNTIF(G194:BE194,"&lt;&gt;" &amp; "")&gt;0,NOT(ISBLANK(E194)))</formula>
    </cfRule>
  </conditionalFormatting>
  <conditionalFormatting sqref="E195">
    <cfRule type="expression" dxfId="0" priority="335">
      <formula>COUNTIF(G195:BE195,"&lt;&gt;" &amp; "")&gt;0</formula>
    </cfRule>
    <cfRule type="expression" dxfId="1" priority="336">
      <formula>AND(COUNTIF(G195:BE195,"&lt;&gt;" &amp; "")&gt;0,NOT(ISBLANK(E195)))</formula>
    </cfRule>
  </conditionalFormatting>
  <conditionalFormatting sqref="E198">
    <cfRule type="expression" dxfId="0" priority="337">
      <formula>COUNTIF(G198:BE198,"&lt;&gt;" &amp; "")&gt;0</formula>
    </cfRule>
    <cfRule type="expression" dxfId="1" priority="338">
      <formula>AND(COUNTIF(G198:BE198,"&lt;&gt;" &amp; "")&gt;0,NOT(ISBLANK(E198)))</formula>
    </cfRule>
  </conditionalFormatting>
  <conditionalFormatting sqref="E199">
    <cfRule type="expression" dxfId="0" priority="339">
      <formula>COUNTIF(G199:BE199,"&lt;&gt;" &amp; "")&gt;0</formula>
    </cfRule>
    <cfRule type="expression" dxfId="1" priority="340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1">
      <formula>COUNTIF(G200:BE200,"&lt;&gt;" &amp; "")&gt;0</formula>
    </cfRule>
    <cfRule type="expression" dxfId="1" priority="342">
      <formula>AND(COUNTIF(G200:BE200,"&lt;&gt;" &amp; "")&gt;0,NOT(ISBLANK(E200)))</formula>
    </cfRule>
  </conditionalFormatting>
  <conditionalFormatting sqref="E201">
    <cfRule type="expression" dxfId="0" priority="343">
      <formula>COUNTIF(G201:BE201,"&lt;&gt;" &amp; "")&gt;0</formula>
    </cfRule>
    <cfRule type="expression" dxfId="1" priority="344">
      <formula>AND(COUNTIF(G201:BE201,"&lt;&gt;" &amp; "")&gt;0,NOT(ISBLANK(E201)))</formula>
    </cfRule>
  </conditionalFormatting>
  <conditionalFormatting sqref="E202">
    <cfRule type="expression" dxfId="0" priority="345">
      <formula>COUNTIF(G202:BE202,"&lt;&gt;" &amp; "")&gt;0</formula>
    </cfRule>
    <cfRule type="expression" dxfId="1" priority="346">
      <formula>AND(COUNTIF(G202:BE202,"&lt;&gt;" &amp; "")&gt;0,NOT(ISBLANK(E202)))</formula>
    </cfRule>
  </conditionalFormatting>
  <conditionalFormatting sqref="E203">
    <cfRule type="expression" dxfId="0" priority="347">
      <formula>COUNTIF(G203:BE203,"&lt;&gt;" &amp; "")&gt;0</formula>
    </cfRule>
    <cfRule type="expression" dxfId="1" priority="348">
      <formula>AND(COUNTIF(G203:BE203,"&lt;&gt;" &amp; "")&gt;0,NOT(ISBLANK(E203)))</formula>
    </cfRule>
  </conditionalFormatting>
  <conditionalFormatting sqref="E204">
    <cfRule type="expression" dxfId="0" priority="349">
      <formula>COUNTIF(G204:BE204,"&lt;&gt;" &amp; "")&gt;0</formula>
    </cfRule>
    <cfRule type="expression" dxfId="1" priority="350">
      <formula>AND(COUNTIF(G204:BE204,"&lt;&gt;" &amp; "")&gt;0,NOT(ISBLANK(E204)))</formula>
    </cfRule>
  </conditionalFormatting>
  <conditionalFormatting sqref="E205">
    <cfRule type="expression" dxfId="0" priority="351">
      <formula>COUNTIF(G205:BE205,"&lt;&gt;" &amp; "")&gt;0</formula>
    </cfRule>
    <cfRule type="expression" dxfId="1" priority="352">
      <formula>AND(COUNTIF(G205:BE205,"&lt;&gt;" &amp; "")&gt;0,NOT(ISBLANK(E205)))</formula>
    </cfRule>
  </conditionalFormatting>
  <conditionalFormatting sqref="E206">
    <cfRule type="expression" dxfId="0" priority="353">
      <formula>COUNTIF(G206:BE206,"&lt;&gt;" &amp; "")&gt;0</formula>
    </cfRule>
    <cfRule type="expression" dxfId="1" priority="354">
      <formula>AND(COUNTIF(G206:BE206,"&lt;&gt;" &amp; "")&gt;0,NOT(ISBLANK(E206)))</formula>
    </cfRule>
  </conditionalFormatting>
  <conditionalFormatting sqref="E207">
    <cfRule type="expression" dxfId="0" priority="355">
      <formula>COUNTIF(G207:BE207,"&lt;&gt;" &amp; "")&gt;0</formula>
    </cfRule>
    <cfRule type="expression" dxfId="1" priority="356">
      <formula>AND(COUNTIF(G207:BE207,"&lt;&gt;" &amp; "")&gt;0,NOT(ISBLANK(E207)))</formula>
    </cfRule>
  </conditionalFormatting>
  <conditionalFormatting sqref="E208">
    <cfRule type="expression" dxfId="0" priority="357">
      <formula>COUNTIF(G208:BE208,"&lt;&gt;" &amp; "")&gt;0</formula>
    </cfRule>
    <cfRule type="expression" dxfId="1" priority="358">
      <formula>AND(COUNTIF(G208:BE208,"&lt;&gt;" &amp; "")&gt;0,NOT(ISBLANK(E208)))</formula>
    </cfRule>
  </conditionalFormatting>
  <conditionalFormatting sqref="E209">
    <cfRule type="expression" dxfId="0" priority="359">
      <formula>COUNTIF(G209:BE209,"&lt;&gt;" &amp; "")&gt;0</formula>
    </cfRule>
    <cfRule type="expression" dxfId="1" priority="360">
      <formula>AND(COUNTIF(G209:BE209,"&lt;&gt;" &amp; "")&gt;0,NOT(ISBLANK(E209)))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2">
    <cfRule type="expression" dxfId="0" priority="361">
      <formula>COUNTIF(G212:BE212,"&lt;&gt;" &amp; "")&gt;0</formula>
    </cfRule>
    <cfRule type="expression" dxfId="1" priority="362">
      <formula>AND(COUNTIF(G212:BE212,"&lt;&gt;" &amp; "")&gt;0,NOT(ISBLANK(E212)))</formula>
    </cfRule>
  </conditionalFormatting>
  <conditionalFormatting sqref="E213">
    <cfRule type="expression" dxfId="0" priority="363">
      <formula>COUNTIF(G213:BE213,"&lt;&gt;" &amp; "")&gt;0</formula>
    </cfRule>
    <cfRule type="expression" dxfId="1" priority="364">
      <formula>AND(COUNTIF(G213:BE213,"&lt;&gt;" &amp; "")&gt;0,NOT(ISBLANK(E213)))</formula>
    </cfRule>
  </conditionalFormatting>
  <conditionalFormatting sqref="E214">
    <cfRule type="expression" dxfId="0" priority="365">
      <formula>COUNTIF(G214:BE214,"&lt;&gt;" &amp; "")&gt;0</formula>
    </cfRule>
    <cfRule type="expression" dxfId="1" priority="366">
      <formula>AND(COUNTIF(G214:BE214,"&lt;&gt;" &amp; "")&gt;0,NOT(ISBLANK(E214)))</formula>
    </cfRule>
  </conditionalFormatting>
  <conditionalFormatting sqref="E215">
    <cfRule type="expression" dxfId="0" priority="367">
      <formula>COUNTIF(G215:BE215,"&lt;&gt;" &amp; "")&gt;0</formula>
    </cfRule>
    <cfRule type="expression" dxfId="1" priority="368">
      <formula>AND(COUNTIF(G215:BE215,"&lt;&gt;" &amp; "")&gt;0,NOT(ISBLANK(E215)))</formula>
    </cfRule>
  </conditionalFormatting>
  <conditionalFormatting sqref="E216">
    <cfRule type="expression" dxfId="0" priority="369">
      <formula>COUNTIF(G216:BE216,"&lt;&gt;" &amp; "")&gt;0</formula>
    </cfRule>
    <cfRule type="expression" dxfId="1" priority="370">
      <formula>AND(COUNTIF(G216:BE216,"&lt;&gt;" &amp; "")&gt;0,NOT(ISBLANK(E216)))</formula>
    </cfRule>
  </conditionalFormatting>
  <conditionalFormatting sqref="E217">
    <cfRule type="expression" dxfId="0" priority="371">
      <formula>COUNTIF(G217:BE217,"&lt;&gt;" &amp; "")&gt;0</formula>
    </cfRule>
    <cfRule type="expression" dxfId="1" priority="372">
      <formula>AND(COUNTIF(G217:BE217,"&lt;&gt;" &amp; "")&gt;0,NOT(ISBLANK(E217)))</formula>
    </cfRule>
  </conditionalFormatting>
  <conditionalFormatting sqref="E218">
    <cfRule type="expression" dxfId="0" priority="373">
      <formula>COUNTIF(G218:BE218,"&lt;&gt;" &amp; "")&gt;0</formula>
    </cfRule>
    <cfRule type="expression" dxfId="1" priority="374">
      <formula>AND(COUNTIF(G218:BE218,"&lt;&gt;" &amp; "")&gt;0,NOT(ISBLANK(E218)))</formula>
    </cfRule>
  </conditionalFormatting>
  <conditionalFormatting sqref="E219">
    <cfRule type="expression" dxfId="0" priority="375">
      <formula>COUNTIF(G219:BE219,"&lt;&gt;" &amp; "")&gt;0</formula>
    </cfRule>
    <cfRule type="expression" dxfId="1" priority="376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77">
      <formula>COUNTIF(G220:BE220,"&lt;&gt;" &amp; "")&gt;0</formula>
    </cfRule>
    <cfRule type="expression" dxfId="1" priority="378">
      <formula>AND(COUNTIF(G220:BE220,"&lt;&gt;" &amp; "")&gt;0,NOT(ISBLANK(E220)))</formula>
    </cfRule>
  </conditionalFormatting>
  <conditionalFormatting sqref="E221">
    <cfRule type="expression" dxfId="0" priority="379">
      <formula>COUNTIF(G221:BE221,"&lt;&gt;" &amp; "")&gt;0</formula>
    </cfRule>
    <cfRule type="expression" dxfId="1" priority="380">
      <formula>AND(COUNTIF(G221:BE221,"&lt;&gt;" &amp; "")&gt;0,NOT(ISBLANK(E221)))</formula>
    </cfRule>
  </conditionalFormatting>
  <conditionalFormatting sqref="E222">
    <cfRule type="expression" dxfId="0" priority="381">
      <formula>COUNTIF(G222:BE222,"&lt;&gt;" &amp; "")&gt;0</formula>
    </cfRule>
    <cfRule type="expression" dxfId="1" priority="382">
      <formula>AND(COUNTIF(G222:BE222,"&lt;&gt;" &amp; "")&gt;0,NOT(ISBLANK(E222)))</formula>
    </cfRule>
  </conditionalFormatting>
  <conditionalFormatting sqref="E223">
    <cfRule type="expression" dxfId="0" priority="383">
      <formula>COUNTIF(G223:BE223,"&lt;&gt;" &amp; "")&gt;0</formula>
    </cfRule>
    <cfRule type="expression" dxfId="1" priority="384">
      <formula>AND(COUNTIF(G223:BE223,"&lt;&gt;" &amp; "")&gt;0,NOT(ISBLANK(E223)))</formula>
    </cfRule>
  </conditionalFormatting>
  <conditionalFormatting sqref="E226">
    <cfRule type="expression" dxfId="0" priority="385">
      <formula>COUNTIF(G226:BE226,"&lt;&gt;" &amp; "")&gt;0</formula>
    </cfRule>
    <cfRule type="expression" dxfId="1" priority="386">
      <formula>AND(COUNTIF(G226:BE226,"&lt;&gt;" &amp; "")&gt;0,NOT(ISBLANK(E226)))</formula>
    </cfRule>
  </conditionalFormatting>
  <conditionalFormatting sqref="E227">
    <cfRule type="expression" dxfId="0" priority="387">
      <formula>COUNTIF(G227:BE227,"&lt;&gt;" &amp; "")&gt;0</formula>
    </cfRule>
    <cfRule type="expression" dxfId="1" priority="388">
      <formula>AND(COUNTIF(G227:BE227,"&lt;&gt;" &amp; "")&gt;0,NOT(ISBLANK(E227)))</formula>
    </cfRule>
  </conditionalFormatting>
  <conditionalFormatting sqref="E228">
    <cfRule type="expression" dxfId="0" priority="389">
      <formula>COUNTIF(G228:BE228,"&lt;&gt;" &amp; "")&gt;0</formula>
    </cfRule>
    <cfRule type="expression" dxfId="1" priority="390">
      <formula>AND(COUNTIF(G228:BE228,"&lt;&gt;" &amp; "")&gt;0,NOT(ISBLANK(E228)))</formula>
    </cfRule>
  </conditionalFormatting>
  <conditionalFormatting sqref="E229">
    <cfRule type="expression" dxfId="0" priority="391">
      <formula>COUNTIF(G229:BE229,"&lt;&gt;" &amp; "")&gt;0</formula>
    </cfRule>
    <cfRule type="expression" dxfId="1" priority="392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393">
      <formula>COUNTIF(G230:BE230,"&lt;&gt;" &amp; "")&gt;0</formula>
    </cfRule>
    <cfRule type="expression" dxfId="1" priority="394">
      <formula>AND(COUNTIF(G230:BE230,"&lt;&gt;" &amp; "")&gt;0,NOT(ISBLANK(E230)))</formula>
    </cfRule>
  </conditionalFormatting>
  <conditionalFormatting sqref="E231">
    <cfRule type="expression" dxfId="0" priority="395">
      <formula>COUNTIF(G231:BE231,"&lt;&gt;" &amp; "")&gt;0</formula>
    </cfRule>
    <cfRule type="expression" dxfId="1" priority="396">
      <formula>AND(COUNTIF(G231:BE231,"&lt;&gt;" &amp; "")&gt;0,NOT(ISBLANK(E231)))</formula>
    </cfRule>
  </conditionalFormatting>
  <conditionalFormatting sqref="E232">
    <cfRule type="expression" dxfId="0" priority="397">
      <formula>COUNTIF(G232:BE232,"&lt;&gt;" &amp; "")&gt;0</formula>
    </cfRule>
    <cfRule type="expression" dxfId="1" priority="398">
      <formula>AND(COUNTIF(G232:BE232,"&lt;&gt;" &amp; "")&gt;0,NOT(ISBLANK(E232)))</formula>
    </cfRule>
  </conditionalFormatting>
  <conditionalFormatting sqref="E233">
    <cfRule type="expression" dxfId="0" priority="399">
      <formula>COUNTIF(G233:BE233,"&lt;&gt;" &amp; "")&gt;0</formula>
    </cfRule>
    <cfRule type="expression" dxfId="1" priority="400">
      <formula>AND(COUNTIF(G233:BE233,"&lt;&gt;" &amp; "")&gt;0,NOT(ISBLANK(E233)))</formula>
    </cfRule>
  </conditionalFormatting>
  <conditionalFormatting sqref="E234">
    <cfRule type="expression" dxfId="0" priority="401">
      <formula>COUNTIF(G234:BE234,"&lt;&gt;" &amp; "")&gt;0</formula>
    </cfRule>
    <cfRule type="expression" dxfId="1" priority="402">
      <formula>AND(COUNTIF(G234:BE234,"&lt;&gt;" &amp; "")&gt;0,NOT(ISBLANK(E234)))</formula>
    </cfRule>
  </conditionalFormatting>
  <conditionalFormatting sqref="E235">
    <cfRule type="expression" dxfId="0" priority="403">
      <formula>COUNTIF(G235:BE235,"&lt;&gt;" &amp; "")&gt;0</formula>
    </cfRule>
    <cfRule type="expression" dxfId="1" priority="404">
      <formula>AND(COUNTIF(G235:BE235,"&lt;&gt;" &amp; "")&gt;0,NOT(ISBLANK(E235)))</formula>
    </cfRule>
  </conditionalFormatting>
  <conditionalFormatting sqref="E236">
    <cfRule type="expression" dxfId="0" priority="405">
      <formula>COUNTIF(G236:BE236,"&lt;&gt;" &amp; "")&gt;0</formula>
    </cfRule>
    <cfRule type="expression" dxfId="1" priority="406">
      <formula>AND(COUNTIF(G236:BE236,"&lt;&gt;" &amp; "")&gt;0,NOT(ISBLANK(E236)))</formula>
    </cfRule>
  </conditionalFormatting>
  <conditionalFormatting sqref="E237">
    <cfRule type="expression" dxfId="0" priority="407">
      <formula>COUNTIF(G237:BE237,"&lt;&gt;" &amp; "")&gt;0</formula>
    </cfRule>
    <cfRule type="expression" dxfId="1" priority="408">
      <formula>AND(COUNTIF(G237:BE237,"&lt;&gt;" &amp; "")&gt;0,NOT(ISBLANK(E237)))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0">
    <cfRule type="expression" dxfId="0" priority="409">
      <formula>COUNTIF(G240:BE240,"&lt;&gt;" &amp; "")&gt;0</formula>
    </cfRule>
    <cfRule type="expression" dxfId="1" priority="410">
      <formula>AND(COUNTIF(G240:BE240,"&lt;&gt;" &amp; "")&gt;0,NOT(ISBLANK(E240)))</formula>
    </cfRule>
  </conditionalFormatting>
  <conditionalFormatting sqref="E241">
    <cfRule type="expression" dxfId="0" priority="411">
      <formula>COUNTIF(G241:BE241,"&lt;&gt;" &amp; "")&gt;0</formula>
    </cfRule>
    <cfRule type="expression" dxfId="1" priority="412">
      <formula>AND(COUNTIF(G241:BE241,"&lt;&gt;" &amp; "")&gt;0,NOT(ISBLANK(E241)))</formula>
    </cfRule>
  </conditionalFormatting>
  <conditionalFormatting sqref="E242">
    <cfRule type="expression" dxfId="0" priority="413">
      <formula>COUNTIF(G242:BE242,"&lt;&gt;" &amp; "")&gt;0</formula>
    </cfRule>
    <cfRule type="expression" dxfId="1" priority="414">
      <formula>AND(COUNTIF(G242:BE242,"&lt;&gt;" &amp; "")&gt;0,NOT(ISBLANK(E242)))</formula>
    </cfRule>
  </conditionalFormatting>
  <conditionalFormatting sqref="E243">
    <cfRule type="expression" dxfId="0" priority="415">
      <formula>COUNTIF(G243:BE243,"&lt;&gt;" &amp; "")&gt;0</formula>
    </cfRule>
    <cfRule type="expression" dxfId="1" priority="416">
      <formula>AND(COUNTIF(G243:BE243,"&lt;&gt;" &amp; "")&gt;0,NOT(ISBLANK(E243)))</formula>
    </cfRule>
  </conditionalFormatting>
  <conditionalFormatting sqref="E244">
    <cfRule type="expression" dxfId="0" priority="417">
      <formula>COUNTIF(G244:BE244,"&lt;&gt;" &amp; "")&gt;0</formula>
    </cfRule>
    <cfRule type="expression" dxfId="1" priority="418">
      <formula>AND(COUNTIF(G244:BE244,"&lt;&gt;" &amp; "")&gt;0,NOT(ISBLANK(E244)))</formula>
    </cfRule>
  </conditionalFormatting>
  <conditionalFormatting sqref="E245">
    <cfRule type="expression" dxfId="0" priority="419">
      <formula>COUNTIF(G245:BE245,"&lt;&gt;" &amp; "")&gt;0</formula>
    </cfRule>
    <cfRule type="expression" dxfId="1" priority="420">
      <formula>AND(COUNTIF(G245:BE245,"&lt;&gt;" &amp; "")&gt;0,NOT(ISBLANK(E245)))</formula>
    </cfRule>
  </conditionalFormatting>
  <conditionalFormatting sqref="E246">
    <cfRule type="expression" dxfId="0" priority="421">
      <formula>COUNTIF(G246:BE246,"&lt;&gt;" &amp; "")&gt;0</formula>
    </cfRule>
    <cfRule type="expression" dxfId="1" priority="422">
      <formula>AND(COUNTIF(G246:BE246,"&lt;&gt;" &amp; "")&gt;0,NOT(ISBLANK(E246)))</formula>
    </cfRule>
  </conditionalFormatting>
  <conditionalFormatting sqref="E247">
    <cfRule type="expression" dxfId="0" priority="423">
      <formula>COUNTIF(G247:BE247,"&lt;&gt;" &amp; "")&gt;0</formula>
    </cfRule>
    <cfRule type="expression" dxfId="1" priority="424">
      <formula>AND(COUNTIF(G247:BE247,"&lt;&gt;" &amp; "")&gt;0,NOT(ISBLANK(E247)))</formula>
    </cfRule>
  </conditionalFormatting>
  <conditionalFormatting sqref="E248">
    <cfRule type="expression" dxfId="0" priority="425">
      <formula>COUNTIF(G248:BE248,"&lt;&gt;" &amp; "")&gt;0</formula>
    </cfRule>
    <cfRule type="expression" dxfId="1" priority="426">
      <formula>AND(COUNTIF(G248:BE248,"&lt;&gt;" &amp; "")&gt;0,NOT(ISBLANK(E248)))</formula>
    </cfRule>
  </conditionalFormatting>
  <conditionalFormatting sqref="E249">
    <cfRule type="expression" dxfId="0" priority="427">
      <formula>COUNTIF(G249:BE249,"&lt;&gt;" &amp; "")&gt;0</formula>
    </cfRule>
    <cfRule type="expression" dxfId="1" priority="428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29">
      <formula>COUNTIF(G250:BE250,"&lt;&gt;" &amp; "")&gt;0</formula>
    </cfRule>
    <cfRule type="expression" dxfId="1" priority="430">
      <formula>AND(COUNTIF(G250:BE250,"&lt;&gt;" &amp; "")&gt;0,NOT(ISBLANK(E250)))</formula>
    </cfRule>
  </conditionalFormatting>
  <conditionalFormatting sqref="E251">
    <cfRule type="expression" dxfId="0" priority="431">
      <formula>COUNTIF(G251:BE251,"&lt;&gt;" &amp; "")&gt;0</formula>
    </cfRule>
    <cfRule type="expression" dxfId="1" priority="432">
      <formula>AND(COUNTIF(G251:BE251,"&lt;&gt;" &amp; "")&gt;0,NOT(ISBLANK(E251)))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8">
    <cfRule type="expression" dxfId="0" priority="97">
      <formula>COUNTIF(G58:BE58,"&lt;&gt;" &amp; "")&gt;0</formula>
    </cfRule>
    <cfRule type="expression" dxfId="1" priority="98">
      <formula>AND(COUNTIF(G58:BE58,"&lt;&gt;" &amp; "")&gt;0,NOT(ISBLANK(E58)))</formula>
    </cfRule>
  </conditionalFormatting>
  <conditionalFormatting sqref="E59">
    <cfRule type="expression" dxfId="0" priority="99">
      <formula>COUNTIF(G59:BE59,"&lt;&gt;" &amp; "")&gt;0</formula>
    </cfRule>
    <cfRule type="expression" dxfId="1" priority="100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1">
      <formula>COUNTIF(G60:BE60,"&lt;&gt;" &amp; "")&gt;0</formula>
    </cfRule>
    <cfRule type="expression" dxfId="1" priority="102">
      <formula>AND(COUNTIF(G60:BE60,"&lt;&gt;" &amp; "")&gt;0,NOT(ISBLANK(E60)))</formula>
    </cfRule>
  </conditionalFormatting>
  <conditionalFormatting sqref="E61">
    <cfRule type="expression" dxfId="0" priority="103">
      <formula>COUNTIF(G61:BE61,"&lt;&gt;" &amp; "")&gt;0</formula>
    </cfRule>
    <cfRule type="expression" dxfId="1" priority="104">
      <formula>AND(COUNTIF(G61:BE61,"&lt;&gt;" &amp; "")&gt;0,NOT(ISBLANK(E61)))</formula>
    </cfRule>
  </conditionalFormatting>
  <conditionalFormatting sqref="E62">
    <cfRule type="expression" dxfId="0" priority="105">
      <formula>COUNTIF(G62:BE62,"&lt;&gt;" &amp; "")&gt;0</formula>
    </cfRule>
    <cfRule type="expression" dxfId="1" priority="106">
      <formula>AND(COUNTIF(G62:BE62,"&lt;&gt;" &amp; "")&gt;0,NOT(ISBLANK(E62)))</formula>
    </cfRule>
  </conditionalFormatting>
  <conditionalFormatting sqref="E63">
    <cfRule type="expression" dxfId="0" priority="107">
      <formula>COUNTIF(G63:BE63,"&lt;&gt;" &amp; "")&gt;0</formula>
    </cfRule>
    <cfRule type="expression" dxfId="1" priority="108">
      <formula>AND(COUNTIF(G63:BE63,"&lt;&gt;" &amp; "")&gt;0,NOT(ISBLANK(E63)))</formula>
    </cfRule>
  </conditionalFormatting>
  <conditionalFormatting sqref="E64">
    <cfRule type="expression" dxfId="0" priority="109">
      <formula>COUNTIF(G64:BE64,"&lt;&gt;" &amp; "")&gt;0</formula>
    </cfRule>
    <cfRule type="expression" dxfId="1" priority="110">
      <formula>AND(COUNTIF(G64:BE64,"&lt;&gt;" &amp; "")&gt;0,NOT(ISBLANK(E64)))</formula>
    </cfRule>
  </conditionalFormatting>
  <conditionalFormatting sqref="E65">
    <cfRule type="expression" dxfId="0" priority="111">
      <formula>COUNTIF(G65:BE65,"&lt;&gt;" &amp; "")&gt;0</formula>
    </cfRule>
    <cfRule type="expression" dxfId="1" priority="112">
      <formula>AND(COUNTIF(G65:BE65,"&lt;&gt;" &amp; "")&gt;0,NOT(ISBLANK(E65)))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2">
    <cfRule type="expression" dxfId="0" priority="121">
      <formula>COUNTIF(G72:BE72,"&lt;&gt;" &amp; "")&gt;0</formula>
    </cfRule>
    <cfRule type="expression" dxfId="1" priority="122">
      <formula>AND(COUNTIF(G72:BE72,"&lt;&gt;" &amp; "")&gt;0,NOT(ISBLANK(E72)))</formula>
    </cfRule>
  </conditionalFormatting>
  <conditionalFormatting sqref="E73">
    <cfRule type="expression" dxfId="0" priority="123">
      <formula>COUNTIF(G73:BE73,"&lt;&gt;" &amp; "")&gt;0</formula>
    </cfRule>
    <cfRule type="expression" dxfId="1" priority="124">
      <formula>AND(COUNTIF(G73:BE73,"&lt;&gt;" &amp; "")&gt;0,NOT(ISBLANK(E73)))</formula>
    </cfRule>
  </conditionalFormatting>
  <conditionalFormatting sqref="E74">
    <cfRule type="expression" dxfId="0" priority="125">
      <formula>COUNTIF(G74:BE74,"&lt;&gt;" &amp; "")&gt;0</formula>
    </cfRule>
    <cfRule type="expression" dxfId="1" priority="126">
      <formula>AND(COUNTIF(G74:BE74,"&lt;&gt;" &amp; "")&gt;0,NOT(ISBLANK(E74)))</formula>
    </cfRule>
  </conditionalFormatting>
  <conditionalFormatting sqref="E75">
    <cfRule type="expression" dxfId="0" priority="127">
      <formula>COUNTIF(G75:BE75,"&lt;&gt;" &amp; "")&gt;0</formula>
    </cfRule>
    <cfRule type="expression" dxfId="1" priority="128">
      <formula>AND(COUNTIF(G75:BE75,"&lt;&gt;" &amp; "")&gt;0,NOT(ISBLANK(E75)))</formula>
    </cfRule>
  </conditionalFormatting>
  <conditionalFormatting sqref="E76">
    <cfRule type="expression" dxfId="0" priority="129">
      <formula>COUNTIF(G76:BE76,"&lt;&gt;" &amp; "")&gt;0</formula>
    </cfRule>
    <cfRule type="expression" dxfId="1" priority="130">
      <formula>AND(COUNTIF(G76:BE76,"&lt;&gt;" &amp; "")&gt;0,NOT(ISBLANK(E76)))</formula>
    </cfRule>
  </conditionalFormatting>
  <conditionalFormatting sqref="E77">
    <cfRule type="expression" dxfId="0" priority="131">
      <formula>COUNTIF(G77:BE77,"&lt;&gt;" &amp; "")&gt;0</formula>
    </cfRule>
    <cfRule type="expression" dxfId="1" priority="132">
      <formula>AND(COUNTIF(G77:BE77,"&lt;&gt;" &amp; "")&gt;0,NOT(ISBLANK(E77)))</formula>
    </cfRule>
  </conditionalFormatting>
  <conditionalFormatting sqref="E78">
    <cfRule type="expression" dxfId="0" priority="133">
      <formula>COUNTIF(G78:BE78,"&lt;&gt;" &amp; "")&gt;0</formula>
    </cfRule>
    <cfRule type="expression" dxfId="1" priority="134">
      <formula>AND(COUNTIF(G78:BE78,"&lt;&gt;" &amp; "")&gt;0,NOT(ISBLANK(E78)))</formula>
    </cfRule>
  </conditionalFormatting>
  <conditionalFormatting sqref="E79">
    <cfRule type="expression" dxfId="0" priority="135">
      <formula>COUNTIF(G79:BE79,"&lt;&gt;" &amp; "")&gt;0</formula>
    </cfRule>
    <cfRule type="expression" dxfId="1" priority="136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0">
    <cfRule type="expression" dxfId="0" priority="137">
      <formula>COUNTIF(G80:BE80,"&lt;&gt;" &amp; "")&gt;0</formula>
    </cfRule>
    <cfRule type="expression" dxfId="1" priority="138">
      <formula>AND(COUNTIF(G80:BE80,"&lt;&gt;" &amp; "")&gt;0,NOT(ISBLANK(E80)))</formula>
    </cfRule>
  </conditionalFormatting>
  <conditionalFormatting sqref="E81">
    <cfRule type="expression" dxfId="0" priority="139">
      <formula>COUNTIF(G81:BE81,"&lt;&gt;" &amp; "")&gt;0</formula>
    </cfRule>
    <cfRule type="expression" dxfId="1" priority="140">
      <formula>AND(COUNTIF(G81:BE81,"&lt;&gt;" &amp; "")&gt;0,NOT(ISBLANK(E81)))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6">
    <cfRule type="expression" dxfId="0" priority="145">
      <formula>COUNTIF(G86:BE86,"&lt;&gt;" &amp; "")&gt;0</formula>
    </cfRule>
    <cfRule type="expression" dxfId="1" priority="146">
      <formula>AND(COUNTIF(G86:BE86,"&lt;&gt;" &amp; "")&gt;0,NOT(ISBLANK(E86)))</formula>
    </cfRule>
  </conditionalFormatting>
  <conditionalFormatting sqref="E87">
    <cfRule type="expression" dxfId="0" priority="147">
      <formula>COUNTIF(G87:BE87,"&lt;&gt;" &amp; "")&gt;0</formula>
    </cfRule>
    <cfRule type="expression" dxfId="1" priority="148">
      <formula>AND(COUNTIF(G87:BE87,"&lt;&gt;" &amp; "")&gt;0,NOT(ISBLANK(E87)))</formula>
    </cfRule>
  </conditionalFormatting>
  <conditionalFormatting sqref="E88">
    <cfRule type="expression" dxfId="0" priority="149">
      <formula>COUNTIF(G88:BE88,"&lt;&gt;" &amp; "")&gt;0</formula>
    </cfRule>
    <cfRule type="expression" dxfId="1" priority="150">
      <formula>AND(COUNTIF(G88:BE88,"&lt;&gt;" &amp; "")&gt;0,NOT(ISBLANK(E88)))</formula>
    </cfRule>
  </conditionalFormatting>
  <conditionalFormatting sqref="E89">
    <cfRule type="expression" dxfId="0" priority="151">
      <formula>COUNTIF(G89:BE89,"&lt;&gt;" &amp; "")&gt;0</formula>
    </cfRule>
    <cfRule type="expression" dxfId="1" priority="152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3">
      <formula>COUNTIF(G90:BE90,"&lt;&gt;" &amp; "")&gt;0</formula>
    </cfRule>
    <cfRule type="expression" dxfId="1" priority="154">
      <formula>AND(COUNTIF(G90:BE90,"&lt;&gt;" &amp; "")&gt;0,NOT(ISBLANK(E90)))</formula>
    </cfRule>
  </conditionalFormatting>
  <conditionalFormatting sqref="E91">
    <cfRule type="expression" dxfId="0" priority="155">
      <formula>COUNTIF(G91:BE91,"&lt;&gt;" &amp; "")&gt;0</formula>
    </cfRule>
    <cfRule type="expression" dxfId="1" priority="156">
      <formula>AND(COUNTIF(G91:BE91,"&lt;&gt;" &amp; "")&gt;0,NOT(ISBLANK(E91)))</formula>
    </cfRule>
  </conditionalFormatting>
  <conditionalFormatting sqref="E92">
    <cfRule type="expression" dxfId="0" priority="157">
      <formula>COUNTIF(G92:BE92,"&lt;&gt;" &amp; "")&gt;0</formula>
    </cfRule>
    <cfRule type="expression" dxfId="1" priority="158">
      <formula>AND(COUNTIF(G92:BE92,"&lt;&gt;" &amp; "")&gt;0,NOT(ISBLANK(E92)))</formula>
    </cfRule>
  </conditionalFormatting>
  <conditionalFormatting sqref="E93">
    <cfRule type="expression" dxfId="0" priority="159">
      <formula>COUNTIF(G93:BE93,"&lt;&gt;" &amp; "")&gt;0</formula>
    </cfRule>
    <cfRule type="expression" dxfId="1" priority="160">
      <formula>AND(COUNTIF(G93:BE93,"&lt;&gt;" &amp; "")&gt;0,NOT(ISBLANK(E93)))</formula>
    </cfRule>
  </conditionalFormatting>
  <conditionalFormatting sqref="E94">
    <cfRule type="expression" dxfId="0" priority="161">
      <formula>COUNTIF(G94:BE94,"&lt;&gt;" &amp; "")&gt;0</formula>
    </cfRule>
    <cfRule type="expression" dxfId="1" priority="162">
      <formula>AND(COUNTIF(G94:BE94,"&lt;&gt;" &amp; "")&gt;0,NOT(ISBLANK(E94)))</formula>
    </cfRule>
  </conditionalFormatting>
  <conditionalFormatting sqref="E95">
    <cfRule type="expression" dxfId="0" priority="163">
      <formula>COUNTIF(G95:BE95,"&lt;&gt;" &amp; "")&gt;0</formula>
    </cfRule>
    <cfRule type="expression" dxfId="1" priority="164">
      <formula>AND(COUNTIF(G95:BE95,"&lt;&gt;" &amp; "")&gt;0,NOT(ISBLANK(E95)))</formula>
    </cfRule>
  </conditionalFormatting>
  <conditionalFormatting sqref="E96">
    <cfRule type="expression" dxfId="0" priority="165">
      <formula>COUNTIF(G96:BE96,"&lt;&gt;" &amp; "")&gt;0</formula>
    </cfRule>
    <cfRule type="expression" dxfId="1" priority="166">
      <formula>AND(COUNTIF(G96:BE96,"&lt;&gt;" &amp; "")&gt;0,NOT(ISBLANK(E96)))</formula>
    </cfRule>
  </conditionalFormatting>
  <conditionalFormatting sqref="E97">
    <cfRule type="expression" dxfId="0" priority="167">
      <formula>COUNTIF(G97:BE97,"&lt;&gt;" &amp; "")&gt;0</formula>
    </cfRule>
    <cfRule type="expression" dxfId="1" priority="168">
      <formula>AND(COUNTIF(G97:BE97,"&lt;&gt;" &amp; "")&gt;0,NOT(ISBLANK(E97)))</formula>
    </cfRule>
  </conditionalFormatting>
  <dataValidations count="216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6">
      <formula1>"Duration (years)"</formula1>
    </dataValidation>
    <dataValidation type="list" allowBlank="1" showInputMessage="1" showErrorMessage="1" sqref="C17">
      <formula1>"Duration (years)"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2">
      <formula1>"Rate (per year)"</formula1>
    </dataValidation>
    <dataValidation type="list" allowBlank="1" showInputMessage="1" showErrorMessage="1" sqref="C33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48">
      <formula1>"Rate (per year)"</formula1>
    </dataValidation>
    <dataValidation type="list" allowBlank="1" showInputMessage="1" showErrorMessage="1" sqref="C49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4">
      <formula1>"Rate (per year)"</formula1>
    </dataValidation>
    <dataValidation type="list" allowBlank="1" showInputMessage="1" showErrorMessage="1" sqref="C65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0">
      <formula1>"Rate (per year)"</formula1>
    </dataValidation>
    <dataValidation type="list" allowBlank="1" showInputMessage="1" showErrorMessage="1" sqref="C81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6">
      <formula1>"Rate (per year)"</formula1>
    </dataValidation>
    <dataValidation type="list" allowBlank="1" showInputMessage="1" showErrorMessage="1" sqref="C97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8">
      <formula1>"Rate (per year)"</formula1>
    </dataValidation>
    <dataValidation type="list" allowBlank="1" showInputMessage="1" showErrorMessage="1" sqref="C129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4">
      <formula1>"Rate (per year)"</formula1>
    </dataValidation>
    <dataValidation type="list" allowBlank="1" showInputMessage="1" showErrorMessage="1" sqref="C145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0">
      <formula1>"Rate (per year)"</formula1>
    </dataValidation>
    <dataValidation type="list" allowBlank="1" showInputMessage="1" showErrorMessage="1" sqref="C161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6">
      <formula1>"Rate (per year)"</formula1>
    </dataValidation>
    <dataValidation type="list" allowBlank="1" showInputMessage="1" showErrorMessage="1" sqref="C177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2">
      <formula1>"Rate (per year)"</formula1>
    </dataValidation>
    <dataValidation type="list" allowBlank="1" showInputMessage="1" showErrorMessage="1" sqref="C193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08">
      <formula1>"Rate (per year)"</formula1>
    </dataValidation>
    <dataValidation type="list" allowBlank="1" showInputMessage="1" showErrorMessage="1" sqref="C209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4">
      <formula1>"N.A."</formula1>
    </dataValidation>
    <dataValidation type="list" allowBlank="1" showInputMessage="1" showErrorMessage="1" sqref="C235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55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79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53</v>
      </c>
      <c r="D2" s="3">
        <v>0.02576530612244899</v>
      </c>
      <c r="E2" s="3"/>
      <c r="F2" s="4" t="s">
        <v>37</v>
      </c>
      <c r="G2" s="3">
        <v>0.13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53</v>
      </c>
      <c r="D3" s="3">
        <v>0.02576530612244899</v>
      </c>
      <c r="E3" s="3"/>
      <c r="F3" s="4" t="s">
        <v>37</v>
      </c>
      <c r="G3" s="3">
        <v>0.13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53</v>
      </c>
      <c r="D4" s="3"/>
      <c r="E4" s="3">
        <v>0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53</v>
      </c>
      <c r="D5" s="3"/>
      <c r="E5" s="3">
        <v>0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53</v>
      </c>
      <c r="D6" s="3"/>
      <c r="E6" s="3">
        <v>0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53</v>
      </c>
      <c r="D7" s="3"/>
      <c r="E7" s="3">
        <v>0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53</v>
      </c>
      <c r="D8" s="3"/>
      <c r="E8" s="3">
        <v>0.05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53</v>
      </c>
      <c r="D9" s="3"/>
      <c r="E9" s="3">
        <v>0.05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53</v>
      </c>
      <c r="D10" s="3"/>
      <c r="E10" s="3">
        <v>0.05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53</v>
      </c>
      <c r="D11" s="3"/>
      <c r="E11" s="3">
        <v>0.05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53</v>
      </c>
      <c r="D12" s="3"/>
      <c r="E12" s="3">
        <v>0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53</v>
      </c>
      <c r="D13" s="3"/>
      <c r="E13" s="3">
        <v>0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80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C16" t="s">
        <v>53</v>
      </c>
      <c r="D16" s="3">
        <v>0.02576530612244899</v>
      </c>
      <c r="E16" s="3"/>
      <c r="F16" s="4" t="s">
        <v>37</v>
      </c>
      <c r="G16" s="3">
        <v>0.13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>
        <v>0.26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C17" t="s">
        <v>53</v>
      </c>
      <c r="D17" s="3">
        <v>0.02576530612244899</v>
      </c>
      <c r="E17" s="3"/>
      <c r="F17" s="4" t="s">
        <v>37</v>
      </c>
      <c r="G17" s="3">
        <v>0.13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>
        <v>0.26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C18" t="s">
        <v>53</v>
      </c>
      <c r="D18" s="3"/>
      <c r="E18" s="3">
        <v>0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C19" t="s">
        <v>53</v>
      </c>
      <c r="D19" s="3"/>
      <c r="E19" s="3">
        <v>0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C20" t="s">
        <v>53</v>
      </c>
      <c r="D20" s="3"/>
      <c r="E20" s="3">
        <v>0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C21" t="s">
        <v>53</v>
      </c>
      <c r="D21" s="3"/>
      <c r="E21" s="3">
        <v>0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C22" t="s">
        <v>53</v>
      </c>
      <c r="D22" s="3"/>
      <c r="E22" s="3">
        <v>0.05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C23" t="s">
        <v>53</v>
      </c>
      <c r="D23" s="3"/>
      <c r="E23" s="3">
        <v>0.05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C24" t="s">
        <v>53</v>
      </c>
      <c r="D24" s="3"/>
      <c r="E24" s="3">
        <v>0.05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C25" t="s">
        <v>53</v>
      </c>
      <c r="D25" s="3"/>
      <c r="E25" s="3">
        <v>0.05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C26" t="s">
        <v>53</v>
      </c>
      <c r="D26" s="3"/>
      <c r="E26" s="3">
        <v>0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C27" t="s">
        <v>53</v>
      </c>
      <c r="D27" s="3"/>
      <c r="E27" s="3">
        <v>0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81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C30" t="s">
        <v>53</v>
      </c>
      <c r="D30" s="3"/>
      <c r="E30" s="3">
        <v>0.8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C31" t="s">
        <v>53</v>
      </c>
      <c r="D31" s="3"/>
      <c r="E31" s="3">
        <v>0.8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C32" t="s">
        <v>53</v>
      </c>
      <c r="D32" s="3"/>
      <c r="E32" s="3">
        <v>0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C33" t="s">
        <v>53</v>
      </c>
      <c r="D33" s="3"/>
      <c r="E33" s="3">
        <v>0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C34" t="s">
        <v>53</v>
      </c>
      <c r="D34" s="3"/>
      <c r="E34" s="3">
        <v>0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C35" t="s">
        <v>53</v>
      </c>
      <c r="D35" s="3"/>
      <c r="E35" s="3">
        <v>0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C36" t="s">
        <v>53</v>
      </c>
      <c r="D36" s="3"/>
      <c r="E36" s="3">
        <v>0.3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C37" t="s">
        <v>53</v>
      </c>
      <c r="D37" s="3"/>
      <c r="E37" s="3">
        <v>0.3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C38" t="s">
        <v>53</v>
      </c>
      <c r="D38" s="3"/>
      <c r="E38" s="3">
        <v>0.3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C39" t="s">
        <v>53</v>
      </c>
      <c r="D39" s="3"/>
      <c r="E39" s="3">
        <v>0.3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C40" t="s">
        <v>53</v>
      </c>
      <c r="D40" s="3"/>
      <c r="E40" s="3">
        <v>0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C41" t="s">
        <v>53</v>
      </c>
      <c r="D41" s="3"/>
      <c r="E41" s="3">
        <v>0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82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C44" t="s">
        <v>53</v>
      </c>
      <c r="D44" s="3"/>
      <c r="E44" s="3">
        <v>0.8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C45" t="s">
        <v>53</v>
      </c>
      <c r="D45" s="3"/>
      <c r="E45" s="3">
        <v>0.8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C46" t="s">
        <v>53</v>
      </c>
      <c r="D46" s="3"/>
      <c r="E46" s="3">
        <v>0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C47" t="s">
        <v>53</v>
      </c>
      <c r="D47" s="3"/>
      <c r="E47" s="3">
        <v>0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C48" t="s">
        <v>53</v>
      </c>
      <c r="D48" s="3"/>
      <c r="E48" s="3">
        <v>0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C49" t="s">
        <v>53</v>
      </c>
      <c r="D49" s="3"/>
      <c r="E49" s="3">
        <v>0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C50" t="s">
        <v>53</v>
      </c>
      <c r="D50" s="3"/>
      <c r="E50" s="3">
        <v>0.3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C51" t="s">
        <v>53</v>
      </c>
      <c r="D51" s="3"/>
      <c r="E51" s="3">
        <v>0.3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C52" t="s">
        <v>53</v>
      </c>
      <c r="D52" s="3"/>
      <c r="E52" s="3">
        <v>0.3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C53" t="s">
        <v>53</v>
      </c>
      <c r="D53" s="3"/>
      <c r="E53" s="3">
        <v>0.3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C54" t="s">
        <v>53</v>
      </c>
      <c r="D54" s="3"/>
      <c r="E54" s="3">
        <v>0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C55" t="s">
        <v>53</v>
      </c>
      <c r="D55" s="3"/>
      <c r="E55" s="3">
        <v>0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48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6">
      <formula1>"Rate (per year)"</formula1>
    </dataValidation>
    <dataValidation type="list" allowBlank="1" showInputMessage="1" showErrorMessage="1" sqref="C17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2">
      <formula1>"Rate (per year)"</formula1>
    </dataValidation>
    <dataValidation type="list" allowBlank="1" showInputMessage="1" showErrorMessage="1" sqref="C33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48">
      <formula1>"Rate (per year)"</formula1>
    </dataValidation>
    <dataValidation type="list" allowBlank="1" showInputMessage="1" showErrorMessage="1" sqref="C49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83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83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61</v>
      </c>
      <c r="C2" t="s">
        <v>48</v>
      </c>
      <c r="D2" s="3"/>
      <c r="E2" s="3">
        <v>0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61</v>
      </c>
      <c r="C3" t="s">
        <v>48</v>
      </c>
      <c r="D3" s="3"/>
      <c r="E3" s="3">
        <v>0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61</v>
      </c>
      <c r="C4" t="s">
        <v>48</v>
      </c>
      <c r="D4" s="3"/>
      <c r="E4" s="3">
        <v>0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61</v>
      </c>
      <c r="C5" t="s">
        <v>48</v>
      </c>
      <c r="D5" s="3"/>
      <c r="E5" s="3">
        <v>0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61</v>
      </c>
      <c r="C6" t="s">
        <v>48</v>
      </c>
      <c r="D6" s="3"/>
      <c r="E6" s="3">
        <v>0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61</v>
      </c>
      <c r="C7" t="s">
        <v>48</v>
      </c>
      <c r="D7" s="3"/>
      <c r="E7" s="3">
        <v>0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61</v>
      </c>
      <c r="C8" t="s">
        <v>48</v>
      </c>
      <c r="D8" s="3"/>
      <c r="E8" s="3">
        <v>0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61</v>
      </c>
      <c r="C9" t="s">
        <v>48</v>
      </c>
      <c r="D9" s="3"/>
      <c r="E9" s="3">
        <v>0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61</v>
      </c>
      <c r="C10" t="s">
        <v>48</v>
      </c>
      <c r="D10" s="3"/>
      <c r="E10" s="3">
        <v>0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61</v>
      </c>
      <c r="C11" t="s">
        <v>48</v>
      </c>
      <c r="D11" s="3"/>
      <c r="E11" s="3">
        <v>0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61</v>
      </c>
      <c r="C12" t="s">
        <v>48</v>
      </c>
      <c r="D12" s="3"/>
      <c r="E12" s="3">
        <v>0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61</v>
      </c>
      <c r="C13" t="s">
        <v>48</v>
      </c>
      <c r="D13" s="3"/>
      <c r="E13" s="3">
        <v>0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84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B16" t="s">
        <v>61</v>
      </c>
      <c r="C16" t="s">
        <v>48</v>
      </c>
      <c r="D16" s="3"/>
      <c r="E16" s="3">
        <v>0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B17" t="s">
        <v>61</v>
      </c>
      <c r="C17" t="s">
        <v>48</v>
      </c>
      <c r="D17" s="3"/>
      <c r="E17" s="3">
        <v>0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B18" t="s">
        <v>61</v>
      </c>
      <c r="C18" t="s">
        <v>48</v>
      </c>
      <c r="D18" s="3"/>
      <c r="E18" s="3">
        <v>0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B19" t="s">
        <v>61</v>
      </c>
      <c r="C19" t="s">
        <v>48</v>
      </c>
      <c r="D19" s="3"/>
      <c r="E19" s="3">
        <v>0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B20" t="s">
        <v>61</v>
      </c>
      <c r="C20" t="s">
        <v>48</v>
      </c>
      <c r="D20" s="3"/>
      <c r="E20" s="3">
        <v>0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B21" t="s">
        <v>61</v>
      </c>
      <c r="C21" t="s">
        <v>48</v>
      </c>
      <c r="D21" s="3"/>
      <c r="E21" s="3">
        <v>0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B22" t="s">
        <v>61</v>
      </c>
      <c r="C22" t="s">
        <v>48</v>
      </c>
      <c r="D22" s="3"/>
      <c r="E22" s="3">
        <v>0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B23" t="s">
        <v>61</v>
      </c>
      <c r="C23" t="s">
        <v>48</v>
      </c>
      <c r="D23" s="3"/>
      <c r="E23" s="3">
        <v>0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B24" t="s">
        <v>61</v>
      </c>
      <c r="C24" t="s">
        <v>48</v>
      </c>
      <c r="D24" s="3"/>
      <c r="E24" s="3">
        <v>0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B25" t="s">
        <v>61</v>
      </c>
      <c r="C25" t="s">
        <v>48</v>
      </c>
      <c r="D25" s="3"/>
      <c r="E25" s="3">
        <v>0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B26" t="s">
        <v>61</v>
      </c>
      <c r="C26" t="s">
        <v>48</v>
      </c>
      <c r="D26" s="3"/>
      <c r="E26" s="3">
        <v>0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B27" t="s">
        <v>61</v>
      </c>
      <c r="C27" t="s">
        <v>48</v>
      </c>
      <c r="D27" s="3"/>
      <c r="E27" s="3">
        <v>0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85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B30" t="s">
        <v>61</v>
      </c>
      <c r="C30" t="s">
        <v>48</v>
      </c>
      <c r="D30" s="3"/>
      <c r="E30" s="3">
        <v>0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B31" t="s">
        <v>61</v>
      </c>
      <c r="C31" t="s">
        <v>48</v>
      </c>
      <c r="D31" s="3"/>
      <c r="E31" s="3">
        <v>0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B32" t="s">
        <v>61</v>
      </c>
      <c r="C32" t="s">
        <v>48</v>
      </c>
      <c r="D32" s="3"/>
      <c r="E32" s="3">
        <v>0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B33" t="s">
        <v>61</v>
      </c>
      <c r="C33" t="s">
        <v>48</v>
      </c>
      <c r="D33" s="3"/>
      <c r="E33" s="3">
        <v>0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B34" t="s">
        <v>61</v>
      </c>
      <c r="C34" t="s">
        <v>48</v>
      </c>
      <c r="D34" s="3"/>
      <c r="E34" s="3">
        <v>0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B35" t="s">
        <v>61</v>
      </c>
      <c r="C35" t="s">
        <v>48</v>
      </c>
      <c r="D35" s="3"/>
      <c r="E35" s="3">
        <v>0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B36" t="s">
        <v>61</v>
      </c>
      <c r="C36" t="s">
        <v>48</v>
      </c>
      <c r="D36" s="3"/>
      <c r="E36" s="3">
        <v>0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B37" t="s">
        <v>61</v>
      </c>
      <c r="C37" t="s">
        <v>48</v>
      </c>
      <c r="D37" s="3"/>
      <c r="E37" s="3">
        <v>0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B38" t="s">
        <v>61</v>
      </c>
      <c r="C38" t="s">
        <v>48</v>
      </c>
      <c r="D38" s="3"/>
      <c r="E38" s="3">
        <v>0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B39" t="s">
        <v>61</v>
      </c>
      <c r="C39" t="s">
        <v>48</v>
      </c>
      <c r="D39" s="3"/>
      <c r="E39" s="3">
        <v>0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B40" t="s">
        <v>61</v>
      </c>
      <c r="C40" t="s">
        <v>48</v>
      </c>
      <c r="D40" s="3"/>
      <c r="E40" s="3">
        <v>0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B41" t="s">
        <v>61</v>
      </c>
      <c r="C41" t="s">
        <v>48</v>
      </c>
      <c r="D41" s="3"/>
      <c r="E41" s="3">
        <v>0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86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B44" t="s">
        <v>61</v>
      </c>
      <c r="C44" t="s">
        <v>48</v>
      </c>
      <c r="D44" s="3"/>
      <c r="E44" s="3">
        <v>0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B45" t="s">
        <v>61</v>
      </c>
      <c r="C45" t="s">
        <v>48</v>
      </c>
      <c r="D45" s="3"/>
      <c r="E45" s="3">
        <v>0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B46" t="s">
        <v>61</v>
      </c>
      <c r="C46" t="s">
        <v>48</v>
      </c>
      <c r="D46" s="3"/>
      <c r="E46" s="3">
        <v>0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B47" t="s">
        <v>61</v>
      </c>
      <c r="C47" t="s">
        <v>48</v>
      </c>
      <c r="D47" s="3"/>
      <c r="E47" s="3">
        <v>0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B48" t="s">
        <v>61</v>
      </c>
      <c r="C48" t="s">
        <v>48</v>
      </c>
      <c r="D48" s="3"/>
      <c r="E48" s="3">
        <v>0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B49" t="s">
        <v>61</v>
      </c>
      <c r="C49" t="s">
        <v>48</v>
      </c>
      <c r="D49" s="3"/>
      <c r="E49" s="3">
        <v>0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B50" t="s">
        <v>61</v>
      </c>
      <c r="C50" t="s">
        <v>48</v>
      </c>
      <c r="D50" s="3"/>
      <c r="E50" s="3">
        <v>0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B51" t="s">
        <v>61</v>
      </c>
      <c r="C51" t="s">
        <v>48</v>
      </c>
      <c r="D51" s="3"/>
      <c r="E51" s="3">
        <v>0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B52" t="s">
        <v>61</v>
      </c>
      <c r="C52" t="s">
        <v>48</v>
      </c>
      <c r="D52" s="3"/>
      <c r="E52" s="3">
        <v>0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B53" t="s">
        <v>61</v>
      </c>
      <c r="C53" t="s">
        <v>48</v>
      </c>
      <c r="D53" s="3"/>
      <c r="E53" s="3">
        <v>0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B54" t="s">
        <v>61</v>
      </c>
      <c r="C54" t="s">
        <v>48</v>
      </c>
      <c r="D54" s="3"/>
      <c r="E54" s="3">
        <v>0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B55" t="s">
        <v>61</v>
      </c>
      <c r="C55" t="s">
        <v>48</v>
      </c>
      <c r="D55" s="3"/>
      <c r="E55" s="3">
        <v>0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87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B58" t="s">
        <v>61</v>
      </c>
      <c r="C58" t="s">
        <v>48</v>
      </c>
      <c r="D58" s="3"/>
      <c r="E58" s="3">
        <v>0</v>
      </c>
      <c r="F58" s="4" t="s">
        <v>37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B59" t="s">
        <v>61</v>
      </c>
      <c r="C59" t="s">
        <v>48</v>
      </c>
      <c r="D59" s="3"/>
      <c r="E59" s="3">
        <v>0</v>
      </c>
      <c r="F59" s="4" t="s">
        <v>37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B60" t="s">
        <v>61</v>
      </c>
      <c r="C60" t="s">
        <v>48</v>
      </c>
      <c r="D60" s="3"/>
      <c r="E60" s="3">
        <v>0</v>
      </c>
      <c r="F60" s="4" t="s">
        <v>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B61" t="s">
        <v>61</v>
      </c>
      <c r="C61" t="s">
        <v>48</v>
      </c>
      <c r="D61" s="3"/>
      <c r="E61" s="3">
        <v>0</v>
      </c>
      <c r="F61" s="4" t="s">
        <v>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B62" t="s">
        <v>61</v>
      </c>
      <c r="C62" t="s">
        <v>48</v>
      </c>
      <c r="D62" s="3"/>
      <c r="E62" s="3">
        <v>0</v>
      </c>
      <c r="F62" s="4" t="s">
        <v>37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B63" t="s">
        <v>61</v>
      </c>
      <c r="C63" t="s">
        <v>48</v>
      </c>
      <c r="D63" s="3"/>
      <c r="E63" s="3">
        <v>0</v>
      </c>
      <c r="F63" s="4" t="s">
        <v>37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B64" t="s">
        <v>61</v>
      </c>
      <c r="C64" t="s">
        <v>48</v>
      </c>
      <c r="D64" s="3"/>
      <c r="E64" s="3">
        <v>0</v>
      </c>
      <c r="F64" s="4" t="s">
        <v>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B65" t="s">
        <v>61</v>
      </c>
      <c r="C65" t="s">
        <v>48</v>
      </c>
      <c r="D65" s="3"/>
      <c r="E65" s="3">
        <v>0</v>
      </c>
      <c r="F65" s="4" t="s">
        <v>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B66" t="s">
        <v>61</v>
      </c>
      <c r="C66" t="s">
        <v>48</v>
      </c>
      <c r="D66" s="3"/>
      <c r="E66" s="3">
        <v>0</v>
      </c>
      <c r="F66" s="4" t="s">
        <v>37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B67" t="s">
        <v>61</v>
      </c>
      <c r="C67" t="s">
        <v>48</v>
      </c>
      <c r="D67" s="3"/>
      <c r="E67" s="3">
        <v>0</v>
      </c>
      <c r="F67" s="4" t="s">
        <v>37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B68" t="s">
        <v>61</v>
      </c>
      <c r="C68" t="s">
        <v>48</v>
      </c>
      <c r="D68" s="3"/>
      <c r="E68" s="3">
        <v>0</v>
      </c>
      <c r="F68" s="4" t="s">
        <v>37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B69" t="s">
        <v>61</v>
      </c>
      <c r="C69" t="s">
        <v>48</v>
      </c>
      <c r="D69" s="3"/>
      <c r="E69" s="3">
        <v>0</v>
      </c>
      <c r="F69" s="4" t="s">
        <v>37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88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B72" t="s">
        <v>61</v>
      </c>
      <c r="C72" t="s">
        <v>48</v>
      </c>
      <c r="D72" s="3"/>
      <c r="E72" s="3">
        <v>0</v>
      </c>
      <c r="F72" s="4" t="s">
        <v>37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B73" t="s">
        <v>61</v>
      </c>
      <c r="C73" t="s">
        <v>48</v>
      </c>
      <c r="D73" s="3"/>
      <c r="E73" s="3">
        <v>0</v>
      </c>
      <c r="F73" s="4" t="s">
        <v>37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B74" t="s">
        <v>61</v>
      </c>
      <c r="C74" t="s">
        <v>48</v>
      </c>
      <c r="D74" s="3"/>
      <c r="E74" s="3">
        <v>0</v>
      </c>
      <c r="F74" s="4" t="s">
        <v>37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B75" t="s">
        <v>61</v>
      </c>
      <c r="C75" t="s">
        <v>48</v>
      </c>
      <c r="D75" s="3"/>
      <c r="E75" s="3">
        <v>0</v>
      </c>
      <c r="F75" s="4" t="s">
        <v>37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B76" t="s">
        <v>61</v>
      </c>
      <c r="C76" t="s">
        <v>48</v>
      </c>
      <c r="D76" s="3"/>
      <c r="E76" s="3">
        <v>0</v>
      </c>
      <c r="F76" s="4" t="s">
        <v>37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B77" t="s">
        <v>61</v>
      </c>
      <c r="C77" t="s">
        <v>48</v>
      </c>
      <c r="D77" s="3"/>
      <c r="E77" s="3">
        <v>0</v>
      </c>
      <c r="F77" s="4" t="s">
        <v>37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B78" t="s">
        <v>61</v>
      </c>
      <c r="C78" t="s">
        <v>48</v>
      </c>
      <c r="D78" s="3"/>
      <c r="E78" s="3">
        <v>0</v>
      </c>
      <c r="F78" s="4" t="s">
        <v>37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B79" t="s">
        <v>61</v>
      </c>
      <c r="C79" t="s">
        <v>48</v>
      </c>
      <c r="D79" s="3"/>
      <c r="E79" s="3">
        <v>0</v>
      </c>
      <c r="F79" s="4" t="s">
        <v>37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B80" t="s">
        <v>61</v>
      </c>
      <c r="C80" t="s">
        <v>48</v>
      </c>
      <c r="D80" s="3"/>
      <c r="E80" s="3">
        <v>0</v>
      </c>
      <c r="F80" s="4" t="s">
        <v>37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B81" t="s">
        <v>61</v>
      </c>
      <c r="C81" t="s">
        <v>48</v>
      </c>
      <c r="D81" s="3"/>
      <c r="E81" s="3">
        <v>0</v>
      </c>
      <c r="F81" s="4" t="s">
        <v>37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B82" t="s">
        <v>61</v>
      </c>
      <c r="C82" t="s">
        <v>48</v>
      </c>
      <c r="D82" s="3"/>
      <c r="E82" s="3">
        <v>0</v>
      </c>
      <c r="F82" s="4" t="s">
        <v>37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B83" t="s">
        <v>61</v>
      </c>
      <c r="C83" t="s">
        <v>48</v>
      </c>
      <c r="D83" s="3"/>
      <c r="E83" s="3">
        <v>0</v>
      </c>
      <c r="F83" s="4" t="s">
        <v>37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8">
    <cfRule type="expression" dxfId="0" priority="97">
      <formula>COUNTIF(G58:BE58,"&lt;&gt;" &amp; "")&gt;0</formula>
    </cfRule>
    <cfRule type="expression" dxfId="1" priority="98">
      <formula>AND(COUNTIF(G58:BE58,"&lt;&gt;" &amp; "")&gt;0,NOT(ISBLANK(E58)))</formula>
    </cfRule>
  </conditionalFormatting>
  <conditionalFormatting sqref="E59">
    <cfRule type="expression" dxfId="0" priority="99">
      <formula>COUNTIF(G59:BE59,"&lt;&gt;" &amp; "")&gt;0</formula>
    </cfRule>
    <cfRule type="expression" dxfId="1" priority="100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1">
      <formula>COUNTIF(G60:BE60,"&lt;&gt;" &amp; "")&gt;0</formula>
    </cfRule>
    <cfRule type="expression" dxfId="1" priority="102">
      <formula>AND(COUNTIF(G60:BE60,"&lt;&gt;" &amp; "")&gt;0,NOT(ISBLANK(E60)))</formula>
    </cfRule>
  </conditionalFormatting>
  <conditionalFormatting sqref="E61">
    <cfRule type="expression" dxfId="0" priority="103">
      <formula>COUNTIF(G61:BE61,"&lt;&gt;" &amp; "")&gt;0</formula>
    </cfRule>
    <cfRule type="expression" dxfId="1" priority="104">
      <formula>AND(COUNTIF(G61:BE61,"&lt;&gt;" &amp; "")&gt;0,NOT(ISBLANK(E61)))</formula>
    </cfRule>
  </conditionalFormatting>
  <conditionalFormatting sqref="E62">
    <cfRule type="expression" dxfId="0" priority="105">
      <formula>COUNTIF(G62:BE62,"&lt;&gt;" &amp; "")&gt;0</formula>
    </cfRule>
    <cfRule type="expression" dxfId="1" priority="106">
      <formula>AND(COUNTIF(G62:BE62,"&lt;&gt;" &amp; "")&gt;0,NOT(ISBLANK(E62)))</formula>
    </cfRule>
  </conditionalFormatting>
  <conditionalFormatting sqref="E63">
    <cfRule type="expression" dxfId="0" priority="107">
      <formula>COUNTIF(G63:BE63,"&lt;&gt;" &amp; "")&gt;0</formula>
    </cfRule>
    <cfRule type="expression" dxfId="1" priority="108">
      <formula>AND(COUNTIF(G63:BE63,"&lt;&gt;" &amp; "")&gt;0,NOT(ISBLANK(E63)))</formula>
    </cfRule>
  </conditionalFormatting>
  <conditionalFormatting sqref="E64">
    <cfRule type="expression" dxfId="0" priority="109">
      <formula>COUNTIF(G64:BE64,"&lt;&gt;" &amp; "")&gt;0</formula>
    </cfRule>
    <cfRule type="expression" dxfId="1" priority="110">
      <formula>AND(COUNTIF(G64:BE64,"&lt;&gt;" &amp; "")&gt;0,NOT(ISBLANK(E64)))</formula>
    </cfRule>
  </conditionalFormatting>
  <conditionalFormatting sqref="E65">
    <cfRule type="expression" dxfId="0" priority="111">
      <formula>COUNTIF(G65:BE65,"&lt;&gt;" &amp; "")&gt;0</formula>
    </cfRule>
    <cfRule type="expression" dxfId="1" priority="112">
      <formula>AND(COUNTIF(G65:BE65,"&lt;&gt;" &amp; "")&gt;0,NOT(ISBLANK(E65)))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2">
    <cfRule type="expression" dxfId="0" priority="121">
      <formula>COUNTIF(G72:BE72,"&lt;&gt;" &amp; "")&gt;0</formula>
    </cfRule>
    <cfRule type="expression" dxfId="1" priority="122">
      <formula>AND(COUNTIF(G72:BE72,"&lt;&gt;" &amp; "")&gt;0,NOT(ISBLANK(E72)))</formula>
    </cfRule>
  </conditionalFormatting>
  <conditionalFormatting sqref="E73">
    <cfRule type="expression" dxfId="0" priority="123">
      <formula>COUNTIF(G73:BE73,"&lt;&gt;" &amp; "")&gt;0</formula>
    </cfRule>
    <cfRule type="expression" dxfId="1" priority="124">
      <formula>AND(COUNTIF(G73:BE73,"&lt;&gt;" &amp; "")&gt;0,NOT(ISBLANK(E73)))</formula>
    </cfRule>
  </conditionalFormatting>
  <conditionalFormatting sqref="E74">
    <cfRule type="expression" dxfId="0" priority="125">
      <formula>COUNTIF(G74:BE74,"&lt;&gt;" &amp; "")&gt;0</formula>
    </cfRule>
    <cfRule type="expression" dxfId="1" priority="126">
      <formula>AND(COUNTIF(G74:BE74,"&lt;&gt;" &amp; "")&gt;0,NOT(ISBLANK(E74)))</formula>
    </cfRule>
  </conditionalFormatting>
  <conditionalFormatting sqref="E75">
    <cfRule type="expression" dxfId="0" priority="127">
      <formula>COUNTIF(G75:BE75,"&lt;&gt;" &amp; "")&gt;0</formula>
    </cfRule>
    <cfRule type="expression" dxfId="1" priority="128">
      <formula>AND(COUNTIF(G75:BE75,"&lt;&gt;" &amp; "")&gt;0,NOT(ISBLANK(E75)))</formula>
    </cfRule>
  </conditionalFormatting>
  <conditionalFormatting sqref="E76">
    <cfRule type="expression" dxfId="0" priority="129">
      <formula>COUNTIF(G76:BE76,"&lt;&gt;" &amp; "")&gt;0</formula>
    </cfRule>
    <cfRule type="expression" dxfId="1" priority="130">
      <formula>AND(COUNTIF(G76:BE76,"&lt;&gt;" &amp; "")&gt;0,NOT(ISBLANK(E76)))</formula>
    </cfRule>
  </conditionalFormatting>
  <conditionalFormatting sqref="E77">
    <cfRule type="expression" dxfId="0" priority="131">
      <formula>COUNTIF(G77:BE77,"&lt;&gt;" &amp; "")&gt;0</formula>
    </cfRule>
    <cfRule type="expression" dxfId="1" priority="132">
      <formula>AND(COUNTIF(G77:BE77,"&lt;&gt;" &amp; "")&gt;0,NOT(ISBLANK(E77)))</formula>
    </cfRule>
  </conditionalFormatting>
  <conditionalFormatting sqref="E78">
    <cfRule type="expression" dxfId="0" priority="133">
      <formula>COUNTIF(G78:BE78,"&lt;&gt;" &amp; "")&gt;0</formula>
    </cfRule>
    <cfRule type="expression" dxfId="1" priority="134">
      <formula>AND(COUNTIF(G78:BE78,"&lt;&gt;" &amp; "")&gt;0,NOT(ISBLANK(E78)))</formula>
    </cfRule>
  </conditionalFormatting>
  <conditionalFormatting sqref="E79">
    <cfRule type="expression" dxfId="0" priority="135">
      <formula>COUNTIF(G79:BE79,"&lt;&gt;" &amp; "")&gt;0</formula>
    </cfRule>
    <cfRule type="expression" dxfId="1" priority="136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0">
    <cfRule type="expression" dxfId="0" priority="137">
      <formula>COUNTIF(G80:BE80,"&lt;&gt;" &amp; "")&gt;0</formula>
    </cfRule>
    <cfRule type="expression" dxfId="1" priority="138">
      <formula>AND(COUNTIF(G80:BE80,"&lt;&gt;" &amp; "")&gt;0,NOT(ISBLANK(E80)))</formula>
    </cfRule>
  </conditionalFormatting>
  <conditionalFormatting sqref="E81">
    <cfRule type="expression" dxfId="0" priority="139">
      <formula>COUNTIF(G81:BE81,"&lt;&gt;" &amp; "")&gt;0</formula>
    </cfRule>
    <cfRule type="expression" dxfId="1" priority="140">
      <formula>AND(COUNTIF(G81:BE81,"&lt;&gt;" &amp; "")&gt;0,NOT(ISBLANK(E81)))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7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6">
      <formula1>"Proportion"</formula1>
    </dataValidation>
    <dataValidation type="list" allowBlank="1" showInputMessage="1" showErrorMessage="1" sqref="C17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89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61</v>
      </c>
      <c r="C2" t="s">
        <v>53</v>
      </c>
      <c r="D2" s="3"/>
      <c r="E2" s="3">
        <v>0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61</v>
      </c>
      <c r="C3" t="s">
        <v>53</v>
      </c>
      <c r="D3" s="3"/>
      <c r="E3" s="3">
        <v>0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61</v>
      </c>
      <c r="C4" t="s">
        <v>53</v>
      </c>
      <c r="D4" s="3"/>
      <c r="E4" s="3">
        <v>0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61</v>
      </c>
      <c r="C5" t="s">
        <v>53</v>
      </c>
      <c r="D5" s="3"/>
      <c r="E5" s="3">
        <v>0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61</v>
      </c>
      <c r="C6" t="s">
        <v>53</v>
      </c>
      <c r="D6" s="3"/>
      <c r="E6" s="3">
        <v>0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61</v>
      </c>
      <c r="C7" t="s">
        <v>53</v>
      </c>
      <c r="D7" s="3"/>
      <c r="E7" s="3">
        <v>0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61</v>
      </c>
      <c r="C8" t="s">
        <v>53</v>
      </c>
      <c r="D8" s="3"/>
      <c r="E8" s="3">
        <v>0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61</v>
      </c>
      <c r="C9" t="s">
        <v>53</v>
      </c>
      <c r="D9" s="3"/>
      <c r="E9" s="3">
        <v>0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61</v>
      </c>
      <c r="C10" t="s">
        <v>53</v>
      </c>
      <c r="D10" s="3"/>
      <c r="E10" s="3">
        <v>0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61</v>
      </c>
      <c r="C11" t="s">
        <v>53</v>
      </c>
      <c r="D11" s="3"/>
      <c r="E11" s="3">
        <v>0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61</v>
      </c>
      <c r="C12" t="s">
        <v>53</v>
      </c>
      <c r="D12" s="3"/>
      <c r="E12" s="3">
        <v>0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61</v>
      </c>
      <c r="C13" t="s">
        <v>53</v>
      </c>
      <c r="D13" s="3"/>
      <c r="E13" s="3">
        <v>0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90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B16" t="s">
        <v>61</v>
      </c>
      <c r="C16" t="s">
        <v>53</v>
      </c>
      <c r="D16" s="3"/>
      <c r="E16" s="3">
        <v>0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B17" t="s">
        <v>61</v>
      </c>
      <c r="C17" t="s">
        <v>53</v>
      </c>
      <c r="D17" s="3"/>
      <c r="E17" s="3">
        <v>0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B18" t="s">
        <v>61</v>
      </c>
      <c r="C18" t="s">
        <v>53</v>
      </c>
      <c r="D18" s="3"/>
      <c r="E18" s="3">
        <v>0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B19" t="s">
        <v>61</v>
      </c>
      <c r="C19" t="s">
        <v>53</v>
      </c>
      <c r="D19" s="3"/>
      <c r="E19" s="3">
        <v>0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B20" t="s">
        <v>61</v>
      </c>
      <c r="C20" t="s">
        <v>53</v>
      </c>
      <c r="D20" s="3"/>
      <c r="E20" s="3">
        <v>0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B21" t="s">
        <v>61</v>
      </c>
      <c r="C21" t="s">
        <v>53</v>
      </c>
      <c r="D21" s="3"/>
      <c r="E21" s="3">
        <v>0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B22" t="s">
        <v>61</v>
      </c>
      <c r="C22" t="s">
        <v>53</v>
      </c>
      <c r="D22" s="3"/>
      <c r="E22" s="3">
        <v>0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B23" t="s">
        <v>61</v>
      </c>
      <c r="C23" t="s">
        <v>53</v>
      </c>
      <c r="D23" s="3"/>
      <c r="E23" s="3">
        <v>0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B24" t="s">
        <v>61</v>
      </c>
      <c r="C24" t="s">
        <v>53</v>
      </c>
      <c r="D24" s="3"/>
      <c r="E24" s="3">
        <v>0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B25" t="s">
        <v>61</v>
      </c>
      <c r="C25" t="s">
        <v>53</v>
      </c>
      <c r="D25" s="3"/>
      <c r="E25" s="3">
        <v>0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B26" t="s">
        <v>61</v>
      </c>
      <c r="C26" t="s">
        <v>53</v>
      </c>
      <c r="D26" s="3"/>
      <c r="E26" s="3">
        <v>0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B27" t="s">
        <v>61</v>
      </c>
      <c r="C27" t="s">
        <v>53</v>
      </c>
      <c r="D27" s="3"/>
      <c r="E27" s="3">
        <v>0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91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B30" t="s">
        <v>61</v>
      </c>
      <c r="C30" t="s">
        <v>53</v>
      </c>
      <c r="D30" s="3"/>
      <c r="E30" s="3">
        <v>0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B31" t="s">
        <v>61</v>
      </c>
      <c r="C31" t="s">
        <v>53</v>
      </c>
      <c r="D31" s="3"/>
      <c r="E31" s="3">
        <v>0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B32" t="s">
        <v>61</v>
      </c>
      <c r="C32" t="s">
        <v>53</v>
      </c>
      <c r="D32" s="3"/>
      <c r="E32" s="3">
        <v>0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B33" t="s">
        <v>61</v>
      </c>
      <c r="C33" t="s">
        <v>53</v>
      </c>
      <c r="D33" s="3"/>
      <c r="E33" s="3">
        <v>0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B34" t="s">
        <v>61</v>
      </c>
      <c r="C34" t="s">
        <v>53</v>
      </c>
      <c r="D34" s="3"/>
      <c r="E34" s="3">
        <v>0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B35" t="s">
        <v>61</v>
      </c>
      <c r="C35" t="s">
        <v>53</v>
      </c>
      <c r="D35" s="3"/>
      <c r="E35" s="3">
        <v>0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B36" t="s">
        <v>61</v>
      </c>
      <c r="C36" t="s">
        <v>53</v>
      </c>
      <c r="D36" s="3"/>
      <c r="E36" s="3">
        <v>0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B37" t="s">
        <v>61</v>
      </c>
      <c r="C37" t="s">
        <v>53</v>
      </c>
      <c r="D37" s="3"/>
      <c r="E37" s="3">
        <v>0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B38" t="s">
        <v>61</v>
      </c>
      <c r="C38" t="s">
        <v>53</v>
      </c>
      <c r="D38" s="3"/>
      <c r="E38" s="3">
        <v>0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B39" t="s">
        <v>61</v>
      </c>
      <c r="C39" t="s">
        <v>53</v>
      </c>
      <c r="D39" s="3"/>
      <c r="E39" s="3">
        <v>0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B40" t="s">
        <v>61</v>
      </c>
      <c r="C40" t="s">
        <v>53</v>
      </c>
      <c r="D40" s="3"/>
      <c r="E40" s="3">
        <v>0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B41" t="s">
        <v>61</v>
      </c>
      <c r="C41" t="s">
        <v>53</v>
      </c>
      <c r="D41" s="3"/>
      <c r="E41" s="3">
        <v>0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92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B44" t="s">
        <v>61</v>
      </c>
      <c r="C44" t="s">
        <v>53</v>
      </c>
      <c r="D44" s="3"/>
      <c r="E44" s="3">
        <v>0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B45" t="s">
        <v>61</v>
      </c>
      <c r="C45" t="s">
        <v>53</v>
      </c>
      <c r="D45" s="3"/>
      <c r="E45" s="3">
        <v>0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B46" t="s">
        <v>61</v>
      </c>
      <c r="C46" t="s">
        <v>53</v>
      </c>
      <c r="D46" s="3"/>
      <c r="E46" s="3">
        <v>0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B47" t="s">
        <v>61</v>
      </c>
      <c r="C47" t="s">
        <v>53</v>
      </c>
      <c r="D47" s="3"/>
      <c r="E47" s="3">
        <v>0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B48" t="s">
        <v>61</v>
      </c>
      <c r="C48" t="s">
        <v>53</v>
      </c>
      <c r="D48" s="3"/>
      <c r="E48" s="3">
        <v>0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B49" t="s">
        <v>61</v>
      </c>
      <c r="C49" t="s">
        <v>53</v>
      </c>
      <c r="D49" s="3"/>
      <c r="E49" s="3">
        <v>0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B50" t="s">
        <v>61</v>
      </c>
      <c r="C50" t="s">
        <v>53</v>
      </c>
      <c r="D50" s="3"/>
      <c r="E50" s="3">
        <v>0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B51" t="s">
        <v>61</v>
      </c>
      <c r="C51" t="s">
        <v>53</v>
      </c>
      <c r="D51" s="3"/>
      <c r="E51" s="3">
        <v>0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B52" t="s">
        <v>61</v>
      </c>
      <c r="C52" t="s">
        <v>53</v>
      </c>
      <c r="D52" s="3"/>
      <c r="E52" s="3">
        <v>0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B53" t="s">
        <v>61</v>
      </c>
      <c r="C53" t="s">
        <v>53</v>
      </c>
      <c r="D53" s="3"/>
      <c r="E53" s="3">
        <v>0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B54" t="s">
        <v>61</v>
      </c>
      <c r="C54" t="s">
        <v>53</v>
      </c>
      <c r="D54" s="3"/>
      <c r="E54" s="3">
        <v>0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B55" t="s">
        <v>61</v>
      </c>
      <c r="C55" t="s">
        <v>53</v>
      </c>
      <c r="D55" s="3"/>
      <c r="E55" s="3">
        <v>0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93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B58" t="s">
        <v>61</v>
      </c>
      <c r="C58" t="s">
        <v>53</v>
      </c>
      <c r="D58" s="3"/>
      <c r="E58" s="3">
        <v>0</v>
      </c>
      <c r="F58" s="4" t="s">
        <v>37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B59" t="s">
        <v>61</v>
      </c>
      <c r="C59" t="s">
        <v>53</v>
      </c>
      <c r="D59" s="3"/>
      <c r="E59" s="3">
        <v>0</v>
      </c>
      <c r="F59" s="4" t="s">
        <v>37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B60" t="s">
        <v>61</v>
      </c>
      <c r="C60" t="s">
        <v>53</v>
      </c>
      <c r="D60" s="3"/>
      <c r="E60" s="3">
        <v>0</v>
      </c>
      <c r="F60" s="4" t="s">
        <v>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B61" t="s">
        <v>61</v>
      </c>
      <c r="C61" t="s">
        <v>53</v>
      </c>
      <c r="D61" s="3"/>
      <c r="E61" s="3">
        <v>0</v>
      </c>
      <c r="F61" s="4" t="s">
        <v>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B62" t="s">
        <v>61</v>
      </c>
      <c r="C62" t="s">
        <v>53</v>
      </c>
      <c r="D62" s="3"/>
      <c r="E62" s="3">
        <v>0</v>
      </c>
      <c r="F62" s="4" t="s">
        <v>37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B63" t="s">
        <v>61</v>
      </c>
      <c r="C63" t="s">
        <v>53</v>
      </c>
      <c r="D63" s="3"/>
      <c r="E63" s="3">
        <v>0</v>
      </c>
      <c r="F63" s="4" t="s">
        <v>37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B64" t="s">
        <v>61</v>
      </c>
      <c r="C64" t="s">
        <v>53</v>
      </c>
      <c r="D64" s="3"/>
      <c r="E64" s="3">
        <v>0</v>
      </c>
      <c r="F64" s="4" t="s">
        <v>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B65" t="s">
        <v>61</v>
      </c>
      <c r="C65" t="s">
        <v>53</v>
      </c>
      <c r="D65" s="3"/>
      <c r="E65" s="3">
        <v>0</v>
      </c>
      <c r="F65" s="4" t="s">
        <v>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B66" t="s">
        <v>61</v>
      </c>
      <c r="C66" t="s">
        <v>53</v>
      </c>
      <c r="D66" s="3"/>
      <c r="E66" s="3">
        <v>0</v>
      </c>
      <c r="F66" s="4" t="s">
        <v>37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B67" t="s">
        <v>61</v>
      </c>
      <c r="C67" t="s">
        <v>53</v>
      </c>
      <c r="D67" s="3"/>
      <c r="E67" s="3">
        <v>0</v>
      </c>
      <c r="F67" s="4" t="s">
        <v>37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B68" t="s">
        <v>61</v>
      </c>
      <c r="C68" t="s">
        <v>53</v>
      </c>
      <c r="D68" s="3"/>
      <c r="E68" s="3">
        <v>0</v>
      </c>
      <c r="F68" s="4" t="s">
        <v>37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B69" t="s">
        <v>61</v>
      </c>
      <c r="C69" t="s">
        <v>53</v>
      </c>
      <c r="D69" s="3"/>
      <c r="E69" s="3">
        <v>0</v>
      </c>
      <c r="F69" s="4" t="s">
        <v>37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94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B72" t="s">
        <v>61</v>
      </c>
      <c r="C72" t="s">
        <v>53</v>
      </c>
      <c r="D72" s="3"/>
      <c r="E72" s="3">
        <v>0</v>
      </c>
      <c r="F72" s="4" t="s">
        <v>37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B73" t="s">
        <v>61</v>
      </c>
      <c r="C73" t="s">
        <v>53</v>
      </c>
      <c r="D73" s="3"/>
      <c r="E73" s="3">
        <v>0</v>
      </c>
      <c r="F73" s="4" t="s">
        <v>37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B74" t="s">
        <v>61</v>
      </c>
      <c r="C74" t="s">
        <v>53</v>
      </c>
      <c r="D74" s="3"/>
      <c r="E74" s="3">
        <v>0</v>
      </c>
      <c r="F74" s="4" t="s">
        <v>37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B75" t="s">
        <v>61</v>
      </c>
      <c r="C75" t="s">
        <v>53</v>
      </c>
      <c r="D75" s="3"/>
      <c r="E75" s="3">
        <v>0</v>
      </c>
      <c r="F75" s="4" t="s">
        <v>37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B76" t="s">
        <v>61</v>
      </c>
      <c r="C76" t="s">
        <v>53</v>
      </c>
      <c r="D76" s="3"/>
      <c r="E76" s="3">
        <v>0</v>
      </c>
      <c r="F76" s="4" t="s">
        <v>37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B77" t="s">
        <v>61</v>
      </c>
      <c r="C77" t="s">
        <v>53</v>
      </c>
      <c r="D77" s="3"/>
      <c r="E77" s="3">
        <v>0</v>
      </c>
      <c r="F77" s="4" t="s">
        <v>37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B78" t="s">
        <v>61</v>
      </c>
      <c r="C78" t="s">
        <v>53</v>
      </c>
      <c r="D78" s="3"/>
      <c r="E78" s="3">
        <v>0</v>
      </c>
      <c r="F78" s="4" t="s">
        <v>37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B79" t="s">
        <v>61</v>
      </c>
      <c r="C79" t="s">
        <v>53</v>
      </c>
      <c r="D79" s="3"/>
      <c r="E79" s="3">
        <v>0</v>
      </c>
      <c r="F79" s="4" t="s">
        <v>37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B80" t="s">
        <v>61</v>
      </c>
      <c r="C80" t="s">
        <v>53</v>
      </c>
      <c r="D80" s="3"/>
      <c r="E80" s="3">
        <v>0</v>
      </c>
      <c r="F80" s="4" t="s">
        <v>37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B81" t="s">
        <v>61</v>
      </c>
      <c r="C81" t="s">
        <v>53</v>
      </c>
      <c r="D81" s="3"/>
      <c r="E81" s="3">
        <v>0</v>
      </c>
      <c r="F81" s="4" t="s">
        <v>37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B82" t="s">
        <v>61</v>
      </c>
      <c r="C82" t="s">
        <v>53</v>
      </c>
      <c r="D82" s="3"/>
      <c r="E82" s="3">
        <v>0</v>
      </c>
      <c r="F82" s="4" t="s">
        <v>37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B83" t="s">
        <v>61</v>
      </c>
      <c r="C83" t="s">
        <v>53</v>
      </c>
      <c r="D83" s="3"/>
      <c r="E83" s="3">
        <v>0</v>
      </c>
      <c r="F83" s="4" t="s">
        <v>37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5" spans="1:57">
      <c r="A85" s="1" t="s">
        <v>95</v>
      </c>
      <c r="B85" s="1" t="s">
        <v>29</v>
      </c>
      <c r="C85" s="1" t="s">
        <v>30</v>
      </c>
      <c r="D85" s="1" t="s">
        <v>31</v>
      </c>
      <c r="E85" s="1" t="s">
        <v>36</v>
      </c>
      <c r="F85" s="1"/>
      <c r="G85" s="1">
        <v>2000</v>
      </c>
      <c r="H85" s="1">
        <v>2001</v>
      </c>
      <c r="I85" s="1">
        <v>2002</v>
      </c>
      <c r="J85" s="1">
        <v>2003</v>
      </c>
      <c r="K85" s="1">
        <v>2004</v>
      </c>
      <c r="L85" s="1">
        <v>2005</v>
      </c>
      <c r="M85" s="1">
        <v>2006</v>
      </c>
      <c r="N85" s="1">
        <v>2007</v>
      </c>
      <c r="O85" s="1">
        <v>2008</v>
      </c>
      <c r="P85" s="1">
        <v>2009</v>
      </c>
      <c r="Q85" s="1">
        <v>2010</v>
      </c>
      <c r="R85" s="1">
        <v>2011</v>
      </c>
      <c r="S85" s="1">
        <v>2012</v>
      </c>
      <c r="T85" s="1">
        <v>2013</v>
      </c>
      <c r="U85" s="1">
        <v>2014</v>
      </c>
      <c r="V85" s="1">
        <v>2015</v>
      </c>
      <c r="W85" s="1">
        <v>2016</v>
      </c>
      <c r="X85" s="1">
        <v>2017</v>
      </c>
      <c r="Y85" s="1">
        <v>2018</v>
      </c>
      <c r="Z85" s="1">
        <v>2019</v>
      </c>
      <c r="AA85" s="1">
        <v>2020</v>
      </c>
      <c r="AB85" s="1">
        <v>2021</v>
      </c>
      <c r="AC85" s="1">
        <v>2022</v>
      </c>
      <c r="AD85" s="1">
        <v>2023</v>
      </c>
      <c r="AE85" s="1">
        <v>2024</v>
      </c>
      <c r="AF85" s="1">
        <v>2025</v>
      </c>
      <c r="AG85" s="1">
        <v>2026</v>
      </c>
      <c r="AH85" s="1">
        <v>2027</v>
      </c>
      <c r="AI85" s="1">
        <v>2028</v>
      </c>
      <c r="AJ85" s="1">
        <v>2029</v>
      </c>
      <c r="AK85" s="1">
        <v>2030</v>
      </c>
      <c r="AL85" s="1">
        <v>2031</v>
      </c>
      <c r="AM85" s="1">
        <v>2032</v>
      </c>
      <c r="AN85" s="1">
        <v>2033</v>
      </c>
      <c r="AO85" s="1">
        <v>2034</v>
      </c>
      <c r="AP85" s="1">
        <v>2035</v>
      </c>
      <c r="AQ85" s="1">
        <v>2036</v>
      </c>
      <c r="AR85" s="1">
        <v>2037</v>
      </c>
      <c r="AS85" s="1">
        <v>2038</v>
      </c>
      <c r="AT85" s="1">
        <v>2039</v>
      </c>
      <c r="AU85" s="1">
        <v>2040</v>
      </c>
      <c r="AV85" s="1">
        <v>2041</v>
      </c>
      <c r="AW85" s="1">
        <v>2042</v>
      </c>
      <c r="AX85" s="1">
        <v>2043</v>
      </c>
      <c r="AY85" s="1">
        <v>2044</v>
      </c>
      <c r="AZ85" s="1">
        <v>2045</v>
      </c>
      <c r="BA85" s="1">
        <v>2046</v>
      </c>
      <c r="BB85" s="1">
        <v>2047</v>
      </c>
      <c r="BC85" s="1">
        <v>2048</v>
      </c>
      <c r="BD85" s="1">
        <v>2049</v>
      </c>
      <c r="BE85" s="1">
        <v>2050</v>
      </c>
    </row>
    <row r="86" spans="1:57">
      <c r="A86" s="1" t="str">
        <f>'Population Definitions'!$A$2</f>
        <v>PWID_males</v>
      </c>
      <c r="B86" t="s">
        <v>61</v>
      </c>
      <c r="C86" t="s">
        <v>53</v>
      </c>
      <c r="D86" s="3"/>
      <c r="E86" s="3">
        <v>0</v>
      </c>
      <c r="F86" s="4" t="s">
        <v>37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Definitions'!$A$3</f>
        <v>PWID_females</v>
      </c>
      <c r="B87" t="s">
        <v>61</v>
      </c>
      <c r="C87" t="s">
        <v>53</v>
      </c>
      <c r="D87" s="3"/>
      <c r="E87" s="3">
        <v>0</v>
      </c>
      <c r="F87" s="4" t="s">
        <v>37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Definitions'!$A$4</f>
        <v>0-9_males</v>
      </c>
      <c r="B88" t="s">
        <v>61</v>
      </c>
      <c r="C88" t="s">
        <v>53</v>
      </c>
      <c r="D88" s="3"/>
      <c r="E88" s="3">
        <v>0</v>
      </c>
      <c r="F88" s="4" t="s">
        <v>37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Definitions'!$A$5</f>
        <v>0-9_females</v>
      </c>
      <c r="B89" t="s">
        <v>61</v>
      </c>
      <c r="C89" t="s">
        <v>53</v>
      </c>
      <c r="D89" s="3"/>
      <c r="E89" s="3">
        <v>0</v>
      </c>
      <c r="F89" s="4" t="s">
        <v>37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Definitions'!$A$6</f>
        <v>10-17_males</v>
      </c>
      <c r="B90" t="s">
        <v>61</v>
      </c>
      <c r="C90" t="s">
        <v>53</v>
      </c>
      <c r="D90" s="3"/>
      <c r="E90" s="3">
        <v>0</v>
      </c>
      <c r="F90" s="4" t="s">
        <v>37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Definitions'!$A$7</f>
        <v>10-17_females</v>
      </c>
      <c r="B91" t="s">
        <v>61</v>
      </c>
      <c r="C91" t="s">
        <v>53</v>
      </c>
      <c r="D91" s="3"/>
      <c r="E91" s="3">
        <v>0</v>
      </c>
      <c r="F91" s="4" t="s">
        <v>37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Definitions'!$A$8</f>
        <v>18-64_males</v>
      </c>
      <c r="B92" t="s">
        <v>61</v>
      </c>
      <c r="C92" t="s">
        <v>53</v>
      </c>
      <c r="D92" s="3"/>
      <c r="E92" s="3">
        <v>0</v>
      </c>
      <c r="F92" s="4" t="s">
        <v>37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Definitions'!$A$9</f>
        <v>18-64_females</v>
      </c>
      <c r="B93" t="s">
        <v>61</v>
      </c>
      <c r="C93" t="s">
        <v>53</v>
      </c>
      <c r="D93" s="3"/>
      <c r="E93" s="3">
        <v>0</v>
      </c>
      <c r="F93" s="4" t="s">
        <v>37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Definitions'!$A$10</f>
        <v>65+_males</v>
      </c>
      <c r="B94" t="s">
        <v>61</v>
      </c>
      <c r="C94" t="s">
        <v>53</v>
      </c>
      <c r="D94" s="3"/>
      <c r="E94" s="3">
        <v>0</v>
      </c>
      <c r="F94" s="4" t="s">
        <v>37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Definitions'!$A$11</f>
        <v>65+_females</v>
      </c>
      <c r="B95" t="s">
        <v>61</v>
      </c>
      <c r="C95" t="s">
        <v>53</v>
      </c>
      <c r="D95" s="3"/>
      <c r="E95" s="3">
        <v>0</v>
      </c>
      <c r="F95" s="4" t="s">
        <v>37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Definitions'!$A$12</f>
        <v>Prisoners_males</v>
      </c>
      <c r="B96" t="s">
        <v>61</v>
      </c>
      <c r="C96" t="s">
        <v>53</v>
      </c>
      <c r="D96" s="3"/>
      <c r="E96" s="3">
        <v>0</v>
      </c>
      <c r="F96" s="4" t="s">
        <v>37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Definitions'!$A$13</f>
        <v>Prisoners_females</v>
      </c>
      <c r="B97" t="s">
        <v>61</v>
      </c>
      <c r="C97" t="s">
        <v>53</v>
      </c>
      <c r="D97" s="3"/>
      <c r="E97" s="3">
        <v>0</v>
      </c>
      <c r="F97" s="4" t="s">
        <v>37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9" spans="1:57">
      <c r="A99" s="1" t="s">
        <v>96</v>
      </c>
      <c r="B99" s="1" t="s">
        <v>29</v>
      </c>
      <c r="C99" s="1" t="s">
        <v>30</v>
      </c>
      <c r="D99" s="1" t="s">
        <v>31</v>
      </c>
      <c r="E99" s="1" t="s">
        <v>36</v>
      </c>
      <c r="F99" s="1"/>
      <c r="G99" s="1">
        <v>2000</v>
      </c>
      <c r="H99" s="1">
        <v>2001</v>
      </c>
      <c r="I99" s="1">
        <v>2002</v>
      </c>
      <c r="J99" s="1">
        <v>2003</v>
      </c>
      <c r="K99" s="1">
        <v>2004</v>
      </c>
      <c r="L99" s="1">
        <v>2005</v>
      </c>
      <c r="M99" s="1">
        <v>2006</v>
      </c>
      <c r="N99" s="1">
        <v>2007</v>
      </c>
      <c r="O99" s="1">
        <v>2008</v>
      </c>
      <c r="P99" s="1">
        <v>2009</v>
      </c>
      <c r="Q99" s="1">
        <v>2010</v>
      </c>
      <c r="R99" s="1">
        <v>2011</v>
      </c>
      <c r="S99" s="1">
        <v>2012</v>
      </c>
      <c r="T99" s="1">
        <v>2013</v>
      </c>
      <c r="U99" s="1">
        <v>2014</v>
      </c>
      <c r="V99" s="1">
        <v>2015</v>
      </c>
      <c r="W99" s="1">
        <v>2016</v>
      </c>
      <c r="X99" s="1">
        <v>2017</v>
      </c>
      <c r="Y99" s="1">
        <v>2018</v>
      </c>
      <c r="Z99" s="1">
        <v>2019</v>
      </c>
      <c r="AA99" s="1">
        <v>2020</v>
      </c>
      <c r="AB99" s="1">
        <v>2021</v>
      </c>
      <c r="AC99" s="1">
        <v>2022</v>
      </c>
      <c r="AD99" s="1">
        <v>2023</v>
      </c>
      <c r="AE99" s="1">
        <v>2024</v>
      </c>
      <c r="AF99" s="1">
        <v>2025</v>
      </c>
      <c r="AG99" s="1">
        <v>2026</v>
      </c>
      <c r="AH99" s="1">
        <v>2027</v>
      </c>
      <c r="AI99" s="1">
        <v>2028</v>
      </c>
      <c r="AJ99" s="1">
        <v>2029</v>
      </c>
      <c r="AK99" s="1">
        <v>2030</v>
      </c>
      <c r="AL99" s="1">
        <v>2031</v>
      </c>
      <c r="AM99" s="1">
        <v>2032</v>
      </c>
      <c r="AN99" s="1">
        <v>2033</v>
      </c>
      <c r="AO99" s="1">
        <v>2034</v>
      </c>
      <c r="AP99" s="1">
        <v>2035</v>
      </c>
      <c r="AQ99" s="1">
        <v>2036</v>
      </c>
      <c r="AR99" s="1">
        <v>2037</v>
      </c>
      <c r="AS99" s="1">
        <v>2038</v>
      </c>
      <c r="AT99" s="1">
        <v>2039</v>
      </c>
      <c r="AU99" s="1">
        <v>2040</v>
      </c>
      <c r="AV99" s="1">
        <v>2041</v>
      </c>
      <c r="AW99" s="1">
        <v>2042</v>
      </c>
      <c r="AX99" s="1">
        <v>2043</v>
      </c>
      <c r="AY99" s="1">
        <v>2044</v>
      </c>
      <c r="AZ99" s="1">
        <v>2045</v>
      </c>
      <c r="BA99" s="1">
        <v>2046</v>
      </c>
      <c r="BB99" s="1">
        <v>2047</v>
      </c>
      <c r="BC99" s="1">
        <v>2048</v>
      </c>
      <c r="BD99" s="1">
        <v>2049</v>
      </c>
      <c r="BE99" s="1">
        <v>2050</v>
      </c>
    </row>
    <row r="100" spans="1:57">
      <c r="A100" s="1" t="str">
        <f>'Population Definitions'!$A$2</f>
        <v>PWID_males</v>
      </c>
      <c r="B100" t="s">
        <v>61</v>
      </c>
      <c r="C100" t="s">
        <v>53</v>
      </c>
      <c r="D100" s="3"/>
      <c r="E100" s="3">
        <v>0</v>
      </c>
      <c r="F100" s="4" t="s">
        <v>37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Definitions'!$A$3</f>
        <v>PWID_females</v>
      </c>
      <c r="B101" t="s">
        <v>61</v>
      </c>
      <c r="C101" t="s">
        <v>53</v>
      </c>
      <c r="D101" s="3"/>
      <c r="E101" s="3">
        <v>0</v>
      </c>
      <c r="F101" s="4" t="s">
        <v>37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Definitions'!$A$4</f>
        <v>0-9_males</v>
      </c>
      <c r="B102" t="s">
        <v>61</v>
      </c>
      <c r="C102" t="s">
        <v>53</v>
      </c>
      <c r="D102" s="3"/>
      <c r="E102" s="3">
        <v>0</v>
      </c>
      <c r="F102" s="4" t="s">
        <v>37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Definitions'!$A$5</f>
        <v>0-9_females</v>
      </c>
      <c r="B103" t="s">
        <v>61</v>
      </c>
      <c r="C103" t="s">
        <v>53</v>
      </c>
      <c r="D103" s="3"/>
      <c r="E103" s="3">
        <v>0</v>
      </c>
      <c r="F103" s="4" t="s">
        <v>37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Definitions'!$A$6</f>
        <v>10-17_males</v>
      </c>
      <c r="B104" t="s">
        <v>61</v>
      </c>
      <c r="C104" t="s">
        <v>53</v>
      </c>
      <c r="D104" s="3"/>
      <c r="E104" s="3">
        <v>0</v>
      </c>
      <c r="F104" s="4" t="s">
        <v>37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Definitions'!$A$7</f>
        <v>10-17_females</v>
      </c>
      <c r="B105" t="s">
        <v>61</v>
      </c>
      <c r="C105" t="s">
        <v>53</v>
      </c>
      <c r="D105" s="3"/>
      <c r="E105" s="3">
        <v>0</v>
      </c>
      <c r="F105" s="4" t="s">
        <v>37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Definitions'!$A$8</f>
        <v>18-64_males</v>
      </c>
      <c r="B106" t="s">
        <v>61</v>
      </c>
      <c r="C106" t="s">
        <v>53</v>
      </c>
      <c r="D106" s="3"/>
      <c r="E106" s="3">
        <v>0</v>
      </c>
      <c r="F106" s="4" t="s">
        <v>37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Definitions'!$A$9</f>
        <v>18-64_females</v>
      </c>
      <c r="B107" t="s">
        <v>61</v>
      </c>
      <c r="C107" t="s">
        <v>53</v>
      </c>
      <c r="D107" s="3"/>
      <c r="E107" s="3">
        <v>0</v>
      </c>
      <c r="F107" s="4" t="s">
        <v>37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Definitions'!$A$10</f>
        <v>65+_males</v>
      </c>
      <c r="B108" t="s">
        <v>61</v>
      </c>
      <c r="C108" t="s">
        <v>53</v>
      </c>
      <c r="D108" s="3"/>
      <c r="E108" s="3">
        <v>0</v>
      </c>
      <c r="F108" s="4" t="s">
        <v>37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Definitions'!$A$11</f>
        <v>65+_females</v>
      </c>
      <c r="B109" t="s">
        <v>61</v>
      </c>
      <c r="C109" t="s">
        <v>53</v>
      </c>
      <c r="D109" s="3"/>
      <c r="E109" s="3">
        <v>0</v>
      </c>
      <c r="F109" s="4" t="s">
        <v>37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Definitions'!$A$12</f>
        <v>Prisoners_males</v>
      </c>
      <c r="B110" t="s">
        <v>61</v>
      </c>
      <c r="C110" t="s">
        <v>53</v>
      </c>
      <c r="D110" s="3"/>
      <c r="E110" s="3">
        <v>0</v>
      </c>
      <c r="F110" s="4" t="s">
        <v>37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Definitions'!$A$13</f>
        <v>Prisoners_females</v>
      </c>
      <c r="B111" t="s">
        <v>61</v>
      </c>
      <c r="C111" t="s">
        <v>53</v>
      </c>
      <c r="D111" s="3"/>
      <c r="E111" s="3">
        <v>0</v>
      </c>
      <c r="F111" s="4" t="s">
        <v>37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69">
      <formula>COUNTIF(G100:BE100,"&lt;&gt;" &amp; "")&gt;0</formula>
    </cfRule>
    <cfRule type="expression" dxfId="1" priority="170">
      <formula>AND(COUNTIF(G100:BE100,"&lt;&gt;" &amp; "")&gt;0,NOT(ISBLANK(E100)))</formula>
    </cfRule>
  </conditionalFormatting>
  <conditionalFormatting sqref="E101">
    <cfRule type="expression" dxfId="0" priority="171">
      <formula>COUNTIF(G101:BE101,"&lt;&gt;" &amp; "")&gt;0</formula>
    </cfRule>
    <cfRule type="expression" dxfId="1" priority="172">
      <formula>AND(COUNTIF(G101:BE101,"&lt;&gt;" &amp; "")&gt;0,NOT(ISBLANK(E101)))</formula>
    </cfRule>
  </conditionalFormatting>
  <conditionalFormatting sqref="E102">
    <cfRule type="expression" dxfId="0" priority="173">
      <formula>COUNTIF(G102:BE102,"&lt;&gt;" &amp; "")&gt;0</formula>
    </cfRule>
    <cfRule type="expression" dxfId="1" priority="174">
      <formula>AND(COUNTIF(G102:BE102,"&lt;&gt;" &amp; "")&gt;0,NOT(ISBLANK(E102)))</formula>
    </cfRule>
  </conditionalFormatting>
  <conditionalFormatting sqref="E103">
    <cfRule type="expression" dxfId="0" priority="175">
      <formula>COUNTIF(G103:BE103,"&lt;&gt;" &amp; "")&gt;0</formula>
    </cfRule>
    <cfRule type="expression" dxfId="1" priority="176">
      <formula>AND(COUNTIF(G103:BE103,"&lt;&gt;" &amp; "")&gt;0,NOT(ISBLANK(E103)))</formula>
    </cfRule>
  </conditionalFormatting>
  <conditionalFormatting sqref="E104">
    <cfRule type="expression" dxfId="0" priority="177">
      <formula>COUNTIF(G104:BE104,"&lt;&gt;" &amp; "")&gt;0</formula>
    </cfRule>
    <cfRule type="expression" dxfId="1" priority="178">
      <formula>AND(COUNTIF(G104:BE104,"&lt;&gt;" &amp; "")&gt;0,NOT(ISBLANK(E104)))</formula>
    </cfRule>
  </conditionalFormatting>
  <conditionalFormatting sqref="E105">
    <cfRule type="expression" dxfId="0" priority="179">
      <formula>COUNTIF(G105:BE105,"&lt;&gt;" &amp; "")&gt;0</formula>
    </cfRule>
    <cfRule type="expression" dxfId="1" priority="180">
      <formula>AND(COUNTIF(G105:BE105,"&lt;&gt;" &amp; "")&gt;0,NOT(ISBLANK(E105)))</formula>
    </cfRule>
  </conditionalFormatting>
  <conditionalFormatting sqref="E106">
    <cfRule type="expression" dxfId="0" priority="181">
      <formula>COUNTIF(G106:BE106,"&lt;&gt;" &amp; "")&gt;0</formula>
    </cfRule>
    <cfRule type="expression" dxfId="1" priority="182">
      <formula>AND(COUNTIF(G106:BE106,"&lt;&gt;" &amp; "")&gt;0,NOT(ISBLANK(E106)))</formula>
    </cfRule>
  </conditionalFormatting>
  <conditionalFormatting sqref="E107">
    <cfRule type="expression" dxfId="0" priority="183">
      <formula>COUNTIF(G107:BE107,"&lt;&gt;" &amp; "")&gt;0</formula>
    </cfRule>
    <cfRule type="expression" dxfId="1" priority="184">
      <formula>AND(COUNTIF(G107:BE107,"&lt;&gt;" &amp; "")&gt;0,NOT(ISBLANK(E107)))</formula>
    </cfRule>
  </conditionalFormatting>
  <conditionalFormatting sqref="E108">
    <cfRule type="expression" dxfId="0" priority="185">
      <formula>COUNTIF(G108:BE108,"&lt;&gt;" &amp; "")&gt;0</formula>
    </cfRule>
    <cfRule type="expression" dxfId="1" priority="186">
      <formula>AND(COUNTIF(G108:BE108,"&lt;&gt;" &amp; "")&gt;0,NOT(ISBLANK(E108)))</formula>
    </cfRule>
  </conditionalFormatting>
  <conditionalFormatting sqref="E109">
    <cfRule type="expression" dxfId="0" priority="187">
      <formula>COUNTIF(G109:BE109,"&lt;&gt;" &amp; "")&gt;0</formula>
    </cfRule>
    <cfRule type="expression" dxfId="1" priority="188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89">
      <formula>COUNTIF(G110:BE110,"&lt;&gt;" &amp; "")&gt;0</formula>
    </cfRule>
    <cfRule type="expression" dxfId="1" priority="190">
      <formula>AND(COUNTIF(G110:BE110,"&lt;&gt;" &amp; "")&gt;0,NOT(ISBLANK(E110)))</formula>
    </cfRule>
  </conditionalFormatting>
  <conditionalFormatting sqref="E111">
    <cfRule type="expression" dxfId="0" priority="191">
      <formula>COUNTIF(G111:BE111,"&lt;&gt;" &amp; "")&gt;0</formula>
    </cfRule>
    <cfRule type="expression" dxfId="1" priority="192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8">
    <cfRule type="expression" dxfId="0" priority="97">
      <formula>COUNTIF(G58:BE58,"&lt;&gt;" &amp; "")&gt;0</formula>
    </cfRule>
    <cfRule type="expression" dxfId="1" priority="98">
      <formula>AND(COUNTIF(G58:BE58,"&lt;&gt;" &amp; "")&gt;0,NOT(ISBLANK(E58)))</formula>
    </cfRule>
  </conditionalFormatting>
  <conditionalFormatting sqref="E59">
    <cfRule type="expression" dxfId="0" priority="99">
      <formula>COUNTIF(G59:BE59,"&lt;&gt;" &amp; "")&gt;0</formula>
    </cfRule>
    <cfRule type="expression" dxfId="1" priority="100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1">
      <formula>COUNTIF(G60:BE60,"&lt;&gt;" &amp; "")&gt;0</formula>
    </cfRule>
    <cfRule type="expression" dxfId="1" priority="102">
      <formula>AND(COUNTIF(G60:BE60,"&lt;&gt;" &amp; "")&gt;0,NOT(ISBLANK(E60)))</formula>
    </cfRule>
  </conditionalFormatting>
  <conditionalFormatting sqref="E61">
    <cfRule type="expression" dxfId="0" priority="103">
      <formula>COUNTIF(G61:BE61,"&lt;&gt;" &amp; "")&gt;0</formula>
    </cfRule>
    <cfRule type="expression" dxfId="1" priority="104">
      <formula>AND(COUNTIF(G61:BE61,"&lt;&gt;" &amp; "")&gt;0,NOT(ISBLANK(E61)))</formula>
    </cfRule>
  </conditionalFormatting>
  <conditionalFormatting sqref="E62">
    <cfRule type="expression" dxfId="0" priority="105">
      <formula>COUNTIF(G62:BE62,"&lt;&gt;" &amp; "")&gt;0</formula>
    </cfRule>
    <cfRule type="expression" dxfId="1" priority="106">
      <formula>AND(COUNTIF(G62:BE62,"&lt;&gt;" &amp; "")&gt;0,NOT(ISBLANK(E62)))</formula>
    </cfRule>
  </conditionalFormatting>
  <conditionalFormatting sqref="E63">
    <cfRule type="expression" dxfId="0" priority="107">
      <formula>COUNTIF(G63:BE63,"&lt;&gt;" &amp; "")&gt;0</formula>
    </cfRule>
    <cfRule type="expression" dxfId="1" priority="108">
      <formula>AND(COUNTIF(G63:BE63,"&lt;&gt;" &amp; "")&gt;0,NOT(ISBLANK(E63)))</formula>
    </cfRule>
  </conditionalFormatting>
  <conditionalFormatting sqref="E64">
    <cfRule type="expression" dxfId="0" priority="109">
      <formula>COUNTIF(G64:BE64,"&lt;&gt;" &amp; "")&gt;0</formula>
    </cfRule>
    <cfRule type="expression" dxfId="1" priority="110">
      <formula>AND(COUNTIF(G64:BE64,"&lt;&gt;" &amp; "")&gt;0,NOT(ISBLANK(E64)))</formula>
    </cfRule>
  </conditionalFormatting>
  <conditionalFormatting sqref="E65">
    <cfRule type="expression" dxfId="0" priority="111">
      <formula>COUNTIF(G65:BE65,"&lt;&gt;" &amp; "")&gt;0</formula>
    </cfRule>
    <cfRule type="expression" dxfId="1" priority="112">
      <formula>AND(COUNTIF(G65:BE65,"&lt;&gt;" &amp; "")&gt;0,NOT(ISBLANK(E65)))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2">
    <cfRule type="expression" dxfId="0" priority="121">
      <formula>COUNTIF(G72:BE72,"&lt;&gt;" &amp; "")&gt;0</formula>
    </cfRule>
    <cfRule type="expression" dxfId="1" priority="122">
      <formula>AND(COUNTIF(G72:BE72,"&lt;&gt;" &amp; "")&gt;0,NOT(ISBLANK(E72)))</formula>
    </cfRule>
  </conditionalFormatting>
  <conditionalFormatting sqref="E73">
    <cfRule type="expression" dxfId="0" priority="123">
      <formula>COUNTIF(G73:BE73,"&lt;&gt;" &amp; "")&gt;0</formula>
    </cfRule>
    <cfRule type="expression" dxfId="1" priority="124">
      <formula>AND(COUNTIF(G73:BE73,"&lt;&gt;" &amp; "")&gt;0,NOT(ISBLANK(E73)))</formula>
    </cfRule>
  </conditionalFormatting>
  <conditionalFormatting sqref="E74">
    <cfRule type="expression" dxfId="0" priority="125">
      <formula>COUNTIF(G74:BE74,"&lt;&gt;" &amp; "")&gt;0</formula>
    </cfRule>
    <cfRule type="expression" dxfId="1" priority="126">
      <formula>AND(COUNTIF(G74:BE74,"&lt;&gt;" &amp; "")&gt;0,NOT(ISBLANK(E74)))</formula>
    </cfRule>
  </conditionalFormatting>
  <conditionalFormatting sqref="E75">
    <cfRule type="expression" dxfId="0" priority="127">
      <formula>COUNTIF(G75:BE75,"&lt;&gt;" &amp; "")&gt;0</formula>
    </cfRule>
    <cfRule type="expression" dxfId="1" priority="128">
      <formula>AND(COUNTIF(G75:BE75,"&lt;&gt;" &amp; "")&gt;0,NOT(ISBLANK(E75)))</formula>
    </cfRule>
  </conditionalFormatting>
  <conditionalFormatting sqref="E76">
    <cfRule type="expression" dxfId="0" priority="129">
      <formula>COUNTIF(G76:BE76,"&lt;&gt;" &amp; "")&gt;0</formula>
    </cfRule>
    <cfRule type="expression" dxfId="1" priority="130">
      <formula>AND(COUNTIF(G76:BE76,"&lt;&gt;" &amp; "")&gt;0,NOT(ISBLANK(E76)))</formula>
    </cfRule>
  </conditionalFormatting>
  <conditionalFormatting sqref="E77">
    <cfRule type="expression" dxfId="0" priority="131">
      <formula>COUNTIF(G77:BE77,"&lt;&gt;" &amp; "")&gt;0</formula>
    </cfRule>
    <cfRule type="expression" dxfId="1" priority="132">
      <formula>AND(COUNTIF(G77:BE77,"&lt;&gt;" &amp; "")&gt;0,NOT(ISBLANK(E77)))</formula>
    </cfRule>
  </conditionalFormatting>
  <conditionalFormatting sqref="E78">
    <cfRule type="expression" dxfId="0" priority="133">
      <formula>COUNTIF(G78:BE78,"&lt;&gt;" &amp; "")&gt;0</formula>
    </cfRule>
    <cfRule type="expression" dxfId="1" priority="134">
      <formula>AND(COUNTIF(G78:BE78,"&lt;&gt;" &amp; "")&gt;0,NOT(ISBLANK(E78)))</formula>
    </cfRule>
  </conditionalFormatting>
  <conditionalFormatting sqref="E79">
    <cfRule type="expression" dxfId="0" priority="135">
      <formula>COUNTIF(G79:BE79,"&lt;&gt;" &amp; "")&gt;0</formula>
    </cfRule>
    <cfRule type="expression" dxfId="1" priority="136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0">
    <cfRule type="expression" dxfId="0" priority="137">
      <formula>COUNTIF(G80:BE80,"&lt;&gt;" &amp; "")&gt;0</formula>
    </cfRule>
    <cfRule type="expression" dxfId="1" priority="138">
      <formula>AND(COUNTIF(G80:BE80,"&lt;&gt;" &amp; "")&gt;0,NOT(ISBLANK(E80)))</formula>
    </cfRule>
  </conditionalFormatting>
  <conditionalFormatting sqref="E81">
    <cfRule type="expression" dxfId="0" priority="139">
      <formula>COUNTIF(G81:BE81,"&lt;&gt;" &amp; "")&gt;0</formula>
    </cfRule>
    <cfRule type="expression" dxfId="1" priority="140">
      <formula>AND(COUNTIF(G81:BE81,"&lt;&gt;" &amp; "")&gt;0,NOT(ISBLANK(E81)))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6">
    <cfRule type="expression" dxfId="0" priority="145">
      <formula>COUNTIF(G86:BE86,"&lt;&gt;" &amp; "")&gt;0</formula>
    </cfRule>
    <cfRule type="expression" dxfId="1" priority="146">
      <formula>AND(COUNTIF(G86:BE86,"&lt;&gt;" &amp; "")&gt;0,NOT(ISBLANK(E86)))</formula>
    </cfRule>
  </conditionalFormatting>
  <conditionalFormatting sqref="E87">
    <cfRule type="expression" dxfId="0" priority="147">
      <formula>COUNTIF(G87:BE87,"&lt;&gt;" &amp; "")&gt;0</formula>
    </cfRule>
    <cfRule type="expression" dxfId="1" priority="148">
      <formula>AND(COUNTIF(G87:BE87,"&lt;&gt;" &amp; "")&gt;0,NOT(ISBLANK(E87)))</formula>
    </cfRule>
  </conditionalFormatting>
  <conditionalFormatting sqref="E88">
    <cfRule type="expression" dxfId="0" priority="149">
      <formula>COUNTIF(G88:BE88,"&lt;&gt;" &amp; "")&gt;0</formula>
    </cfRule>
    <cfRule type="expression" dxfId="1" priority="150">
      <formula>AND(COUNTIF(G88:BE88,"&lt;&gt;" &amp; "")&gt;0,NOT(ISBLANK(E88)))</formula>
    </cfRule>
  </conditionalFormatting>
  <conditionalFormatting sqref="E89">
    <cfRule type="expression" dxfId="0" priority="151">
      <formula>COUNTIF(G89:BE89,"&lt;&gt;" &amp; "")&gt;0</formula>
    </cfRule>
    <cfRule type="expression" dxfId="1" priority="152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3">
      <formula>COUNTIF(G90:BE90,"&lt;&gt;" &amp; "")&gt;0</formula>
    </cfRule>
    <cfRule type="expression" dxfId="1" priority="154">
      <formula>AND(COUNTIF(G90:BE90,"&lt;&gt;" &amp; "")&gt;0,NOT(ISBLANK(E90)))</formula>
    </cfRule>
  </conditionalFormatting>
  <conditionalFormatting sqref="E91">
    <cfRule type="expression" dxfId="0" priority="155">
      <formula>COUNTIF(G91:BE91,"&lt;&gt;" &amp; "")&gt;0</formula>
    </cfRule>
    <cfRule type="expression" dxfId="1" priority="156">
      <formula>AND(COUNTIF(G91:BE91,"&lt;&gt;" &amp; "")&gt;0,NOT(ISBLANK(E91)))</formula>
    </cfRule>
  </conditionalFormatting>
  <conditionalFormatting sqref="E92">
    <cfRule type="expression" dxfId="0" priority="157">
      <formula>COUNTIF(G92:BE92,"&lt;&gt;" &amp; "")&gt;0</formula>
    </cfRule>
    <cfRule type="expression" dxfId="1" priority="158">
      <formula>AND(COUNTIF(G92:BE92,"&lt;&gt;" &amp; "")&gt;0,NOT(ISBLANK(E92)))</formula>
    </cfRule>
  </conditionalFormatting>
  <conditionalFormatting sqref="E93">
    <cfRule type="expression" dxfId="0" priority="159">
      <formula>COUNTIF(G93:BE93,"&lt;&gt;" &amp; "")&gt;0</formula>
    </cfRule>
    <cfRule type="expression" dxfId="1" priority="160">
      <formula>AND(COUNTIF(G93:BE93,"&lt;&gt;" &amp; "")&gt;0,NOT(ISBLANK(E93)))</formula>
    </cfRule>
  </conditionalFormatting>
  <conditionalFormatting sqref="E94">
    <cfRule type="expression" dxfId="0" priority="161">
      <formula>COUNTIF(G94:BE94,"&lt;&gt;" &amp; "")&gt;0</formula>
    </cfRule>
    <cfRule type="expression" dxfId="1" priority="162">
      <formula>AND(COUNTIF(G94:BE94,"&lt;&gt;" &amp; "")&gt;0,NOT(ISBLANK(E94)))</formula>
    </cfRule>
  </conditionalFormatting>
  <conditionalFormatting sqref="E95">
    <cfRule type="expression" dxfId="0" priority="163">
      <formula>COUNTIF(G95:BE95,"&lt;&gt;" &amp; "")&gt;0</formula>
    </cfRule>
    <cfRule type="expression" dxfId="1" priority="164">
      <formula>AND(COUNTIF(G95:BE95,"&lt;&gt;" &amp; "")&gt;0,NOT(ISBLANK(E95)))</formula>
    </cfRule>
  </conditionalFormatting>
  <conditionalFormatting sqref="E96">
    <cfRule type="expression" dxfId="0" priority="165">
      <formula>COUNTIF(G96:BE96,"&lt;&gt;" &amp; "")&gt;0</formula>
    </cfRule>
    <cfRule type="expression" dxfId="1" priority="166">
      <formula>AND(COUNTIF(G96:BE96,"&lt;&gt;" &amp; "")&gt;0,NOT(ISBLANK(E96)))</formula>
    </cfRule>
  </conditionalFormatting>
  <conditionalFormatting sqref="E97">
    <cfRule type="expression" dxfId="0" priority="167">
      <formula>COUNTIF(G97:BE97,"&lt;&gt;" &amp; "")&gt;0</formula>
    </cfRule>
    <cfRule type="expression" dxfId="1" priority="168">
      <formula>AND(COUNTIF(G97:BE97,"&lt;&gt;" &amp; "")&gt;0,NOT(ISBLANK(E97)))</formula>
    </cfRule>
  </conditionalFormatting>
  <dataValidations count="9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6">
      <formula1>"Rate (per year)"</formula1>
    </dataValidation>
    <dataValidation type="list" allowBlank="1" showInputMessage="1" showErrorMessage="1" sqref="C17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2">
      <formula1>"Rate (per year)"</formula1>
    </dataValidation>
    <dataValidation type="list" allowBlank="1" showInputMessage="1" showErrorMessage="1" sqref="C33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48">
      <formula1>"Rate (per year)"</formula1>
    </dataValidation>
    <dataValidation type="list" allowBlank="1" showInputMessage="1" showErrorMessage="1" sqref="C49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4">
      <formula1>"Rate (per year)"</formula1>
    </dataValidation>
    <dataValidation type="list" allowBlank="1" showInputMessage="1" showErrorMessage="1" sqref="C65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0">
      <formula1>"Rate (per year)"</formula1>
    </dataValidation>
    <dataValidation type="list" allowBlank="1" showInputMessage="1" showErrorMessage="1" sqref="C81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6">
      <formula1>"Rate (per year)"</formula1>
    </dataValidation>
    <dataValidation type="list" allowBlank="1" showInputMessage="1" showErrorMessage="1" sqref="C97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7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97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56</v>
      </c>
      <c r="D2" s="3"/>
      <c r="E2" s="3">
        <v>0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56</v>
      </c>
      <c r="D3" s="3"/>
      <c r="E3" s="3">
        <v>0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56</v>
      </c>
      <c r="D4" s="3"/>
      <c r="E4" s="3"/>
      <c r="F4" s="4" t="s">
        <v>37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56</v>
      </c>
      <c r="D5" s="3"/>
      <c r="E5" s="3"/>
      <c r="F5" s="4" t="s">
        <v>37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56</v>
      </c>
      <c r="D6" s="3"/>
      <c r="E6" s="3"/>
      <c r="F6" s="4" t="s">
        <v>37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56</v>
      </c>
      <c r="D7" s="3"/>
      <c r="E7" s="3"/>
      <c r="F7" s="4" t="s">
        <v>37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56</v>
      </c>
      <c r="D8" s="3"/>
      <c r="E8" s="3"/>
      <c r="F8" s="4" t="s">
        <v>37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56</v>
      </c>
      <c r="D9" s="3"/>
      <c r="E9" s="3"/>
      <c r="F9" s="4" t="s">
        <v>37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56</v>
      </c>
      <c r="D10" s="3"/>
      <c r="E10" s="3"/>
      <c r="F10" s="4" t="s">
        <v>37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56</v>
      </c>
      <c r="D11" s="3"/>
      <c r="E11" s="3"/>
      <c r="F11" s="4" t="s">
        <v>37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56</v>
      </c>
      <c r="D12" s="3"/>
      <c r="E12" s="3">
        <v>0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56</v>
      </c>
      <c r="D13" s="3"/>
      <c r="E13" s="3">
        <v>0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98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C16" t="s">
        <v>56</v>
      </c>
      <c r="D16" s="3"/>
      <c r="E16" s="3">
        <v>0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C17" t="s">
        <v>56</v>
      </c>
      <c r="D17" s="3"/>
      <c r="E17" s="3">
        <v>0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C18" t="s">
        <v>56</v>
      </c>
      <c r="D18" s="3"/>
      <c r="E18" s="3"/>
      <c r="F18" s="4" t="s">
        <v>37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>
        <v>0</v>
      </c>
      <c r="V18" s="3">
        <v>0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C19" t="s">
        <v>56</v>
      </c>
      <c r="D19" s="3"/>
      <c r="E19" s="3"/>
      <c r="F19" s="4" t="s">
        <v>37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0</v>
      </c>
      <c r="V19" s="3">
        <v>0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C20" t="s">
        <v>56</v>
      </c>
      <c r="D20" s="3"/>
      <c r="E20" s="3"/>
      <c r="F20" s="4" t="s">
        <v>37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C21" t="s">
        <v>56</v>
      </c>
      <c r="D21" s="3"/>
      <c r="E21" s="3"/>
      <c r="F21" s="4" t="s">
        <v>37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C22" t="s">
        <v>56</v>
      </c>
      <c r="D22" s="3"/>
      <c r="E22" s="3"/>
      <c r="F22" s="4" t="s">
        <v>37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C23" t="s">
        <v>56</v>
      </c>
      <c r="D23" s="3"/>
      <c r="E23" s="3"/>
      <c r="F23" s="4" t="s">
        <v>37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C24" t="s">
        <v>56</v>
      </c>
      <c r="D24" s="3"/>
      <c r="E24" s="3"/>
      <c r="F24" s="4" t="s">
        <v>37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C25" t="s">
        <v>56</v>
      </c>
      <c r="D25" s="3"/>
      <c r="E25" s="3"/>
      <c r="F25" s="4" t="s">
        <v>37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C26" t="s">
        <v>56</v>
      </c>
      <c r="D26" s="3"/>
      <c r="E26" s="3">
        <v>0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C27" t="s">
        <v>56</v>
      </c>
      <c r="D27" s="3"/>
      <c r="E27" s="3">
        <v>0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99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C30" t="s">
        <v>56</v>
      </c>
      <c r="D30" s="3"/>
      <c r="E30" s="3"/>
      <c r="F30" s="4" t="s">
        <v>37</v>
      </c>
      <c r="G30" s="3">
        <v>0.7655661076129241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>
        <v>0.7655661076129241</v>
      </c>
      <c r="V30" s="3">
        <v>0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C31" t="s">
        <v>56</v>
      </c>
      <c r="D31" s="3"/>
      <c r="E31" s="3"/>
      <c r="F31" s="4" t="s">
        <v>37</v>
      </c>
      <c r="G31" s="3">
        <v>0.2344338923870759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>
        <v>0.2344338923870759</v>
      </c>
      <c r="V31" s="3">
        <v>0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C32" t="s">
        <v>56</v>
      </c>
      <c r="D32" s="3"/>
      <c r="E32" s="3">
        <v>0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C33" t="s">
        <v>56</v>
      </c>
      <c r="D33" s="3"/>
      <c r="E33" s="3">
        <v>0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C34" t="s">
        <v>56</v>
      </c>
      <c r="D34" s="3"/>
      <c r="E34" s="3">
        <v>0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C35" t="s">
        <v>56</v>
      </c>
      <c r="D35" s="3"/>
      <c r="E35" s="3">
        <v>0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C36" t="s">
        <v>56</v>
      </c>
      <c r="D36" s="3"/>
      <c r="E36" s="3">
        <v>0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C37" t="s">
        <v>56</v>
      </c>
      <c r="D37" s="3"/>
      <c r="E37" s="3">
        <v>0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C38" t="s">
        <v>56</v>
      </c>
      <c r="D38" s="3"/>
      <c r="E38" s="3">
        <v>0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C39" t="s">
        <v>56</v>
      </c>
      <c r="D39" s="3"/>
      <c r="E39" s="3">
        <v>0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C40" t="s">
        <v>56</v>
      </c>
      <c r="D40" s="3"/>
      <c r="E40" s="3">
        <v>0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C41" t="s">
        <v>56</v>
      </c>
      <c r="D41" s="3"/>
      <c r="E41" s="3">
        <v>0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100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C44" t="s">
        <v>56</v>
      </c>
      <c r="D44" s="3"/>
      <c r="E44" s="3"/>
      <c r="F44" s="4" t="s">
        <v>37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</v>
      </c>
      <c r="V44" s="3">
        <v>0.7655661076129241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C45" t="s">
        <v>56</v>
      </c>
      <c r="D45" s="3"/>
      <c r="E45" s="3"/>
      <c r="F45" s="4" t="s">
        <v>37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</v>
      </c>
      <c r="V45" s="3">
        <v>0.2344338923870759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C46" t="s">
        <v>56</v>
      </c>
      <c r="D46" s="3"/>
      <c r="E46" s="3">
        <v>0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C47" t="s">
        <v>56</v>
      </c>
      <c r="D47" s="3"/>
      <c r="E47" s="3">
        <v>0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C48" t="s">
        <v>56</v>
      </c>
      <c r="D48" s="3"/>
      <c r="E48" s="3">
        <v>0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C49" t="s">
        <v>56</v>
      </c>
      <c r="D49" s="3"/>
      <c r="E49" s="3">
        <v>0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C50" t="s">
        <v>56</v>
      </c>
      <c r="D50" s="3"/>
      <c r="E50" s="3">
        <v>0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C51" t="s">
        <v>56</v>
      </c>
      <c r="D51" s="3"/>
      <c r="E51" s="3">
        <v>0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C52" t="s">
        <v>56</v>
      </c>
      <c r="D52" s="3"/>
      <c r="E52" s="3">
        <v>0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C53" t="s">
        <v>56</v>
      </c>
      <c r="D53" s="3"/>
      <c r="E53" s="3">
        <v>0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C54" t="s">
        <v>56</v>
      </c>
      <c r="D54" s="3"/>
      <c r="E54" s="3">
        <v>0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C55" t="s">
        <v>56</v>
      </c>
      <c r="D55" s="3"/>
      <c r="E55" s="3">
        <v>0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101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C58" t="s">
        <v>62</v>
      </c>
      <c r="D58" s="3"/>
      <c r="E58" s="3"/>
      <c r="F58" s="4" t="s">
        <v>37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>
        <v>0.46</v>
      </c>
      <c r="W58" s="3">
        <v>0.23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C59" t="s">
        <v>62</v>
      </c>
      <c r="D59" s="3"/>
      <c r="E59" s="3"/>
      <c r="F59" s="4" t="s">
        <v>37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>
        <v>0.46</v>
      </c>
      <c r="W59" s="3">
        <v>0.23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C60" t="s">
        <v>62</v>
      </c>
      <c r="D60" s="3"/>
      <c r="E60" s="3"/>
      <c r="F60" s="4" t="s">
        <v>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>
        <v>0.46</v>
      </c>
      <c r="W60" s="3">
        <v>0.23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C61" t="s">
        <v>62</v>
      </c>
      <c r="D61" s="3"/>
      <c r="E61" s="3"/>
      <c r="F61" s="4" t="s">
        <v>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>
        <v>0.46</v>
      </c>
      <c r="W61" s="3">
        <v>0.23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C62" t="s">
        <v>62</v>
      </c>
      <c r="D62" s="3"/>
      <c r="E62" s="3"/>
      <c r="F62" s="4" t="s">
        <v>37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>
        <v>0.46</v>
      </c>
      <c r="W62" s="3">
        <v>0.23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C63" t="s">
        <v>62</v>
      </c>
      <c r="D63" s="3"/>
      <c r="E63" s="3"/>
      <c r="F63" s="4" t="s">
        <v>37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>
        <v>0.46</v>
      </c>
      <c r="W63" s="3">
        <v>0.23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C64" t="s">
        <v>62</v>
      </c>
      <c r="D64" s="3"/>
      <c r="E64" s="3"/>
      <c r="F64" s="4" t="s">
        <v>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>
        <v>0.46</v>
      </c>
      <c r="W64" s="3">
        <v>0.23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C65" t="s">
        <v>62</v>
      </c>
      <c r="D65" s="3"/>
      <c r="E65" s="3"/>
      <c r="F65" s="4" t="s">
        <v>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>
        <v>0.46</v>
      </c>
      <c r="W65" s="3">
        <v>0.23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C66" t="s">
        <v>62</v>
      </c>
      <c r="D66" s="3"/>
      <c r="E66" s="3"/>
      <c r="F66" s="4" t="s">
        <v>37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C67" t="s">
        <v>62</v>
      </c>
      <c r="D67" s="3"/>
      <c r="E67" s="3"/>
      <c r="F67" s="4" t="s">
        <v>37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C68" t="s">
        <v>62</v>
      </c>
      <c r="D68" s="3"/>
      <c r="E68" s="3"/>
      <c r="F68" s="4" t="s">
        <v>37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C69" t="s">
        <v>62</v>
      </c>
      <c r="D69" s="3"/>
      <c r="E69" s="3"/>
      <c r="F69" s="4" t="s">
        <v>37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102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C72" t="s">
        <v>48</v>
      </c>
      <c r="D72" s="3"/>
      <c r="E72" s="3"/>
      <c r="F72" s="4" t="s">
        <v>37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0.5</v>
      </c>
      <c r="W72" s="3">
        <v>0.95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C73" t="s">
        <v>48</v>
      </c>
      <c r="D73" s="3"/>
      <c r="E73" s="3"/>
      <c r="F73" s="4" t="s">
        <v>37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0.5</v>
      </c>
      <c r="W73" s="3">
        <v>0.95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C74" t="s">
        <v>48</v>
      </c>
      <c r="D74" s="3"/>
      <c r="E74" s="3"/>
      <c r="F74" s="4" t="s">
        <v>37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0.5</v>
      </c>
      <c r="W74" s="3">
        <v>0.95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C75" t="s">
        <v>48</v>
      </c>
      <c r="D75" s="3"/>
      <c r="E75" s="3"/>
      <c r="F75" s="4" t="s">
        <v>37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0.5</v>
      </c>
      <c r="W75" s="3">
        <v>0.95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C76" t="s">
        <v>48</v>
      </c>
      <c r="D76" s="3"/>
      <c r="E76" s="3"/>
      <c r="F76" s="4" t="s">
        <v>37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0.5</v>
      </c>
      <c r="W76" s="3">
        <v>0.95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C77" t="s">
        <v>48</v>
      </c>
      <c r="D77" s="3"/>
      <c r="E77" s="3"/>
      <c r="F77" s="4" t="s">
        <v>37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0.5</v>
      </c>
      <c r="W77" s="3">
        <v>0.95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C78" t="s">
        <v>48</v>
      </c>
      <c r="D78" s="3"/>
      <c r="E78" s="3"/>
      <c r="F78" s="4" t="s">
        <v>37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0.5</v>
      </c>
      <c r="W78" s="3">
        <v>0.95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C79" t="s">
        <v>48</v>
      </c>
      <c r="D79" s="3"/>
      <c r="E79" s="3"/>
      <c r="F79" s="4" t="s">
        <v>37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0.5</v>
      </c>
      <c r="W79" s="3">
        <v>0.95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C80" t="s">
        <v>48</v>
      </c>
      <c r="D80" s="3"/>
      <c r="E80" s="3"/>
      <c r="F80" s="4" t="s">
        <v>37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>
        <v>0.5</v>
      </c>
      <c r="W80" s="3">
        <v>0.95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C81" t="s">
        <v>48</v>
      </c>
      <c r="D81" s="3"/>
      <c r="E81" s="3"/>
      <c r="F81" s="4" t="s">
        <v>37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>
        <v>0.5</v>
      </c>
      <c r="W81" s="3">
        <v>0.95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C82" t="s">
        <v>48</v>
      </c>
      <c r="D82" s="3"/>
      <c r="E82" s="3"/>
      <c r="F82" s="4" t="s">
        <v>37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C83" t="s">
        <v>48</v>
      </c>
      <c r="D83" s="3"/>
      <c r="E83" s="3"/>
      <c r="F83" s="4" t="s">
        <v>37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5" spans="1:57">
      <c r="A85" s="1" t="s">
        <v>103</v>
      </c>
      <c r="B85" s="1" t="s">
        <v>29</v>
      </c>
      <c r="C85" s="1" t="s">
        <v>30</v>
      </c>
      <c r="D85" s="1" t="s">
        <v>31</v>
      </c>
      <c r="E85" s="1" t="s">
        <v>36</v>
      </c>
      <c r="F85" s="1"/>
      <c r="G85" s="1">
        <v>2000</v>
      </c>
      <c r="H85" s="1">
        <v>2001</v>
      </c>
      <c r="I85" s="1">
        <v>2002</v>
      </c>
      <c r="J85" s="1">
        <v>2003</v>
      </c>
      <c r="K85" s="1">
        <v>2004</v>
      </c>
      <c r="L85" s="1">
        <v>2005</v>
      </c>
      <c r="M85" s="1">
        <v>2006</v>
      </c>
      <c r="N85" s="1">
        <v>2007</v>
      </c>
      <c r="O85" s="1">
        <v>2008</v>
      </c>
      <c r="P85" s="1">
        <v>2009</v>
      </c>
      <c r="Q85" s="1">
        <v>2010</v>
      </c>
      <c r="R85" s="1">
        <v>2011</v>
      </c>
      <c r="S85" s="1">
        <v>2012</v>
      </c>
      <c r="T85" s="1">
        <v>2013</v>
      </c>
      <c r="U85" s="1">
        <v>2014</v>
      </c>
      <c r="V85" s="1">
        <v>2015</v>
      </c>
      <c r="W85" s="1">
        <v>2016</v>
      </c>
      <c r="X85" s="1">
        <v>2017</v>
      </c>
      <c r="Y85" s="1">
        <v>2018</v>
      </c>
      <c r="Z85" s="1">
        <v>2019</v>
      </c>
      <c r="AA85" s="1">
        <v>2020</v>
      </c>
      <c r="AB85" s="1">
        <v>2021</v>
      </c>
      <c r="AC85" s="1">
        <v>2022</v>
      </c>
      <c r="AD85" s="1">
        <v>2023</v>
      </c>
      <c r="AE85" s="1">
        <v>2024</v>
      </c>
      <c r="AF85" s="1">
        <v>2025</v>
      </c>
      <c r="AG85" s="1">
        <v>2026</v>
      </c>
      <c r="AH85" s="1">
        <v>2027</v>
      </c>
      <c r="AI85" s="1">
        <v>2028</v>
      </c>
      <c r="AJ85" s="1">
        <v>2029</v>
      </c>
      <c r="AK85" s="1">
        <v>2030</v>
      </c>
      <c r="AL85" s="1">
        <v>2031</v>
      </c>
      <c r="AM85" s="1">
        <v>2032</v>
      </c>
      <c r="AN85" s="1">
        <v>2033</v>
      </c>
      <c r="AO85" s="1">
        <v>2034</v>
      </c>
      <c r="AP85" s="1">
        <v>2035</v>
      </c>
      <c r="AQ85" s="1">
        <v>2036</v>
      </c>
      <c r="AR85" s="1">
        <v>2037</v>
      </c>
      <c r="AS85" s="1">
        <v>2038</v>
      </c>
      <c r="AT85" s="1">
        <v>2039</v>
      </c>
      <c r="AU85" s="1">
        <v>2040</v>
      </c>
      <c r="AV85" s="1">
        <v>2041</v>
      </c>
      <c r="AW85" s="1">
        <v>2042</v>
      </c>
      <c r="AX85" s="1">
        <v>2043</v>
      </c>
      <c r="AY85" s="1">
        <v>2044</v>
      </c>
      <c r="AZ85" s="1">
        <v>2045</v>
      </c>
      <c r="BA85" s="1">
        <v>2046</v>
      </c>
      <c r="BB85" s="1">
        <v>2047</v>
      </c>
      <c r="BC85" s="1">
        <v>2048</v>
      </c>
      <c r="BD85" s="1">
        <v>2049</v>
      </c>
      <c r="BE85" s="1">
        <v>2050</v>
      </c>
    </row>
    <row r="86" spans="1:57">
      <c r="A86" s="1" t="str">
        <f>'Population Definitions'!$A$2</f>
        <v>PWID_males</v>
      </c>
      <c r="B86" t="s">
        <v>61</v>
      </c>
      <c r="C86" t="s">
        <v>48</v>
      </c>
      <c r="D86" s="3"/>
      <c r="E86" s="3">
        <v>0</v>
      </c>
      <c r="F86" s="4" t="s">
        <v>37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Definitions'!$A$3</f>
        <v>PWID_females</v>
      </c>
      <c r="B87" t="s">
        <v>61</v>
      </c>
      <c r="C87" t="s">
        <v>48</v>
      </c>
      <c r="D87" s="3"/>
      <c r="E87" s="3">
        <v>0</v>
      </c>
      <c r="F87" s="4" t="s">
        <v>37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Definitions'!$A$4</f>
        <v>0-9_males</v>
      </c>
      <c r="B88" t="s">
        <v>61</v>
      </c>
      <c r="C88" t="s">
        <v>48</v>
      </c>
      <c r="D88" s="3"/>
      <c r="E88" s="3">
        <v>0</v>
      </c>
      <c r="F88" s="4" t="s">
        <v>37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Definitions'!$A$5</f>
        <v>0-9_females</v>
      </c>
      <c r="B89" t="s">
        <v>61</v>
      </c>
      <c r="C89" t="s">
        <v>48</v>
      </c>
      <c r="D89" s="3"/>
      <c r="E89" s="3">
        <v>0</v>
      </c>
      <c r="F89" s="4" t="s">
        <v>37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Definitions'!$A$6</f>
        <v>10-17_males</v>
      </c>
      <c r="B90" t="s">
        <v>61</v>
      </c>
      <c r="C90" t="s">
        <v>48</v>
      </c>
      <c r="D90" s="3"/>
      <c r="E90" s="3">
        <v>0</v>
      </c>
      <c r="F90" s="4" t="s">
        <v>37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Definitions'!$A$7</f>
        <v>10-17_females</v>
      </c>
      <c r="B91" t="s">
        <v>61</v>
      </c>
      <c r="C91" t="s">
        <v>48</v>
      </c>
      <c r="D91" s="3"/>
      <c r="E91" s="3">
        <v>0</v>
      </c>
      <c r="F91" s="4" t="s">
        <v>37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Definitions'!$A$8</f>
        <v>18-64_males</v>
      </c>
      <c r="B92" t="s">
        <v>61</v>
      </c>
      <c r="C92" t="s">
        <v>48</v>
      </c>
      <c r="D92" s="3"/>
      <c r="E92" s="3">
        <v>0</v>
      </c>
      <c r="F92" s="4" t="s">
        <v>37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Definitions'!$A$9</f>
        <v>18-64_females</v>
      </c>
      <c r="B93" t="s">
        <v>61</v>
      </c>
      <c r="C93" t="s">
        <v>48</v>
      </c>
      <c r="D93" s="3"/>
      <c r="E93" s="3">
        <v>0</v>
      </c>
      <c r="F93" s="4" t="s">
        <v>37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Definitions'!$A$10</f>
        <v>65+_males</v>
      </c>
      <c r="B94" t="s">
        <v>61</v>
      </c>
      <c r="C94" t="s">
        <v>48</v>
      </c>
      <c r="D94" s="3"/>
      <c r="E94" s="3">
        <v>0</v>
      </c>
      <c r="F94" s="4" t="s">
        <v>37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Definitions'!$A$11</f>
        <v>65+_females</v>
      </c>
      <c r="B95" t="s">
        <v>61</v>
      </c>
      <c r="C95" t="s">
        <v>48</v>
      </c>
      <c r="D95" s="3"/>
      <c r="E95" s="3">
        <v>0</v>
      </c>
      <c r="F95" s="4" t="s">
        <v>37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Definitions'!$A$12</f>
        <v>Prisoners_males</v>
      </c>
      <c r="B96" t="s">
        <v>61</v>
      </c>
      <c r="C96" t="s">
        <v>48</v>
      </c>
      <c r="D96" s="3"/>
      <c r="E96" s="3">
        <v>0</v>
      </c>
      <c r="F96" s="4" t="s">
        <v>37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Definitions'!$A$13</f>
        <v>Prisoners_females</v>
      </c>
      <c r="B97" t="s">
        <v>61</v>
      </c>
      <c r="C97" t="s">
        <v>48</v>
      </c>
      <c r="D97" s="3"/>
      <c r="E97" s="3">
        <v>0</v>
      </c>
      <c r="F97" s="4" t="s">
        <v>37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8">
    <cfRule type="expression" dxfId="0" priority="97">
      <formula>COUNTIF(G58:BE58,"&lt;&gt;" &amp; "")&gt;0</formula>
    </cfRule>
    <cfRule type="expression" dxfId="1" priority="98">
      <formula>AND(COUNTIF(G58:BE58,"&lt;&gt;" &amp; "")&gt;0,NOT(ISBLANK(E58)))</formula>
    </cfRule>
  </conditionalFormatting>
  <conditionalFormatting sqref="E59">
    <cfRule type="expression" dxfId="0" priority="99">
      <formula>COUNTIF(G59:BE59,"&lt;&gt;" &amp; "")&gt;0</formula>
    </cfRule>
    <cfRule type="expression" dxfId="1" priority="100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1">
      <formula>COUNTIF(G60:BE60,"&lt;&gt;" &amp; "")&gt;0</formula>
    </cfRule>
    <cfRule type="expression" dxfId="1" priority="102">
      <formula>AND(COUNTIF(G60:BE60,"&lt;&gt;" &amp; "")&gt;0,NOT(ISBLANK(E60)))</formula>
    </cfRule>
  </conditionalFormatting>
  <conditionalFormatting sqref="E61">
    <cfRule type="expression" dxfId="0" priority="103">
      <formula>COUNTIF(G61:BE61,"&lt;&gt;" &amp; "")&gt;0</formula>
    </cfRule>
    <cfRule type="expression" dxfId="1" priority="104">
      <formula>AND(COUNTIF(G61:BE61,"&lt;&gt;" &amp; "")&gt;0,NOT(ISBLANK(E61)))</formula>
    </cfRule>
  </conditionalFormatting>
  <conditionalFormatting sqref="E62">
    <cfRule type="expression" dxfId="0" priority="105">
      <formula>COUNTIF(G62:BE62,"&lt;&gt;" &amp; "")&gt;0</formula>
    </cfRule>
    <cfRule type="expression" dxfId="1" priority="106">
      <formula>AND(COUNTIF(G62:BE62,"&lt;&gt;" &amp; "")&gt;0,NOT(ISBLANK(E62)))</formula>
    </cfRule>
  </conditionalFormatting>
  <conditionalFormatting sqref="E63">
    <cfRule type="expression" dxfId="0" priority="107">
      <formula>COUNTIF(G63:BE63,"&lt;&gt;" &amp; "")&gt;0</formula>
    </cfRule>
    <cfRule type="expression" dxfId="1" priority="108">
      <formula>AND(COUNTIF(G63:BE63,"&lt;&gt;" &amp; "")&gt;0,NOT(ISBLANK(E63)))</formula>
    </cfRule>
  </conditionalFormatting>
  <conditionalFormatting sqref="E64">
    <cfRule type="expression" dxfId="0" priority="109">
      <formula>COUNTIF(G64:BE64,"&lt;&gt;" &amp; "")&gt;0</formula>
    </cfRule>
    <cfRule type="expression" dxfId="1" priority="110">
      <formula>AND(COUNTIF(G64:BE64,"&lt;&gt;" &amp; "")&gt;0,NOT(ISBLANK(E64)))</formula>
    </cfRule>
  </conditionalFormatting>
  <conditionalFormatting sqref="E65">
    <cfRule type="expression" dxfId="0" priority="111">
      <formula>COUNTIF(G65:BE65,"&lt;&gt;" &amp; "")&gt;0</formula>
    </cfRule>
    <cfRule type="expression" dxfId="1" priority="112">
      <formula>AND(COUNTIF(G65:BE65,"&lt;&gt;" &amp; "")&gt;0,NOT(ISBLANK(E65)))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2">
    <cfRule type="expression" dxfId="0" priority="121">
      <formula>COUNTIF(G72:BE72,"&lt;&gt;" &amp; "")&gt;0</formula>
    </cfRule>
    <cfRule type="expression" dxfId="1" priority="122">
      <formula>AND(COUNTIF(G72:BE72,"&lt;&gt;" &amp; "")&gt;0,NOT(ISBLANK(E72)))</formula>
    </cfRule>
  </conditionalFormatting>
  <conditionalFormatting sqref="E73">
    <cfRule type="expression" dxfId="0" priority="123">
      <formula>COUNTIF(G73:BE73,"&lt;&gt;" &amp; "")&gt;0</formula>
    </cfRule>
    <cfRule type="expression" dxfId="1" priority="124">
      <formula>AND(COUNTIF(G73:BE73,"&lt;&gt;" &amp; "")&gt;0,NOT(ISBLANK(E73)))</formula>
    </cfRule>
  </conditionalFormatting>
  <conditionalFormatting sqref="E74">
    <cfRule type="expression" dxfId="0" priority="125">
      <formula>COUNTIF(G74:BE74,"&lt;&gt;" &amp; "")&gt;0</formula>
    </cfRule>
    <cfRule type="expression" dxfId="1" priority="126">
      <formula>AND(COUNTIF(G74:BE74,"&lt;&gt;" &amp; "")&gt;0,NOT(ISBLANK(E74)))</formula>
    </cfRule>
  </conditionalFormatting>
  <conditionalFormatting sqref="E75">
    <cfRule type="expression" dxfId="0" priority="127">
      <formula>COUNTIF(G75:BE75,"&lt;&gt;" &amp; "")&gt;0</formula>
    </cfRule>
    <cfRule type="expression" dxfId="1" priority="128">
      <formula>AND(COUNTIF(G75:BE75,"&lt;&gt;" &amp; "")&gt;0,NOT(ISBLANK(E75)))</formula>
    </cfRule>
  </conditionalFormatting>
  <conditionalFormatting sqref="E76">
    <cfRule type="expression" dxfId="0" priority="129">
      <formula>COUNTIF(G76:BE76,"&lt;&gt;" &amp; "")&gt;0</formula>
    </cfRule>
    <cfRule type="expression" dxfId="1" priority="130">
      <formula>AND(COUNTIF(G76:BE76,"&lt;&gt;" &amp; "")&gt;0,NOT(ISBLANK(E76)))</formula>
    </cfRule>
  </conditionalFormatting>
  <conditionalFormatting sqref="E77">
    <cfRule type="expression" dxfId="0" priority="131">
      <formula>COUNTIF(G77:BE77,"&lt;&gt;" &amp; "")&gt;0</formula>
    </cfRule>
    <cfRule type="expression" dxfId="1" priority="132">
      <formula>AND(COUNTIF(G77:BE77,"&lt;&gt;" &amp; "")&gt;0,NOT(ISBLANK(E77)))</formula>
    </cfRule>
  </conditionalFormatting>
  <conditionalFormatting sqref="E78">
    <cfRule type="expression" dxfId="0" priority="133">
      <formula>COUNTIF(G78:BE78,"&lt;&gt;" &amp; "")&gt;0</formula>
    </cfRule>
    <cfRule type="expression" dxfId="1" priority="134">
      <formula>AND(COUNTIF(G78:BE78,"&lt;&gt;" &amp; "")&gt;0,NOT(ISBLANK(E78)))</formula>
    </cfRule>
  </conditionalFormatting>
  <conditionalFormatting sqref="E79">
    <cfRule type="expression" dxfId="0" priority="135">
      <formula>COUNTIF(G79:BE79,"&lt;&gt;" &amp; "")&gt;0</formula>
    </cfRule>
    <cfRule type="expression" dxfId="1" priority="136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0">
    <cfRule type="expression" dxfId="0" priority="137">
      <formula>COUNTIF(G80:BE80,"&lt;&gt;" &amp; "")&gt;0</formula>
    </cfRule>
    <cfRule type="expression" dxfId="1" priority="138">
      <formula>AND(COUNTIF(G80:BE80,"&lt;&gt;" &amp; "")&gt;0,NOT(ISBLANK(E80)))</formula>
    </cfRule>
  </conditionalFormatting>
  <conditionalFormatting sqref="E81">
    <cfRule type="expression" dxfId="0" priority="139">
      <formula>COUNTIF(G81:BE81,"&lt;&gt;" &amp; "")&gt;0</formula>
    </cfRule>
    <cfRule type="expression" dxfId="1" priority="140">
      <formula>AND(COUNTIF(G81:BE81,"&lt;&gt;" &amp; "")&gt;0,NOT(ISBLANK(E81)))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6">
    <cfRule type="expression" dxfId="0" priority="145">
      <formula>COUNTIF(G86:BE86,"&lt;&gt;" &amp; "")&gt;0</formula>
    </cfRule>
    <cfRule type="expression" dxfId="1" priority="146">
      <formula>AND(COUNTIF(G86:BE86,"&lt;&gt;" &amp; "")&gt;0,NOT(ISBLANK(E86)))</formula>
    </cfRule>
  </conditionalFormatting>
  <conditionalFormatting sqref="E87">
    <cfRule type="expression" dxfId="0" priority="147">
      <formula>COUNTIF(G87:BE87,"&lt;&gt;" &amp; "")&gt;0</formula>
    </cfRule>
    <cfRule type="expression" dxfId="1" priority="148">
      <formula>AND(COUNTIF(G87:BE87,"&lt;&gt;" &amp; "")&gt;0,NOT(ISBLANK(E87)))</formula>
    </cfRule>
  </conditionalFormatting>
  <conditionalFormatting sqref="E88">
    <cfRule type="expression" dxfId="0" priority="149">
      <formula>COUNTIF(G88:BE88,"&lt;&gt;" &amp; "")&gt;0</formula>
    </cfRule>
    <cfRule type="expression" dxfId="1" priority="150">
      <formula>AND(COUNTIF(G88:BE88,"&lt;&gt;" &amp; "")&gt;0,NOT(ISBLANK(E88)))</formula>
    </cfRule>
  </conditionalFormatting>
  <conditionalFormatting sqref="E89">
    <cfRule type="expression" dxfId="0" priority="151">
      <formula>COUNTIF(G89:BE89,"&lt;&gt;" &amp; "")&gt;0</formula>
    </cfRule>
    <cfRule type="expression" dxfId="1" priority="152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3">
      <formula>COUNTIF(G90:BE90,"&lt;&gt;" &amp; "")&gt;0</formula>
    </cfRule>
    <cfRule type="expression" dxfId="1" priority="154">
      <formula>AND(COUNTIF(G90:BE90,"&lt;&gt;" &amp; "")&gt;0,NOT(ISBLANK(E90)))</formula>
    </cfRule>
  </conditionalFormatting>
  <conditionalFormatting sqref="E91">
    <cfRule type="expression" dxfId="0" priority="155">
      <formula>COUNTIF(G91:BE91,"&lt;&gt;" &amp; "")&gt;0</formula>
    </cfRule>
    <cfRule type="expression" dxfId="1" priority="156">
      <formula>AND(COUNTIF(G91:BE91,"&lt;&gt;" &amp; "")&gt;0,NOT(ISBLANK(E91)))</formula>
    </cfRule>
  </conditionalFormatting>
  <conditionalFormatting sqref="E92">
    <cfRule type="expression" dxfId="0" priority="157">
      <formula>COUNTIF(G92:BE92,"&lt;&gt;" &amp; "")&gt;0</formula>
    </cfRule>
    <cfRule type="expression" dxfId="1" priority="158">
      <formula>AND(COUNTIF(G92:BE92,"&lt;&gt;" &amp; "")&gt;0,NOT(ISBLANK(E92)))</formula>
    </cfRule>
  </conditionalFormatting>
  <conditionalFormatting sqref="E93">
    <cfRule type="expression" dxfId="0" priority="159">
      <formula>COUNTIF(G93:BE93,"&lt;&gt;" &amp; "")&gt;0</formula>
    </cfRule>
    <cfRule type="expression" dxfId="1" priority="160">
      <formula>AND(COUNTIF(G93:BE93,"&lt;&gt;" &amp; "")&gt;0,NOT(ISBLANK(E93)))</formula>
    </cfRule>
  </conditionalFormatting>
  <conditionalFormatting sqref="E94">
    <cfRule type="expression" dxfId="0" priority="161">
      <formula>COUNTIF(G94:BE94,"&lt;&gt;" &amp; "")&gt;0</formula>
    </cfRule>
    <cfRule type="expression" dxfId="1" priority="162">
      <formula>AND(COUNTIF(G94:BE94,"&lt;&gt;" &amp; "")&gt;0,NOT(ISBLANK(E94)))</formula>
    </cfRule>
  </conditionalFormatting>
  <conditionalFormatting sqref="E95">
    <cfRule type="expression" dxfId="0" priority="163">
      <formula>COUNTIF(G95:BE95,"&lt;&gt;" &amp; "")&gt;0</formula>
    </cfRule>
    <cfRule type="expression" dxfId="1" priority="164">
      <formula>AND(COUNTIF(G95:BE95,"&lt;&gt;" &amp; "")&gt;0,NOT(ISBLANK(E95)))</formula>
    </cfRule>
  </conditionalFormatting>
  <conditionalFormatting sqref="E96">
    <cfRule type="expression" dxfId="0" priority="165">
      <formula>COUNTIF(G96:BE96,"&lt;&gt;" &amp; "")&gt;0</formula>
    </cfRule>
    <cfRule type="expression" dxfId="1" priority="166">
      <formula>AND(COUNTIF(G96:BE96,"&lt;&gt;" &amp; "")&gt;0,NOT(ISBLANK(E96)))</formula>
    </cfRule>
  </conditionalFormatting>
  <conditionalFormatting sqref="E97">
    <cfRule type="expression" dxfId="0" priority="167">
      <formula>COUNTIF(G97:BE97,"&lt;&gt;" &amp; "")&gt;0</formula>
    </cfRule>
    <cfRule type="expression" dxfId="1" priority="168">
      <formula>AND(COUNTIF(G97:BE97,"&lt;&gt;" &amp; "")&gt;0,NOT(ISBLANK(E97)))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  <dataValidation type="list" allowBlank="1" showInputMessage="1" showErrorMessage="1" sqref="C64">
      <formula1>"Duration (years)"</formula1>
    </dataValidation>
    <dataValidation type="list" allowBlank="1" showInputMessage="1" showErrorMessage="1" sqref="C65">
      <formula1>"Duration (years)"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55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104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53</v>
      </c>
      <c r="D2" s="3"/>
      <c r="E2" s="3">
        <v>0.45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53</v>
      </c>
      <c r="D3" s="3"/>
      <c r="E3" s="3">
        <v>0.45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53</v>
      </c>
      <c r="D4" s="3"/>
      <c r="E4" s="3">
        <v>0.45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53</v>
      </c>
      <c r="D5" s="3"/>
      <c r="E5" s="3">
        <v>0.45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53</v>
      </c>
      <c r="D6" s="3"/>
      <c r="E6" s="3">
        <v>0.45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53</v>
      </c>
      <c r="D7" s="3"/>
      <c r="E7" s="3">
        <v>0.45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53</v>
      </c>
      <c r="D8" s="3"/>
      <c r="E8" s="3">
        <v>0.45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53</v>
      </c>
      <c r="D9" s="3"/>
      <c r="E9" s="3">
        <v>0.45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53</v>
      </c>
      <c r="D10" s="3"/>
      <c r="E10" s="3">
        <v>0.45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53</v>
      </c>
      <c r="D11" s="3"/>
      <c r="E11" s="3">
        <v>0.45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53</v>
      </c>
      <c r="D12" s="3"/>
      <c r="E12" s="3">
        <v>0.45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53</v>
      </c>
      <c r="D13" s="3"/>
      <c r="E13" s="3">
        <v>0.45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105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C16" t="s">
        <v>53</v>
      </c>
      <c r="D16" s="3"/>
      <c r="E16" s="3">
        <v>0.328548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C17" t="s">
        <v>53</v>
      </c>
      <c r="D17" s="3"/>
      <c r="E17" s="3">
        <v>0.328548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C18" t="s">
        <v>53</v>
      </c>
      <c r="D18" s="3"/>
      <c r="E18" s="3">
        <v>0.328548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C19" t="s">
        <v>53</v>
      </c>
      <c r="D19" s="3"/>
      <c r="E19" s="3">
        <v>0.328548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C20" t="s">
        <v>53</v>
      </c>
      <c r="D20" s="3"/>
      <c r="E20" s="3">
        <v>0.328548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C21" t="s">
        <v>53</v>
      </c>
      <c r="D21" s="3"/>
      <c r="E21" s="3">
        <v>0.328548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C22" t="s">
        <v>53</v>
      </c>
      <c r="D22" s="3"/>
      <c r="E22" s="3">
        <v>0.328548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C23" t="s">
        <v>53</v>
      </c>
      <c r="D23" s="3"/>
      <c r="E23" s="3">
        <v>0.328548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C24" t="s">
        <v>53</v>
      </c>
      <c r="D24" s="3"/>
      <c r="E24" s="3">
        <v>0.328548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C25" t="s">
        <v>53</v>
      </c>
      <c r="D25" s="3"/>
      <c r="E25" s="3">
        <v>0.328548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C26" t="s">
        <v>53</v>
      </c>
      <c r="D26" s="3"/>
      <c r="E26" s="3">
        <v>0.328548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C27" t="s">
        <v>53</v>
      </c>
      <c r="D27" s="3"/>
      <c r="E27" s="3">
        <v>0.328548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106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B30" t="s">
        <v>61</v>
      </c>
      <c r="C30" t="s">
        <v>62</v>
      </c>
      <c r="D30" s="3"/>
      <c r="E30" s="3">
        <v>1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B31" t="s">
        <v>61</v>
      </c>
      <c r="C31" t="s">
        <v>62</v>
      </c>
      <c r="D31" s="3"/>
      <c r="E31" s="3">
        <v>1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B32" t="s">
        <v>61</v>
      </c>
      <c r="C32" t="s">
        <v>62</v>
      </c>
      <c r="D32" s="3"/>
      <c r="E32" s="3">
        <v>1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B33" t="s">
        <v>61</v>
      </c>
      <c r="C33" t="s">
        <v>62</v>
      </c>
      <c r="D33" s="3"/>
      <c r="E33" s="3">
        <v>1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B34" t="s">
        <v>61</v>
      </c>
      <c r="C34" t="s">
        <v>62</v>
      </c>
      <c r="D34" s="3"/>
      <c r="E34" s="3">
        <v>1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B35" t="s">
        <v>61</v>
      </c>
      <c r="C35" t="s">
        <v>62</v>
      </c>
      <c r="D35" s="3"/>
      <c r="E35" s="3">
        <v>1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B36" t="s">
        <v>61</v>
      </c>
      <c r="C36" t="s">
        <v>62</v>
      </c>
      <c r="D36" s="3"/>
      <c r="E36" s="3">
        <v>1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B37" t="s">
        <v>61</v>
      </c>
      <c r="C37" t="s">
        <v>62</v>
      </c>
      <c r="D37" s="3"/>
      <c r="E37" s="3">
        <v>1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B38" t="s">
        <v>61</v>
      </c>
      <c r="C38" t="s">
        <v>62</v>
      </c>
      <c r="D38" s="3"/>
      <c r="E38" s="3">
        <v>1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B39" t="s">
        <v>61</v>
      </c>
      <c r="C39" t="s">
        <v>62</v>
      </c>
      <c r="D39" s="3"/>
      <c r="E39" s="3">
        <v>1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B40" t="s">
        <v>61</v>
      </c>
      <c r="C40" t="s">
        <v>62</v>
      </c>
      <c r="D40" s="3"/>
      <c r="E40" s="3">
        <v>1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B41" t="s">
        <v>61</v>
      </c>
      <c r="C41" t="s">
        <v>62</v>
      </c>
      <c r="D41" s="3"/>
      <c r="E41" s="3">
        <v>1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107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B44" t="s">
        <v>61</v>
      </c>
      <c r="C44" t="s">
        <v>62</v>
      </c>
      <c r="D44" s="3"/>
      <c r="E44" s="3">
        <v>1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B45" t="s">
        <v>61</v>
      </c>
      <c r="C45" t="s">
        <v>62</v>
      </c>
      <c r="D45" s="3"/>
      <c r="E45" s="3">
        <v>1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B46" t="s">
        <v>61</v>
      </c>
      <c r="C46" t="s">
        <v>62</v>
      </c>
      <c r="D46" s="3"/>
      <c r="E46" s="3">
        <v>1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B47" t="s">
        <v>61</v>
      </c>
      <c r="C47" t="s">
        <v>62</v>
      </c>
      <c r="D47" s="3"/>
      <c r="E47" s="3">
        <v>1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B48" t="s">
        <v>61</v>
      </c>
      <c r="C48" t="s">
        <v>62</v>
      </c>
      <c r="D48" s="3"/>
      <c r="E48" s="3">
        <v>1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B49" t="s">
        <v>61</v>
      </c>
      <c r="C49" t="s">
        <v>62</v>
      </c>
      <c r="D49" s="3"/>
      <c r="E49" s="3">
        <v>1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B50" t="s">
        <v>61</v>
      </c>
      <c r="C50" t="s">
        <v>62</v>
      </c>
      <c r="D50" s="3"/>
      <c r="E50" s="3">
        <v>1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B51" t="s">
        <v>61</v>
      </c>
      <c r="C51" t="s">
        <v>62</v>
      </c>
      <c r="D51" s="3"/>
      <c r="E51" s="3">
        <v>1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B52" t="s">
        <v>61</v>
      </c>
      <c r="C52" t="s">
        <v>62</v>
      </c>
      <c r="D52" s="3"/>
      <c r="E52" s="3">
        <v>1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B53" t="s">
        <v>61</v>
      </c>
      <c r="C53" t="s">
        <v>62</v>
      </c>
      <c r="D53" s="3"/>
      <c r="E53" s="3">
        <v>1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B54" t="s">
        <v>61</v>
      </c>
      <c r="C54" t="s">
        <v>62</v>
      </c>
      <c r="D54" s="3"/>
      <c r="E54" s="3">
        <v>1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B55" t="s">
        <v>61</v>
      </c>
      <c r="C55" t="s">
        <v>62</v>
      </c>
      <c r="D55" s="3"/>
      <c r="E55" s="3">
        <v>1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48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6">
      <formula1>"Rate (per year)"</formula1>
    </dataValidation>
    <dataValidation type="list" allowBlank="1" showInputMessage="1" showErrorMessage="1" sqref="C17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2">
      <formula1>"Duration (years)"</formula1>
    </dataValidation>
    <dataValidation type="list" allowBlank="1" showInputMessage="1" showErrorMessage="1" sqref="C33">
      <formula1>"Duration (years)"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48">
      <formula1>"Duration (years)"</formula1>
    </dataValidation>
    <dataValidation type="list" allowBlank="1" showInputMessage="1" showErrorMessage="1" sqref="C49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54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7">
      <c r="A1" s="1" t="s">
        <v>108</v>
      </c>
      <c r="B1" s="1" t="s">
        <v>29</v>
      </c>
      <c r="C1" s="1" t="s">
        <v>30</v>
      </c>
      <c r="D1" s="1" t="s">
        <v>31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7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7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7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7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7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7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7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7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7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7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7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7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7">
      <c r="A14" s="1" t="s">
        <v>109</v>
      </c>
      <c r="C14" t="s">
        <v>34</v>
      </c>
      <c r="D14" s="3"/>
      <c r="E14" s="3">
        <v>0.001666666666666667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>
        <v>0.005</v>
      </c>
      <c r="U14" s="3">
        <v>0.005</v>
      </c>
      <c r="V14" s="3">
        <v>0.005</v>
      </c>
      <c r="W14" s="3">
        <v>0.005</v>
      </c>
      <c r="X14" s="3">
        <v>0.005</v>
      </c>
      <c r="Y14" s="3">
        <v>0.005</v>
      </c>
      <c r="Z14" s="3">
        <v>0.005</v>
      </c>
      <c r="AA14" s="3">
        <v>0.005</v>
      </c>
      <c r="AB14" s="3">
        <v>0.005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6" spans="1:57">
      <c r="A16" s="1" t="s">
        <v>110</v>
      </c>
      <c r="B16" s="1" t="s">
        <v>29</v>
      </c>
      <c r="C16" s="1" t="s">
        <v>30</v>
      </c>
      <c r="D16" s="1" t="s">
        <v>31</v>
      </c>
      <c r="E16" s="1" t="s">
        <v>36</v>
      </c>
      <c r="F16" s="1"/>
      <c r="G16" s="1">
        <v>2000</v>
      </c>
      <c r="H16" s="1">
        <v>2001</v>
      </c>
      <c r="I16" s="1">
        <v>2002</v>
      </c>
      <c r="J16" s="1">
        <v>2003</v>
      </c>
      <c r="K16" s="1">
        <v>2004</v>
      </c>
      <c r="L16" s="1">
        <v>2005</v>
      </c>
      <c r="M16" s="1">
        <v>2006</v>
      </c>
      <c r="N16" s="1">
        <v>2007</v>
      </c>
      <c r="O16" s="1">
        <v>2008</v>
      </c>
      <c r="P16" s="1">
        <v>2009</v>
      </c>
      <c r="Q16" s="1">
        <v>2010</v>
      </c>
      <c r="R16" s="1">
        <v>2011</v>
      </c>
      <c r="S16" s="1">
        <v>2012</v>
      </c>
      <c r="T16" s="1">
        <v>2013</v>
      </c>
      <c r="U16" s="1">
        <v>2014</v>
      </c>
      <c r="V16" s="1">
        <v>2015</v>
      </c>
      <c r="W16" s="1">
        <v>2016</v>
      </c>
      <c r="X16" s="1">
        <v>2017</v>
      </c>
      <c r="Y16" s="1">
        <v>2018</v>
      </c>
      <c r="Z16" s="1">
        <v>2019</v>
      </c>
      <c r="AA16" s="1">
        <v>2020</v>
      </c>
      <c r="AB16" s="1">
        <v>2021</v>
      </c>
      <c r="AC16" s="1">
        <v>2022</v>
      </c>
      <c r="AD16" s="1">
        <v>2023</v>
      </c>
      <c r="AE16" s="1">
        <v>2024</v>
      </c>
      <c r="AF16" s="1">
        <v>2025</v>
      </c>
      <c r="AG16" s="1">
        <v>2026</v>
      </c>
      <c r="AH16" s="1">
        <v>2027</v>
      </c>
      <c r="AI16" s="1">
        <v>2028</v>
      </c>
      <c r="AJ16" s="1">
        <v>2029</v>
      </c>
      <c r="AK16" s="1">
        <v>2030</v>
      </c>
      <c r="AL16" s="1">
        <v>2031</v>
      </c>
      <c r="AM16" s="1">
        <v>2032</v>
      </c>
      <c r="AN16" s="1">
        <v>2033</v>
      </c>
      <c r="AO16" s="1">
        <v>2034</v>
      </c>
      <c r="AP16" s="1">
        <v>2035</v>
      </c>
      <c r="AQ16" s="1">
        <v>2036</v>
      </c>
      <c r="AR16" s="1">
        <v>2037</v>
      </c>
      <c r="AS16" s="1">
        <v>2038</v>
      </c>
      <c r="AT16" s="1">
        <v>2039</v>
      </c>
      <c r="AU16" s="1">
        <v>2040</v>
      </c>
      <c r="AV16" s="1">
        <v>2041</v>
      </c>
      <c r="AW16" s="1">
        <v>2042</v>
      </c>
      <c r="AX16" s="1">
        <v>2043</v>
      </c>
      <c r="AY16" s="1">
        <v>2044</v>
      </c>
      <c r="AZ16" s="1">
        <v>2045</v>
      </c>
      <c r="BA16" s="1">
        <v>2046</v>
      </c>
      <c r="BB16" s="1">
        <v>2047</v>
      </c>
      <c r="BC16" s="1">
        <v>2048</v>
      </c>
      <c r="BD16" s="1">
        <v>2049</v>
      </c>
      <c r="BE16" s="1">
        <v>2050</v>
      </c>
    </row>
    <row r="17" spans="1:57">
      <c r="A17" s="1" t="str">
        <f>'Population Definitions'!$A$2</f>
        <v>PWID_males</v>
      </c>
      <c r="C17" t="s">
        <v>32</v>
      </c>
      <c r="D17" s="3"/>
      <c r="E17" s="3"/>
      <c r="F17" s="4" t="s">
        <v>37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Definitions'!$A$3</f>
        <v>PWID_females</v>
      </c>
      <c r="C18" t="s">
        <v>32</v>
      </c>
      <c r="D18" s="3"/>
      <c r="E18" s="3"/>
      <c r="F18" s="4" t="s">
        <v>37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Definitions'!$A$4</f>
        <v>0-9_males</v>
      </c>
      <c r="C19" t="s">
        <v>32</v>
      </c>
      <c r="D19" s="3"/>
      <c r="E19" s="3"/>
      <c r="F19" s="4" t="s">
        <v>37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Definitions'!$A$5</f>
        <v>0-9_females</v>
      </c>
      <c r="C20" t="s">
        <v>32</v>
      </c>
      <c r="D20" s="3"/>
      <c r="E20" s="3"/>
      <c r="F20" s="4" t="s">
        <v>37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Definitions'!$A$6</f>
        <v>10-17_males</v>
      </c>
      <c r="C21" t="s">
        <v>32</v>
      </c>
      <c r="D21" s="3"/>
      <c r="E21" s="3"/>
      <c r="F21" s="4" t="s">
        <v>37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Definitions'!$A$7</f>
        <v>10-17_females</v>
      </c>
      <c r="C22" t="s">
        <v>32</v>
      </c>
      <c r="D22" s="3"/>
      <c r="E22" s="3"/>
      <c r="F22" s="4" t="s">
        <v>37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Definitions'!$A$8</f>
        <v>18-64_males</v>
      </c>
      <c r="C23" t="s">
        <v>32</v>
      </c>
      <c r="D23" s="3"/>
      <c r="E23" s="3"/>
      <c r="F23" s="4" t="s">
        <v>37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Definitions'!$A$9</f>
        <v>18-64_females</v>
      </c>
      <c r="C24" t="s">
        <v>32</v>
      </c>
      <c r="D24" s="3"/>
      <c r="E24" s="3"/>
      <c r="F24" s="4" t="s">
        <v>37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Definitions'!$A$10</f>
        <v>65+_males</v>
      </c>
      <c r="C25" t="s">
        <v>32</v>
      </c>
      <c r="D25" s="3"/>
      <c r="E25" s="3"/>
      <c r="F25" s="4" t="s">
        <v>37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Definitions'!$A$11</f>
        <v>65+_females</v>
      </c>
      <c r="C26" t="s">
        <v>32</v>
      </c>
      <c r="D26" s="3"/>
      <c r="E26" s="3"/>
      <c r="F26" s="4" t="s">
        <v>37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Definitions'!$A$12</f>
        <v>Prisoners_males</v>
      </c>
      <c r="C27" t="s">
        <v>32</v>
      </c>
      <c r="D27" s="3"/>
      <c r="E27" s="3"/>
      <c r="F27" s="4" t="s">
        <v>37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Definitions'!$A$13</f>
        <v>Prisoners_females</v>
      </c>
      <c r="C28" t="s">
        <v>32</v>
      </c>
      <c r="D28" s="3"/>
      <c r="E28" s="3"/>
      <c r="F28" s="4" t="s">
        <v>37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">
        <v>109</v>
      </c>
      <c r="C29" t="s">
        <v>32</v>
      </c>
      <c r="D29" s="3"/>
      <c r="E29" s="3"/>
      <c r="F29" s="4" t="s">
        <v>37</v>
      </c>
      <c r="G29" s="3">
        <v>10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1" spans="1:57">
      <c r="A31" s="1" t="s">
        <v>111</v>
      </c>
      <c r="B31" s="1" t="s">
        <v>29</v>
      </c>
      <c r="C31" s="1" t="s">
        <v>30</v>
      </c>
      <c r="D31" s="1" t="s">
        <v>31</v>
      </c>
      <c r="E31" s="1" t="s">
        <v>36</v>
      </c>
      <c r="F31" s="1"/>
      <c r="G31" s="1">
        <v>2000</v>
      </c>
      <c r="H31" s="1">
        <v>2001</v>
      </c>
      <c r="I31" s="1">
        <v>2002</v>
      </c>
      <c r="J31" s="1">
        <v>2003</v>
      </c>
      <c r="K31" s="1">
        <v>2004</v>
      </c>
      <c r="L31" s="1">
        <v>2005</v>
      </c>
      <c r="M31" s="1">
        <v>2006</v>
      </c>
      <c r="N31" s="1">
        <v>2007</v>
      </c>
      <c r="O31" s="1">
        <v>2008</v>
      </c>
      <c r="P31" s="1">
        <v>2009</v>
      </c>
      <c r="Q31" s="1">
        <v>2010</v>
      </c>
      <c r="R31" s="1">
        <v>2011</v>
      </c>
      <c r="S31" s="1">
        <v>2012</v>
      </c>
      <c r="T31" s="1">
        <v>2013</v>
      </c>
      <c r="U31" s="1">
        <v>2014</v>
      </c>
      <c r="V31" s="1">
        <v>2015</v>
      </c>
      <c r="W31" s="1">
        <v>2016</v>
      </c>
      <c r="X31" s="1">
        <v>2017</v>
      </c>
      <c r="Y31" s="1">
        <v>2018</v>
      </c>
      <c r="Z31" s="1">
        <v>2019</v>
      </c>
      <c r="AA31" s="1">
        <v>2020</v>
      </c>
      <c r="AB31" s="1">
        <v>2021</v>
      </c>
      <c r="AC31" s="1">
        <v>2022</v>
      </c>
      <c r="AD31" s="1">
        <v>2023</v>
      </c>
      <c r="AE31" s="1">
        <v>2024</v>
      </c>
      <c r="AF31" s="1">
        <v>2025</v>
      </c>
      <c r="AG31" s="1">
        <v>2026</v>
      </c>
      <c r="AH31" s="1">
        <v>2027</v>
      </c>
      <c r="AI31" s="1">
        <v>2028</v>
      </c>
      <c r="AJ31" s="1">
        <v>2029</v>
      </c>
      <c r="AK31" s="1">
        <v>2030</v>
      </c>
      <c r="AL31" s="1">
        <v>2031</v>
      </c>
      <c r="AM31" s="1">
        <v>2032</v>
      </c>
      <c r="AN31" s="1">
        <v>2033</v>
      </c>
      <c r="AO31" s="1">
        <v>2034</v>
      </c>
      <c r="AP31" s="1">
        <v>2035</v>
      </c>
      <c r="AQ31" s="1">
        <v>2036</v>
      </c>
      <c r="AR31" s="1">
        <v>2037</v>
      </c>
      <c r="AS31" s="1">
        <v>2038</v>
      </c>
      <c r="AT31" s="1">
        <v>2039</v>
      </c>
      <c r="AU31" s="1">
        <v>2040</v>
      </c>
      <c r="AV31" s="1">
        <v>2041</v>
      </c>
      <c r="AW31" s="1">
        <v>2042</v>
      </c>
      <c r="AX31" s="1">
        <v>2043</v>
      </c>
      <c r="AY31" s="1">
        <v>2044</v>
      </c>
      <c r="AZ31" s="1">
        <v>2045</v>
      </c>
      <c r="BA31" s="1">
        <v>2046</v>
      </c>
      <c r="BB31" s="1">
        <v>2047</v>
      </c>
      <c r="BC31" s="1">
        <v>2048</v>
      </c>
      <c r="BD31" s="1">
        <v>2049</v>
      </c>
      <c r="BE31" s="1">
        <v>2050</v>
      </c>
    </row>
    <row r="32" spans="1:57">
      <c r="A32" s="1" t="str">
        <f>'Population Definitions'!$A$2</f>
        <v>PWID_males</v>
      </c>
      <c r="C32" t="s">
        <v>32</v>
      </c>
      <c r="D32" s="3"/>
      <c r="E32" s="3"/>
      <c r="F32" s="4" t="s">
        <v>37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Definitions'!$A$3</f>
        <v>PWID_females</v>
      </c>
      <c r="C33" t="s">
        <v>32</v>
      </c>
      <c r="D33" s="3"/>
      <c r="E33" s="3"/>
      <c r="F33" s="4" t="s">
        <v>37</v>
      </c>
      <c r="G33" s="3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Definitions'!$A$4</f>
        <v>0-9_males</v>
      </c>
      <c r="C34" t="s">
        <v>32</v>
      </c>
      <c r="D34" s="3"/>
      <c r="E34" s="3"/>
      <c r="F34" s="4" t="s">
        <v>37</v>
      </c>
      <c r="G34" s="3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Definitions'!$A$5</f>
        <v>0-9_females</v>
      </c>
      <c r="C35" t="s">
        <v>32</v>
      </c>
      <c r="D35" s="3"/>
      <c r="E35" s="3"/>
      <c r="F35" s="4" t="s">
        <v>37</v>
      </c>
      <c r="G35" s="3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Definitions'!$A$6</f>
        <v>10-17_males</v>
      </c>
      <c r="C36" t="s">
        <v>32</v>
      </c>
      <c r="D36" s="3"/>
      <c r="E36" s="3"/>
      <c r="F36" s="4" t="s">
        <v>37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Definitions'!$A$7</f>
        <v>10-17_females</v>
      </c>
      <c r="C37" t="s">
        <v>32</v>
      </c>
      <c r="D37" s="3"/>
      <c r="E37" s="3"/>
      <c r="F37" s="4" t="s">
        <v>37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Definitions'!$A$8</f>
        <v>18-64_males</v>
      </c>
      <c r="C38" t="s">
        <v>32</v>
      </c>
      <c r="D38" s="3"/>
      <c r="E38" s="3"/>
      <c r="F38" s="4" t="s">
        <v>37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Definitions'!$A$9</f>
        <v>18-64_females</v>
      </c>
      <c r="C39" t="s">
        <v>32</v>
      </c>
      <c r="D39" s="3"/>
      <c r="E39" s="3"/>
      <c r="F39" s="4" t="s">
        <v>37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Definitions'!$A$10</f>
        <v>65+_males</v>
      </c>
      <c r="C40" t="s">
        <v>32</v>
      </c>
      <c r="D40" s="3"/>
      <c r="E40" s="3"/>
      <c r="F40" s="4" t="s">
        <v>37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Definitions'!$A$11</f>
        <v>65+_females</v>
      </c>
      <c r="C41" t="s">
        <v>32</v>
      </c>
      <c r="D41" s="3"/>
      <c r="E41" s="3"/>
      <c r="F41" s="4" t="s">
        <v>37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Definitions'!$A$12</f>
        <v>Prisoners_males</v>
      </c>
      <c r="C42" t="s">
        <v>32</v>
      </c>
      <c r="D42" s="3"/>
      <c r="E42" s="3"/>
      <c r="F42" s="4" t="s">
        <v>37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Definitions'!$A$13</f>
        <v>Prisoners_females</v>
      </c>
      <c r="C43" t="s">
        <v>32</v>
      </c>
      <c r="D43" s="3"/>
      <c r="E43" s="3"/>
      <c r="F43" s="4" t="s">
        <v>37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">
        <v>109</v>
      </c>
      <c r="C44" t="s">
        <v>32</v>
      </c>
      <c r="D44" s="3"/>
      <c r="E44" s="3"/>
      <c r="F44" s="4" t="s">
        <v>37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6" spans="1:57">
      <c r="A46" s="1" t="s">
        <v>112</v>
      </c>
      <c r="B46" s="1" t="s">
        <v>29</v>
      </c>
      <c r="C46" s="1" t="s">
        <v>30</v>
      </c>
      <c r="D46" s="1" t="s">
        <v>31</v>
      </c>
      <c r="E46" s="1" t="s">
        <v>36</v>
      </c>
      <c r="F46" s="1"/>
      <c r="G46" s="1">
        <v>2000</v>
      </c>
      <c r="H46" s="1">
        <v>2001</v>
      </c>
      <c r="I46" s="1">
        <v>2002</v>
      </c>
      <c r="J46" s="1">
        <v>2003</v>
      </c>
      <c r="K46" s="1">
        <v>2004</v>
      </c>
      <c r="L46" s="1">
        <v>2005</v>
      </c>
      <c r="M46" s="1">
        <v>2006</v>
      </c>
      <c r="N46" s="1">
        <v>2007</v>
      </c>
      <c r="O46" s="1">
        <v>2008</v>
      </c>
      <c r="P46" s="1">
        <v>2009</v>
      </c>
      <c r="Q46" s="1">
        <v>2010</v>
      </c>
      <c r="R46" s="1">
        <v>2011</v>
      </c>
      <c r="S46" s="1">
        <v>2012</v>
      </c>
      <c r="T46" s="1">
        <v>2013</v>
      </c>
      <c r="U46" s="1">
        <v>2014</v>
      </c>
      <c r="V46" s="1">
        <v>2015</v>
      </c>
      <c r="W46" s="1">
        <v>2016</v>
      </c>
      <c r="X46" s="1">
        <v>2017</v>
      </c>
      <c r="Y46" s="1">
        <v>2018</v>
      </c>
      <c r="Z46" s="1">
        <v>2019</v>
      </c>
      <c r="AA46" s="1">
        <v>2020</v>
      </c>
      <c r="AB46" s="1">
        <v>2021</v>
      </c>
      <c r="AC46" s="1">
        <v>2022</v>
      </c>
      <c r="AD46" s="1">
        <v>2023</v>
      </c>
      <c r="AE46" s="1">
        <v>2024</v>
      </c>
      <c r="AF46" s="1">
        <v>2025</v>
      </c>
      <c r="AG46" s="1">
        <v>2026</v>
      </c>
      <c r="AH46" s="1">
        <v>2027</v>
      </c>
      <c r="AI46" s="1">
        <v>2028</v>
      </c>
      <c r="AJ46" s="1">
        <v>2029</v>
      </c>
      <c r="AK46" s="1">
        <v>2030</v>
      </c>
      <c r="AL46" s="1">
        <v>2031</v>
      </c>
      <c r="AM46" s="1">
        <v>2032</v>
      </c>
      <c r="AN46" s="1">
        <v>2033</v>
      </c>
      <c r="AO46" s="1">
        <v>2034</v>
      </c>
      <c r="AP46" s="1">
        <v>2035</v>
      </c>
      <c r="AQ46" s="1">
        <v>2036</v>
      </c>
      <c r="AR46" s="1">
        <v>2037</v>
      </c>
      <c r="AS46" s="1">
        <v>2038</v>
      </c>
      <c r="AT46" s="1">
        <v>2039</v>
      </c>
      <c r="AU46" s="1">
        <v>2040</v>
      </c>
      <c r="AV46" s="1">
        <v>2041</v>
      </c>
      <c r="AW46" s="1">
        <v>2042</v>
      </c>
      <c r="AX46" s="1">
        <v>2043</v>
      </c>
      <c r="AY46" s="1">
        <v>2044</v>
      </c>
      <c r="AZ46" s="1">
        <v>2045</v>
      </c>
      <c r="BA46" s="1">
        <v>2046</v>
      </c>
      <c r="BB46" s="1">
        <v>2047</v>
      </c>
      <c r="BC46" s="1">
        <v>2048</v>
      </c>
      <c r="BD46" s="1">
        <v>2049</v>
      </c>
      <c r="BE46" s="1">
        <v>2050</v>
      </c>
    </row>
    <row r="47" spans="1:57">
      <c r="A47" s="1" t="str">
        <f>'Population Definitions'!$A$2</f>
        <v>PWID_males</v>
      </c>
      <c r="C47" t="s">
        <v>32</v>
      </c>
      <c r="D47" s="3"/>
      <c r="E47" s="3"/>
      <c r="F47" s="4" t="s">
        <v>37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Definitions'!$A$3</f>
        <v>PWID_females</v>
      </c>
      <c r="C48" t="s">
        <v>32</v>
      </c>
      <c r="D48" s="3"/>
      <c r="E48" s="3"/>
      <c r="F48" s="4" t="s">
        <v>37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Definitions'!$A$4</f>
        <v>0-9_males</v>
      </c>
      <c r="C49" t="s">
        <v>32</v>
      </c>
      <c r="D49" s="3"/>
      <c r="E49" s="3"/>
      <c r="F49" s="4" t="s">
        <v>37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Definitions'!$A$5</f>
        <v>0-9_females</v>
      </c>
      <c r="C50" t="s">
        <v>32</v>
      </c>
      <c r="D50" s="3"/>
      <c r="E50" s="3"/>
      <c r="F50" s="4" t="s">
        <v>37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Definitions'!$A$6</f>
        <v>10-17_males</v>
      </c>
      <c r="C51" t="s">
        <v>32</v>
      </c>
      <c r="D51" s="3"/>
      <c r="E51" s="3"/>
      <c r="F51" s="4" t="s">
        <v>37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Definitions'!$A$7</f>
        <v>10-17_females</v>
      </c>
      <c r="C52" t="s">
        <v>32</v>
      </c>
      <c r="D52" s="3"/>
      <c r="E52" s="3"/>
      <c r="F52" s="4" t="s">
        <v>37</v>
      </c>
      <c r="G52" s="3">
        <v>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Definitions'!$A$8</f>
        <v>18-64_males</v>
      </c>
      <c r="C53" t="s">
        <v>32</v>
      </c>
      <c r="D53" s="3"/>
      <c r="E53" s="3"/>
      <c r="F53" s="4" t="s">
        <v>37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Definitions'!$A$9</f>
        <v>18-64_females</v>
      </c>
      <c r="C54" t="s">
        <v>32</v>
      </c>
      <c r="D54" s="3"/>
      <c r="E54" s="3"/>
      <c r="F54" s="4" t="s">
        <v>37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Definitions'!$A$10</f>
        <v>65+_males</v>
      </c>
      <c r="C55" t="s">
        <v>32</v>
      </c>
      <c r="D55" s="3"/>
      <c r="E55" s="3"/>
      <c r="F55" s="4" t="s">
        <v>37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Definitions'!$A$11</f>
        <v>65+_females</v>
      </c>
      <c r="C56" t="s">
        <v>32</v>
      </c>
      <c r="D56" s="3"/>
      <c r="E56" s="3"/>
      <c r="F56" s="4" t="s">
        <v>37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Definitions'!$A$12</f>
        <v>Prisoners_males</v>
      </c>
      <c r="C57" t="s">
        <v>32</v>
      </c>
      <c r="D57" s="3"/>
      <c r="E57" s="3"/>
      <c r="F57" s="4" t="s">
        <v>37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Definitions'!$A$13</f>
        <v>Prisoners_females</v>
      </c>
      <c r="C58" t="s">
        <v>32</v>
      </c>
      <c r="D58" s="3"/>
      <c r="E58" s="3"/>
      <c r="F58" s="4" t="s">
        <v>37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">
        <v>109</v>
      </c>
      <c r="C59" t="s">
        <v>32</v>
      </c>
      <c r="D59" s="3"/>
      <c r="E59" s="3"/>
      <c r="F59" s="4" t="s">
        <v>37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1" spans="1:57">
      <c r="A61" s="1" t="s">
        <v>113</v>
      </c>
      <c r="B61" s="1" t="s">
        <v>29</v>
      </c>
      <c r="C61" s="1" t="s">
        <v>30</v>
      </c>
      <c r="D61" s="1" t="s">
        <v>31</v>
      </c>
      <c r="E61" s="1" t="s">
        <v>36</v>
      </c>
      <c r="F61" s="1"/>
      <c r="G61" s="1">
        <v>2000</v>
      </c>
      <c r="H61" s="1">
        <v>2001</v>
      </c>
      <c r="I61" s="1">
        <v>2002</v>
      </c>
      <c r="J61" s="1">
        <v>2003</v>
      </c>
      <c r="K61" s="1">
        <v>2004</v>
      </c>
      <c r="L61" s="1">
        <v>2005</v>
      </c>
      <c r="M61" s="1">
        <v>2006</v>
      </c>
      <c r="N61" s="1">
        <v>2007</v>
      </c>
      <c r="O61" s="1">
        <v>2008</v>
      </c>
      <c r="P61" s="1">
        <v>2009</v>
      </c>
      <c r="Q61" s="1">
        <v>2010</v>
      </c>
      <c r="R61" s="1">
        <v>2011</v>
      </c>
      <c r="S61" s="1">
        <v>2012</v>
      </c>
      <c r="T61" s="1">
        <v>2013</v>
      </c>
      <c r="U61" s="1">
        <v>2014</v>
      </c>
      <c r="V61" s="1">
        <v>2015</v>
      </c>
      <c r="W61" s="1">
        <v>2016</v>
      </c>
      <c r="X61" s="1">
        <v>2017</v>
      </c>
      <c r="Y61" s="1">
        <v>2018</v>
      </c>
      <c r="Z61" s="1">
        <v>2019</v>
      </c>
      <c r="AA61" s="1">
        <v>2020</v>
      </c>
      <c r="AB61" s="1">
        <v>2021</v>
      </c>
      <c r="AC61" s="1">
        <v>2022</v>
      </c>
      <c r="AD61" s="1">
        <v>2023</v>
      </c>
      <c r="AE61" s="1">
        <v>2024</v>
      </c>
      <c r="AF61" s="1">
        <v>2025</v>
      </c>
      <c r="AG61" s="1">
        <v>2026</v>
      </c>
      <c r="AH61" s="1">
        <v>2027</v>
      </c>
      <c r="AI61" s="1">
        <v>2028</v>
      </c>
      <c r="AJ61" s="1">
        <v>2029</v>
      </c>
      <c r="AK61" s="1">
        <v>2030</v>
      </c>
      <c r="AL61" s="1">
        <v>2031</v>
      </c>
      <c r="AM61" s="1">
        <v>2032</v>
      </c>
      <c r="AN61" s="1">
        <v>2033</v>
      </c>
      <c r="AO61" s="1">
        <v>2034</v>
      </c>
      <c r="AP61" s="1">
        <v>2035</v>
      </c>
      <c r="AQ61" s="1">
        <v>2036</v>
      </c>
      <c r="AR61" s="1">
        <v>2037</v>
      </c>
      <c r="AS61" s="1">
        <v>2038</v>
      </c>
      <c r="AT61" s="1">
        <v>2039</v>
      </c>
      <c r="AU61" s="1">
        <v>2040</v>
      </c>
      <c r="AV61" s="1">
        <v>2041</v>
      </c>
      <c r="AW61" s="1">
        <v>2042</v>
      </c>
      <c r="AX61" s="1">
        <v>2043</v>
      </c>
      <c r="AY61" s="1">
        <v>2044</v>
      </c>
      <c r="AZ61" s="1">
        <v>2045</v>
      </c>
      <c r="BA61" s="1">
        <v>2046</v>
      </c>
      <c r="BB61" s="1">
        <v>2047</v>
      </c>
      <c r="BC61" s="1">
        <v>2048</v>
      </c>
      <c r="BD61" s="1">
        <v>2049</v>
      </c>
      <c r="BE61" s="1">
        <v>2050</v>
      </c>
    </row>
    <row r="62" spans="1:57">
      <c r="A62" s="1" t="str">
        <f>'Population Definitions'!$A$2</f>
        <v>PWID_males</v>
      </c>
      <c r="C62" t="s">
        <v>32</v>
      </c>
      <c r="D62" s="3"/>
      <c r="E62" s="3"/>
      <c r="F62" s="4" t="s">
        <v>37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Definitions'!$A$3</f>
        <v>PWID_females</v>
      </c>
      <c r="C63" t="s">
        <v>32</v>
      </c>
      <c r="D63" s="3"/>
      <c r="E63" s="3"/>
      <c r="F63" s="4" t="s">
        <v>37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Definitions'!$A$4</f>
        <v>0-9_males</v>
      </c>
      <c r="C64" t="s">
        <v>32</v>
      </c>
      <c r="D64" s="3"/>
      <c r="E64" s="3"/>
      <c r="F64" s="4" t="s">
        <v>37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Definitions'!$A$5</f>
        <v>0-9_females</v>
      </c>
      <c r="C65" t="s">
        <v>32</v>
      </c>
      <c r="D65" s="3"/>
      <c r="E65" s="3"/>
      <c r="F65" s="4" t="s">
        <v>37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Definitions'!$A$6</f>
        <v>10-17_males</v>
      </c>
      <c r="C66" t="s">
        <v>32</v>
      </c>
      <c r="D66" s="3"/>
      <c r="E66" s="3"/>
      <c r="F66" s="4" t="s">
        <v>37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Definitions'!$A$7</f>
        <v>10-17_females</v>
      </c>
      <c r="C67" t="s">
        <v>32</v>
      </c>
      <c r="D67" s="3"/>
      <c r="E67" s="3"/>
      <c r="F67" s="4" t="s">
        <v>37</v>
      </c>
      <c r="G67" s="3">
        <v>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Definitions'!$A$8</f>
        <v>18-64_males</v>
      </c>
      <c r="C68" t="s">
        <v>32</v>
      </c>
      <c r="D68" s="3"/>
      <c r="E68" s="3"/>
      <c r="F68" s="4" t="s">
        <v>37</v>
      </c>
      <c r="G68" s="3">
        <v>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Definitions'!$A$9</f>
        <v>18-64_females</v>
      </c>
      <c r="C69" t="s">
        <v>32</v>
      </c>
      <c r="D69" s="3"/>
      <c r="E69" s="3"/>
      <c r="F69" s="4" t="s">
        <v>37</v>
      </c>
      <c r="G69" s="3">
        <v>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Definitions'!$A$10</f>
        <v>65+_males</v>
      </c>
      <c r="C70" t="s">
        <v>32</v>
      </c>
      <c r="D70" s="3"/>
      <c r="E70" s="3"/>
      <c r="F70" s="4" t="s">
        <v>37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Definitions'!$A$11</f>
        <v>65+_females</v>
      </c>
      <c r="C71" t="s">
        <v>32</v>
      </c>
      <c r="D71" s="3"/>
      <c r="E71" s="3"/>
      <c r="F71" s="4" t="s">
        <v>37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Definitions'!$A$12</f>
        <v>Prisoners_males</v>
      </c>
      <c r="C72" t="s">
        <v>32</v>
      </c>
      <c r="D72" s="3"/>
      <c r="E72" s="3"/>
      <c r="F72" s="4" t="s">
        <v>37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Definitions'!$A$13</f>
        <v>Prisoners_females</v>
      </c>
      <c r="C73" t="s">
        <v>32</v>
      </c>
      <c r="D73" s="3"/>
      <c r="E73" s="3"/>
      <c r="F73" s="4" t="s">
        <v>37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">
        <v>109</v>
      </c>
      <c r="C74" t="s">
        <v>32</v>
      </c>
      <c r="D74" s="3"/>
      <c r="E74" s="3"/>
      <c r="F74" s="4" t="s">
        <v>37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6" spans="1:57">
      <c r="A76" s="1" t="s">
        <v>114</v>
      </c>
      <c r="B76" s="1" t="s">
        <v>29</v>
      </c>
      <c r="C76" s="1" t="s">
        <v>30</v>
      </c>
      <c r="D76" s="1" t="s">
        <v>31</v>
      </c>
      <c r="E76" s="1" t="s">
        <v>36</v>
      </c>
      <c r="F76" s="1"/>
      <c r="G76" s="1">
        <v>2000</v>
      </c>
      <c r="H76" s="1">
        <v>2001</v>
      </c>
      <c r="I76" s="1">
        <v>2002</v>
      </c>
      <c r="J76" s="1">
        <v>2003</v>
      </c>
      <c r="K76" s="1">
        <v>2004</v>
      </c>
      <c r="L76" s="1">
        <v>2005</v>
      </c>
      <c r="M76" s="1">
        <v>2006</v>
      </c>
      <c r="N76" s="1">
        <v>2007</v>
      </c>
      <c r="O76" s="1">
        <v>2008</v>
      </c>
      <c r="P76" s="1">
        <v>2009</v>
      </c>
      <c r="Q76" s="1">
        <v>2010</v>
      </c>
      <c r="R76" s="1">
        <v>2011</v>
      </c>
      <c r="S76" s="1">
        <v>2012</v>
      </c>
      <c r="T76" s="1">
        <v>2013</v>
      </c>
      <c r="U76" s="1">
        <v>2014</v>
      </c>
      <c r="V76" s="1">
        <v>2015</v>
      </c>
      <c r="W76" s="1">
        <v>2016</v>
      </c>
      <c r="X76" s="1">
        <v>2017</v>
      </c>
      <c r="Y76" s="1">
        <v>2018</v>
      </c>
      <c r="Z76" s="1">
        <v>2019</v>
      </c>
      <c r="AA76" s="1">
        <v>2020</v>
      </c>
      <c r="AB76" s="1">
        <v>2021</v>
      </c>
      <c r="AC76" s="1">
        <v>2022</v>
      </c>
      <c r="AD76" s="1">
        <v>2023</v>
      </c>
      <c r="AE76" s="1">
        <v>2024</v>
      </c>
      <c r="AF76" s="1">
        <v>2025</v>
      </c>
      <c r="AG76" s="1">
        <v>2026</v>
      </c>
      <c r="AH76" s="1">
        <v>2027</v>
      </c>
      <c r="AI76" s="1">
        <v>2028</v>
      </c>
      <c r="AJ76" s="1">
        <v>2029</v>
      </c>
      <c r="AK76" s="1">
        <v>2030</v>
      </c>
      <c r="AL76" s="1">
        <v>2031</v>
      </c>
      <c r="AM76" s="1">
        <v>2032</v>
      </c>
      <c r="AN76" s="1">
        <v>2033</v>
      </c>
      <c r="AO76" s="1">
        <v>2034</v>
      </c>
      <c r="AP76" s="1">
        <v>2035</v>
      </c>
      <c r="AQ76" s="1">
        <v>2036</v>
      </c>
      <c r="AR76" s="1">
        <v>2037</v>
      </c>
      <c r="AS76" s="1">
        <v>2038</v>
      </c>
      <c r="AT76" s="1">
        <v>2039</v>
      </c>
      <c r="AU76" s="1">
        <v>2040</v>
      </c>
      <c r="AV76" s="1">
        <v>2041</v>
      </c>
      <c r="AW76" s="1">
        <v>2042</v>
      </c>
      <c r="AX76" s="1">
        <v>2043</v>
      </c>
      <c r="AY76" s="1">
        <v>2044</v>
      </c>
      <c r="AZ76" s="1">
        <v>2045</v>
      </c>
      <c r="BA76" s="1">
        <v>2046</v>
      </c>
      <c r="BB76" s="1">
        <v>2047</v>
      </c>
      <c r="BC76" s="1">
        <v>2048</v>
      </c>
      <c r="BD76" s="1">
        <v>2049</v>
      </c>
      <c r="BE76" s="1">
        <v>2050</v>
      </c>
    </row>
    <row r="77" spans="1:57">
      <c r="A77" s="1" t="str">
        <f>'Population Definitions'!$A$2</f>
        <v>PWID_males</v>
      </c>
      <c r="C77" t="s">
        <v>32</v>
      </c>
      <c r="D77" s="3"/>
      <c r="E77" s="3"/>
      <c r="F77" s="4" t="s">
        <v>37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Definitions'!$A$3</f>
        <v>PWID_females</v>
      </c>
      <c r="C78" t="s">
        <v>32</v>
      </c>
      <c r="D78" s="3"/>
      <c r="E78" s="3"/>
      <c r="F78" s="4" t="s">
        <v>37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Definitions'!$A$4</f>
        <v>0-9_males</v>
      </c>
      <c r="C79" t="s">
        <v>32</v>
      </c>
      <c r="D79" s="3"/>
      <c r="E79" s="3"/>
      <c r="F79" s="4" t="s">
        <v>37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Definitions'!$A$5</f>
        <v>0-9_females</v>
      </c>
      <c r="C80" t="s">
        <v>32</v>
      </c>
      <c r="D80" s="3"/>
      <c r="E80" s="3"/>
      <c r="F80" s="4" t="s">
        <v>37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Definitions'!$A$6</f>
        <v>10-17_males</v>
      </c>
      <c r="C81" t="s">
        <v>32</v>
      </c>
      <c r="D81" s="3"/>
      <c r="E81" s="3"/>
      <c r="F81" s="4" t="s">
        <v>37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Definitions'!$A$7</f>
        <v>10-17_females</v>
      </c>
      <c r="C82" t="s">
        <v>32</v>
      </c>
      <c r="D82" s="3"/>
      <c r="E82" s="3"/>
      <c r="F82" s="4" t="s">
        <v>37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Definitions'!$A$8</f>
        <v>18-64_males</v>
      </c>
      <c r="C83" t="s">
        <v>32</v>
      </c>
      <c r="D83" s="3"/>
      <c r="E83" s="3"/>
      <c r="F83" s="4" t="s">
        <v>37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Definitions'!$A$9</f>
        <v>18-64_females</v>
      </c>
      <c r="C84" t="s">
        <v>32</v>
      </c>
      <c r="D84" s="3"/>
      <c r="E84" s="3"/>
      <c r="F84" s="4" t="s">
        <v>37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Definitions'!$A$10</f>
        <v>65+_males</v>
      </c>
      <c r="C85" t="s">
        <v>32</v>
      </c>
      <c r="D85" s="3"/>
      <c r="E85" s="3"/>
      <c r="F85" s="4" t="s">
        <v>37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Definitions'!$A$11</f>
        <v>65+_females</v>
      </c>
      <c r="C86" t="s">
        <v>32</v>
      </c>
      <c r="D86" s="3"/>
      <c r="E86" s="3"/>
      <c r="F86" s="4" t="s">
        <v>37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Definitions'!$A$12</f>
        <v>Prisoners_males</v>
      </c>
      <c r="C87" t="s">
        <v>32</v>
      </c>
      <c r="D87" s="3"/>
      <c r="E87" s="3"/>
      <c r="F87" s="4" t="s">
        <v>37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Definitions'!$A$13</f>
        <v>Prisoners_females</v>
      </c>
      <c r="C88" t="s">
        <v>32</v>
      </c>
      <c r="D88" s="3"/>
      <c r="E88" s="3"/>
      <c r="F88" s="4" t="s">
        <v>37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">
        <v>109</v>
      </c>
      <c r="C89" t="s">
        <v>32</v>
      </c>
      <c r="D89" s="3"/>
      <c r="E89" s="3"/>
      <c r="F89" s="4" t="s">
        <v>37</v>
      </c>
      <c r="G89" s="3">
        <v>10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1" spans="1:57">
      <c r="A91" s="1" t="s">
        <v>115</v>
      </c>
      <c r="B91" s="1" t="s">
        <v>29</v>
      </c>
      <c r="C91" s="1" t="s">
        <v>30</v>
      </c>
      <c r="D91" s="1" t="s">
        <v>31</v>
      </c>
      <c r="E91" s="1" t="s">
        <v>36</v>
      </c>
      <c r="F91" s="1"/>
      <c r="G91" s="1">
        <v>2000</v>
      </c>
      <c r="H91" s="1">
        <v>2001</v>
      </c>
      <c r="I91" s="1">
        <v>2002</v>
      </c>
      <c r="J91" s="1">
        <v>2003</v>
      </c>
      <c r="K91" s="1">
        <v>2004</v>
      </c>
      <c r="L91" s="1">
        <v>2005</v>
      </c>
      <c r="M91" s="1">
        <v>2006</v>
      </c>
      <c r="N91" s="1">
        <v>2007</v>
      </c>
      <c r="O91" s="1">
        <v>2008</v>
      </c>
      <c r="P91" s="1">
        <v>2009</v>
      </c>
      <c r="Q91" s="1">
        <v>2010</v>
      </c>
      <c r="R91" s="1">
        <v>2011</v>
      </c>
      <c r="S91" s="1">
        <v>2012</v>
      </c>
      <c r="T91" s="1">
        <v>2013</v>
      </c>
      <c r="U91" s="1">
        <v>2014</v>
      </c>
      <c r="V91" s="1">
        <v>2015</v>
      </c>
      <c r="W91" s="1">
        <v>2016</v>
      </c>
      <c r="X91" s="1">
        <v>2017</v>
      </c>
      <c r="Y91" s="1">
        <v>2018</v>
      </c>
      <c r="Z91" s="1">
        <v>2019</v>
      </c>
      <c r="AA91" s="1">
        <v>2020</v>
      </c>
      <c r="AB91" s="1">
        <v>2021</v>
      </c>
      <c r="AC91" s="1">
        <v>2022</v>
      </c>
      <c r="AD91" s="1">
        <v>2023</v>
      </c>
      <c r="AE91" s="1">
        <v>2024</v>
      </c>
      <c r="AF91" s="1">
        <v>2025</v>
      </c>
      <c r="AG91" s="1">
        <v>2026</v>
      </c>
      <c r="AH91" s="1">
        <v>2027</v>
      </c>
      <c r="AI91" s="1">
        <v>2028</v>
      </c>
      <c r="AJ91" s="1">
        <v>2029</v>
      </c>
      <c r="AK91" s="1">
        <v>2030</v>
      </c>
      <c r="AL91" s="1">
        <v>2031</v>
      </c>
      <c r="AM91" s="1">
        <v>2032</v>
      </c>
      <c r="AN91" s="1">
        <v>2033</v>
      </c>
      <c r="AO91" s="1">
        <v>2034</v>
      </c>
      <c r="AP91" s="1">
        <v>2035</v>
      </c>
      <c r="AQ91" s="1">
        <v>2036</v>
      </c>
      <c r="AR91" s="1">
        <v>2037</v>
      </c>
      <c r="AS91" s="1">
        <v>2038</v>
      </c>
      <c r="AT91" s="1">
        <v>2039</v>
      </c>
      <c r="AU91" s="1">
        <v>2040</v>
      </c>
      <c r="AV91" s="1">
        <v>2041</v>
      </c>
      <c r="AW91" s="1">
        <v>2042</v>
      </c>
      <c r="AX91" s="1">
        <v>2043</v>
      </c>
      <c r="AY91" s="1">
        <v>2044</v>
      </c>
      <c r="AZ91" s="1">
        <v>2045</v>
      </c>
      <c r="BA91" s="1">
        <v>2046</v>
      </c>
      <c r="BB91" s="1">
        <v>2047</v>
      </c>
      <c r="BC91" s="1">
        <v>2048</v>
      </c>
      <c r="BD91" s="1">
        <v>2049</v>
      </c>
      <c r="BE91" s="1">
        <v>2050</v>
      </c>
    </row>
    <row r="92" spans="1:57">
      <c r="A92" s="1" t="str">
        <f>'Population Definitions'!$A$2</f>
        <v>PWID_males</v>
      </c>
      <c r="C92" t="s">
        <v>32</v>
      </c>
      <c r="D92" s="3"/>
      <c r="E92" s="3"/>
      <c r="F92" s="4" t="s">
        <v>37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Definitions'!$A$3</f>
        <v>PWID_females</v>
      </c>
      <c r="C93" t="s">
        <v>32</v>
      </c>
      <c r="D93" s="3"/>
      <c r="E93" s="3"/>
      <c r="F93" s="4" t="s">
        <v>37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Definitions'!$A$4</f>
        <v>0-9_males</v>
      </c>
      <c r="C94" t="s">
        <v>32</v>
      </c>
      <c r="D94" s="3"/>
      <c r="E94" s="3"/>
      <c r="F94" s="4" t="s">
        <v>37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Definitions'!$A$5</f>
        <v>0-9_females</v>
      </c>
      <c r="C95" t="s">
        <v>32</v>
      </c>
      <c r="D95" s="3"/>
      <c r="E95" s="3"/>
      <c r="F95" s="4" t="s">
        <v>37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Definitions'!$A$6</f>
        <v>10-17_males</v>
      </c>
      <c r="C96" t="s">
        <v>32</v>
      </c>
      <c r="D96" s="3"/>
      <c r="E96" s="3"/>
      <c r="F96" s="4" t="s">
        <v>37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Definitions'!$A$7</f>
        <v>10-17_females</v>
      </c>
      <c r="C97" t="s">
        <v>32</v>
      </c>
      <c r="D97" s="3"/>
      <c r="E97" s="3"/>
      <c r="F97" s="4" t="s">
        <v>37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Definitions'!$A$8</f>
        <v>18-64_males</v>
      </c>
      <c r="C98" t="s">
        <v>32</v>
      </c>
      <c r="D98" s="3"/>
      <c r="E98" s="3"/>
      <c r="F98" s="4" t="s">
        <v>37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Definitions'!$A$9</f>
        <v>18-64_females</v>
      </c>
      <c r="C99" t="s">
        <v>32</v>
      </c>
      <c r="D99" s="3"/>
      <c r="E99" s="3"/>
      <c r="F99" s="4" t="s">
        <v>37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Definitions'!$A$10</f>
        <v>65+_males</v>
      </c>
      <c r="C100" t="s">
        <v>32</v>
      </c>
      <c r="D100" s="3"/>
      <c r="E100" s="3"/>
      <c r="F100" s="4" t="s">
        <v>37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Definitions'!$A$11</f>
        <v>65+_females</v>
      </c>
      <c r="C101" t="s">
        <v>32</v>
      </c>
      <c r="D101" s="3"/>
      <c r="E101" s="3"/>
      <c r="F101" s="4" t="s">
        <v>37</v>
      </c>
      <c r="G101" s="3"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Definitions'!$A$12</f>
        <v>Prisoners_males</v>
      </c>
      <c r="C102" t="s">
        <v>32</v>
      </c>
      <c r="D102" s="3"/>
      <c r="E102" s="3"/>
      <c r="F102" s="4" t="s">
        <v>37</v>
      </c>
      <c r="G102" s="3">
        <v>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Definitions'!$A$13</f>
        <v>Prisoners_females</v>
      </c>
      <c r="C103" t="s">
        <v>32</v>
      </c>
      <c r="D103" s="3"/>
      <c r="E103" s="3"/>
      <c r="F103" s="4" t="s">
        <v>37</v>
      </c>
      <c r="G103" s="3">
        <v>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">
        <v>109</v>
      </c>
      <c r="C104" t="s">
        <v>32</v>
      </c>
      <c r="D104" s="3"/>
      <c r="E104" s="3"/>
      <c r="F104" s="4" t="s">
        <v>37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6" spans="1:57">
      <c r="A106" s="1" t="s">
        <v>116</v>
      </c>
      <c r="B106" s="1" t="s">
        <v>29</v>
      </c>
      <c r="C106" s="1" t="s">
        <v>30</v>
      </c>
      <c r="D106" s="1" t="s">
        <v>31</v>
      </c>
      <c r="E106" s="1" t="s">
        <v>36</v>
      </c>
      <c r="F106" s="1"/>
      <c r="G106" s="1">
        <v>2000</v>
      </c>
      <c r="H106" s="1">
        <v>2001</v>
      </c>
      <c r="I106" s="1">
        <v>2002</v>
      </c>
      <c r="J106" s="1">
        <v>2003</v>
      </c>
      <c r="K106" s="1">
        <v>2004</v>
      </c>
      <c r="L106" s="1">
        <v>2005</v>
      </c>
      <c r="M106" s="1">
        <v>2006</v>
      </c>
      <c r="N106" s="1">
        <v>2007</v>
      </c>
      <c r="O106" s="1">
        <v>2008</v>
      </c>
      <c r="P106" s="1">
        <v>2009</v>
      </c>
      <c r="Q106" s="1">
        <v>2010</v>
      </c>
      <c r="R106" s="1">
        <v>2011</v>
      </c>
      <c r="S106" s="1">
        <v>2012</v>
      </c>
      <c r="T106" s="1">
        <v>2013</v>
      </c>
      <c r="U106" s="1">
        <v>2014</v>
      </c>
      <c r="V106" s="1">
        <v>2015</v>
      </c>
      <c r="W106" s="1">
        <v>2016</v>
      </c>
      <c r="X106" s="1">
        <v>2017</v>
      </c>
      <c r="Y106" s="1">
        <v>2018</v>
      </c>
      <c r="Z106" s="1">
        <v>2019</v>
      </c>
      <c r="AA106" s="1">
        <v>2020</v>
      </c>
      <c r="AB106" s="1">
        <v>2021</v>
      </c>
      <c r="AC106" s="1">
        <v>2022</v>
      </c>
      <c r="AD106" s="1">
        <v>2023</v>
      </c>
      <c r="AE106" s="1">
        <v>2024</v>
      </c>
      <c r="AF106" s="1">
        <v>2025</v>
      </c>
      <c r="AG106" s="1">
        <v>2026</v>
      </c>
      <c r="AH106" s="1">
        <v>2027</v>
      </c>
      <c r="AI106" s="1">
        <v>2028</v>
      </c>
      <c r="AJ106" s="1">
        <v>2029</v>
      </c>
      <c r="AK106" s="1">
        <v>2030</v>
      </c>
      <c r="AL106" s="1">
        <v>2031</v>
      </c>
      <c r="AM106" s="1">
        <v>2032</v>
      </c>
      <c r="AN106" s="1">
        <v>2033</v>
      </c>
      <c r="AO106" s="1">
        <v>2034</v>
      </c>
      <c r="AP106" s="1">
        <v>2035</v>
      </c>
      <c r="AQ106" s="1">
        <v>2036</v>
      </c>
      <c r="AR106" s="1">
        <v>2037</v>
      </c>
      <c r="AS106" s="1">
        <v>2038</v>
      </c>
      <c r="AT106" s="1">
        <v>2039</v>
      </c>
      <c r="AU106" s="1">
        <v>2040</v>
      </c>
      <c r="AV106" s="1">
        <v>2041</v>
      </c>
      <c r="AW106" s="1">
        <v>2042</v>
      </c>
      <c r="AX106" s="1">
        <v>2043</v>
      </c>
      <c r="AY106" s="1">
        <v>2044</v>
      </c>
      <c r="AZ106" s="1">
        <v>2045</v>
      </c>
      <c r="BA106" s="1">
        <v>2046</v>
      </c>
      <c r="BB106" s="1">
        <v>2047</v>
      </c>
      <c r="BC106" s="1">
        <v>2048</v>
      </c>
      <c r="BD106" s="1">
        <v>2049</v>
      </c>
      <c r="BE106" s="1">
        <v>2050</v>
      </c>
    </row>
    <row r="107" spans="1:57">
      <c r="A107" s="1" t="str">
        <f>'Population Definitions'!$A$2</f>
        <v>PWID_males</v>
      </c>
      <c r="C107" t="s">
        <v>32</v>
      </c>
      <c r="D107" s="3"/>
      <c r="E107" s="3"/>
      <c r="F107" s="4" t="s">
        <v>37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Definitions'!$A$3</f>
        <v>PWID_females</v>
      </c>
      <c r="C108" t="s">
        <v>32</v>
      </c>
      <c r="D108" s="3"/>
      <c r="E108" s="3"/>
      <c r="F108" s="4" t="s">
        <v>37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Definitions'!$A$4</f>
        <v>0-9_males</v>
      </c>
      <c r="C109" t="s">
        <v>32</v>
      </c>
      <c r="D109" s="3"/>
      <c r="E109" s="3"/>
      <c r="F109" s="4" t="s">
        <v>37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Definitions'!$A$5</f>
        <v>0-9_females</v>
      </c>
      <c r="C110" t="s">
        <v>32</v>
      </c>
      <c r="D110" s="3"/>
      <c r="E110" s="3"/>
      <c r="F110" s="4" t="s">
        <v>37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Definitions'!$A$6</f>
        <v>10-17_males</v>
      </c>
      <c r="C111" t="s">
        <v>32</v>
      </c>
      <c r="D111" s="3"/>
      <c r="E111" s="3"/>
      <c r="F111" s="4" t="s">
        <v>37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Definitions'!$A$7</f>
        <v>10-17_females</v>
      </c>
      <c r="C112" t="s">
        <v>32</v>
      </c>
      <c r="D112" s="3"/>
      <c r="E112" s="3"/>
      <c r="F112" s="4" t="s">
        <v>37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Definitions'!$A$8</f>
        <v>18-64_males</v>
      </c>
      <c r="C113" t="s">
        <v>32</v>
      </c>
      <c r="D113" s="3"/>
      <c r="E113" s="3"/>
      <c r="F113" s="4" t="s">
        <v>37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Definitions'!$A$9</f>
        <v>18-64_females</v>
      </c>
      <c r="C114" t="s">
        <v>32</v>
      </c>
      <c r="D114" s="3"/>
      <c r="E114" s="3"/>
      <c r="F114" s="4" t="s">
        <v>37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Definitions'!$A$10</f>
        <v>65+_males</v>
      </c>
      <c r="C115" t="s">
        <v>32</v>
      </c>
      <c r="D115" s="3"/>
      <c r="E115" s="3"/>
      <c r="F115" s="4" t="s">
        <v>37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Definitions'!$A$11</f>
        <v>65+_females</v>
      </c>
      <c r="C116" t="s">
        <v>32</v>
      </c>
      <c r="D116" s="3"/>
      <c r="E116" s="3"/>
      <c r="F116" s="4" t="s">
        <v>37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Definitions'!$A$12</f>
        <v>Prisoners_males</v>
      </c>
      <c r="C117" t="s">
        <v>32</v>
      </c>
      <c r="D117" s="3"/>
      <c r="E117" s="3"/>
      <c r="F117" s="4" t="s">
        <v>37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Definitions'!$A$13</f>
        <v>Prisoners_females</v>
      </c>
      <c r="C118" t="s">
        <v>32</v>
      </c>
      <c r="D118" s="3"/>
      <c r="E118" s="3"/>
      <c r="F118" s="4" t="s">
        <v>37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">
        <v>109</v>
      </c>
      <c r="C119" t="s">
        <v>32</v>
      </c>
      <c r="D119" s="3"/>
      <c r="E119" s="3"/>
      <c r="F119" s="4" t="s">
        <v>37</v>
      </c>
      <c r="G119" s="3">
        <v>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1" spans="1:57">
      <c r="A121" s="1" t="s">
        <v>117</v>
      </c>
      <c r="B121" s="1" t="s">
        <v>29</v>
      </c>
      <c r="C121" s="1" t="s">
        <v>30</v>
      </c>
      <c r="D121" s="1" t="s">
        <v>31</v>
      </c>
      <c r="E121" s="1" t="s">
        <v>36</v>
      </c>
      <c r="F121" s="1"/>
      <c r="G121" s="1">
        <v>2000</v>
      </c>
      <c r="H121" s="1">
        <v>2001</v>
      </c>
      <c r="I121" s="1">
        <v>2002</v>
      </c>
      <c r="J121" s="1">
        <v>2003</v>
      </c>
      <c r="K121" s="1">
        <v>2004</v>
      </c>
      <c r="L121" s="1">
        <v>2005</v>
      </c>
      <c r="M121" s="1">
        <v>2006</v>
      </c>
      <c r="N121" s="1">
        <v>2007</v>
      </c>
      <c r="O121" s="1">
        <v>2008</v>
      </c>
      <c r="P121" s="1">
        <v>2009</v>
      </c>
      <c r="Q121" s="1">
        <v>2010</v>
      </c>
      <c r="R121" s="1">
        <v>2011</v>
      </c>
      <c r="S121" s="1">
        <v>2012</v>
      </c>
      <c r="T121" s="1">
        <v>2013</v>
      </c>
      <c r="U121" s="1">
        <v>2014</v>
      </c>
      <c r="V121" s="1">
        <v>2015</v>
      </c>
      <c r="W121" s="1">
        <v>2016</v>
      </c>
      <c r="X121" s="1">
        <v>2017</v>
      </c>
      <c r="Y121" s="1">
        <v>2018</v>
      </c>
      <c r="Z121" s="1">
        <v>2019</v>
      </c>
      <c r="AA121" s="1">
        <v>2020</v>
      </c>
      <c r="AB121" s="1">
        <v>2021</v>
      </c>
      <c r="AC121" s="1">
        <v>2022</v>
      </c>
      <c r="AD121" s="1">
        <v>2023</v>
      </c>
      <c r="AE121" s="1">
        <v>2024</v>
      </c>
      <c r="AF121" s="1">
        <v>2025</v>
      </c>
      <c r="AG121" s="1">
        <v>2026</v>
      </c>
      <c r="AH121" s="1">
        <v>2027</v>
      </c>
      <c r="AI121" s="1">
        <v>2028</v>
      </c>
      <c r="AJ121" s="1">
        <v>2029</v>
      </c>
      <c r="AK121" s="1">
        <v>2030</v>
      </c>
      <c r="AL121" s="1">
        <v>2031</v>
      </c>
      <c r="AM121" s="1">
        <v>2032</v>
      </c>
      <c r="AN121" s="1">
        <v>2033</v>
      </c>
      <c r="AO121" s="1">
        <v>2034</v>
      </c>
      <c r="AP121" s="1">
        <v>2035</v>
      </c>
      <c r="AQ121" s="1">
        <v>2036</v>
      </c>
      <c r="AR121" s="1">
        <v>2037</v>
      </c>
      <c r="AS121" s="1">
        <v>2038</v>
      </c>
      <c r="AT121" s="1">
        <v>2039</v>
      </c>
      <c r="AU121" s="1">
        <v>2040</v>
      </c>
      <c r="AV121" s="1">
        <v>2041</v>
      </c>
      <c r="AW121" s="1">
        <v>2042</v>
      </c>
      <c r="AX121" s="1">
        <v>2043</v>
      </c>
      <c r="AY121" s="1">
        <v>2044</v>
      </c>
      <c r="AZ121" s="1">
        <v>2045</v>
      </c>
      <c r="BA121" s="1">
        <v>2046</v>
      </c>
      <c r="BB121" s="1">
        <v>2047</v>
      </c>
      <c r="BC121" s="1">
        <v>2048</v>
      </c>
      <c r="BD121" s="1">
        <v>2049</v>
      </c>
      <c r="BE121" s="1">
        <v>2050</v>
      </c>
    </row>
    <row r="122" spans="1:57">
      <c r="A122" s="1" t="str">
        <f>'Population Definitions'!$A$2</f>
        <v>PWID_males</v>
      </c>
      <c r="C122" t="s">
        <v>32</v>
      </c>
      <c r="D122" s="3"/>
      <c r="E122" s="3"/>
      <c r="F122" s="4" t="s">
        <v>37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Definitions'!$A$3</f>
        <v>PWID_females</v>
      </c>
      <c r="C123" t="s">
        <v>32</v>
      </c>
      <c r="D123" s="3"/>
      <c r="E123" s="3"/>
      <c r="F123" s="4" t="s">
        <v>37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Definitions'!$A$4</f>
        <v>0-9_males</v>
      </c>
      <c r="C124" t="s">
        <v>32</v>
      </c>
      <c r="D124" s="3"/>
      <c r="E124" s="3"/>
      <c r="F124" s="4" t="s">
        <v>37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Definitions'!$A$5</f>
        <v>0-9_females</v>
      </c>
      <c r="C125" t="s">
        <v>32</v>
      </c>
      <c r="D125" s="3"/>
      <c r="E125" s="3"/>
      <c r="F125" s="4" t="s">
        <v>37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Definitions'!$A$6</f>
        <v>10-17_males</v>
      </c>
      <c r="C126" t="s">
        <v>32</v>
      </c>
      <c r="D126" s="3"/>
      <c r="E126" s="3"/>
      <c r="F126" s="4" t="s">
        <v>37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Definitions'!$A$7</f>
        <v>10-17_females</v>
      </c>
      <c r="C127" t="s">
        <v>32</v>
      </c>
      <c r="D127" s="3"/>
      <c r="E127" s="3"/>
      <c r="F127" s="4" t="s">
        <v>37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Definitions'!$A$8</f>
        <v>18-64_males</v>
      </c>
      <c r="C128" t="s">
        <v>32</v>
      </c>
      <c r="D128" s="3"/>
      <c r="E128" s="3"/>
      <c r="F128" s="4" t="s">
        <v>37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Definitions'!$A$9</f>
        <v>18-64_females</v>
      </c>
      <c r="C129" t="s">
        <v>32</v>
      </c>
      <c r="D129" s="3"/>
      <c r="E129" s="3"/>
      <c r="F129" s="4" t="s">
        <v>37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Definitions'!$A$10</f>
        <v>65+_males</v>
      </c>
      <c r="C130" t="s">
        <v>32</v>
      </c>
      <c r="D130" s="3"/>
      <c r="E130" s="3"/>
      <c r="F130" s="4" t="s">
        <v>37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Definitions'!$A$11</f>
        <v>65+_females</v>
      </c>
      <c r="C131" t="s">
        <v>32</v>
      </c>
      <c r="D131" s="3"/>
      <c r="E131" s="3"/>
      <c r="F131" s="4" t="s">
        <v>37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Definitions'!$A$12</f>
        <v>Prisoners_males</v>
      </c>
      <c r="C132" t="s">
        <v>32</v>
      </c>
      <c r="D132" s="3"/>
      <c r="E132" s="3"/>
      <c r="F132" s="4" t="s">
        <v>37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Definitions'!$A$13</f>
        <v>Prisoners_females</v>
      </c>
      <c r="C133" t="s">
        <v>32</v>
      </c>
      <c r="D133" s="3"/>
      <c r="E133" s="3"/>
      <c r="F133" s="4" t="s">
        <v>37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">
        <v>109</v>
      </c>
      <c r="C134" t="s">
        <v>32</v>
      </c>
      <c r="D134" s="3"/>
      <c r="E134" s="3"/>
      <c r="F134" s="4" t="s">
        <v>37</v>
      </c>
      <c r="G134" s="3">
        <v>153.9259259259259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>
        <v>198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6" spans="1:57">
      <c r="A136" s="1" t="s">
        <v>118</v>
      </c>
      <c r="B136" s="1" t="s">
        <v>29</v>
      </c>
      <c r="C136" s="1" t="s">
        <v>30</v>
      </c>
      <c r="D136" s="1" t="s">
        <v>31</v>
      </c>
      <c r="E136" s="1" t="s">
        <v>36</v>
      </c>
      <c r="F136" s="1"/>
      <c r="G136" s="1">
        <v>2000</v>
      </c>
      <c r="H136" s="1">
        <v>2001</v>
      </c>
      <c r="I136" s="1">
        <v>2002</v>
      </c>
      <c r="J136" s="1">
        <v>2003</v>
      </c>
      <c r="K136" s="1">
        <v>2004</v>
      </c>
      <c r="L136" s="1">
        <v>2005</v>
      </c>
      <c r="M136" s="1">
        <v>2006</v>
      </c>
      <c r="N136" s="1">
        <v>2007</v>
      </c>
      <c r="O136" s="1">
        <v>2008</v>
      </c>
      <c r="P136" s="1">
        <v>2009</v>
      </c>
      <c r="Q136" s="1">
        <v>2010</v>
      </c>
      <c r="R136" s="1">
        <v>2011</v>
      </c>
      <c r="S136" s="1">
        <v>2012</v>
      </c>
      <c r="T136" s="1">
        <v>2013</v>
      </c>
      <c r="U136" s="1">
        <v>2014</v>
      </c>
      <c r="V136" s="1">
        <v>2015</v>
      </c>
      <c r="W136" s="1">
        <v>2016</v>
      </c>
      <c r="X136" s="1">
        <v>2017</v>
      </c>
      <c r="Y136" s="1">
        <v>2018</v>
      </c>
      <c r="Z136" s="1">
        <v>2019</v>
      </c>
      <c r="AA136" s="1">
        <v>2020</v>
      </c>
      <c r="AB136" s="1">
        <v>2021</v>
      </c>
      <c r="AC136" s="1">
        <v>2022</v>
      </c>
      <c r="AD136" s="1">
        <v>2023</v>
      </c>
      <c r="AE136" s="1">
        <v>2024</v>
      </c>
      <c r="AF136" s="1">
        <v>2025</v>
      </c>
      <c r="AG136" s="1">
        <v>2026</v>
      </c>
      <c r="AH136" s="1">
        <v>2027</v>
      </c>
      <c r="AI136" s="1">
        <v>2028</v>
      </c>
      <c r="AJ136" s="1">
        <v>2029</v>
      </c>
      <c r="AK136" s="1">
        <v>2030</v>
      </c>
      <c r="AL136" s="1">
        <v>2031</v>
      </c>
      <c r="AM136" s="1">
        <v>2032</v>
      </c>
      <c r="AN136" s="1">
        <v>2033</v>
      </c>
      <c r="AO136" s="1">
        <v>2034</v>
      </c>
      <c r="AP136" s="1">
        <v>2035</v>
      </c>
      <c r="AQ136" s="1">
        <v>2036</v>
      </c>
      <c r="AR136" s="1">
        <v>2037</v>
      </c>
      <c r="AS136" s="1">
        <v>2038</v>
      </c>
      <c r="AT136" s="1">
        <v>2039</v>
      </c>
      <c r="AU136" s="1">
        <v>2040</v>
      </c>
      <c r="AV136" s="1">
        <v>2041</v>
      </c>
      <c r="AW136" s="1">
        <v>2042</v>
      </c>
      <c r="AX136" s="1">
        <v>2043</v>
      </c>
      <c r="AY136" s="1">
        <v>2044</v>
      </c>
      <c r="AZ136" s="1">
        <v>2045</v>
      </c>
      <c r="BA136" s="1">
        <v>2046</v>
      </c>
      <c r="BB136" s="1">
        <v>2047</v>
      </c>
      <c r="BC136" s="1">
        <v>2048</v>
      </c>
      <c r="BD136" s="1">
        <v>2049</v>
      </c>
      <c r="BE136" s="1">
        <v>2050</v>
      </c>
    </row>
    <row r="137" spans="1:57">
      <c r="A137" s="1" t="str">
        <f>'Population Definitions'!$A$2</f>
        <v>PWID_males</v>
      </c>
      <c r="C137" t="s">
        <v>32</v>
      </c>
      <c r="D137" s="3"/>
      <c r="E137" s="3"/>
      <c r="F137" s="4" t="s">
        <v>37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Definitions'!$A$3</f>
        <v>PWID_females</v>
      </c>
      <c r="C138" t="s">
        <v>32</v>
      </c>
      <c r="D138" s="3"/>
      <c r="E138" s="3"/>
      <c r="F138" s="4" t="s">
        <v>37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Definitions'!$A$4</f>
        <v>0-9_males</v>
      </c>
      <c r="C139" t="s">
        <v>32</v>
      </c>
      <c r="D139" s="3"/>
      <c r="E139" s="3"/>
      <c r="F139" s="4" t="s">
        <v>37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Definitions'!$A$5</f>
        <v>0-9_females</v>
      </c>
      <c r="C140" t="s">
        <v>32</v>
      </c>
      <c r="D140" s="3"/>
      <c r="E140" s="3"/>
      <c r="F140" s="4" t="s">
        <v>37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Definitions'!$A$6</f>
        <v>10-17_males</v>
      </c>
      <c r="C141" t="s">
        <v>32</v>
      </c>
      <c r="D141" s="3"/>
      <c r="E141" s="3"/>
      <c r="F141" s="4" t="s">
        <v>37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Definitions'!$A$7</f>
        <v>10-17_females</v>
      </c>
      <c r="C142" t="s">
        <v>32</v>
      </c>
      <c r="D142" s="3"/>
      <c r="E142" s="3"/>
      <c r="F142" s="4" t="s">
        <v>37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Definitions'!$A$8</f>
        <v>18-64_males</v>
      </c>
      <c r="C143" t="s">
        <v>32</v>
      </c>
      <c r="D143" s="3"/>
      <c r="E143" s="3"/>
      <c r="F143" s="4" t="s">
        <v>37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Definitions'!$A$9</f>
        <v>18-64_females</v>
      </c>
      <c r="C144" t="s">
        <v>32</v>
      </c>
      <c r="D144" s="3"/>
      <c r="E144" s="3"/>
      <c r="F144" s="4" t="s">
        <v>37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Definitions'!$A$10</f>
        <v>65+_males</v>
      </c>
      <c r="C145" t="s">
        <v>32</v>
      </c>
      <c r="D145" s="3"/>
      <c r="E145" s="3"/>
      <c r="F145" s="4" t="s">
        <v>37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Definitions'!$A$11</f>
        <v>65+_females</v>
      </c>
      <c r="C146" t="s">
        <v>32</v>
      </c>
      <c r="D146" s="3"/>
      <c r="E146" s="3"/>
      <c r="F146" s="4" t="s">
        <v>37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Definitions'!$A$12</f>
        <v>Prisoners_males</v>
      </c>
      <c r="C147" t="s">
        <v>32</v>
      </c>
      <c r="D147" s="3"/>
      <c r="E147" s="3"/>
      <c r="F147" s="4" t="s">
        <v>37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Definitions'!$A$13</f>
        <v>Prisoners_females</v>
      </c>
      <c r="C148" t="s">
        <v>32</v>
      </c>
      <c r="D148" s="3"/>
      <c r="E148" s="3"/>
      <c r="F148" s="4" t="s">
        <v>37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">
        <v>109</v>
      </c>
      <c r="C149" t="s">
        <v>32</v>
      </c>
      <c r="D149" s="3"/>
      <c r="E149" s="3"/>
      <c r="F149" s="4" t="s">
        <v>37</v>
      </c>
      <c r="G149" s="3">
        <v>9.592592592592592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>
        <v>14</v>
      </c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1" spans="1:57">
      <c r="A151" s="1" t="s">
        <v>119</v>
      </c>
      <c r="B151" s="1" t="s">
        <v>29</v>
      </c>
      <c r="C151" s="1" t="s">
        <v>30</v>
      </c>
      <c r="D151" s="1" t="s">
        <v>31</v>
      </c>
      <c r="E151" s="1" t="s">
        <v>36</v>
      </c>
      <c r="F151" s="1"/>
      <c r="G151" s="1">
        <v>2000</v>
      </c>
      <c r="H151" s="1">
        <v>2001</v>
      </c>
      <c r="I151" s="1">
        <v>2002</v>
      </c>
      <c r="J151" s="1">
        <v>2003</v>
      </c>
      <c r="K151" s="1">
        <v>2004</v>
      </c>
      <c r="L151" s="1">
        <v>2005</v>
      </c>
      <c r="M151" s="1">
        <v>2006</v>
      </c>
      <c r="N151" s="1">
        <v>2007</v>
      </c>
      <c r="O151" s="1">
        <v>2008</v>
      </c>
      <c r="P151" s="1">
        <v>2009</v>
      </c>
      <c r="Q151" s="1">
        <v>2010</v>
      </c>
      <c r="R151" s="1">
        <v>2011</v>
      </c>
      <c r="S151" s="1">
        <v>2012</v>
      </c>
      <c r="T151" s="1">
        <v>2013</v>
      </c>
      <c r="U151" s="1">
        <v>2014</v>
      </c>
      <c r="V151" s="1">
        <v>2015</v>
      </c>
      <c r="W151" s="1">
        <v>2016</v>
      </c>
      <c r="X151" s="1">
        <v>2017</v>
      </c>
      <c r="Y151" s="1">
        <v>2018</v>
      </c>
      <c r="Z151" s="1">
        <v>2019</v>
      </c>
      <c r="AA151" s="1">
        <v>2020</v>
      </c>
      <c r="AB151" s="1">
        <v>2021</v>
      </c>
      <c r="AC151" s="1">
        <v>2022</v>
      </c>
      <c r="AD151" s="1">
        <v>2023</v>
      </c>
      <c r="AE151" s="1">
        <v>2024</v>
      </c>
      <c r="AF151" s="1">
        <v>2025</v>
      </c>
      <c r="AG151" s="1">
        <v>2026</v>
      </c>
      <c r="AH151" s="1">
        <v>2027</v>
      </c>
      <c r="AI151" s="1">
        <v>2028</v>
      </c>
      <c r="AJ151" s="1">
        <v>2029</v>
      </c>
      <c r="AK151" s="1">
        <v>2030</v>
      </c>
      <c r="AL151" s="1">
        <v>2031</v>
      </c>
      <c r="AM151" s="1">
        <v>2032</v>
      </c>
      <c r="AN151" s="1">
        <v>2033</v>
      </c>
      <c r="AO151" s="1">
        <v>2034</v>
      </c>
      <c r="AP151" s="1">
        <v>2035</v>
      </c>
      <c r="AQ151" s="1">
        <v>2036</v>
      </c>
      <c r="AR151" s="1">
        <v>2037</v>
      </c>
      <c r="AS151" s="1">
        <v>2038</v>
      </c>
      <c r="AT151" s="1">
        <v>2039</v>
      </c>
      <c r="AU151" s="1">
        <v>2040</v>
      </c>
      <c r="AV151" s="1">
        <v>2041</v>
      </c>
      <c r="AW151" s="1">
        <v>2042</v>
      </c>
      <c r="AX151" s="1">
        <v>2043</v>
      </c>
      <c r="AY151" s="1">
        <v>2044</v>
      </c>
      <c r="AZ151" s="1">
        <v>2045</v>
      </c>
      <c r="BA151" s="1">
        <v>2046</v>
      </c>
      <c r="BB151" s="1">
        <v>2047</v>
      </c>
      <c r="BC151" s="1">
        <v>2048</v>
      </c>
      <c r="BD151" s="1">
        <v>2049</v>
      </c>
      <c r="BE151" s="1">
        <v>2050</v>
      </c>
    </row>
    <row r="152" spans="1:57">
      <c r="A152" s="1" t="str">
        <f>'Population Definitions'!$A$2</f>
        <v>PWID_males</v>
      </c>
      <c r="C152" t="s">
        <v>32</v>
      </c>
      <c r="D152" s="3"/>
      <c r="E152" s="3"/>
      <c r="F152" s="4" t="s">
        <v>37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Definitions'!$A$3</f>
        <v>PWID_females</v>
      </c>
      <c r="C153" t="s">
        <v>32</v>
      </c>
      <c r="D153" s="3"/>
      <c r="E153" s="3"/>
      <c r="F153" s="4" t="s">
        <v>37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Definitions'!$A$4</f>
        <v>0-9_males</v>
      </c>
      <c r="C154" t="s">
        <v>32</v>
      </c>
      <c r="D154" s="3"/>
      <c r="E154" s="3"/>
      <c r="F154" s="4" t="s">
        <v>37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Definitions'!$A$5</f>
        <v>0-9_females</v>
      </c>
      <c r="C155" t="s">
        <v>32</v>
      </c>
      <c r="D155" s="3"/>
      <c r="E155" s="3"/>
      <c r="F155" s="4" t="s">
        <v>37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Definitions'!$A$6</f>
        <v>10-17_males</v>
      </c>
      <c r="C156" t="s">
        <v>32</v>
      </c>
      <c r="D156" s="3"/>
      <c r="E156" s="3"/>
      <c r="F156" s="4" t="s">
        <v>37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Definitions'!$A$7</f>
        <v>10-17_females</v>
      </c>
      <c r="C157" t="s">
        <v>32</v>
      </c>
      <c r="D157" s="3"/>
      <c r="E157" s="3"/>
      <c r="F157" s="4" t="s">
        <v>37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Definitions'!$A$8</f>
        <v>18-64_males</v>
      </c>
      <c r="C158" t="s">
        <v>32</v>
      </c>
      <c r="D158" s="3"/>
      <c r="E158" s="3"/>
      <c r="F158" s="4" t="s">
        <v>37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Definitions'!$A$9</f>
        <v>18-64_females</v>
      </c>
      <c r="C159" t="s">
        <v>32</v>
      </c>
      <c r="D159" s="3"/>
      <c r="E159" s="3"/>
      <c r="F159" s="4" t="s">
        <v>37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Definitions'!$A$10</f>
        <v>65+_males</v>
      </c>
      <c r="C160" t="s">
        <v>32</v>
      </c>
      <c r="D160" s="3"/>
      <c r="E160" s="3"/>
      <c r="F160" s="4" t="s">
        <v>37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Definitions'!$A$11</f>
        <v>65+_females</v>
      </c>
      <c r="C161" t="s">
        <v>32</v>
      </c>
      <c r="D161" s="3"/>
      <c r="E161" s="3"/>
      <c r="F161" s="4" t="s">
        <v>37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Definitions'!$A$12</f>
        <v>Prisoners_males</v>
      </c>
      <c r="C162" t="s">
        <v>32</v>
      </c>
      <c r="D162" s="3"/>
      <c r="E162" s="3"/>
      <c r="F162" s="4" t="s">
        <v>37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Definitions'!$A$13</f>
        <v>Prisoners_females</v>
      </c>
      <c r="C163" t="s">
        <v>32</v>
      </c>
      <c r="D163" s="3"/>
      <c r="E163" s="3"/>
      <c r="F163" s="4" t="s">
        <v>37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">
        <v>109</v>
      </c>
      <c r="C164" t="s">
        <v>32</v>
      </c>
      <c r="D164" s="3"/>
      <c r="E164" s="3"/>
      <c r="F164" s="4" t="s">
        <v>37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6" spans="1:57">
      <c r="A166" s="1" t="s">
        <v>120</v>
      </c>
      <c r="B166" s="1" t="s">
        <v>29</v>
      </c>
      <c r="C166" s="1" t="s">
        <v>30</v>
      </c>
      <c r="D166" s="1" t="s">
        <v>31</v>
      </c>
      <c r="E166" s="1" t="s">
        <v>36</v>
      </c>
      <c r="F166" s="1"/>
      <c r="G166" s="1">
        <v>2000</v>
      </c>
      <c r="H166" s="1">
        <v>2001</v>
      </c>
      <c r="I166" s="1">
        <v>2002</v>
      </c>
      <c r="J166" s="1">
        <v>2003</v>
      </c>
      <c r="K166" s="1">
        <v>2004</v>
      </c>
      <c r="L166" s="1">
        <v>2005</v>
      </c>
      <c r="M166" s="1">
        <v>2006</v>
      </c>
      <c r="N166" s="1">
        <v>2007</v>
      </c>
      <c r="O166" s="1">
        <v>2008</v>
      </c>
      <c r="P166" s="1">
        <v>2009</v>
      </c>
      <c r="Q166" s="1">
        <v>2010</v>
      </c>
      <c r="R166" s="1">
        <v>2011</v>
      </c>
      <c r="S166" s="1">
        <v>2012</v>
      </c>
      <c r="T166" s="1">
        <v>2013</v>
      </c>
      <c r="U166" s="1">
        <v>2014</v>
      </c>
      <c r="V166" s="1">
        <v>2015</v>
      </c>
      <c r="W166" s="1">
        <v>2016</v>
      </c>
      <c r="X166" s="1">
        <v>2017</v>
      </c>
      <c r="Y166" s="1">
        <v>2018</v>
      </c>
      <c r="Z166" s="1">
        <v>2019</v>
      </c>
      <c r="AA166" s="1">
        <v>2020</v>
      </c>
      <c r="AB166" s="1">
        <v>2021</v>
      </c>
      <c r="AC166" s="1">
        <v>2022</v>
      </c>
      <c r="AD166" s="1">
        <v>2023</v>
      </c>
      <c r="AE166" s="1">
        <v>2024</v>
      </c>
      <c r="AF166" s="1">
        <v>2025</v>
      </c>
      <c r="AG166" s="1">
        <v>2026</v>
      </c>
      <c r="AH166" s="1">
        <v>2027</v>
      </c>
      <c r="AI166" s="1">
        <v>2028</v>
      </c>
      <c r="AJ166" s="1">
        <v>2029</v>
      </c>
      <c r="AK166" s="1">
        <v>2030</v>
      </c>
      <c r="AL166" s="1">
        <v>2031</v>
      </c>
      <c r="AM166" s="1">
        <v>2032</v>
      </c>
      <c r="AN166" s="1">
        <v>2033</v>
      </c>
      <c r="AO166" s="1">
        <v>2034</v>
      </c>
      <c r="AP166" s="1">
        <v>2035</v>
      </c>
      <c r="AQ166" s="1">
        <v>2036</v>
      </c>
      <c r="AR166" s="1">
        <v>2037</v>
      </c>
      <c r="AS166" s="1">
        <v>2038</v>
      </c>
      <c r="AT166" s="1">
        <v>2039</v>
      </c>
      <c r="AU166" s="1">
        <v>2040</v>
      </c>
      <c r="AV166" s="1">
        <v>2041</v>
      </c>
      <c r="AW166" s="1">
        <v>2042</v>
      </c>
      <c r="AX166" s="1">
        <v>2043</v>
      </c>
      <c r="AY166" s="1">
        <v>2044</v>
      </c>
      <c r="AZ166" s="1">
        <v>2045</v>
      </c>
      <c r="BA166" s="1">
        <v>2046</v>
      </c>
      <c r="BB166" s="1">
        <v>2047</v>
      </c>
      <c r="BC166" s="1">
        <v>2048</v>
      </c>
      <c r="BD166" s="1">
        <v>2049</v>
      </c>
      <c r="BE166" s="1">
        <v>2050</v>
      </c>
    </row>
    <row r="167" spans="1:57">
      <c r="A167" s="1" t="str">
        <f>'Population Definitions'!$A$2</f>
        <v>PWID_males</v>
      </c>
      <c r="C167" t="s">
        <v>32</v>
      </c>
      <c r="D167" s="3"/>
      <c r="E167" s="3"/>
      <c r="F167" s="4" t="s">
        <v>37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Definitions'!$A$3</f>
        <v>PWID_females</v>
      </c>
      <c r="C168" t="s">
        <v>32</v>
      </c>
      <c r="D168" s="3"/>
      <c r="E168" s="3"/>
      <c r="F168" s="4" t="s">
        <v>37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Definitions'!$A$4</f>
        <v>0-9_males</v>
      </c>
      <c r="C169" t="s">
        <v>32</v>
      </c>
      <c r="D169" s="3"/>
      <c r="E169" s="3"/>
      <c r="F169" s="4" t="s">
        <v>37</v>
      </c>
      <c r="G169" s="3">
        <v>0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Definitions'!$A$5</f>
        <v>0-9_females</v>
      </c>
      <c r="C170" t="s">
        <v>32</v>
      </c>
      <c r="D170" s="3"/>
      <c r="E170" s="3"/>
      <c r="F170" s="4" t="s">
        <v>37</v>
      </c>
      <c r="G170" s="3">
        <v>0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Definitions'!$A$6</f>
        <v>10-17_males</v>
      </c>
      <c r="C171" t="s">
        <v>32</v>
      </c>
      <c r="D171" s="3"/>
      <c r="E171" s="3"/>
      <c r="F171" s="4" t="s">
        <v>37</v>
      </c>
      <c r="G171" s="3">
        <v>0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Definitions'!$A$7</f>
        <v>10-17_females</v>
      </c>
      <c r="C172" t="s">
        <v>32</v>
      </c>
      <c r="D172" s="3"/>
      <c r="E172" s="3"/>
      <c r="F172" s="4" t="s">
        <v>37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Definitions'!$A$8</f>
        <v>18-64_males</v>
      </c>
      <c r="C173" t="s">
        <v>32</v>
      </c>
      <c r="D173" s="3"/>
      <c r="E173" s="3"/>
      <c r="F173" s="4" t="s">
        <v>37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Definitions'!$A$9</f>
        <v>18-64_females</v>
      </c>
      <c r="C174" t="s">
        <v>32</v>
      </c>
      <c r="D174" s="3"/>
      <c r="E174" s="3"/>
      <c r="F174" s="4" t="s">
        <v>37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Definitions'!$A$10</f>
        <v>65+_males</v>
      </c>
      <c r="C175" t="s">
        <v>32</v>
      </c>
      <c r="D175" s="3"/>
      <c r="E175" s="3"/>
      <c r="F175" s="4" t="s">
        <v>37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Definitions'!$A$11</f>
        <v>65+_females</v>
      </c>
      <c r="C176" t="s">
        <v>32</v>
      </c>
      <c r="D176" s="3"/>
      <c r="E176" s="3"/>
      <c r="F176" s="4" t="s">
        <v>37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Definitions'!$A$12</f>
        <v>Prisoners_males</v>
      </c>
      <c r="C177" t="s">
        <v>32</v>
      </c>
      <c r="D177" s="3"/>
      <c r="E177" s="3"/>
      <c r="F177" s="4" t="s">
        <v>37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Definitions'!$A$13</f>
        <v>Prisoners_females</v>
      </c>
      <c r="C178" t="s">
        <v>32</v>
      </c>
      <c r="D178" s="3"/>
      <c r="E178" s="3"/>
      <c r="F178" s="4" t="s">
        <v>37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">
        <v>109</v>
      </c>
      <c r="C179" t="s">
        <v>32</v>
      </c>
      <c r="D179" s="3"/>
      <c r="E179" s="3"/>
      <c r="F179" s="4" t="s">
        <v>37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1" spans="1:57">
      <c r="A181" s="1" t="s">
        <v>121</v>
      </c>
      <c r="B181" s="1" t="s">
        <v>29</v>
      </c>
      <c r="C181" s="1" t="s">
        <v>30</v>
      </c>
      <c r="D181" s="1" t="s">
        <v>31</v>
      </c>
      <c r="E181" s="1" t="s">
        <v>36</v>
      </c>
      <c r="F181" s="1"/>
      <c r="G181" s="1">
        <v>2000</v>
      </c>
      <c r="H181" s="1">
        <v>2001</v>
      </c>
      <c r="I181" s="1">
        <v>2002</v>
      </c>
      <c r="J181" s="1">
        <v>2003</v>
      </c>
      <c r="K181" s="1">
        <v>2004</v>
      </c>
      <c r="L181" s="1">
        <v>2005</v>
      </c>
      <c r="M181" s="1">
        <v>2006</v>
      </c>
      <c r="N181" s="1">
        <v>2007</v>
      </c>
      <c r="O181" s="1">
        <v>2008</v>
      </c>
      <c r="P181" s="1">
        <v>2009</v>
      </c>
      <c r="Q181" s="1">
        <v>2010</v>
      </c>
      <c r="R181" s="1">
        <v>2011</v>
      </c>
      <c r="S181" s="1">
        <v>2012</v>
      </c>
      <c r="T181" s="1">
        <v>2013</v>
      </c>
      <c r="U181" s="1">
        <v>2014</v>
      </c>
      <c r="V181" s="1">
        <v>2015</v>
      </c>
      <c r="W181" s="1">
        <v>2016</v>
      </c>
      <c r="X181" s="1">
        <v>2017</v>
      </c>
      <c r="Y181" s="1">
        <v>2018</v>
      </c>
      <c r="Z181" s="1">
        <v>2019</v>
      </c>
      <c r="AA181" s="1">
        <v>2020</v>
      </c>
      <c r="AB181" s="1">
        <v>2021</v>
      </c>
      <c r="AC181" s="1">
        <v>2022</v>
      </c>
      <c r="AD181" s="1">
        <v>2023</v>
      </c>
      <c r="AE181" s="1">
        <v>2024</v>
      </c>
      <c r="AF181" s="1">
        <v>2025</v>
      </c>
      <c r="AG181" s="1">
        <v>2026</v>
      </c>
      <c r="AH181" s="1">
        <v>2027</v>
      </c>
      <c r="AI181" s="1">
        <v>2028</v>
      </c>
      <c r="AJ181" s="1">
        <v>2029</v>
      </c>
      <c r="AK181" s="1">
        <v>2030</v>
      </c>
      <c r="AL181" s="1">
        <v>2031</v>
      </c>
      <c r="AM181" s="1">
        <v>2032</v>
      </c>
      <c r="AN181" s="1">
        <v>2033</v>
      </c>
      <c r="AO181" s="1">
        <v>2034</v>
      </c>
      <c r="AP181" s="1">
        <v>2035</v>
      </c>
      <c r="AQ181" s="1">
        <v>2036</v>
      </c>
      <c r="AR181" s="1">
        <v>2037</v>
      </c>
      <c r="AS181" s="1">
        <v>2038</v>
      </c>
      <c r="AT181" s="1">
        <v>2039</v>
      </c>
      <c r="AU181" s="1">
        <v>2040</v>
      </c>
      <c r="AV181" s="1">
        <v>2041</v>
      </c>
      <c r="AW181" s="1">
        <v>2042</v>
      </c>
      <c r="AX181" s="1">
        <v>2043</v>
      </c>
      <c r="AY181" s="1">
        <v>2044</v>
      </c>
      <c r="AZ181" s="1">
        <v>2045</v>
      </c>
      <c r="BA181" s="1">
        <v>2046</v>
      </c>
      <c r="BB181" s="1">
        <v>2047</v>
      </c>
      <c r="BC181" s="1">
        <v>2048</v>
      </c>
      <c r="BD181" s="1">
        <v>2049</v>
      </c>
      <c r="BE181" s="1">
        <v>2050</v>
      </c>
    </row>
    <row r="182" spans="1:57">
      <c r="A182" s="1" t="str">
        <f>'Population Definitions'!$A$2</f>
        <v>PWID_males</v>
      </c>
      <c r="C182" t="s">
        <v>32</v>
      </c>
      <c r="D182" s="3"/>
      <c r="E182" s="3"/>
      <c r="F182" s="4" t="s">
        <v>37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Definitions'!$A$3</f>
        <v>PWID_females</v>
      </c>
      <c r="C183" t="s">
        <v>32</v>
      </c>
      <c r="D183" s="3"/>
      <c r="E183" s="3"/>
      <c r="F183" s="4" t="s">
        <v>37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Definitions'!$A$4</f>
        <v>0-9_males</v>
      </c>
      <c r="C184" t="s">
        <v>32</v>
      </c>
      <c r="D184" s="3"/>
      <c r="E184" s="3"/>
      <c r="F184" s="4" t="s">
        <v>37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Definitions'!$A$5</f>
        <v>0-9_females</v>
      </c>
      <c r="C185" t="s">
        <v>32</v>
      </c>
      <c r="D185" s="3"/>
      <c r="E185" s="3"/>
      <c r="F185" s="4" t="s">
        <v>37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Definitions'!$A$6</f>
        <v>10-17_males</v>
      </c>
      <c r="C186" t="s">
        <v>32</v>
      </c>
      <c r="D186" s="3"/>
      <c r="E186" s="3"/>
      <c r="F186" s="4" t="s">
        <v>37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Definitions'!$A$7</f>
        <v>10-17_females</v>
      </c>
      <c r="C187" t="s">
        <v>32</v>
      </c>
      <c r="D187" s="3"/>
      <c r="E187" s="3"/>
      <c r="F187" s="4" t="s">
        <v>37</v>
      </c>
      <c r="G187" s="3">
        <v>0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Definitions'!$A$8</f>
        <v>18-64_males</v>
      </c>
      <c r="C188" t="s">
        <v>32</v>
      </c>
      <c r="D188" s="3"/>
      <c r="E188" s="3"/>
      <c r="F188" s="4" t="s">
        <v>37</v>
      </c>
      <c r="G188" s="3">
        <v>0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Definitions'!$A$9</f>
        <v>18-64_females</v>
      </c>
      <c r="C189" t="s">
        <v>32</v>
      </c>
      <c r="D189" s="3"/>
      <c r="E189" s="3"/>
      <c r="F189" s="4" t="s">
        <v>37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Definitions'!$A$10</f>
        <v>65+_males</v>
      </c>
      <c r="C190" t="s">
        <v>32</v>
      </c>
      <c r="D190" s="3"/>
      <c r="E190" s="3"/>
      <c r="F190" s="4" t="s">
        <v>37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Definitions'!$A$11</f>
        <v>65+_females</v>
      </c>
      <c r="C191" t="s">
        <v>32</v>
      </c>
      <c r="D191" s="3"/>
      <c r="E191" s="3"/>
      <c r="F191" s="4" t="s">
        <v>37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Definitions'!$A$12</f>
        <v>Prisoners_males</v>
      </c>
      <c r="C192" t="s">
        <v>32</v>
      </c>
      <c r="D192" s="3"/>
      <c r="E192" s="3"/>
      <c r="F192" s="4" t="s">
        <v>37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Definitions'!$A$13</f>
        <v>Prisoners_females</v>
      </c>
      <c r="C193" t="s">
        <v>32</v>
      </c>
      <c r="D193" s="3"/>
      <c r="E193" s="3"/>
      <c r="F193" s="4" t="s">
        <v>37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">
        <v>109</v>
      </c>
      <c r="C194" t="s">
        <v>32</v>
      </c>
      <c r="D194" s="3"/>
      <c r="E194" s="3"/>
      <c r="F194" s="4" t="s">
        <v>37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6" spans="1:57">
      <c r="A196" s="1" t="s">
        <v>122</v>
      </c>
      <c r="B196" s="1" t="s">
        <v>29</v>
      </c>
      <c r="C196" s="1" t="s">
        <v>30</v>
      </c>
      <c r="D196" s="1" t="s">
        <v>31</v>
      </c>
      <c r="E196" s="1" t="s">
        <v>36</v>
      </c>
      <c r="F196" s="1"/>
      <c r="G196" s="1">
        <v>2000</v>
      </c>
      <c r="H196" s="1">
        <v>2001</v>
      </c>
      <c r="I196" s="1">
        <v>2002</v>
      </c>
      <c r="J196" s="1">
        <v>2003</v>
      </c>
      <c r="K196" s="1">
        <v>2004</v>
      </c>
      <c r="L196" s="1">
        <v>2005</v>
      </c>
      <c r="M196" s="1">
        <v>2006</v>
      </c>
      <c r="N196" s="1">
        <v>2007</v>
      </c>
      <c r="O196" s="1">
        <v>2008</v>
      </c>
      <c r="P196" s="1">
        <v>2009</v>
      </c>
      <c r="Q196" s="1">
        <v>2010</v>
      </c>
      <c r="R196" s="1">
        <v>2011</v>
      </c>
      <c r="S196" s="1">
        <v>2012</v>
      </c>
      <c r="T196" s="1">
        <v>2013</v>
      </c>
      <c r="U196" s="1">
        <v>2014</v>
      </c>
      <c r="V196" s="1">
        <v>2015</v>
      </c>
      <c r="W196" s="1">
        <v>2016</v>
      </c>
      <c r="X196" s="1">
        <v>2017</v>
      </c>
      <c r="Y196" s="1">
        <v>2018</v>
      </c>
      <c r="Z196" s="1">
        <v>2019</v>
      </c>
      <c r="AA196" s="1">
        <v>2020</v>
      </c>
      <c r="AB196" s="1">
        <v>2021</v>
      </c>
      <c r="AC196" s="1">
        <v>2022</v>
      </c>
      <c r="AD196" s="1">
        <v>2023</v>
      </c>
      <c r="AE196" s="1">
        <v>2024</v>
      </c>
      <c r="AF196" s="1">
        <v>2025</v>
      </c>
      <c r="AG196" s="1">
        <v>2026</v>
      </c>
      <c r="AH196" s="1">
        <v>2027</v>
      </c>
      <c r="AI196" s="1">
        <v>2028</v>
      </c>
      <c r="AJ196" s="1">
        <v>2029</v>
      </c>
      <c r="AK196" s="1">
        <v>2030</v>
      </c>
      <c r="AL196" s="1">
        <v>2031</v>
      </c>
      <c r="AM196" s="1">
        <v>2032</v>
      </c>
      <c r="AN196" s="1">
        <v>2033</v>
      </c>
      <c r="AO196" s="1">
        <v>2034</v>
      </c>
      <c r="AP196" s="1">
        <v>2035</v>
      </c>
      <c r="AQ196" s="1">
        <v>2036</v>
      </c>
      <c r="AR196" s="1">
        <v>2037</v>
      </c>
      <c r="AS196" s="1">
        <v>2038</v>
      </c>
      <c r="AT196" s="1">
        <v>2039</v>
      </c>
      <c r="AU196" s="1">
        <v>2040</v>
      </c>
      <c r="AV196" s="1">
        <v>2041</v>
      </c>
      <c r="AW196" s="1">
        <v>2042</v>
      </c>
      <c r="AX196" s="1">
        <v>2043</v>
      </c>
      <c r="AY196" s="1">
        <v>2044</v>
      </c>
      <c r="AZ196" s="1">
        <v>2045</v>
      </c>
      <c r="BA196" s="1">
        <v>2046</v>
      </c>
      <c r="BB196" s="1">
        <v>2047</v>
      </c>
      <c r="BC196" s="1">
        <v>2048</v>
      </c>
      <c r="BD196" s="1">
        <v>2049</v>
      </c>
      <c r="BE196" s="1">
        <v>2050</v>
      </c>
    </row>
    <row r="197" spans="1:57">
      <c r="A197" s="1" t="str">
        <f>'Population Definitions'!$A$2</f>
        <v>PWID_males</v>
      </c>
      <c r="C197" t="s">
        <v>32</v>
      </c>
      <c r="D197" s="3"/>
      <c r="E197" s="3"/>
      <c r="F197" s="4" t="s">
        <v>37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Definitions'!$A$3</f>
        <v>PWID_females</v>
      </c>
      <c r="C198" t="s">
        <v>32</v>
      </c>
      <c r="D198" s="3"/>
      <c r="E198" s="3"/>
      <c r="F198" s="4" t="s">
        <v>37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Definitions'!$A$4</f>
        <v>0-9_males</v>
      </c>
      <c r="C199" t="s">
        <v>32</v>
      </c>
      <c r="D199" s="3"/>
      <c r="E199" s="3"/>
      <c r="F199" s="4" t="s">
        <v>37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Definitions'!$A$5</f>
        <v>0-9_females</v>
      </c>
      <c r="C200" t="s">
        <v>32</v>
      </c>
      <c r="D200" s="3"/>
      <c r="E200" s="3"/>
      <c r="F200" s="4" t="s">
        <v>37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Definitions'!$A$6</f>
        <v>10-17_males</v>
      </c>
      <c r="C201" t="s">
        <v>32</v>
      </c>
      <c r="D201" s="3"/>
      <c r="E201" s="3"/>
      <c r="F201" s="4" t="s">
        <v>37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Definitions'!$A$7</f>
        <v>10-17_females</v>
      </c>
      <c r="C202" t="s">
        <v>32</v>
      </c>
      <c r="D202" s="3"/>
      <c r="E202" s="3"/>
      <c r="F202" s="4" t="s">
        <v>37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Definitions'!$A$8</f>
        <v>18-64_males</v>
      </c>
      <c r="C203" t="s">
        <v>32</v>
      </c>
      <c r="D203" s="3"/>
      <c r="E203" s="3"/>
      <c r="F203" s="4" t="s">
        <v>37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Definitions'!$A$9</f>
        <v>18-64_females</v>
      </c>
      <c r="C204" t="s">
        <v>32</v>
      </c>
      <c r="D204" s="3"/>
      <c r="E204" s="3"/>
      <c r="F204" s="4" t="s">
        <v>37</v>
      </c>
      <c r="G204" s="3">
        <v>0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Definitions'!$A$10</f>
        <v>65+_males</v>
      </c>
      <c r="C205" t="s">
        <v>32</v>
      </c>
      <c r="D205" s="3"/>
      <c r="E205" s="3"/>
      <c r="F205" s="4" t="s">
        <v>37</v>
      </c>
      <c r="G205" s="3">
        <v>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Definitions'!$A$11</f>
        <v>65+_females</v>
      </c>
      <c r="C206" t="s">
        <v>32</v>
      </c>
      <c r="D206" s="3"/>
      <c r="E206" s="3"/>
      <c r="F206" s="4" t="s">
        <v>37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Definitions'!$A$12</f>
        <v>Prisoners_males</v>
      </c>
      <c r="C207" t="s">
        <v>32</v>
      </c>
      <c r="D207" s="3"/>
      <c r="E207" s="3"/>
      <c r="F207" s="4" t="s">
        <v>37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Definitions'!$A$13</f>
        <v>Prisoners_females</v>
      </c>
      <c r="C208" t="s">
        <v>32</v>
      </c>
      <c r="D208" s="3"/>
      <c r="E208" s="3"/>
      <c r="F208" s="4" t="s">
        <v>37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">
        <v>109</v>
      </c>
      <c r="C209" t="s">
        <v>32</v>
      </c>
      <c r="D209" s="3"/>
      <c r="E209" s="3"/>
      <c r="F209" s="4" t="s">
        <v>37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1" spans="1:57">
      <c r="A211" s="1" t="s">
        <v>123</v>
      </c>
      <c r="B211" s="1" t="s">
        <v>29</v>
      </c>
      <c r="C211" s="1" t="s">
        <v>30</v>
      </c>
      <c r="D211" s="1" t="s">
        <v>31</v>
      </c>
      <c r="E211" s="1" t="s">
        <v>36</v>
      </c>
      <c r="F211" s="1"/>
      <c r="G211" s="1">
        <v>2000</v>
      </c>
      <c r="H211" s="1">
        <v>2001</v>
      </c>
      <c r="I211" s="1">
        <v>2002</v>
      </c>
      <c r="J211" s="1">
        <v>2003</v>
      </c>
      <c r="K211" s="1">
        <v>2004</v>
      </c>
      <c r="L211" s="1">
        <v>2005</v>
      </c>
      <c r="M211" s="1">
        <v>2006</v>
      </c>
      <c r="N211" s="1">
        <v>2007</v>
      </c>
      <c r="O211" s="1">
        <v>2008</v>
      </c>
      <c r="P211" s="1">
        <v>2009</v>
      </c>
      <c r="Q211" s="1">
        <v>2010</v>
      </c>
      <c r="R211" s="1">
        <v>2011</v>
      </c>
      <c r="S211" s="1">
        <v>2012</v>
      </c>
      <c r="T211" s="1">
        <v>2013</v>
      </c>
      <c r="U211" s="1">
        <v>2014</v>
      </c>
      <c r="V211" s="1">
        <v>2015</v>
      </c>
      <c r="W211" s="1">
        <v>2016</v>
      </c>
      <c r="X211" s="1">
        <v>2017</v>
      </c>
      <c r="Y211" s="1">
        <v>2018</v>
      </c>
      <c r="Z211" s="1">
        <v>2019</v>
      </c>
      <c r="AA211" s="1">
        <v>2020</v>
      </c>
      <c r="AB211" s="1">
        <v>2021</v>
      </c>
      <c r="AC211" s="1">
        <v>2022</v>
      </c>
      <c r="AD211" s="1">
        <v>2023</v>
      </c>
      <c r="AE211" s="1">
        <v>2024</v>
      </c>
      <c r="AF211" s="1">
        <v>2025</v>
      </c>
      <c r="AG211" s="1">
        <v>2026</v>
      </c>
      <c r="AH211" s="1">
        <v>2027</v>
      </c>
      <c r="AI211" s="1">
        <v>2028</v>
      </c>
      <c r="AJ211" s="1">
        <v>2029</v>
      </c>
      <c r="AK211" s="1">
        <v>2030</v>
      </c>
      <c r="AL211" s="1">
        <v>2031</v>
      </c>
      <c r="AM211" s="1">
        <v>2032</v>
      </c>
      <c r="AN211" s="1">
        <v>2033</v>
      </c>
      <c r="AO211" s="1">
        <v>2034</v>
      </c>
      <c r="AP211" s="1">
        <v>2035</v>
      </c>
      <c r="AQ211" s="1">
        <v>2036</v>
      </c>
      <c r="AR211" s="1">
        <v>2037</v>
      </c>
      <c r="AS211" s="1">
        <v>2038</v>
      </c>
      <c r="AT211" s="1">
        <v>2039</v>
      </c>
      <c r="AU211" s="1">
        <v>2040</v>
      </c>
      <c r="AV211" s="1">
        <v>2041</v>
      </c>
      <c r="AW211" s="1">
        <v>2042</v>
      </c>
      <c r="AX211" s="1">
        <v>2043</v>
      </c>
      <c r="AY211" s="1">
        <v>2044</v>
      </c>
      <c r="AZ211" s="1">
        <v>2045</v>
      </c>
      <c r="BA211" s="1">
        <v>2046</v>
      </c>
      <c r="BB211" s="1">
        <v>2047</v>
      </c>
      <c r="BC211" s="1">
        <v>2048</v>
      </c>
      <c r="BD211" s="1">
        <v>2049</v>
      </c>
      <c r="BE211" s="1">
        <v>2050</v>
      </c>
    </row>
    <row r="212" spans="1:57">
      <c r="A212" s="1" t="str">
        <f>'Population Definitions'!$A$2</f>
        <v>PWID_males</v>
      </c>
      <c r="C212" t="s">
        <v>32</v>
      </c>
      <c r="D212" s="3"/>
      <c r="E212" s="3"/>
      <c r="F212" s="4" t="s">
        <v>37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Definitions'!$A$3</f>
        <v>PWID_females</v>
      </c>
      <c r="C213" t="s">
        <v>32</v>
      </c>
      <c r="D213" s="3"/>
      <c r="E213" s="3"/>
      <c r="F213" s="4" t="s">
        <v>37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Definitions'!$A$4</f>
        <v>0-9_males</v>
      </c>
      <c r="C214" t="s">
        <v>32</v>
      </c>
      <c r="D214" s="3"/>
      <c r="E214" s="3"/>
      <c r="F214" s="4" t="s">
        <v>37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Definitions'!$A$5</f>
        <v>0-9_females</v>
      </c>
      <c r="C215" t="s">
        <v>32</v>
      </c>
      <c r="D215" s="3"/>
      <c r="E215" s="3"/>
      <c r="F215" s="4" t="s">
        <v>37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Definitions'!$A$6</f>
        <v>10-17_males</v>
      </c>
      <c r="C216" t="s">
        <v>32</v>
      </c>
      <c r="D216" s="3"/>
      <c r="E216" s="3"/>
      <c r="F216" s="4" t="s">
        <v>37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Definitions'!$A$7</f>
        <v>10-17_females</v>
      </c>
      <c r="C217" t="s">
        <v>32</v>
      </c>
      <c r="D217" s="3"/>
      <c r="E217" s="3"/>
      <c r="F217" s="4" t="s">
        <v>37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Definitions'!$A$8</f>
        <v>18-64_males</v>
      </c>
      <c r="C218" t="s">
        <v>32</v>
      </c>
      <c r="D218" s="3"/>
      <c r="E218" s="3"/>
      <c r="F218" s="4" t="s">
        <v>37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Definitions'!$A$9</f>
        <v>18-64_females</v>
      </c>
      <c r="C219" t="s">
        <v>32</v>
      </c>
      <c r="D219" s="3"/>
      <c r="E219" s="3"/>
      <c r="F219" s="4" t="s">
        <v>37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Definitions'!$A$10</f>
        <v>65+_males</v>
      </c>
      <c r="C220" t="s">
        <v>32</v>
      </c>
      <c r="D220" s="3"/>
      <c r="E220" s="3"/>
      <c r="F220" s="4" t="s">
        <v>37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Definitions'!$A$11</f>
        <v>65+_females</v>
      </c>
      <c r="C221" t="s">
        <v>32</v>
      </c>
      <c r="D221" s="3"/>
      <c r="E221" s="3"/>
      <c r="F221" s="4" t="s">
        <v>37</v>
      </c>
      <c r="G221" s="3">
        <v>0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Definitions'!$A$12</f>
        <v>Prisoners_males</v>
      </c>
      <c r="C222" t="s">
        <v>32</v>
      </c>
      <c r="D222" s="3"/>
      <c r="E222" s="3"/>
      <c r="F222" s="4" t="s">
        <v>37</v>
      </c>
      <c r="G222" s="3">
        <v>0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Definitions'!$A$13</f>
        <v>Prisoners_females</v>
      </c>
      <c r="C223" t="s">
        <v>32</v>
      </c>
      <c r="D223" s="3"/>
      <c r="E223" s="3"/>
      <c r="F223" s="4" t="s">
        <v>37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">
        <v>109</v>
      </c>
      <c r="C224" t="s">
        <v>32</v>
      </c>
      <c r="D224" s="3"/>
      <c r="E224" s="3"/>
      <c r="F224" s="4" t="s">
        <v>37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6" spans="1:57">
      <c r="A226" s="1" t="s">
        <v>124</v>
      </c>
      <c r="B226" s="1" t="s">
        <v>29</v>
      </c>
      <c r="C226" s="1" t="s">
        <v>30</v>
      </c>
      <c r="D226" s="1" t="s">
        <v>31</v>
      </c>
      <c r="E226" s="1" t="s">
        <v>36</v>
      </c>
      <c r="F226" s="1"/>
      <c r="G226" s="1">
        <v>2000</v>
      </c>
      <c r="H226" s="1">
        <v>2001</v>
      </c>
      <c r="I226" s="1">
        <v>2002</v>
      </c>
      <c r="J226" s="1">
        <v>2003</v>
      </c>
      <c r="K226" s="1">
        <v>2004</v>
      </c>
      <c r="L226" s="1">
        <v>2005</v>
      </c>
      <c r="M226" s="1">
        <v>2006</v>
      </c>
      <c r="N226" s="1">
        <v>2007</v>
      </c>
      <c r="O226" s="1">
        <v>2008</v>
      </c>
      <c r="P226" s="1">
        <v>2009</v>
      </c>
      <c r="Q226" s="1">
        <v>2010</v>
      </c>
      <c r="R226" s="1">
        <v>2011</v>
      </c>
      <c r="S226" s="1">
        <v>2012</v>
      </c>
      <c r="T226" s="1">
        <v>2013</v>
      </c>
      <c r="U226" s="1">
        <v>2014</v>
      </c>
      <c r="V226" s="1">
        <v>2015</v>
      </c>
      <c r="W226" s="1">
        <v>2016</v>
      </c>
      <c r="X226" s="1">
        <v>2017</v>
      </c>
      <c r="Y226" s="1">
        <v>2018</v>
      </c>
      <c r="Z226" s="1">
        <v>2019</v>
      </c>
      <c r="AA226" s="1">
        <v>2020</v>
      </c>
      <c r="AB226" s="1">
        <v>2021</v>
      </c>
      <c r="AC226" s="1">
        <v>2022</v>
      </c>
      <c r="AD226" s="1">
        <v>2023</v>
      </c>
      <c r="AE226" s="1">
        <v>2024</v>
      </c>
      <c r="AF226" s="1">
        <v>2025</v>
      </c>
      <c r="AG226" s="1">
        <v>2026</v>
      </c>
      <c r="AH226" s="1">
        <v>2027</v>
      </c>
      <c r="AI226" s="1">
        <v>2028</v>
      </c>
      <c r="AJ226" s="1">
        <v>2029</v>
      </c>
      <c r="AK226" s="1">
        <v>2030</v>
      </c>
      <c r="AL226" s="1">
        <v>2031</v>
      </c>
      <c r="AM226" s="1">
        <v>2032</v>
      </c>
      <c r="AN226" s="1">
        <v>2033</v>
      </c>
      <c r="AO226" s="1">
        <v>2034</v>
      </c>
      <c r="AP226" s="1">
        <v>2035</v>
      </c>
      <c r="AQ226" s="1">
        <v>2036</v>
      </c>
      <c r="AR226" s="1">
        <v>2037</v>
      </c>
      <c r="AS226" s="1">
        <v>2038</v>
      </c>
      <c r="AT226" s="1">
        <v>2039</v>
      </c>
      <c r="AU226" s="1">
        <v>2040</v>
      </c>
      <c r="AV226" s="1">
        <v>2041</v>
      </c>
      <c r="AW226" s="1">
        <v>2042</v>
      </c>
      <c r="AX226" s="1">
        <v>2043</v>
      </c>
      <c r="AY226" s="1">
        <v>2044</v>
      </c>
      <c r="AZ226" s="1">
        <v>2045</v>
      </c>
      <c r="BA226" s="1">
        <v>2046</v>
      </c>
      <c r="BB226" s="1">
        <v>2047</v>
      </c>
      <c r="BC226" s="1">
        <v>2048</v>
      </c>
      <c r="BD226" s="1">
        <v>2049</v>
      </c>
      <c r="BE226" s="1">
        <v>2050</v>
      </c>
    </row>
    <row r="227" spans="1:57">
      <c r="A227" s="1" t="str">
        <f>'Population Definitions'!$A$2</f>
        <v>PWID_males</v>
      </c>
      <c r="C227" t="s">
        <v>32</v>
      </c>
      <c r="D227" s="3"/>
      <c r="E227" s="3"/>
      <c r="F227" s="4" t="s">
        <v>37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Definitions'!$A$3</f>
        <v>PWID_females</v>
      </c>
      <c r="C228" t="s">
        <v>32</v>
      </c>
      <c r="D228" s="3"/>
      <c r="E228" s="3"/>
      <c r="F228" s="4" t="s">
        <v>37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Definitions'!$A$4</f>
        <v>0-9_males</v>
      </c>
      <c r="C229" t="s">
        <v>32</v>
      </c>
      <c r="D229" s="3"/>
      <c r="E229" s="3"/>
      <c r="F229" s="4" t="s">
        <v>37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Definitions'!$A$5</f>
        <v>0-9_females</v>
      </c>
      <c r="C230" t="s">
        <v>32</v>
      </c>
      <c r="D230" s="3"/>
      <c r="E230" s="3"/>
      <c r="F230" s="4" t="s">
        <v>37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Definitions'!$A$6</f>
        <v>10-17_males</v>
      </c>
      <c r="C231" t="s">
        <v>32</v>
      </c>
      <c r="D231" s="3"/>
      <c r="E231" s="3"/>
      <c r="F231" s="4" t="s">
        <v>37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Definitions'!$A$7</f>
        <v>10-17_females</v>
      </c>
      <c r="C232" t="s">
        <v>32</v>
      </c>
      <c r="D232" s="3"/>
      <c r="E232" s="3"/>
      <c r="F232" s="4" t="s">
        <v>37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Definitions'!$A$8</f>
        <v>18-64_males</v>
      </c>
      <c r="C233" t="s">
        <v>32</v>
      </c>
      <c r="D233" s="3"/>
      <c r="E233" s="3"/>
      <c r="F233" s="4" t="s">
        <v>37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Definitions'!$A$9</f>
        <v>18-64_females</v>
      </c>
      <c r="C234" t="s">
        <v>32</v>
      </c>
      <c r="D234" s="3"/>
      <c r="E234" s="3"/>
      <c r="F234" s="4" t="s">
        <v>37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Definitions'!$A$10</f>
        <v>65+_males</v>
      </c>
      <c r="C235" t="s">
        <v>32</v>
      </c>
      <c r="D235" s="3"/>
      <c r="E235" s="3"/>
      <c r="F235" s="4" t="s">
        <v>37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Definitions'!$A$11</f>
        <v>65+_females</v>
      </c>
      <c r="C236" t="s">
        <v>32</v>
      </c>
      <c r="D236" s="3"/>
      <c r="E236" s="3"/>
      <c r="F236" s="4" t="s">
        <v>37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Definitions'!$A$12</f>
        <v>Prisoners_males</v>
      </c>
      <c r="C237" t="s">
        <v>32</v>
      </c>
      <c r="D237" s="3"/>
      <c r="E237" s="3"/>
      <c r="F237" s="4" t="s">
        <v>37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Definitions'!$A$13</f>
        <v>Prisoners_females</v>
      </c>
      <c r="C238" t="s">
        <v>32</v>
      </c>
      <c r="D238" s="3"/>
      <c r="E238" s="3"/>
      <c r="F238" s="4" t="s">
        <v>37</v>
      </c>
      <c r="G238" s="3">
        <v>0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">
        <v>109</v>
      </c>
      <c r="C239" t="s">
        <v>32</v>
      </c>
      <c r="D239" s="3"/>
      <c r="E239" s="3"/>
      <c r="F239" s="4" t="s">
        <v>37</v>
      </c>
      <c r="G239" s="3">
        <v>3.9</v>
      </c>
      <c r="H239" s="3"/>
      <c r="I239" s="3"/>
      <c r="J239" s="3"/>
      <c r="K239" s="3"/>
      <c r="L239" s="3"/>
      <c r="M239" s="3"/>
      <c r="N239" s="3"/>
      <c r="O239" s="3"/>
      <c r="P239" s="3"/>
      <c r="Q239" s="3">
        <v>3.9</v>
      </c>
      <c r="R239" s="3"/>
      <c r="S239" s="3"/>
      <c r="T239" s="3"/>
      <c r="U239" s="3"/>
      <c r="V239" s="3"/>
      <c r="W239" s="3"/>
      <c r="X239" s="3"/>
      <c r="Y239" s="3"/>
      <c r="Z239" s="3">
        <v>4.1</v>
      </c>
      <c r="AA239" s="3">
        <v>4.2</v>
      </c>
      <c r="AB239" s="3">
        <v>4.2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125</v>
      </c>
      <c r="B241" s="1" t="s">
        <v>29</v>
      </c>
      <c r="C241" s="1" t="s">
        <v>30</v>
      </c>
      <c r="D241" s="1" t="s">
        <v>31</v>
      </c>
      <c r="E241" s="1" t="s">
        <v>36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32</v>
      </c>
      <c r="D242" s="3"/>
      <c r="E242" s="3"/>
      <c r="F242" s="4" t="s">
        <v>37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32</v>
      </c>
      <c r="D243" s="3"/>
      <c r="E243" s="3"/>
      <c r="F243" s="4" t="s">
        <v>37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32</v>
      </c>
      <c r="D244" s="3"/>
      <c r="E244" s="3"/>
      <c r="F244" s="4" t="s">
        <v>37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32</v>
      </c>
      <c r="D245" s="3"/>
      <c r="E245" s="3"/>
      <c r="F245" s="4" t="s">
        <v>37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32</v>
      </c>
      <c r="D246" s="3"/>
      <c r="E246" s="3"/>
      <c r="F246" s="4" t="s">
        <v>37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32</v>
      </c>
      <c r="D247" s="3"/>
      <c r="E247" s="3"/>
      <c r="F247" s="4" t="s">
        <v>37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32</v>
      </c>
      <c r="D248" s="3"/>
      <c r="E248" s="3"/>
      <c r="F248" s="4" t="s">
        <v>37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32</v>
      </c>
      <c r="D249" s="3"/>
      <c r="E249" s="3"/>
      <c r="F249" s="4" t="s">
        <v>37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32</v>
      </c>
      <c r="D250" s="3"/>
      <c r="E250" s="3"/>
      <c r="F250" s="4" t="s">
        <v>37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32</v>
      </c>
      <c r="D251" s="3"/>
      <c r="E251" s="3"/>
      <c r="F251" s="4" t="s">
        <v>37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32</v>
      </c>
      <c r="D252" s="3"/>
      <c r="E252" s="3"/>
      <c r="F252" s="4" t="s">
        <v>37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32</v>
      </c>
      <c r="D253" s="3"/>
      <c r="E253" s="3"/>
      <c r="F253" s="4" t="s">
        <v>37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109</v>
      </c>
      <c r="C254" t="s">
        <v>32</v>
      </c>
      <c r="D254" s="3"/>
      <c r="E254" s="3"/>
      <c r="F254" s="4" t="s">
        <v>37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2">
    <cfRule type="expression" dxfId="0" priority="151">
      <formula>COUNTIF(G102:BE102,"&lt;&gt;" &amp; "")&gt;0</formula>
    </cfRule>
    <cfRule type="expression" dxfId="1" priority="152">
      <formula>AND(COUNTIF(G102:BE102,"&lt;&gt;" &amp; "")&gt;0,NOT(ISBLANK(E102)))</formula>
    </cfRule>
  </conditionalFormatting>
  <conditionalFormatting sqref="E103">
    <cfRule type="expression" dxfId="0" priority="153">
      <formula>COUNTIF(G103:BE103,"&lt;&gt;" &amp; "")&gt;0</formula>
    </cfRule>
    <cfRule type="expression" dxfId="1" priority="154">
      <formula>AND(COUNTIF(G103:BE103,"&lt;&gt;" &amp; "")&gt;0,NOT(ISBLANK(E103)))</formula>
    </cfRule>
  </conditionalFormatting>
  <conditionalFormatting sqref="E104">
    <cfRule type="expression" dxfId="0" priority="155">
      <formula>COUNTIF(G104:BE104,"&lt;&gt;" &amp; "")&gt;0</formula>
    </cfRule>
    <cfRule type="expression" dxfId="1" priority="156">
      <formula>AND(COUNTIF(G104:BE104,"&lt;&gt;" &amp; "")&gt;0,NOT(ISBLANK(E104)))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19">
    <cfRule type="expression" dxfId="0" priority="181">
      <formula>COUNTIF(G119:BE119,"&lt;&gt;" &amp; "")&gt;0</formula>
    </cfRule>
    <cfRule type="expression" dxfId="1" priority="182">
      <formula>AND(COUNTIF(G119:BE119,"&lt;&gt;" &amp; "")&gt;0,NOT(ISBLANK(E119)))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7">
    <cfRule type="expression" dxfId="0" priority="209">
      <formula>COUNTIF(G137:BE137,"&lt;&gt;" &amp; "")&gt;0</formula>
    </cfRule>
    <cfRule type="expression" dxfId="1" priority="210">
      <formula>AND(COUNTIF(G137:BE137,"&lt;&gt;" &amp; "")&gt;0,NOT(ISBLANK(E137)))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2">
    <cfRule type="expression" dxfId="0" priority="235">
      <formula>COUNTIF(G152:BE152,"&lt;&gt;" &amp; "")&gt;0</formula>
    </cfRule>
    <cfRule type="expression" dxfId="1" priority="236">
      <formula>AND(COUNTIF(G152:BE152,"&lt;&gt;" &amp; "")&gt;0,NOT(ISBLANK(E152)))</formula>
    </cfRule>
  </conditionalFormatting>
  <conditionalFormatting sqref="E153">
    <cfRule type="expression" dxfId="0" priority="237">
      <formula>COUNTIF(G153:BE153,"&lt;&gt;" &amp; "")&gt;0</formula>
    </cfRule>
    <cfRule type="expression" dxfId="1" priority="238">
      <formula>AND(COUNTIF(G153:BE153,"&lt;&gt;" &amp; "")&gt;0,NOT(ISBLANK(E153)))</formula>
    </cfRule>
  </conditionalFormatting>
  <conditionalFormatting sqref="E154">
    <cfRule type="expression" dxfId="0" priority="239">
      <formula>COUNTIF(G154:BE154,"&lt;&gt;" &amp; "")&gt;0</formula>
    </cfRule>
    <cfRule type="expression" dxfId="1" priority="240">
      <formula>AND(COUNTIF(G154:BE154,"&lt;&gt;" &amp; "")&gt;0,NOT(ISBLANK(E154)))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7">
    <cfRule type="expression" dxfId="0" priority="261">
      <formula>COUNTIF(G167:BE167,"&lt;&gt;" &amp; "")&gt;0</formula>
    </cfRule>
    <cfRule type="expression" dxfId="1" priority="262">
      <formula>AND(COUNTIF(G167:BE167,"&lt;&gt;" &amp; "")&gt;0,NOT(ISBLANK(E167)))</formula>
    </cfRule>
  </conditionalFormatting>
  <conditionalFormatting sqref="E168">
    <cfRule type="expression" dxfId="0" priority="263">
      <formula>COUNTIF(G168:BE168,"&lt;&gt;" &amp; "")&gt;0</formula>
    </cfRule>
    <cfRule type="expression" dxfId="1" priority="264">
      <formula>AND(COUNTIF(G168:BE168,"&lt;&gt;" &amp; "")&gt;0,NOT(ISBLANK(E168)))</formula>
    </cfRule>
  </conditionalFormatting>
  <conditionalFormatting sqref="E169">
    <cfRule type="expression" dxfId="0" priority="265">
      <formula>COUNTIF(G169:BE169,"&lt;&gt;" &amp; "")&gt;0</formula>
    </cfRule>
    <cfRule type="expression" dxfId="1" priority="266">
      <formula>AND(COUNTIF(G169:BE169,"&lt;&gt;" &amp; "")&gt;0,NOT(ISBLANK(E169)))</formula>
    </cfRule>
  </conditionalFormatting>
  <conditionalFormatting sqref="E17">
    <cfRule type="expression" dxfId="0" priority="1">
      <formula>COUNTIF(G17:BE17,"&lt;&gt;" &amp; "")&gt;0</formula>
    </cfRule>
    <cfRule type="expression" dxfId="1" priority="2">
      <formula>AND(COUNTIF(G17:BE17,"&lt;&gt;" &amp; "")&gt;0,NOT(ISBLANK(E17)))</formula>
    </cfRule>
  </conditionalFormatting>
  <conditionalFormatting sqref="E170">
    <cfRule type="expression" dxfId="0" priority="267">
      <formula>COUNTIF(G170:BE170,"&lt;&gt;" &amp; "")&gt;0</formula>
    </cfRule>
    <cfRule type="expression" dxfId="1" priority="268">
      <formula>AND(COUNTIF(G170:BE170,"&lt;&gt;" &amp; "")&gt;0,NOT(ISBLANK(E170)))</formula>
    </cfRule>
  </conditionalFormatting>
  <conditionalFormatting sqref="E171">
    <cfRule type="expression" dxfId="0" priority="269">
      <formula>COUNTIF(G171:BE171,"&lt;&gt;" &amp; "")&gt;0</formula>
    </cfRule>
    <cfRule type="expression" dxfId="1" priority="270">
      <formula>AND(COUNTIF(G171:BE171,"&lt;&gt;" &amp; "")&gt;0,NOT(ISBLANK(E171)))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">
    <cfRule type="expression" dxfId="0" priority="3">
      <formula>COUNTIF(G18:BE18,"&lt;&gt;" &amp; "")&gt;0</formula>
    </cfRule>
    <cfRule type="expression" dxfId="1" priority="4">
      <formula>AND(COUNTIF(G18:BE18,"&lt;&gt;" &amp; "")&gt;0,NOT(ISBLANK(E18)))</formula>
    </cfRule>
  </conditionalFormatting>
  <conditionalFormatting sqref="E182">
    <cfRule type="expression" dxfId="0" priority="287">
      <formula>COUNTIF(G182:BE182,"&lt;&gt;" &amp; "")&gt;0</formula>
    </cfRule>
    <cfRule type="expression" dxfId="1" priority="288">
      <formula>AND(COUNTIF(G182:BE182,"&lt;&gt;" &amp; "")&gt;0,NOT(ISBLANK(E182)))</formula>
    </cfRule>
  </conditionalFormatting>
  <conditionalFormatting sqref="E183">
    <cfRule type="expression" dxfId="0" priority="289">
      <formula>COUNTIF(G183:BE183,"&lt;&gt;" &amp; "")&gt;0</formula>
    </cfRule>
    <cfRule type="expression" dxfId="1" priority="290">
      <formula>AND(COUNTIF(G183:BE183,"&lt;&gt;" &amp; "")&gt;0,NOT(ISBLANK(E183)))</formula>
    </cfRule>
  </conditionalFormatting>
  <conditionalFormatting sqref="E184">
    <cfRule type="expression" dxfId="0" priority="291">
      <formula>COUNTIF(G184:BE184,"&lt;&gt;" &amp; "")&gt;0</formula>
    </cfRule>
    <cfRule type="expression" dxfId="1" priority="292">
      <formula>AND(COUNTIF(G184:BE184,"&lt;&gt;" &amp; "")&gt;0,NOT(ISBLANK(E184)))</formula>
    </cfRule>
  </conditionalFormatting>
  <conditionalFormatting sqref="E185">
    <cfRule type="expression" dxfId="0" priority="293">
      <formula>COUNTIF(G185:BE185,"&lt;&gt;" &amp; "")&gt;0</formula>
    </cfRule>
    <cfRule type="expression" dxfId="1" priority="294">
      <formula>AND(COUNTIF(G185:BE185,"&lt;&gt;" &amp; "")&gt;0,NOT(ISBLANK(E185)))</formula>
    </cfRule>
  </conditionalFormatting>
  <conditionalFormatting sqref="E186">
    <cfRule type="expression" dxfId="0" priority="295">
      <formula>COUNTIF(G186:BE186,"&lt;&gt;" &amp; "")&gt;0</formula>
    </cfRule>
    <cfRule type="expression" dxfId="1" priority="296">
      <formula>AND(COUNTIF(G186:BE186,"&lt;&gt;" &amp; "")&gt;0,NOT(ISBLANK(E186)))</formula>
    </cfRule>
  </conditionalFormatting>
  <conditionalFormatting sqref="E187">
    <cfRule type="expression" dxfId="0" priority="297">
      <formula>COUNTIF(G187:BE187,"&lt;&gt;" &amp; "")&gt;0</formula>
    </cfRule>
    <cfRule type="expression" dxfId="1" priority="298">
      <formula>AND(COUNTIF(G187:BE187,"&lt;&gt;" &amp; "")&gt;0,NOT(ISBLANK(E187)))</formula>
    </cfRule>
  </conditionalFormatting>
  <conditionalFormatting sqref="E188">
    <cfRule type="expression" dxfId="0" priority="299">
      <formula>COUNTIF(G188:BE188,"&lt;&gt;" &amp; "")&gt;0</formula>
    </cfRule>
    <cfRule type="expression" dxfId="1" priority="300">
      <formula>AND(COUNTIF(G188:BE188,"&lt;&gt;" &amp; "")&gt;0,NOT(ISBLANK(E188)))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5">
      <formula>COUNTIF(G19:BE19,"&lt;&gt;" &amp; "")&gt;0</formula>
    </cfRule>
    <cfRule type="expression" dxfId="1" priority="6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7">
    <cfRule type="expression" dxfId="0" priority="313">
      <formula>COUNTIF(G197:BE197,"&lt;&gt;" &amp; "")&gt;0</formula>
    </cfRule>
    <cfRule type="expression" dxfId="1" priority="314">
      <formula>AND(COUNTIF(G197:BE197,"&lt;&gt;" &amp; "")&gt;0,NOT(ISBLANK(E197)))</formula>
    </cfRule>
  </conditionalFormatting>
  <conditionalFormatting sqref="E198">
    <cfRule type="expression" dxfId="0" priority="315">
      <formula>COUNTIF(G198:BE198,"&lt;&gt;" &amp; "")&gt;0</formula>
    </cfRule>
    <cfRule type="expression" dxfId="1" priority="316">
      <formula>AND(COUNTIF(G198:BE198,"&lt;&gt;" &amp; "")&gt;0,NOT(ISBLANK(E198)))</formula>
    </cfRule>
  </conditionalFormatting>
  <conditionalFormatting sqref="E199">
    <cfRule type="expression" dxfId="0" priority="317">
      <formula>COUNTIF(G199:BE199,"&lt;&gt;" &amp; "")&gt;0</formula>
    </cfRule>
    <cfRule type="expression" dxfId="1" priority="318">
      <formula>AND(COUNTIF(G199:BE199,"&lt;&gt;" &amp; "")&gt;0,NOT(ISBLANK(E199)))</formula>
    </cfRule>
  </conditionalFormatting>
  <conditionalFormatting sqref="E20">
    <cfRule type="expression" dxfId="0" priority="7">
      <formula>COUNTIF(G20:BE20,"&lt;&gt;" &amp; "")&gt;0</formula>
    </cfRule>
    <cfRule type="expression" dxfId="1" priority="8">
      <formula>AND(COUNTIF(G20:BE20,"&lt;&gt;" &amp; "")&gt;0,NOT(ISBLANK(E20)))</formula>
    </cfRule>
  </conditionalFormatting>
  <conditionalFormatting sqref="E200">
    <cfRule type="expression" dxfId="0" priority="319">
      <formula>COUNTIF(G200:BE200,"&lt;&gt;" &amp; "")&gt;0</formula>
    </cfRule>
    <cfRule type="expression" dxfId="1" priority="320">
      <formula>AND(COUNTIF(G200:BE200,"&lt;&gt;" &amp; "")&gt;0,NOT(ISBLANK(E200)))</formula>
    </cfRule>
  </conditionalFormatting>
  <conditionalFormatting sqref="E201">
    <cfRule type="expression" dxfId="0" priority="321">
      <formula>COUNTIF(G201:BE201,"&lt;&gt;" &amp; "")&gt;0</formula>
    </cfRule>
    <cfRule type="expression" dxfId="1" priority="322">
      <formula>AND(COUNTIF(G201:BE201,"&lt;&gt;" &amp; "")&gt;0,NOT(ISBLANK(E201)))</formula>
    </cfRule>
  </conditionalFormatting>
  <conditionalFormatting sqref="E202">
    <cfRule type="expression" dxfId="0" priority="323">
      <formula>COUNTIF(G202:BE202,"&lt;&gt;" &amp; "")&gt;0</formula>
    </cfRule>
    <cfRule type="expression" dxfId="1" priority="324">
      <formula>AND(COUNTIF(G202:BE202,"&lt;&gt;" &amp; "")&gt;0,NOT(ISBLANK(E202)))</formula>
    </cfRule>
  </conditionalFormatting>
  <conditionalFormatting sqref="E203">
    <cfRule type="expression" dxfId="0" priority="325">
      <formula>COUNTIF(G203:BE203,"&lt;&gt;" &amp; "")&gt;0</formula>
    </cfRule>
    <cfRule type="expression" dxfId="1" priority="326">
      <formula>AND(COUNTIF(G203:BE203,"&lt;&gt;" &amp; "")&gt;0,NOT(ISBLANK(E203)))</formula>
    </cfRule>
  </conditionalFormatting>
  <conditionalFormatting sqref="E204">
    <cfRule type="expression" dxfId="0" priority="327">
      <formula>COUNTIF(G204:BE204,"&lt;&gt;" &amp; "")&gt;0</formula>
    </cfRule>
    <cfRule type="expression" dxfId="1" priority="328">
      <formula>AND(COUNTIF(G204:BE204,"&lt;&gt;" &amp; "")&gt;0,NOT(ISBLANK(E204)))</formula>
    </cfRule>
  </conditionalFormatting>
  <conditionalFormatting sqref="E205">
    <cfRule type="expression" dxfId="0" priority="329">
      <formula>COUNTIF(G205:BE205,"&lt;&gt;" &amp; "")&gt;0</formula>
    </cfRule>
    <cfRule type="expression" dxfId="1" priority="330">
      <formula>AND(COUNTIF(G205:BE205,"&lt;&gt;" &amp; "")&gt;0,NOT(ISBLANK(E205)))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9">
      <formula>COUNTIF(G21:BE21,"&lt;&gt;" &amp; "")&gt;0</formula>
    </cfRule>
    <cfRule type="expression" dxfId="1" priority="10">
      <formula>AND(COUNTIF(G21:BE21,"&lt;&gt;" &amp; "")&gt;0,NOT(ISBLANK(E21)))</formula>
    </cfRule>
  </conditionalFormatting>
  <conditionalFormatting sqref="E212">
    <cfRule type="expression" dxfId="0" priority="339">
      <formula>COUNTIF(G212:BE212,"&lt;&gt;" &amp; "")&gt;0</formula>
    </cfRule>
    <cfRule type="expression" dxfId="1" priority="340">
      <formula>AND(COUNTIF(G212:BE212,"&lt;&gt;" &amp; "")&gt;0,NOT(ISBLANK(E212)))</formula>
    </cfRule>
  </conditionalFormatting>
  <conditionalFormatting sqref="E213">
    <cfRule type="expression" dxfId="0" priority="341">
      <formula>COUNTIF(G213:BE213,"&lt;&gt;" &amp; "")&gt;0</formula>
    </cfRule>
    <cfRule type="expression" dxfId="1" priority="342">
      <formula>AND(COUNTIF(G213:BE213,"&lt;&gt;" &amp; "")&gt;0,NOT(ISBLANK(E213)))</formula>
    </cfRule>
  </conditionalFormatting>
  <conditionalFormatting sqref="E214">
    <cfRule type="expression" dxfId="0" priority="343">
      <formula>COUNTIF(G214:BE214,"&lt;&gt;" &amp; "")&gt;0</formula>
    </cfRule>
    <cfRule type="expression" dxfId="1" priority="344">
      <formula>AND(COUNTIF(G214:BE214,"&lt;&gt;" &amp; "")&gt;0,NOT(ISBLANK(E214)))</formula>
    </cfRule>
  </conditionalFormatting>
  <conditionalFormatting sqref="E215">
    <cfRule type="expression" dxfId="0" priority="345">
      <formula>COUNTIF(G215:BE215,"&lt;&gt;" &amp; "")&gt;0</formula>
    </cfRule>
    <cfRule type="expression" dxfId="1" priority="346">
      <formula>AND(COUNTIF(G215:BE215,"&lt;&gt;" &amp; "")&gt;0,NOT(ISBLANK(E215)))</formula>
    </cfRule>
  </conditionalFormatting>
  <conditionalFormatting sqref="E216">
    <cfRule type="expression" dxfId="0" priority="347">
      <formula>COUNTIF(G216:BE216,"&lt;&gt;" &amp; "")&gt;0</formula>
    </cfRule>
    <cfRule type="expression" dxfId="1" priority="348">
      <formula>AND(COUNTIF(G216:BE216,"&lt;&gt;" &amp; "")&gt;0,NOT(ISBLANK(E216)))</formula>
    </cfRule>
  </conditionalFormatting>
  <conditionalFormatting sqref="E217">
    <cfRule type="expression" dxfId="0" priority="349">
      <formula>COUNTIF(G217:BE217,"&lt;&gt;" &amp; "")&gt;0</formula>
    </cfRule>
    <cfRule type="expression" dxfId="1" priority="350">
      <formula>AND(COUNTIF(G217:BE217,"&lt;&gt;" &amp; "")&gt;0,NOT(ISBLANK(E217)))</formula>
    </cfRule>
  </conditionalFormatting>
  <conditionalFormatting sqref="E218">
    <cfRule type="expression" dxfId="0" priority="351">
      <formula>COUNTIF(G218:BE218,"&lt;&gt;" &amp; "")&gt;0</formula>
    </cfRule>
    <cfRule type="expression" dxfId="1" priority="352">
      <formula>AND(COUNTIF(G218:BE218,"&lt;&gt;" &amp; "")&gt;0,NOT(ISBLANK(E218)))</formula>
    </cfRule>
  </conditionalFormatting>
  <conditionalFormatting sqref="E219">
    <cfRule type="expression" dxfId="0" priority="353">
      <formula>COUNTIF(G219:BE219,"&lt;&gt;" &amp; "")&gt;0</formula>
    </cfRule>
    <cfRule type="expression" dxfId="1" priority="354">
      <formula>AND(COUNTIF(G219:BE219,"&lt;&gt;" &amp; "")&gt;0,NOT(ISBLANK(E219)))</formula>
    </cfRule>
  </conditionalFormatting>
  <conditionalFormatting sqref="E22">
    <cfRule type="expression" dxfId="0" priority="11">
      <formula>COUNTIF(G22:BE22,"&lt;&gt;" &amp; "")&gt;0</formula>
    </cfRule>
    <cfRule type="expression" dxfId="1" priority="12">
      <formula>AND(COUNTIF(G22:BE22,"&lt;&gt;" &amp; "")&gt;0,NOT(ISBLANK(E22)))</formula>
    </cfRule>
  </conditionalFormatting>
  <conditionalFormatting sqref="E220">
    <cfRule type="expression" dxfId="0" priority="355">
      <formula>COUNTIF(G220:BE220,"&lt;&gt;" &amp; "")&gt;0</formula>
    </cfRule>
    <cfRule type="expression" dxfId="1" priority="356">
      <formula>AND(COUNTIF(G220:BE220,"&lt;&gt;" &amp; "")&gt;0,NOT(ISBLANK(E220)))</formula>
    </cfRule>
  </conditionalFormatting>
  <conditionalFormatting sqref="E221">
    <cfRule type="expression" dxfId="0" priority="357">
      <formula>COUNTIF(G221:BE221,"&lt;&gt;" &amp; "")&gt;0</formula>
    </cfRule>
    <cfRule type="expression" dxfId="1" priority="358">
      <formula>AND(COUNTIF(G221:BE221,"&lt;&gt;" &amp; "")&gt;0,NOT(ISBLANK(E221)))</formula>
    </cfRule>
  </conditionalFormatting>
  <conditionalFormatting sqref="E222">
    <cfRule type="expression" dxfId="0" priority="359">
      <formula>COUNTIF(G222:BE222,"&lt;&gt;" &amp; "")&gt;0</formula>
    </cfRule>
    <cfRule type="expression" dxfId="1" priority="360">
      <formula>AND(COUNTIF(G222:BE222,"&lt;&gt;" &amp; "")&gt;0,NOT(ISBLANK(E222)))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7">
    <cfRule type="expression" dxfId="0" priority="365">
      <formula>COUNTIF(G227:BE227,"&lt;&gt;" &amp; "")&gt;0</formula>
    </cfRule>
    <cfRule type="expression" dxfId="1" priority="366">
      <formula>AND(COUNTIF(G227:BE227,"&lt;&gt;" &amp; "")&gt;0,NOT(ISBLANK(E227)))</formula>
    </cfRule>
  </conditionalFormatting>
  <conditionalFormatting sqref="E228">
    <cfRule type="expression" dxfId="0" priority="367">
      <formula>COUNTIF(G228:BE228,"&lt;&gt;" &amp; "")&gt;0</formula>
    </cfRule>
    <cfRule type="expression" dxfId="1" priority="368">
      <formula>AND(COUNTIF(G228:BE228,"&lt;&gt;" &amp; "")&gt;0,NOT(ISBLANK(E228)))</formula>
    </cfRule>
  </conditionalFormatting>
  <conditionalFormatting sqref="E229">
    <cfRule type="expression" dxfId="0" priority="369">
      <formula>COUNTIF(G229:BE229,"&lt;&gt;" &amp; "")&gt;0</formula>
    </cfRule>
    <cfRule type="expression" dxfId="1" priority="370">
      <formula>AND(COUNTIF(G229:BE229,"&lt;&gt;" &amp; "")&gt;0,NOT(ISBLANK(E229)))</formula>
    </cfRule>
  </conditionalFormatting>
  <conditionalFormatting sqref="E23">
    <cfRule type="expression" dxfId="0" priority="13">
      <formula>COUNTIF(G23:BE23,"&lt;&gt;" &amp; "")&gt;0</formula>
    </cfRule>
    <cfRule type="expression" dxfId="1" priority="14">
      <formula>AND(COUNTIF(G23:BE23,"&lt;&gt;" &amp; "")&gt;0,NOT(ISBLANK(E23)))</formula>
    </cfRule>
  </conditionalFormatting>
  <conditionalFormatting sqref="E230">
    <cfRule type="expression" dxfId="0" priority="371">
      <formula>COUNTIF(G230:BE230,"&lt;&gt;" &amp; "")&gt;0</formula>
    </cfRule>
    <cfRule type="expression" dxfId="1" priority="372">
      <formula>AND(COUNTIF(G230:BE230,"&lt;&gt;" &amp; "")&gt;0,NOT(ISBLANK(E230)))</formula>
    </cfRule>
  </conditionalFormatting>
  <conditionalFormatting sqref="E231">
    <cfRule type="expression" dxfId="0" priority="373">
      <formula>COUNTIF(G231:BE231,"&lt;&gt;" &amp; "")&gt;0</formula>
    </cfRule>
    <cfRule type="expression" dxfId="1" priority="374">
      <formula>AND(COUNTIF(G231:BE231,"&lt;&gt;" &amp; "")&gt;0,NOT(ISBLANK(E231)))</formula>
    </cfRule>
  </conditionalFormatting>
  <conditionalFormatting sqref="E232">
    <cfRule type="expression" dxfId="0" priority="375">
      <formula>COUNTIF(G232:BE232,"&lt;&gt;" &amp; "")&gt;0</formula>
    </cfRule>
    <cfRule type="expression" dxfId="1" priority="376">
      <formula>AND(COUNTIF(G232:BE232,"&lt;&gt;" &amp; "")&gt;0,NOT(ISBLANK(E232)))</formula>
    </cfRule>
  </conditionalFormatting>
  <conditionalFormatting sqref="E233">
    <cfRule type="expression" dxfId="0" priority="377">
      <formula>COUNTIF(G233:BE233,"&lt;&gt;" &amp; "")&gt;0</formula>
    </cfRule>
    <cfRule type="expression" dxfId="1" priority="378">
      <formula>AND(COUNTIF(G233:BE233,"&lt;&gt;" &amp; "")&gt;0,NOT(ISBLANK(E233)))</formula>
    </cfRule>
  </conditionalFormatting>
  <conditionalFormatting sqref="E234">
    <cfRule type="expression" dxfId="0" priority="379">
      <formula>COUNTIF(G234:BE234,"&lt;&gt;" &amp; "")&gt;0</formula>
    </cfRule>
    <cfRule type="expression" dxfId="1" priority="380">
      <formula>AND(COUNTIF(G234:BE234,"&lt;&gt;" &amp; "")&gt;0,NOT(ISBLANK(E234)))</formula>
    </cfRule>
  </conditionalFormatting>
  <conditionalFormatting sqref="E235">
    <cfRule type="expression" dxfId="0" priority="381">
      <formula>COUNTIF(G235:BE235,"&lt;&gt;" &amp; "")&gt;0</formula>
    </cfRule>
    <cfRule type="expression" dxfId="1" priority="382">
      <formula>AND(COUNTIF(G235:BE235,"&lt;&gt;" &amp; "")&gt;0,NOT(ISBLANK(E235)))</formula>
    </cfRule>
  </conditionalFormatting>
  <conditionalFormatting sqref="E236">
    <cfRule type="expression" dxfId="0" priority="383">
      <formula>COUNTIF(G236:BE236,"&lt;&gt;" &amp; "")&gt;0</formula>
    </cfRule>
    <cfRule type="expression" dxfId="1" priority="384">
      <formula>AND(COUNTIF(G236:BE236,"&lt;&gt;" &amp; "")&gt;0,NOT(ISBLANK(E236)))</formula>
    </cfRule>
  </conditionalFormatting>
  <conditionalFormatting sqref="E237">
    <cfRule type="expression" dxfId="0" priority="385">
      <formula>COUNTIF(G237:BE237,"&lt;&gt;" &amp; "")&gt;0</formula>
    </cfRule>
    <cfRule type="expression" dxfId="1" priority="386">
      <formula>AND(COUNTIF(G237:BE237,"&lt;&gt;" &amp; "")&gt;0,NOT(ISBLANK(E237)))</formula>
    </cfRule>
  </conditionalFormatting>
  <conditionalFormatting sqref="E238">
    <cfRule type="expression" dxfId="0" priority="387">
      <formula>COUNTIF(G238:BE238,"&lt;&gt;" &amp; "")&gt;0</formula>
    </cfRule>
    <cfRule type="expression" dxfId="1" priority="388">
      <formula>AND(COUNTIF(G238:BE238,"&lt;&gt;" &amp; "")&gt;0,NOT(ISBLANK(E238)))</formula>
    </cfRule>
  </conditionalFormatting>
  <conditionalFormatting sqref="E239">
    <cfRule type="expression" dxfId="0" priority="389">
      <formula>COUNTIF(G239:BE239,"&lt;&gt;" &amp; "")&gt;0</formula>
    </cfRule>
    <cfRule type="expression" dxfId="1" priority="390">
      <formula>AND(COUNTIF(G239:BE239,"&lt;&gt;" &amp; "")&gt;0,NOT(ISBLANK(E239)))</formula>
    </cfRule>
  </conditionalFormatting>
  <conditionalFormatting sqref="E24">
    <cfRule type="expression" dxfId="0" priority="15">
      <formula>COUNTIF(G24:BE24,"&lt;&gt;" &amp; "")&gt;0</formula>
    </cfRule>
    <cfRule type="expression" dxfId="1" priority="16">
      <formula>AND(COUNTIF(G24:BE24,"&lt;&gt;" &amp; "")&gt;0,NOT(ISBLANK(E24)))</formula>
    </cfRule>
  </conditionalFormatting>
  <conditionalFormatting sqref="E242">
    <cfRule type="expression" dxfId="0" priority="391">
      <formula>COUNTIF(G242:BE242,"&lt;&gt;" &amp; "")&gt;0</formula>
    </cfRule>
    <cfRule type="expression" dxfId="1" priority="392">
      <formula>AND(COUNTIF(G242:BE242,"&lt;&gt;" &amp; "")&gt;0,NOT(ISBLANK(E242)))</formula>
    </cfRule>
  </conditionalFormatting>
  <conditionalFormatting sqref="E243">
    <cfRule type="expression" dxfId="0" priority="393">
      <formula>COUNTIF(G243:BE243,"&lt;&gt;" &amp; "")&gt;0</formula>
    </cfRule>
    <cfRule type="expression" dxfId="1" priority="394">
      <formula>AND(COUNTIF(G243:BE243,"&lt;&gt;" &amp; "")&gt;0,NOT(ISBLANK(E243)))</formula>
    </cfRule>
  </conditionalFormatting>
  <conditionalFormatting sqref="E244">
    <cfRule type="expression" dxfId="0" priority="395">
      <formula>COUNTIF(G244:BE244,"&lt;&gt;" &amp; "")&gt;0</formula>
    </cfRule>
    <cfRule type="expression" dxfId="1" priority="396">
      <formula>AND(COUNTIF(G244:BE244,"&lt;&gt;" &amp; "")&gt;0,NOT(ISBLANK(E244)))</formula>
    </cfRule>
  </conditionalFormatting>
  <conditionalFormatting sqref="E245">
    <cfRule type="expression" dxfId="0" priority="397">
      <formula>COUNTIF(G245:BE245,"&lt;&gt;" &amp; "")&gt;0</formula>
    </cfRule>
    <cfRule type="expression" dxfId="1" priority="398">
      <formula>AND(COUNTIF(G245:BE245,"&lt;&gt;" &amp; "")&gt;0,NOT(ISBLANK(E245)))</formula>
    </cfRule>
  </conditionalFormatting>
  <conditionalFormatting sqref="E246">
    <cfRule type="expression" dxfId="0" priority="399">
      <formula>COUNTIF(G246:BE246,"&lt;&gt;" &amp; "")&gt;0</formula>
    </cfRule>
    <cfRule type="expression" dxfId="1" priority="400">
      <formula>AND(COUNTIF(G246:BE246,"&lt;&gt;" &amp; "")&gt;0,NOT(ISBLANK(E246)))</formula>
    </cfRule>
  </conditionalFormatting>
  <conditionalFormatting sqref="E247">
    <cfRule type="expression" dxfId="0" priority="401">
      <formula>COUNTIF(G247:BE247,"&lt;&gt;" &amp; "")&gt;0</formula>
    </cfRule>
    <cfRule type="expression" dxfId="1" priority="402">
      <formula>AND(COUNTIF(G247:BE247,"&lt;&gt;" &amp; "")&gt;0,NOT(ISBLANK(E247)))</formula>
    </cfRule>
  </conditionalFormatting>
  <conditionalFormatting sqref="E248">
    <cfRule type="expression" dxfId="0" priority="403">
      <formula>COUNTIF(G248:BE248,"&lt;&gt;" &amp; "")&gt;0</formula>
    </cfRule>
    <cfRule type="expression" dxfId="1" priority="404">
      <formula>AND(COUNTIF(G248:BE248,"&lt;&gt;" &amp; "")&gt;0,NOT(ISBLANK(E248)))</formula>
    </cfRule>
  </conditionalFormatting>
  <conditionalFormatting sqref="E249">
    <cfRule type="expression" dxfId="0" priority="405">
      <formula>COUNTIF(G249:BE249,"&lt;&gt;" &amp; "")&gt;0</formula>
    </cfRule>
    <cfRule type="expression" dxfId="1" priority="406">
      <formula>AND(COUNTIF(G249:BE249,"&lt;&gt;" &amp; "")&gt;0,NOT(ISBLANK(E249)))</formula>
    </cfRule>
  </conditionalFormatting>
  <conditionalFormatting sqref="E25">
    <cfRule type="expression" dxfId="0" priority="17">
      <formula>COUNTIF(G25:BE25,"&lt;&gt;" &amp; "")&gt;0</formula>
    </cfRule>
    <cfRule type="expression" dxfId="1" priority="18">
      <formula>AND(COUNTIF(G25:BE25,"&lt;&gt;" &amp; "")&gt;0,NOT(ISBLANK(E25)))</formula>
    </cfRule>
  </conditionalFormatting>
  <conditionalFormatting sqref="E250">
    <cfRule type="expression" dxfId="0" priority="407">
      <formula>COUNTIF(G250:BE250,"&lt;&gt;" &amp; "")&gt;0</formula>
    </cfRule>
    <cfRule type="expression" dxfId="1" priority="408">
      <formula>AND(COUNTIF(G250:BE250,"&lt;&gt;" &amp; "")&gt;0,NOT(ISBLANK(E250)))</formula>
    </cfRule>
  </conditionalFormatting>
  <conditionalFormatting sqref="E251">
    <cfRule type="expression" dxfId="0" priority="409">
      <formula>COUNTIF(G251:BE251,"&lt;&gt;" &amp; "")&gt;0</formula>
    </cfRule>
    <cfRule type="expression" dxfId="1" priority="410">
      <formula>AND(COUNTIF(G251:BE251,"&lt;&gt;" &amp; "")&gt;0,NOT(ISBLANK(E251)))</formula>
    </cfRule>
  </conditionalFormatting>
  <conditionalFormatting sqref="E252">
    <cfRule type="expression" dxfId="0" priority="411">
      <formula>COUNTIF(G252:BE252,"&lt;&gt;" &amp; "")&gt;0</formula>
    </cfRule>
    <cfRule type="expression" dxfId="1" priority="412">
      <formula>AND(COUNTIF(G252:BE252,"&lt;&gt;" &amp; "")&gt;0,NOT(ISBLANK(E252)))</formula>
    </cfRule>
  </conditionalFormatting>
  <conditionalFormatting sqref="E253">
    <cfRule type="expression" dxfId="0" priority="413">
      <formula>COUNTIF(G253:BE253,"&lt;&gt;" &amp; "")&gt;0</formula>
    </cfRule>
    <cfRule type="expression" dxfId="1" priority="414">
      <formula>AND(COUNTIF(G253:BE253,"&lt;&gt;" &amp; "")&gt;0,NOT(ISBLANK(E253)))</formula>
    </cfRule>
  </conditionalFormatting>
  <conditionalFormatting sqref="E254">
    <cfRule type="expression" dxfId="0" priority="415">
      <formula>COUNTIF(G254:BE254,"&lt;&gt;" &amp; "")&gt;0</formula>
    </cfRule>
    <cfRule type="expression" dxfId="1" priority="416">
      <formula>AND(COUNTIF(G254:BE254,"&lt;&gt;" &amp; "")&gt;0,NOT(ISBLANK(E254)))</formula>
    </cfRule>
  </conditionalFormatting>
  <conditionalFormatting sqref="E26">
    <cfRule type="expression" dxfId="0" priority="19">
      <formula>COUNTIF(G26:BE26,"&lt;&gt;" &amp; "")&gt;0</formula>
    </cfRule>
    <cfRule type="expression" dxfId="1" priority="20">
      <formula>AND(COUNTIF(G26:BE26,"&lt;&gt;" &amp; "")&gt;0,NOT(ISBLANK(E26)))</formula>
    </cfRule>
  </conditionalFormatting>
  <conditionalFormatting sqref="E27">
    <cfRule type="expression" dxfId="0" priority="21">
      <formula>COUNTIF(G27:BE27,"&lt;&gt;" &amp; "")&gt;0</formula>
    </cfRule>
    <cfRule type="expression" dxfId="1" priority="22">
      <formula>AND(COUNTIF(G27:BE27,"&lt;&gt;" &amp; "")&gt;0,NOT(ISBLANK(E27)))</formula>
    </cfRule>
  </conditionalFormatting>
  <conditionalFormatting sqref="E28">
    <cfRule type="expression" dxfId="0" priority="23">
      <formula>COUNTIF(G28:BE28,"&lt;&gt;" &amp; "")&gt;0</formula>
    </cfRule>
    <cfRule type="expression" dxfId="1" priority="24">
      <formula>AND(COUNTIF(G28:BE28,"&lt;&gt;" &amp; "")&gt;0,NOT(ISBLANK(E28)))</formula>
    </cfRule>
  </conditionalFormatting>
  <conditionalFormatting sqref="E29">
    <cfRule type="expression" dxfId="0" priority="25">
      <formula>COUNTIF(G29:BE29,"&lt;&gt;" &amp; "")&gt;0</formula>
    </cfRule>
    <cfRule type="expression" dxfId="1" priority="26">
      <formula>AND(COUNTIF(G29:BE29,"&lt;&gt;" &amp; "")&gt;0,NOT(ISBLANK(E29)))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4">
    <cfRule type="expression" dxfId="0" priority="31">
      <formula>COUNTIF(G34:BE34,"&lt;&gt;" &amp; "")&gt;0</formula>
    </cfRule>
    <cfRule type="expression" dxfId="1" priority="32">
      <formula>AND(COUNTIF(G34:BE34,"&lt;&gt;" &amp; "")&gt;0,NOT(ISBLANK(E34)))</formula>
    </cfRule>
  </conditionalFormatting>
  <conditionalFormatting sqref="E35">
    <cfRule type="expression" dxfId="0" priority="33">
      <formula>COUNTIF(G35:BE35,"&lt;&gt;" &amp; "")&gt;0</formula>
    </cfRule>
    <cfRule type="expression" dxfId="1" priority="34">
      <formula>AND(COUNTIF(G35:BE35,"&lt;&gt;" &amp; "")&gt;0,NOT(ISBLANK(E35)))</formula>
    </cfRule>
  </conditionalFormatting>
  <conditionalFormatting sqref="E36">
    <cfRule type="expression" dxfId="0" priority="35">
      <formula>COUNTIF(G36:BE36,"&lt;&gt;" &amp; "")&gt;0</formula>
    </cfRule>
    <cfRule type="expression" dxfId="1" priority="36">
      <formula>AND(COUNTIF(G36:BE36,"&lt;&gt;" &amp; "")&gt;0,NOT(ISBLANK(E36)))</formula>
    </cfRule>
  </conditionalFormatting>
  <conditionalFormatting sqref="E37">
    <cfRule type="expression" dxfId="0" priority="37">
      <formula>COUNTIF(G37:BE37,"&lt;&gt;" &amp; "")&gt;0</formula>
    </cfRule>
    <cfRule type="expression" dxfId="1" priority="38">
      <formula>AND(COUNTIF(G37:BE37,"&lt;&gt;" &amp; "")&gt;0,NOT(ISBLANK(E37)))</formula>
    </cfRule>
  </conditionalFormatting>
  <conditionalFormatting sqref="E38">
    <cfRule type="expression" dxfId="0" priority="39">
      <formula>COUNTIF(G38:BE38,"&lt;&gt;" &amp; "")&gt;0</formula>
    </cfRule>
    <cfRule type="expression" dxfId="1" priority="40">
      <formula>AND(COUNTIF(G38:BE38,"&lt;&gt;" &amp; "")&gt;0,NOT(ISBLANK(E38)))</formula>
    </cfRule>
  </conditionalFormatting>
  <conditionalFormatting sqref="E39">
    <cfRule type="expression" dxfId="0" priority="41">
      <formula>COUNTIF(G39:BE39,"&lt;&gt;" &amp; "")&gt;0</formula>
    </cfRule>
    <cfRule type="expression" dxfId="1" priority="42">
      <formula>AND(COUNTIF(G39:BE39,"&lt;&gt;" &amp; "")&gt;0,NOT(ISBLANK(E39)))</formula>
    </cfRule>
  </conditionalFormatting>
  <conditionalFormatting sqref="E40">
    <cfRule type="expression" dxfId="0" priority="43">
      <formula>COUNTIF(G40:BE40,"&lt;&gt;" &amp; "")&gt;0</formula>
    </cfRule>
    <cfRule type="expression" dxfId="1" priority="44">
      <formula>AND(COUNTIF(G40:BE40,"&lt;&gt;" &amp; "")&gt;0,NOT(ISBLANK(E40)))</formula>
    </cfRule>
  </conditionalFormatting>
  <conditionalFormatting sqref="E41">
    <cfRule type="expression" dxfId="0" priority="45">
      <formula>COUNTIF(G41:BE41,"&lt;&gt;" &amp; "")&gt;0</formula>
    </cfRule>
    <cfRule type="expression" dxfId="1" priority="46">
      <formula>AND(COUNTIF(G41:BE41,"&lt;&gt;" &amp; "")&gt;0,NOT(ISBLANK(E41)))</formula>
    </cfRule>
  </conditionalFormatting>
  <conditionalFormatting sqref="E42">
    <cfRule type="expression" dxfId="0" priority="47">
      <formula>COUNTIF(G42:BE42,"&lt;&gt;" &amp; "")&gt;0</formula>
    </cfRule>
    <cfRule type="expression" dxfId="1" priority="48">
      <formula>AND(COUNTIF(G42:BE42,"&lt;&gt;" &amp; "")&gt;0,NOT(ISBLANK(E42)))</formula>
    </cfRule>
  </conditionalFormatting>
  <conditionalFormatting sqref="E43">
    <cfRule type="expression" dxfId="0" priority="49">
      <formula>COUNTIF(G43:BE43,"&lt;&gt;" &amp; "")&gt;0</formula>
    </cfRule>
    <cfRule type="expression" dxfId="1" priority="50">
      <formula>AND(COUNTIF(G43:BE43,"&lt;&gt;" &amp; "")&gt;0,NOT(ISBLANK(E43)))</formula>
    </cfRule>
  </conditionalFormatting>
  <conditionalFormatting sqref="E44">
    <cfRule type="expression" dxfId="0" priority="51">
      <formula>COUNTIF(G44:BE44,"&lt;&gt;" &amp; "")&gt;0</formula>
    </cfRule>
    <cfRule type="expression" dxfId="1" priority="52">
      <formula>AND(COUNTIF(G44:BE44,"&lt;&gt;" &amp; "")&gt;0,NOT(ISBLANK(E44)))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1">
    <cfRule type="expression" dxfId="0" priority="61">
      <formula>COUNTIF(G51:BE51,"&lt;&gt;" &amp; "")&gt;0</formula>
    </cfRule>
    <cfRule type="expression" dxfId="1" priority="62">
      <formula>AND(COUNTIF(G51:BE51,"&lt;&gt;" &amp; "")&gt;0,NOT(ISBLANK(E51)))</formula>
    </cfRule>
  </conditionalFormatting>
  <conditionalFormatting sqref="E52">
    <cfRule type="expression" dxfId="0" priority="63">
      <formula>COUNTIF(G52:BE52,"&lt;&gt;" &amp; "")&gt;0</formula>
    </cfRule>
    <cfRule type="expression" dxfId="1" priority="64">
      <formula>AND(COUNTIF(G52:BE52,"&lt;&gt;" &amp; "")&gt;0,NOT(ISBLANK(E52)))</formula>
    </cfRule>
  </conditionalFormatting>
  <conditionalFormatting sqref="E53">
    <cfRule type="expression" dxfId="0" priority="65">
      <formula>COUNTIF(G53:BE53,"&lt;&gt;" &amp; "")&gt;0</formula>
    </cfRule>
    <cfRule type="expression" dxfId="1" priority="66">
      <formula>AND(COUNTIF(G53:BE53,"&lt;&gt;" &amp; "")&gt;0,NOT(ISBLANK(E53)))</formula>
    </cfRule>
  </conditionalFormatting>
  <conditionalFormatting sqref="E54">
    <cfRule type="expression" dxfId="0" priority="67">
      <formula>COUNTIF(G54:BE54,"&lt;&gt;" &amp; "")&gt;0</formula>
    </cfRule>
    <cfRule type="expression" dxfId="1" priority="68">
      <formula>AND(COUNTIF(G54:BE54,"&lt;&gt;" &amp; "")&gt;0,NOT(ISBLANK(E54)))</formula>
    </cfRule>
  </conditionalFormatting>
  <conditionalFormatting sqref="E55">
    <cfRule type="expression" dxfId="0" priority="69">
      <formula>COUNTIF(G55:BE55,"&lt;&gt;" &amp; "")&gt;0</formula>
    </cfRule>
    <cfRule type="expression" dxfId="1" priority="70">
      <formula>AND(COUNTIF(G55:BE55,"&lt;&gt;" &amp; "")&gt;0,NOT(ISBLANK(E55)))</formula>
    </cfRule>
  </conditionalFormatting>
  <conditionalFormatting sqref="E56">
    <cfRule type="expression" dxfId="0" priority="71">
      <formula>COUNTIF(G56:BE56,"&lt;&gt;" &amp; "")&gt;0</formula>
    </cfRule>
    <cfRule type="expression" dxfId="1" priority="72">
      <formula>AND(COUNTIF(G56:BE56,"&lt;&gt;" &amp; "")&gt;0,NOT(ISBLANK(E56)))</formula>
    </cfRule>
  </conditionalFormatting>
  <conditionalFormatting sqref="E57">
    <cfRule type="expression" dxfId="0" priority="73">
      <formula>COUNTIF(G57:BE57,"&lt;&gt;" &amp; "")&gt;0</formula>
    </cfRule>
    <cfRule type="expression" dxfId="1" priority="74">
      <formula>AND(COUNTIF(G57:BE57,"&lt;&gt;" &amp; "")&gt;0,NOT(ISBLANK(E57)))</formula>
    </cfRule>
  </conditionalFormatting>
  <conditionalFormatting sqref="E58">
    <cfRule type="expression" dxfId="0" priority="75">
      <formula>COUNTIF(G58:BE58,"&lt;&gt;" &amp; "")&gt;0</formula>
    </cfRule>
    <cfRule type="expression" dxfId="1" priority="76">
      <formula>AND(COUNTIF(G58:BE58,"&lt;&gt;" &amp; "")&gt;0,NOT(ISBLANK(E58)))</formula>
    </cfRule>
  </conditionalFormatting>
  <conditionalFormatting sqref="E59">
    <cfRule type="expression" dxfId="0" priority="77">
      <formula>COUNTIF(G59:BE59,"&lt;&gt;" &amp; "")&gt;0</formula>
    </cfRule>
    <cfRule type="expression" dxfId="1" priority="78">
      <formula>AND(COUNTIF(G59:BE59,"&lt;&gt;" &amp; "")&gt;0,NOT(ISBLANK(E59)))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68">
    <cfRule type="expression" dxfId="0" priority="91">
      <formula>COUNTIF(G68:BE68,"&lt;&gt;" &amp; "")&gt;0</formula>
    </cfRule>
    <cfRule type="expression" dxfId="1" priority="92">
      <formula>AND(COUNTIF(G68:BE68,"&lt;&gt;" &amp; "")&gt;0,NOT(ISBLANK(E68)))</formula>
    </cfRule>
  </conditionalFormatting>
  <conditionalFormatting sqref="E69">
    <cfRule type="expression" dxfId="0" priority="93">
      <formula>COUNTIF(G69:BE69,"&lt;&gt;" &amp; "")&gt;0</formula>
    </cfRule>
    <cfRule type="expression" dxfId="1" priority="94">
      <formula>AND(COUNTIF(G69:BE69,"&lt;&gt;" &amp; "")&gt;0,NOT(ISBLANK(E69)))</formula>
    </cfRule>
  </conditionalFormatting>
  <conditionalFormatting sqref="E70">
    <cfRule type="expression" dxfId="0" priority="95">
      <formula>COUNTIF(G70:BE70,"&lt;&gt;" &amp; "")&gt;0</formula>
    </cfRule>
    <cfRule type="expression" dxfId="1" priority="96">
      <formula>AND(COUNTIF(G70:BE70,"&lt;&gt;" &amp; "")&gt;0,NOT(ISBLANK(E70)))</formula>
    </cfRule>
  </conditionalFormatting>
  <conditionalFormatting sqref="E71">
    <cfRule type="expression" dxfId="0" priority="97">
      <formula>COUNTIF(G71:BE71,"&lt;&gt;" &amp; "")&gt;0</formula>
    </cfRule>
    <cfRule type="expression" dxfId="1" priority="98">
      <formula>AND(COUNTIF(G71:BE71,"&lt;&gt;" &amp; "")&gt;0,NOT(ISBLANK(E71)))</formula>
    </cfRule>
  </conditionalFormatting>
  <conditionalFormatting sqref="E72">
    <cfRule type="expression" dxfId="0" priority="99">
      <formula>COUNTIF(G72:BE72,"&lt;&gt;" &amp; "")&gt;0</formula>
    </cfRule>
    <cfRule type="expression" dxfId="1" priority="100">
      <formula>AND(COUNTIF(G72:BE72,"&lt;&gt;" &amp; "")&gt;0,NOT(ISBLANK(E72)))</formula>
    </cfRule>
  </conditionalFormatting>
  <conditionalFormatting sqref="E73">
    <cfRule type="expression" dxfId="0" priority="101">
      <formula>COUNTIF(G73:BE73,"&lt;&gt;" &amp; "")&gt;0</formula>
    </cfRule>
    <cfRule type="expression" dxfId="1" priority="102">
      <formula>AND(COUNTIF(G73:BE73,"&lt;&gt;" &amp; "")&gt;0,NOT(ISBLANK(E73)))</formula>
    </cfRule>
  </conditionalFormatting>
  <conditionalFormatting sqref="E74">
    <cfRule type="expression" dxfId="0" priority="103">
      <formula>COUNTIF(G74:BE74,"&lt;&gt;" &amp; "")&gt;0</formula>
    </cfRule>
    <cfRule type="expression" dxfId="1" priority="104">
      <formula>AND(COUNTIF(G74:BE74,"&lt;&gt;" &amp; "")&gt;0,NOT(ISBLANK(E74)))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5">
    <cfRule type="expression" dxfId="0" priority="121">
      <formula>COUNTIF(G85:BE85,"&lt;&gt;" &amp; "")&gt;0</formula>
    </cfRule>
    <cfRule type="expression" dxfId="1" priority="122">
      <formula>AND(COUNTIF(G85:BE85,"&lt;&gt;" &amp; "")&gt;0,NOT(ISBLANK(E85)))</formula>
    </cfRule>
  </conditionalFormatting>
  <conditionalFormatting sqref="E86">
    <cfRule type="expression" dxfId="0" priority="123">
      <formula>COUNTIF(G86:BE86,"&lt;&gt;" &amp; "")&gt;0</formula>
    </cfRule>
    <cfRule type="expression" dxfId="1" priority="124">
      <formula>AND(COUNTIF(G86:BE86,"&lt;&gt;" &amp; "")&gt;0,NOT(ISBLANK(E86)))</formula>
    </cfRule>
  </conditionalFormatting>
  <conditionalFormatting sqref="E87">
    <cfRule type="expression" dxfId="0" priority="125">
      <formula>COUNTIF(G87:BE87,"&lt;&gt;" &amp; "")&gt;0</formula>
    </cfRule>
    <cfRule type="expression" dxfId="1" priority="126">
      <formula>AND(COUNTIF(G87:BE87,"&lt;&gt;" &amp; "")&gt;0,NOT(ISBLANK(E87)))</formula>
    </cfRule>
  </conditionalFormatting>
  <conditionalFormatting sqref="E88">
    <cfRule type="expression" dxfId="0" priority="127">
      <formula>COUNTIF(G88:BE88,"&lt;&gt;" &amp; "")&gt;0</formula>
    </cfRule>
    <cfRule type="expression" dxfId="1" priority="128">
      <formula>AND(COUNTIF(G88:BE88,"&lt;&gt;" &amp; "")&gt;0,NOT(ISBLANK(E88)))</formula>
    </cfRule>
  </conditionalFormatting>
  <conditionalFormatting sqref="E89">
    <cfRule type="expression" dxfId="0" priority="129">
      <formula>COUNTIF(G89:BE89,"&lt;&gt;" &amp; "")&gt;0</formula>
    </cfRule>
    <cfRule type="expression" dxfId="1" priority="130">
      <formula>AND(COUNTIF(G89:BE89,"&lt;&gt;" &amp; "")&gt;0,NOT(ISBLANK(E89)))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21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7">
      <formula1>"Number (per year)"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4">
      <formula1>"Number (per year)"</formula1>
    </dataValidation>
    <dataValidation type="list" allowBlank="1" showInputMessage="1" showErrorMessage="1" sqref="C35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1">
      <formula1>"Number (per year)"</formula1>
    </dataValidation>
    <dataValidation type="list" allowBlank="1" showInputMessage="1" showErrorMessage="1" sqref="C52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7">
      <formula1>"Number (per year)"</formula1>
    </dataValidation>
    <dataValidation type="list" allowBlank="1" showInputMessage="1" showErrorMessage="1" sqref="C168">
      <formula1>"Number (per year)"</formula1>
    </dataValidation>
    <dataValidation type="list" allowBlank="1" showInputMessage="1" showErrorMessage="1" sqref="C169">
      <formula1>"Number (per year)"</formula1>
    </dataValidation>
    <dataValidation type="list" allowBlank="1" showInputMessage="1" showErrorMessage="1" sqref="C170">
      <formula1>"Number (per year)"</formula1>
    </dataValidation>
    <dataValidation type="list" allowBlank="1" showInputMessage="1" showErrorMessage="1" sqref="C171">
      <formula1>"Number (per year)"</formula1>
    </dataValidation>
    <dataValidation type="list" allowBlank="1" showInputMessage="1" showErrorMessage="1" sqref="C172">
      <formula1>"Number (per year)"</formula1>
    </dataValidation>
    <dataValidation type="list" allowBlank="1" showInputMessage="1" showErrorMessage="1" sqref="C173">
      <formula1>"Number (per year)"</formula1>
    </dataValidation>
    <dataValidation type="list" allowBlank="1" showInputMessage="1" showErrorMessage="1" sqref="C174">
      <formula1>"Number (per year)"</formula1>
    </dataValidation>
    <dataValidation type="list" allowBlank="1" showInputMessage="1" showErrorMessage="1" sqref="C175">
      <formula1>"Number (per year)"</formula1>
    </dataValidation>
    <dataValidation type="list" allowBlank="1" showInputMessage="1" showErrorMessage="1" sqref="C176">
      <formula1>"Number (per year)"</formula1>
    </dataValidation>
    <dataValidation type="list" allowBlank="1" showInputMessage="1" showErrorMessage="1" sqref="C177">
      <formula1>"Number (per year)"</formula1>
    </dataValidation>
    <dataValidation type="list" allowBlank="1" showInputMessage="1" showErrorMessage="1" sqref="C178">
      <formula1>"Number (per year)"</formula1>
    </dataValidation>
    <dataValidation type="list" allowBlank="1" showInputMessage="1" showErrorMessage="1" sqref="C179">
      <formula1>"Number (per year)"</formula1>
    </dataValidation>
    <dataValidation type="list" allowBlank="1" showInputMessage="1" showErrorMessage="1" sqref="C182">
      <formula1>"Number (per year)"</formula1>
    </dataValidation>
    <dataValidation type="list" allowBlank="1" showInputMessage="1" showErrorMessage="1" sqref="C183">
      <formula1>"Number (per year)"</formula1>
    </dataValidation>
    <dataValidation type="list" allowBlank="1" showInputMessage="1" showErrorMessage="1" sqref="C184">
      <formula1>"Number (per year)"</formula1>
    </dataValidation>
    <dataValidation type="list" allowBlank="1" showInputMessage="1" showErrorMessage="1" sqref="C185">
      <formula1>"Number (per year)"</formula1>
    </dataValidation>
    <dataValidation type="list" allowBlank="1" showInputMessage="1" showErrorMessage="1" sqref="C186">
      <formula1>"Number (per year)"</formula1>
    </dataValidation>
    <dataValidation type="list" allowBlank="1" showInputMessage="1" showErrorMessage="1" sqref="C187">
      <formula1>"Number (per year)"</formula1>
    </dataValidation>
    <dataValidation type="list" allowBlank="1" showInputMessage="1" showErrorMessage="1" sqref="C188">
      <formula1>"Number (per year)"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4">
      <formula1>"Number (per year)"</formula1>
    </dataValidation>
    <dataValidation type="list" allowBlank="1" showInputMessage="1" showErrorMessage="1" sqref="C205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1">
      <formula1>"Number (per year)"</formula1>
    </dataValidation>
    <dataValidation type="list" allowBlank="1" showInputMessage="1" showErrorMessage="1" sqref="C222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38">
      <formula1>"Number (per year)"</formula1>
    </dataValidation>
    <dataValidation type="list" allowBlank="1" showInputMessage="1" showErrorMessage="1" sqref="C239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61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7">
      <c r="A1" s="1" t="s">
        <v>126</v>
      </c>
      <c r="B1" s="1" t="s">
        <v>29</v>
      </c>
      <c r="C1" s="1" t="s">
        <v>30</v>
      </c>
      <c r="D1" s="1" t="s">
        <v>31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7">
      <c r="A2" s="1" t="str">
        <f>'Population Definitions'!$A$2</f>
        <v>PWID_males</v>
      </c>
      <c r="C2" t="s">
        <v>32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7">
      <c r="A3" s="1" t="str">
        <f>'Population Definitions'!$A$3</f>
        <v>PWID_females</v>
      </c>
      <c r="C3" t="s">
        <v>32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7">
      <c r="A4" s="1" t="str">
        <f>'Population Definitions'!$A$4</f>
        <v>0-9_males</v>
      </c>
      <c r="C4" t="s">
        <v>32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7">
      <c r="A5" s="1" t="str">
        <f>'Population Definitions'!$A$5</f>
        <v>0-9_females</v>
      </c>
      <c r="C5" t="s">
        <v>32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7">
      <c r="A6" s="1" t="str">
        <f>'Population Definitions'!$A$6</f>
        <v>10-17_males</v>
      </c>
      <c r="C6" t="s">
        <v>32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7">
      <c r="A7" s="1" t="str">
        <f>'Population Definitions'!$A$7</f>
        <v>10-17_females</v>
      </c>
      <c r="C7" t="s">
        <v>32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7">
      <c r="A8" s="1" t="str">
        <f>'Population Definitions'!$A$8</f>
        <v>18-64_males</v>
      </c>
      <c r="C8" t="s">
        <v>32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7">
      <c r="A9" s="1" t="str">
        <f>'Population Definitions'!$A$9</f>
        <v>18-64_females</v>
      </c>
      <c r="C9" t="s">
        <v>32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7">
      <c r="A10" s="1" t="str">
        <f>'Population Definitions'!$A$10</f>
        <v>65+_males</v>
      </c>
      <c r="C10" t="s">
        <v>32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7">
      <c r="A11" s="1" t="str">
        <f>'Population Definitions'!$A$11</f>
        <v>65+_females</v>
      </c>
      <c r="C11" t="s">
        <v>32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7">
      <c r="A12" s="1" t="str">
        <f>'Population Definitions'!$A$12</f>
        <v>Prisoners_males</v>
      </c>
      <c r="C12" t="s">
        <v>32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7">
      <c r="A13" s="1" t="str">
        <f>'Population Definitions'!$A$13</f>
        <v>Prisoners_females</v>
      </c>
      <c r="C13" t="s">
        <v>32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5" spans="1:57">
      <c r="A15" s="1" t="s">
        <v>127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C16" t="s">
        <v>32</v>
      </c>
      <c r="D16" s="3"/>
      <c r="E16" s="3">
        <v>0.3051157196877892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C17" t="s">
        <v>32</v>
      </c>
      <c r="D17" s="3"/>
      <c r="E17" s="3">
        <v>0.09343342800000003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C18" t="s">
        <v>32</v>
      </c>
      <c r="D18" s="3"/>
      <c r="E18" s="3">
        <v>0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C19" t="s">
        <v>32</v>
      </c>
      <c r="D19" s="3"/>
      <c r="E19" s="3">
        <v>0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C20" t="s">
        <v>32</v>
      </c>
      <c r="D20" s="3"/>
      <c r="E20" s="3">
        <v>0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C21" t="s">
        <v>32</v>
      </c>
      <c r="D21" s="3"/>
      <c r="E21" s="3">
        <v>0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C22" t="s">
        <v>32</v>
      </c>
      <c r="D22" s="3"/>
      <c r="E22" s="3">
        <v>134.295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C23" t="s">
        <v>32</v>
      </c>
      <c r="D23" s="3"/>
      <c r="E23" s="3">
        <v>138.79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C24" t="s">
        <v>32</v>
      </c>
      <c r="D24" s="3"/>
      <c r="E24" s="3">
        <v>7.709999999999996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C25" t="s">
        <v>32</v>
      </c>
      <c r="D25" s="3"/>
      <c r="E25" s="3">
        <v>9.960000000000001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C26" t="s">
        <v>32</v>
      </c>
      <c r="D26" s="3"/>
      <c r="E26" s="3">
        <v>0.24661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C27" t="s">
        <v>32</v>
      </c>
      <c r="D27" s="3"/>
      <c r="E27" s="3">
        <v>0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128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C30" t="s">
        <v>32</v>
      </c>
      <c r="D30" s="3"/>
      <c r="E30" s="3">
        <v>61.02314393755785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C31" t="s">
        <v>32</v>
      </c>
      <c r="D31" s="3"/>
      <c r="E31" s="3">
        <v>18.6866856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C32" t="s">
        <v>32</v>
      </c>
      <c r="D32" s="3"/>
      <c r="E32" s="3">
        <v>15598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C33" t="s">
        <v>32</v>
      </c>
      <c r="D33" s="3"/>
      <c r="E33" s="3">
        <v>15044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C34" t="s">
        <v>32</v>
      </c>
      <c r="D34" s="3"/>
      <c r="E34" s="3">
        <v>11910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C35" t="s">
        <v>32</v>
      </c>
      <c r="D35" s="3"/>
      <c r="E35" s="3">
        <v>11250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C36" t="s">
        <v>32</v>
      </c>
      <c r="D36" s="3"/>
      <c r="E36" s="3">
        <v>26859.00000000001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C37" t="s">
        <v>32</v>
      </c>
      <c r="D37" s="3"/>
      <c r="E37" s="3">
        <v>27758.00000000001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C38" t="s">
        <v>32</v>
      </c>
      <c r="D38" s="3"/>
      <c r="E38" s="3">
        <v>1541.999999999999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C39" t="s">
        <v>32</v>
      </c>
      <c r="D39" s="3"/>
      <c r="E39" s="3">
        <v>1992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C40" t="s">
        <v>32</v>
      </c>
      <c r="D40" s="3"/>
      <c r="E40" s="3">
        <v>49.322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C41" t="s">
        <v>32</v>
      </c>
      <c r="D41" s="3"/>
      <c r="E41" s="3">
        <v>0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129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B44" t="s">
        <v>61</v>
      </c>
      <c r="C44" t="s">
        <v>32</v>
      </c>
      <c r="D44" s="3"/>
      <c r="E44" s="3">
        <v>0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B45" t="s">
        <v>61</v>
      </c>
      <c r="C45" t="s">
        <v>32</v>
      </c>
      <c r="D45" s="3"/>
      <c r="E45" s="3">
        <v>0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B46" t="s">
        <v>61</v>
      </c>
      <c r="C46" t="s">
        <v>32</v>
      </c>
      <c r="D46" s="3"/>
      <c r="E46" s="3">
        <v>0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B47" t="s">
        <v>61</v>
      </c>
      <c r="C47" t="s">
        <v>32</v>
      </c>
      <c r="D47" s="3"/>
      <c r="E47" s="3">
        <v>0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B48" t="s">
        <v>61</v>
      </c>
      <c r="C48" t="s">
        <v>32</v>
      </c>
      <c r="D48" s="3"/>
      <c r="E48" s="3">
        <v>0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B49" t="s">
        <v>61</v>
      </c>
      <c r="C49" t="s">
        <v>32</v>
      </c>
      <c r="D49" s="3"/>
      <c r="E49" s="3">
        <v>0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B50" t="s">
        <v>61</v>
      </c>
      <c r="C50" t="s">
        <v>32</v>
      </c>
      <c r="D50" s="3"/>
      <c r="E50" s="3">
        <v>0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B51" t="s">
        <v>61</v>
      </c>
      <c r="C51" t="s">
        <v>32</v>
      </c>
      <c r="D51" s="3"/>
      <c r="E51" s="3">
        <v>0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B52" t="s">
        <v>61</v>
      </c>
      <c r="C52" t="s">
        <v>32</v>
      </c>
      <c r="D52" s="3"/>
      <c r="E52" s="3">
        <v>0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B53" t="s">
        <v>61</v>
      </c>
      <c r="C53" t="s">
        <v>32</v>
      </c>
      <c r="D53" s="3"/>
      <c r="E53" s="3">
        <v>0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B54" t="s">
        <v>61</v>
      </c>
      <c r="C54" t="s">
        <v>32</v>
      </c>
      <c r="D54" s="3"/>
      <c r="E54" s="3">
        <v>0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B55" t="s">
        <v>61</v>
      </c>
      <c r="C55" t="s">
        <v>32</v>
      </c>
      <c r="D55" s="3"/>
      <c r="E55" s="3">
        <v>0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130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B58" t="s">
        <v>61</v>
      </c>
      <c r="C58" t="s">
        <v>32</v>
      </c>
      <c r="D58" s="3"/>
      <c r="E58" s="3">
        <v>0</v>
      </c>
      <c r="F58" s="4" t="s">
        <v>37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B59" t="s">
        <v>61</v>
      </c>
      <c r="C59" t="s">
        <v>32</v>
      </c>
      <c r="D59" s="3"/>
      <c r="E59" s="3">
        <v>0</v>
      </c>
      <c r="F59" s="4" t="s">
        <v>37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B60" t="s">
        <v>61</v>
      </c>
      <c r="C60" t="s">
        <v>32</v>
      </c>
      <c r="D60" s="3"/>
      <c r="E60" s="3">
        <v>0</v>
      </c>
      <c r="F60" s="4" t="s">
        <v>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B61" t="s">
        <v>61</v>
      </c>
      <c r="C61" t="s">
        <v>32</v>
      </c>
      <c r="D61" s="3"/>
      <c r="E61" s="3">
        <v>0</v>
      </c>
      <c r="F61" s="4" t="s">
        <v>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B62" t="s">
        <v>61</v>
      </c>
      <c r="C62" t="s">
        <v>32</v>
      </c>
      <c r="D62" s="3"/>
      <c r="E62" s="3">
        <v>0</v>
      </c>
      <c r="F62" s="4" t="s">
        <v>37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B63" t="s">
        <v>61</v>
      </c>
      <c r="C63" t="s">
        <v>32</v>
      </c>
      <c r="D63" s="3"/>
      <c r="E63" s="3">
        <v>0</v>
      </c>
      <c r="F63" s="4" t="s">
        <v>37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B64" t="s">
        <v>61</v>
      </c>
      <c r="C64" t="s">
        <v>32</v>
      </c>
      <c r="D64" s="3"/>
      <c r="E64" s="3">
        <v>0</v>
      </c>
      <c r="F64" s="4" t="s">
        <v>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B65" t="s">
        <v>61</v>
      </c>
      <c r="C65" t="s">
        <v>32</v>
      </c>
      <c r="D65" s="3"/>
      <c r="E65" s="3">
        <v>0</v>
      </c>
      <c r="F65" s="4" t="s">
        <v>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B66" t="s">
        <v>61</v>
      </c>
      <c r="C66" t="s">
        <v>32</v>
      </c>
      <c r="D66" s="3"/>
      <c r="E66" s="3">
        <v>0</v>
      </c>
      <c r="F66" s="4" t="s">
        <v>37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B67" t="s">
        <v>61</v>
      </c>
      <c r="C67" t="s">
        <v>32</v>
      </c>
      <c r="D67" s="3"/>
      <c r="E67" s="3">
        <v>0</v>
      </c>
      <c r="F67" s="4" t="s">
        <v>37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B68" t="s">
        <v>61</v>
      </c>
      <c r="C68" t="s">
        <v>32</v>
      </c>
      <c r="D68" s="3"/>
      <c r="E68" s="3">
        <v>0</v>
      </c>
      <c r="F68" s="4" t="s">
        <v>37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B69" t="s">
        <v>61</v>
      </c>
      <c r="C69" t="s">
        <v>32</v>
      </c>
      <c r="D69" s="3"/>
      <c r="E69" s="3">
        <v>0</v>
      </c>
      <c r="F69" s="4" t="s">
        <v>37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131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B72" t="s">
        <v>61</v>
      </c>
      <c r="C72" t="s">
        <v>32</v>
      </c>
      <c r="D72" s="3"/>
      <c r="E72" s="3">
        <v>0</v>
      </c>
      <c r="F72" s="4" t="s">
        <v>37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B73" t="s">
        <v>61</v>
      </c>
      <c r="C73" t="s">
        <v>32</v>
      </c>
      <c r="D73" s="3"/>
      <c r="E73" s="3">
        <v>0</v>
      </c>
      <c r="F73" s="4" t="s">
        <v>37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B74" t="s">
        <v>61</v>
      </c>
      <c r="C74" t="s">
        <v>32</v>
      </c>
      <c r="D74" s="3"/>
      <c r="E74" s="3">
        <v>0</v>
      </c>
      <c r="F74" s="4" t="s">
        <v>37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B75" t="s">
        <v>61</v>
      </c>
      <c r="C75" t="s">
        <v>32</v>
      </c>
      <c r="D75" s="3"/>
      <c r="E75" s="3">
        <v>0</v>
      </c>
      <c r="F75" s="4" t="s">
        <v>37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B76" t="s">
        <v>61</v>
      </c>
      <c r="C76" t="s">
        <v>32</v>
      </c>
      <c r="D76" s="3"/>
      <c r="E76" s="3">
        <v>0</v>
      </c>
      <c r="F76" s="4" t="s">
        <v>37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B77" t="s">
        <v>61</v>
      </c>
      <c r="C77" t="s">
        <v>32</v>
      </c>
      <c r="D77" s="3"/>
      <c r="E77" s="3">
        <v>0</v>
      </c>
      <c r="F77" s="4" t="s">
        <v>37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B78" t="s">
        <v>61</v>
      </c>
      <c r="C78" t="s">
        <v>32</v>
      </c>
      <c r="D78" s="3"/>
      <c r="E78" s="3">
        <v>0</v>
      </c>
      <c r="F78" s="4" t="s">
        <v>37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B79" t="s">
        <v>61</v>
      </c>
      <c r="C79" t="s">
        <v>32</v>
      </c>
      <c r="D79" s="3"/>
      <c r="E79" s="3">
        <v>0</v>
      </c>
      <c r="F79" s="4" t="s">
        <v>37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B80" t="s">
        <v>61</v>
      </c>
      <c r="C80" t="s">
        <v>32</v>
      </c>
      <c r="D80" s="3"/>
      <c r="E80" s="3">
        <v>0</v>
      </c>
      <c r="F80" s="4" t="s">
        <v>37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B81" t="s">
        <v>61</v>
      </c>
      <c r="C81" t="s">
        <v>32</v>
      </c>
      <c r="D81" s="3"/>
      <c r="E81" s="3">
        <v>0</v>
      </c>
      <c r="F81" s="4" t="s">
        <v>37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B82" t="s">
        <v>61</v>
      </c>
      <c r="C82" t="s">
        <v>32</v>
      </c>
      <c r="D82" s="3"/>
      <c r="E82" s="3">
        <v>0</v>
      </c>
      <c r="F82" s="4" t="s">
        <v>37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B83" t="s">
        <v>61</v>
      </c>
      <c r="C83" t="s">
        <v>32</v>
      </c>
      <c r="D83" s="3"/>
      <c r="E83" s="3">
        <v>0</v>
      </c>
      <c r="F83" s="4" t="s">
        <v>37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5" spans="1:57">
      <c r="A85" s="1" t="s">
        <v>132</v>
      </c>
      <c r="B85" s="1" t="s">
        <v>29</v>
      </c>
      <c r="C85" s="1" t="s">
        <v>30</v>
      </c>
      <c r="D85" s="1" t="s">
        <v>31</v>
      </c>
      <c r="E85" s="1" t="s">
        <v>36</v>
      </c>
      <c r="F85" s="1"/>
      <c r="G85" s="1">
        <v>2000</v>
      </c>
      <c r="H85" s="1">
        <v>2001</v>
      </c>
      <c r="I85" s="1">
        <v>2002</v>
      </c>
      <c r="J85" s="1">
        <v>2003</v>
      </c>
      <c r="K85" s="1">
        <v>2004</v>
      </c>
      <c r="L85" s="1">
        <v>2005</v>
      </c>
      <c r="M85" s="1">
        <v>2006</v>
      </c>
      <c r="N85" s="1">
        <v>2007</v>
      </c>
      <c r="O85" s="1">
        <v>2008</v>
      </c>
      <c r="P85" s="1">
        <v>2009</v>
      </c>
      <c r="Q85" s="1">
        <v>2010</v>
      </c>
      <c r="R85" s="1">
        <v>2011</v>
      </c>
      <c r="S85" s="1">
        <v>2012</v>
      </c>
      <c r="T85" s="1">
        <v>2013</v>
      </c>
      <c r="U85" s="1">
        <v>2014</v>
      </c>
      <c r="V85" s="1">
        <v>2015</v>
      </c>
      <c r="W85" s="1">
        <v>2016</v>
      </c>
      <c r="X85" s="1">
        <v>2017</v>
      </c>
      <c r="Y85" s="1">
        <v>2018</v>
      </c>
      <c r="Z85" s="1">
        <v>2019</v>
      </c>
      <c r="AA85" s="1">
        <v>2020</v>
      </c>
      <c r="AB85" s="1">
        <v>2021</v>
      </c>
      <c r="AC85" s="1">
        <v>2022</v>
      </c>
      <c r="AD85" s="1">
        <v>2023</v>
      </c>
      <c r="AE85" s="1">
        <v>2024</v>
      </c>
      <c r="AF85" s="1">
        <v>2025</v>
      </c>
      <c r="AG85" s="1">
        <v>2026</v>
      </c>
      <c r="AH85" s="1">
        <v>2027</v>
      </c>
      <c r="AI85" s="1">
        <v>2028</v>
      </c>
      <c r="AJ85" s="1">
        <v>2029</v>
      </c>
      <c r="AK85" s="1">
        <v>2030</v>
      </c>
      <c r="AL85" s="1">
        <v>2031</v>
      </c>
      <c r="AM85" s="1">
        <v>2032</v>
      </c>
      <c r="AN85" s="1">
        <v>2033</v>
      </c>
      <c r="AO85" s="1">
        <v>2034</v>
      </c>
      <c r="AP85" s="1">
        <v>2035</v>
      </c>
      <c r="AQ85" s="1">
        <v>2036</v>
      </c>
      <c r="AR85" s="1">
        <v>2037</v>
      </c>
      <c r="AS85" s="1">
        <v>2038</v>
      </c>
      <c r="AT85" s="1">
        <v>2039</v>
      </c>
      <c r="AU85" s="1">
        <v>2040</v>
      </c>
      <c r="AV85" s="1">
        <v>2041</v>
      </c>
      <c r="AW85" s="1">
        <v>2042</v>
      </c>
      <c r="AX85" s="1">
        <v>2043</v>
      </c>
      <c r="AY85" s="1">
        <v>2044</v>
      </c>
      <c r="AZ85" s="1">
        <v>2045</v>
      </c>
      <c r="BA85" s="1">
        <v>2046</v>
      </c>
      <c r="BB85" s="1">
        <v>2047</v>
      </c>
      <c r="BC85" s="1">
        <v>2048</v>
      </c>
      <c r="BD85" s="1">
        <v>2049</v>
      </c>
      <c r="BE85" s="1">
        <v>2050</v>
      </c>
    </row>
    <row r="86" spans="1:57">
      <c r="A86" s="1" t="str">
        <f>'Population Definitions'!$A$2</f>
        <v>PWID_males</v>
      </c>
      <c r="B86" t="s">
        <v>61</v>
      </c>
      <c r="C86" t="s">
        <v>32</v>
      </c>
      <c r="D86" s="3"/>
      <c r="E86" s="3">
        <v>0</v>
      </c>
      <c r="F86" s="4" t="s">
        <v>37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Definitions'!$A$3</f>
        <v>PWID_females</v>
      </c>
      <c r="B87" t="s">
        <v>61</v>
      </c>
      <c r="C87" t="s">
        <v>32</v>
      </c>
      <c r="D87" s="3"/>
      <c r="E87" s="3">
        <v>0</v>
      </c>
      <c r="F87" s="4" t="s">
        <v>37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Definitions'!$A$4</f>
        <v>0-9_males</v>
      </c>
      <c r="B88" t="s">
        <v>61</v>
      </c>
      <c r="C88" t="s">
        <v>32</v>
      </c>
      <c r="D88" s="3"/>
      <c r="E88" s="3">
        <v>0</v>
      </c>
      <c r="F88" s="4" t="s">
        <v>37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Definitions'!$A$5</f>
        <v>0-9_females</v>
      </c>
      <c r="B89" t="s">
        <v>61</v>
      </c>
      <c r="C89" t="s">
        <v>32</v>
      </c>
      <c r="D89" s="3"/>
      <c r="E89" s="3">
        <v>0</v>
      </c>
      <c r="F89" s="4" t="s">
        <v>37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Definitions'!$A$6</f>
        <v>10-17_males</v>
      </c>
      <c r="B90" t="s">
        <v>61</v>
      </c>
      <c r="C90" t="s">
        <v>32</v>
      </c>
      <c r="D90" s="3"/>
      <c r="E90" s="3">
        <v>0</v>
      </c>
      <c r="F90" s="4" t="s">
        <v>37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Definitions'!$A$7</f>
        <v>10-17_females</v>
      </c>
      <c r="B91" t="s">
        <v>61</v>
      </c>
      <c r="C91" t="s">
        <v>32</v>
      </c>
      <c r="D91" s="3"/>
      <c r="E91" s="3">
        <v>0</v>
      </c>
      <c r="F91" s="4" t="s">
        <v>37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Definitions'!$A$8</f>
        <v>18-64_males</v>
      </c>
      <c r="B92" t="s">
        <v>61</v>
      </c>
      <c r="C92" t="s">
        <v>32</v>
      </c>
      <c r="D92" s="3"/>
      <c r="E92" s="3">
        <v>0</v>
      </c>
      <c r="F92" s="4" t="s">
        <v>37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Definitions'!$A$9</f>
        <v>18-64_females</v>
      </c>
      <c r="B93" t="s">
        <v>61</v>
      </c>
      <c r="C93" t="s">
        <v>32</v>
      </c>
      <c r="D93" s="3"/>
      <c r="E93" s="3">
        <v>0</v>
      </c>
      <c r="F93" s="4" t="s">
        <v>37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Definitions'!$A$10</f>
        <v>65+_males</v>
      </c>
      <c r="B94" t="s">
        <v>61</v>
      </c>
      <c r="C94" t="s">
        <v>32</v>
      </c>
      <c r="D94" s="3"/>
      <c r="E94" s="3">
        <v>0</v>
      </c>
      <c r="F94" s="4" t="s">
        <v>37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Definitions'!$A$11</f>
        <v>65+_females</v>
      </c>
      <c r="B95" t="s">
        <v>61</v>
      </c>
      <c r="C95" t="s">
        <v>32</v>
      </c>
      <c r="D95" s="3"/>
      <c r="E95" s="3">
        <v>0</v>
      </c>
      <c r="F95" s="4" t="s">
        <v>37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Definitions'!$A$12</f>
        <v>Prisoners_males</v>
      </c>
      <c r="B96" t="s">
        <v>61</v>
      </c>
      <c r="C96" t="s">
        <v>32</v>
      </c>
      <c r="D96" s="3"/>
      <c r="E96" s="3">
        <v>0</v>
      </c>
      <c r="F96" s="4" t="s">
        <v>37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Definitions'!$A$13</f>
        <v>Prisoners_females</v>
      </c>
      <c r="B97" t="s">
        <v>61</v>
      </c>
      <c r="C97" t="s">
        <v>32</v>
      </c>
      <c r="D97" s="3"/>
      <c r="E97" s="3">
        <v>0</v>
      </c>
      <c r="F97" s="4" t="s">
        <v>37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9" spans="1:57">
      <c r="A99" s="1" t="s">
        <v>133</v>
      </c>
      <c r="B99" s="1" t="s">
        <v>29</v>
      </c>
      <c r="C99" s="1" t="s">
        <v>30</v>
      </c>
      <c r="D99" s="1" t="s">
        <v>31</v>
      </c>
      <c r="E99" s="1" t="s">
        <v>36</v>
      </c>
      <c r="F99" s="1"/>
      <c r="G99" s="1">
        <v>2000</v>
      </c>
      <c r="H99" s="1">
        <v>2001</v>
      </c>
      <c r="I99" s="1">
        <v>2002</v>
      </c>
      <c r="J99" s="1">
        <v>2003</v>
      </c>
      <c r="K99" s="1">
        <v>2004</v>
      </c>
      <c r="L99" s="1">
        <v>2005</v>
      </c>
      <c r="M99" s="1">
        <v>2006</v>
      </c>
      <c r="N99" s="1">
        <v>2007</v>
      </c>
      <c r="O99" s="1">
        <v>2008</v>
      </c>
      <c r="P99" s="1">
        <v>2009</v>
      </c>
      <c r="Q99" s="1">
        <v>2010</v>
      </c>
      <c r="R99" s="1">
        <v>2011</v>
      </c>
      <c r="S99" s="1">
        <v>2012</v>
      </c>
      <c r="T99" s="1">
        <v>2013</v>
      </c>
      <c r="U99" s="1">
        <v>2014</v>
      </c>
      <c r="V99" s="1">
        <v>2015</v>
      </c>
      <c r="W99" s="1">
        <v>2016</v>
      </c>
      <c r="X99" s="1">
        <v>2017</v>
      </c>
      <c r="Y99" s="1">
        <v>2018</v>
      </c>
      <c r="Z99" s="1">
        <v>2019</v>
      </c>
      <c r="AA99" s="1">
        <v>2020</v>
      </c>
      <c r="AB99" s="1">
        <v>2021</v>
      </c>
      <c r="AC99" s="1">
        <v>2022</v>
      </c>
      <c r="AD99" s="1">
        <v>2023</v>
      </c>
      <c r="AE99" s="1">
        <v>2024</v>
      </c>
      <c r="AF99" s="1">
        <v>2025</v>
      </c>
      <c r="AG99" s="1">
        <v>2026</v>
      </c>
      <c r="AH99" s="1">
        <v>2027</v>
      </c>
      <c r="AI99" s="1">
        <v>2028</v>
      </c>
      <c r="AJ99" s="1">
        <v>2029</v>
      </c>
      <c r="AK99" s="1">
        <v>2030</v>
      </c>
      <c r="AL99" s="1">
        <v>2031</v>
      </c>
      <c r="AM99" s="1">
        <v>2032</v>
      </c>
      <c r="AN99" s="1">
        <v>2033</v>
      </c>
      <c r="AO99" s="1">
        <v>2034</v>
      </c>
      <c r="AP99" s="1">
        <v>2035</v>
      </c>
      <c r="AQ99" s="1">
        <v>2036</v>
      </c>
      <c r="AR99" s="1">
        <v>2037</v>
      </c>
      <c r="AS99" s="1">
        <v>2038</v>
      </c>
      <c r="AT99" s="1">
        <v>2039</v>
      </c>
      <c r="AU99" s="1">
        <v>2040</v>
      </c>
      <c r="AV99" s="1">
        <v>2041</v>
      </c>
      <c r="AW99" s="1">
        <v>2042</v>
      </c>
      <c r="AX99" s="1">
        <v>2043</v>
      </c>
      <c r="AY99" s="1">
        <v>2044</v>
      </c>
      <c r="AZ99" s="1">
        <v>2045</v>
      </c>
      <c r="BA99" s="1">
        <v>2046</v>
      </c>
      <c r="BB99" s="1">
        <v>2047</v>
      </c>
      <c r="BC99" s="1">
        <v>2048</v>
      </c>
      <c r="BD99" s="1">
        <v>2049</v>
      </c>
      <c r="BE99" s="1">
        <v>2050</v>
      </c>
    </row>
    <row r="100" spans="1:57">
      <c r="A100" s="1" t="str">
        <f>'Population Definitions'!$A$2</f>
        <v>PWID_males</v>
      </c>
      <c r="B100" t="s">
        <v>61</v>
      </c>
      <c r="C100" t="s">
        <v>32</v>
      </c>
      <c r="D100" s="3"/>
      <c r="E100" s="3">
        <v>0</v>
      </c>
      <c r="F100" s="4" t="s">
        <v>37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Definitions'!$A$3</f>
        <v>PWID_females</v>
      </c>
      <c r="B101" t="s">
        <v>61</v>
      </c>
      <c r="C101" t="s">
        <v>32</v>
      </c>
      <c r="D101" s="3"/>
      <c r="E101" s="3">
        <v>0</v>
      </c>
      <c r="F101" s="4" t="s">
        <v>37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Definitions'!$A$4</f>
        <v>0-9_males</v>
      </c>
      <c r="B102" t="s">
        <v>61</v>
      </c>
      <c r="C102" t="s">
        <v>32</v>
      </c>
      <c r="D102" s="3"/>
      <c r="E102" s="3">
        <v>0</v>
      </c>
      <c r="F102" s="4" t="s">
        <v>37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Definitions'!$A$5</f>
        <v>0-9_females</v>
      </c>
      <c r="B103" t="s">
        <v>61</v>
      </c>
      <c r="C103" t="s">
        <v>32</v>
      </c>
      <c r="D103" s="3"/>
      <c r="E103" s="3">
        <v>0</v>
      </c>
      <c r="F103" s="4" t="s">
        <v>37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Definitions'!$A$6</f>
        <v>10-17_males</v>
      </c>
      <c r="B104" t="s">
        <v>61</v>
      </c>
      <c r="C104" t="s">
        <v>32</v>
      </c>
      <c r="D104" s="3"/>
      <c r="E104" s="3">
        <v>0</v>
      </c>
      <c r="F104" s="4" t="s">
        <v>37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Definitions'!$A$7</f>
        <v>10-17_females</v>
      </c>
      <c r="B105" t="s">
        <v>61</v>
      </c>
      <c r="C105" t="s">
        <v>32</v>
      </c>
      <c r="D105" s="3"/>
      <c r="E105" s="3">
        <v>0</v>
      </c>
      <c r="F105" s="4" t="s">
        <v>37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Definitions'!$A$8</f>
        <v>18-64_males</v>
      </c>
      <c r="B106" t="s">
        <v>61</v>
      </c>
      <c r="C106" t="s">
        <v>32</v>
      </c>
      <c r="D106" s="3"/>
      <c r="E106" s="3">
        <v>0</v>
      </c>
      <c r="F106" s="4" t="s">
        <v>37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Definitions'!$A$9</f>
        <v>18-64_females</v>
      </c>
      <c r="B107" t="s">
        <v>61</v>
      </c>
      <c r="C107" t="s">
        <v>32</v>
      </c>
      <c r="D107" s="3"/>
      <c r="E107" s="3">
        <v>0</v>
      </c>
      <c r="F107" s="4" t="s">
        <v>37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Definitions'!$A$10</f>
        <v>65+_males</v>
      </c>
      <c r="B108" t="s">
        <v>61</v>
      </c>
      <c r="C108" t="s">
        <v>32</v>
      </c>
      <c r="D108" s="3"/>
      <c r="E108" s="3">
        <v>0</v>
      </c>
      <c r="F108" s="4" t="s">
        <v>37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Definitions'!$A$11</f>
        <v>65+_females</v>
      </c>
      <c r="B109" t="s">
        <v>61</v>
      </c>
      <c r="C109" t="s">
        <v>32</v>
      </c>
      <c r="D109" s="3"/>
      <c r="E109" s="3">
        <v>0</v>
      </c>
      <c r="F109" s="4" t="s">
        <v>37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Definitions'!$A$12</f>
        <v>Prisoners_males</v>
      </c>
      <c r="B110" t="s">
        <v>61</v>
      </c>
      <c r="C110" t="s">
        <v>32</v>
      </c>
      <c r="D110" s="3"/>
      <c r="E110" s="3">
        <v>0</v>
      </c>
      <c r="F110" s="4" t="s">
        <v>37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Definitions'!$A$13</f>
        <v>Prisoners_females</v>
      </c>
      <c r="B111" t="s">
        <v>61</v>
      </c>
      <c r="C111" t="s">
        <v>32</v>
      </c>
      <c r="D111" s="3"/>
      <c r="E111" s="3">
        <v>0</v>
      </c>
      <c r="F111" s="4" t="s">
        <v>37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29</v>
      </c>
      <c r="C113" s="1" t="s">
        <v>30</v>
      </c>
      <c r="D113" s="1" t="s">
        <v>31</v>
      </c>
      <c r="E113" s="1" t="s">
        <v>36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61</v>
      </c>
      <c r="C114" t="s">
        <v>32</v>
      </c>
      <c r="D114" s="3"/>
      <c r="E114" s="3">
        <v>0</v>
      </c>
      <c r="F114" s="4" t="s">
        <v>37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61</v>
      </c>
      <c r="C115" t="s">
        <v>32</v>
      </c>
      <c r="D115" s="3"/>
      <c r="E115" s="3">
        <v>0</v>
      </c>
      <c r="F115" s="4" t="s">
        <v>37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61</v>
      </c>
      <c r="C116" t="s">
        <v>32</v>
      </c>
      <c r="D116" s="3"/>
      <c r="E116" s="3">
        <v>0</v>
      </c>
      <c r="F116" s="4" t="s">
        <v>37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61</v>
      </c>
      <c r="C117" t="s">
        <v>32</v>
      </c>
      <c r="D117" s="3"/>
      <c r="E117" s="3">
        <v>0</v>
      </c>
      <c r="F117" s="4" t="s">
        <v>37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61</v>
      </c>
      <c r="C118" t="s">
        <v>32</v>
      </c>
      <c r="D118" s="3"/>
      <c r="E118" s="3">
        <v>0</v>
      </c>
      <c r="F118" s="4" t="s">
        <v>37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61</v>
      </c>
      <c r="C119" t="s">
        <v>32</v>
      </c>
      <c r="D119" s="3"/>
      <c r="E119" s="3">
        <v>0</v>
      </c>
      <c r="F119" s="4" t="s">
        <v>37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61</v>
      </c>
      <c r="C120" t="s">
        <v>32</v>
      </c>
      <c r="D120" s="3"/>
      <c r="E120" s="3">
        <v>0</v>
      </c>
      <c r="F120" s="4" t="s">
        <v>37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61</v>
      </c>
      <c r="C121" t="s">
        <v>32</v>
      </c>
      <c r="D121" s="3"/>
      <c r="E121" s="3">
        <v>0</v>
      </c>
      <c r="F121" s="4" t="s">
        <v>37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61</v>
      </c>
      <c r="C122" t="s">
        <v>32</v>
      </c>
      <c r="D122" s="3"/>
      <c r="E122" s="3">
        <v>0</v>
      </c>
      <c r="F122" s="4" t="s">
        <v>37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61</v>
      </c>
      <c r="C123" t="s">
        <v>32</v>
      </c>
      <c r="D123" s="3"/>
      <c r="E123" s="3">
        <v>0</v>
      </c>
      <c r="F123" s="4" t="s">
        <v>37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61</v>
      </c>
      <c r="C124" t="s">
        <v>32</v>
      </c>
      <c r="D124" s="3"/>
      <c r="E124" s="3">
        <v>0</v>
      </c>
      <c r="F124" s="4" t="s">
        <v>37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61</v>
      </c>
      <c r="C125" t="s">
        <v>32</v>
      </c>
      <c r="D125" s="3"/>
      <c r="E125" s="3">
        <v>0</v>
      </c>
      <c r="F125" s="4" t="s">
        <v>37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7" spans="1:57">
      <c r="A127" s="1" t="s">
        <v>135</v>
      </c>
      <c r="B127" s="1" t="s">
        <v>29</v>
      </c>
      <c r="C127" s="1" t="s">
        <v>30</v>
      </c>
      <c r="D127" s="1" t="s">
        <v>31</v>
      </c>
      <c r="E127" s="1" t="s">
        <v>36</v>
      </c>
      <c r="F127" s="1"/>
      <c r="G127" s="1">
        <v>2000</v>
      </c>
      <c r="H127" s="1">
        <v>2001</v>
      </c>
      <c r="I127" s="1">
        <v>2002</v>
      </c>
      <c r="J127" s="1">
        <v>2003</v>
      </c>
      <c r="K127" s="1">
        <v>2004</v>
      </c>
      <c r="L127" s="1">
        <v>2005</v>
      </c>
      <c r="M127" s="1">
        <v>2006</v>
      </c>
      <c r="N127" s="1">
        <v>2007</v>
      </c>
      <c r="O127" s="1">
        <v>2008</v>
      </c>
      <c r="P127" s="1">
        <v>2009</v>
      </c>
      <c r="Q127" s="1">
        <v>2010</v>
      </c>
      <c r="R127" s="1">
        <v>2011</v>
      </c>
      <c r="S127" s="1">
        <v>2012</v>
      </c>
      <c r="T127" s="1">
        <v>2013</v>
      </c>
      <c r="U127" s="1">
        <v>2014</v>
      </c>
      <c r="V127" s="1">
        <v>2015</v>
      </c>
      <c r="W127" s="1">
        <v>2016</v>
      </c>
      <c r="X127" s="1">
        <v>2017</v>
      </c>
      <c r="Y127" s="1">
        <v>2018</v>
      </c>
      <c r="Z127" s="1">
        <v>2019</v>
      </c>
      <c r="AA127" s="1">
        <v>2020</v>
      </c>
      <c r="AB127" s="1">
        <v>2021</v>
      </c>
      <c r="AC127" s="1">
        <v>2022</v>
      </c>
      <c r="AD127" s="1">
        <v>2023</v>
      </c>
      <c r="AE127" s="1">
        <v>2024</v>
      </c>
      <c r="AF127" s="1">
        <v>2025</v>
      </c>
      <c r="AG127" s="1">
        <v>2026</v>
      </c>
      <c r="AH127" s="1">
        <v>2027</v>
      </c>
      <c r="AI127" s="1">
        <v>2028</v>
      </c>
      <c r="AJ127" s="1">
        <v>2029</v>
      </c>
      <c r="AK127" s="1">
        <v>2030</v>
      </c>
      <c r="AL127" s="1">
        <v>2031</v>
      </c>
      <c r="AM127" s="1">
        <v>2032</v>
      </c>
      <c r="AN127" s="1">
        <v>2033</v>
      </c>
      <c r="AO127" s="1">
        <v>2034</v>
      </c>
      <c r="AP127" s="1">
        <v>2035</v>
      </c>
      <c r="AQ127" s="1">
        <v>2036</v>
      </c>
      <c r="AR127" s="1">
        <v>2037</v>
      </c>
      <c r="AS127" s="1">
        <v>2038</v>
      </c>
      <c r="AT127" s="1">
        <v>2039</v>
      </c>
      <c r="AU127" s="1">
        <v>2040</v>
      </c>
      <c r="AV127" s="1">
        <v>2041</v>
      </c>
      <c r="AW127" s="1">
        <v>2042</v>
      </c>
      <c r="AX127" s="1">
        <v>2043</v>
      </c>
      <c r="AY127" s="1">
        <v>2044</v>
      </c>
      <c r="AZ127" s="1">
        <v>2045</v>
      </c>
      <c r="BA127" s="1">
        <v>2046</v>
      </c>
      <c r="BB127" s="1">
        <v>2047</v>
      </c>
      <c r="BC127" s="1">
        <v>2048</v>
      </c>
      <c r="BD127" s="1">
        <v>2049</v>
      </c>
      <c r="BE127" s="1">
        <v>2050</v>
      </c>
    </row>
    <row r="128" spans="1:57">
      <c r="A128" s="1" t="str">
        <f>'Population Definitions'!$A$2</f>
        <v>PWID_males</v>
      </c>
      <c r="B128" t="s">
        <v>61</v>
      </c>
      <c r="C128" t="s">
        <v>32</v>
      </c>
      <c r="D128" s="3"/>
      <c r="E128" s="3">
        <v>0</v>
      </c>
      <c r="F128" s="4" t="s">
        <v>37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Definitions'!$A$3</f>
        <v>PWID_females</v>
      </c>
      <c r="B129" t="s">
        <v>61</v>
      </c>
      <c r="C129" t="s">
        <v>32</v>
      </c>
      <c r="D129" s="3"/>
      <c r="E129" s="3">
        <v>0</v>
      </c>
      <c r="F129" s="4" t="s">
        <v>37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Definitions'!$A$4</f>
        <v>0-9_males</v>
      </c>
      <c r="B130" t="s">
        <v>61</v>
      </c>
      <c r="C130" t="s">
        <v>32</v>
      </c>
      <c r="D130" s="3"/>
      <c r="E130" s="3">
        <v>0</v>
      </c>
      <c r="F130" s="4" t="s">
        <v>37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Definitions'!$A$5</f>
        <v>0-9_females</v>
      </c>
      <c r="B131" t="s">
        <v>61</v>
      </c>
      <c r="C131" t="s">
        <v>32</v>
      </c>
      <c r="D131" s="3"/>
      <c r="E131" s="3">
        <v>0</v>
      </c>
      <c r="F131" s="4" t="s">
        <v>37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Definitions'!$A$6</f>
        <v>10-17_males</v>
      </c>
      <c r="B132" t="s">
        <v>61</v>
      </c>
      <c r="C132" t="s">
        <v>32</v>
      </c>
      <c r="D132" s="3"/>
      <c r="E132" s="3">
        <v>0</v>
      </c>
      <c r="F132" s="4" t="s">
        <v>37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Definitions'!$A$7</f>
        <v>10-17_females</v>
      </c>
      <c r="B133" t="s">
        <v>61</v>
      </c>
      <c r="C133" t="s">
        <v>32</v>
      </c>
      <c r="D133" s="3"/>
      <c r="E133" s="3">
        <v>0</v>
      </c>
      <c r="F133" s="4" t="s">
        <v>37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Definitions'!$A$8</f>
        <v>18-64_males</v>
      </c>
      <c r="B134" t="s">
        <v>61</v>
      </c>
      <c r="C134" t="s">
        <v>32</v>
      </c>
      <c r="D134" s="3"/>
      <c r="E134" s="3">
        <v>0</v>
      </c>
      <c r="F134" s="4" t="s">
        <v>37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Definitions'!$A$9</f>
        <v>18-64_females</v>
      </c>
      <c r="B135" t="s">
        <v>61</v>
      </c>
      <c r="C135" t="s">
        <v>32</v>
      </c>
      <c r="D135" s="3"/>
      <c r="E135" s="3">
        <v>0</v>
      </c>
      <c r="F135" s="4" t="s">
        <v>37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Definitions'!$A$10</f>
        <v>65+_males</v>
      </c>
      <c r="B136" t="s">
        <v>61</v>
      </c>
      <c r="C136" t="s">
        <v>32</v>
      </c>
      <c r="D136" s="3"/>
      <c r="E136" s="3">
        <v>0</v>
      </c>
      <c r="F136" s="4" t="s">
        <v>37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Definitions'!$A$11</f>
        <v>65+_females</v>
      </c>
      <c r="B137" t="s">
        <v>61</v>
      </c>
      <c r="C137" t="s">
        <v>32</v>
      </c>
      <c r="D137" s="3"/>
      <c r="E137" s="3">
        <v>0</v>
      </c>
      <c r="F137" s="4" t="s">
        <v>37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Definitions'!$A$12</f>
        <v>Prisoners_males</v>
      </c>
      <c r="B138" t="s">
        <v>61</v>
      </c>
      <c r="C138" t="s">
        <v>32</v>
      </c>
      <c r="D138" s="3"/>
      <c r="E138" s="3">
        <v>0</v>
      </c>
      <c r="F138" s="4" t="s">
        <v>37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Definitions'!$A$13</f>
        <v>Prisoners_females</v>
      </c>
      <c r="B139" t="s">
        <v>61</v>
      </c>
      <c r="C139" t="s">
        <v>32</v>
      </c>
      <c r="D139" s="3"/>
      <c r="E139" s="3">
        <v>0</v>
      </c>
      <c r="F139" s="4" t="s">
        <v>37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1" spans="1:57">
      <c r="A141" s="1" t="s">
        <v>136</v>
      </c>
      <c r="B141" s="1" t="s">
        <v>29</v>
      </c>
      <c r="C141" s="1" t="s">
        <v>30</v>
      </c>
      <c r="D141" s="1" t="s">
        <v>31</v>
      </c>
      <c r="E141" s="1" t="s">
        <v>36</v>
      </c>
      <c r="F141" s="1"/>
      <c r="G141" s="1">
        <v>2000</v>
      </c>
      <c r="H141" s="1">
        <v>2001</v>
      </c>
      <c r="I141" s="1">
        <v>2002</v>
      </c>
      <c r="J141" s="1">
        <v>2003</v>
      </c>
      <c r="K141" s="1">
        <v>2004</v>
      </c>
      <c r="L141" s="1">
        <v>2005</v>
      </c>
      <c r="M141" s="1">
        <v>2006</v>
      </c>
      <c r="N141" s="1">
        <v>2007</v>
      </c>
      <c r="O141" s="1">
        <v>2008</v>
      </c>
      <c r="P141" s="1">
        <v>2009</v>
      </c>
      <c r="Q141" s="1">
        <v>2010</v>
      </c>
      <c r="R141" s="1">
        <v>2011</v>
      </c>
      <c r="S141" s="1">
        <v>2012</v>
      </c>
      <c r="T141" s="1">
        <v>2013</v>
      </c>
      <c r="U141" s="1">
        <v>2014</v>
      </c>
      <c r="V141" s="1">
        <v>2015</v>
      </c>
      <c r="W141" s="1">
        <v>2016</v>
      </c>
      <c r="X141" s="1">
        <v>2017</v>
      </c>
      <c r="Y141" s="1">
        <v>2018</v>
      </c>
      <c r="Z141" s="1">
        <v>2019</v>
      </c>
      <c r="AA141" s="1">
        <v>2020</v>
      </c>
      <c r="AB141" s="1">
        <v>2021</v>
      </c>
      <c r="AC141" s="1">
        <v>2022</v>
      </c>
      <c r="AD141" s="1">
        <v>2023</v>
      </c>
      <c r="AE141" s="1">
        <v>2024</v>
      </c>
      <c r="AF141" s="1">
        <v>2025</v>
      </c>
      <c r="AG141" s="1">
        <v>2026</v>
      </c>
      <c r="AH141" s="1">
        <v>2027</v>
      </c>
      <c r="AI141" s="1">
        <v>2028</v>
      </c>
      <c r="AJ141" s="1">
        <v>2029</v>
      </c>
      <c r="AK141" s="1">
        <v>2030</v>
      </c>
      <c r="AL141" s="1">
        <v>2031</v>
      </c>
      <c r="AM141" s="1">
        <v>2032</v>
      </c>
      <c r="AN141" s="1">
        <v>2033</v>
      </c>
      <c r="AO141" s="1">
        <v>2034</v>
      </c>
      <c r="AP141" s="1">
        <v>2035</v>
      </c>
      <c r="AQ141" s="1">
        <v>2036</v>
      </c>
      <c r="AR141" s="1">
        <v>2037</v>
      </c>
      <c r="AS141" s="1">
        <v>2038</v>
      </c>
      <c r="AT141" s="1">
        <v>2039</v>
      </c>
      <c r="AU141" s="1">
        <v>2040</v>
      </c>
      <c r="AV141" s="1">
        <v>2041</v>
      </c>
      <c r="AW141" s="1">
        <v>2042</v>
      </c>
      <c r="AX141" s="1">
        <v>2043</v>
      </c>
      <c r="AY141" s="1">
        <v>2044</v>
      </c>
      <c r="AZ141" s="1">
        <v>2045</v>
      </c>
      <c r="BA141" s="1">
        <v>2046</v>
      </c>
      <c r="BB141" s="1">
        <v>2047</v>
      </c>
      <c r="BC141" s="1">
        <v>2048</v>
      </c>
      <c r="BD141" s="1">
        <v>2049</v>
      </c>
      <c r="BE141" s="1">
        <v>2050</v>
      </c>
    </row>
    <row r="142" spans="1:57">
      <c r="A142" s="1" t="str">
        <f>'Population Definitions'!$A$2</f>
        <v>PWID_males</v>
      </c>
      <c r="B142" t="s">
        <v>61</v>
      </c>
      <c r="C142" t="s">
        <v>32</v>
      </c>
      <c r="D142" s="3"/>
      <c r="E142" s="3">
        <v>0</v>
      </c>
      <c r="F142" s="4" t="s">
        <v>37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Definitions'!$A$3</f>
        <v>PWID_females</v>
      </c>
      <c r="B143" t="s">
        <v>61</v>
      </c>
      <c r="C143" t="s">
        <v>32</v>
      </c>
      <c r="D143" s="3"/>
      <c r="E143" s="3">
        <v>0</v>
      </c>
      <c r="F143" s="4" t="s">
        <v>37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Definitions'!$A$4</f>
        <v>0-9_males</v>
      </c>
      <c r="B144" t="s">
        <v>61</v>
      </c>
      <c r="C144" t="s">
        <v>32</v>
      </c>
      <c r="D144" s="3"/>
      <c r="E144" s="3">
        <v>0</v>
      </c>
      <c r="F144" s="4" t="s">
        <v>37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Definitions'!$A$5</f>
        <v>0-9_females</v>
      </c>
      <c r="B145" t="s">
        <v>61</v>
      </c>
      <c r="C145" t="s">
        <v>32</v>
      </c>
      <c r="D145" s="3"/>
      <c r="E145" s="3">
        <v>0</v>
      </c>
      <c r="F145" s="4" t="s">
        <v>37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Definitions'!$A$6</f>
        <v>10-17_males</v>
      </c>
      <c r="B146" t="s">
        <v>61</v>
      </c>
      <c r="C146" t="s">
        <v>32</v>
      </c>
      <c r="D146" s="3"/>
      <c r="E146" s="3">
        <v>0</v>
      </c>
      <c r="F146" s="4" t="s">
        <v>37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Definitions'!$A$7</f>
        <v>10-17_females</v>
      </c>
      <c r="B147" t="s">
        <v>61</v>
      </c>
      <c r="C147" t="s">
        <v>32</v>
      </c>
      <c r="D147" s="3"/>
      <c r="E147" s="3">
        <v>0</v>
      </c>
      <c r="F147" s="4" t="s">
        <v>37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Definitions'!$A$8</f>
        <v>18-64_males</v>
      </c>
      <c r="B148" t="s">
        <v>61</v>
      </c>
      <c r="C148" t="s">
        <v>32</v>
      </c>
      <c r="D148" s="3"/>
      <c r="E148" s="3">
        <v>0</v>
      </c>
      <c r="F148" s="4" t="s">
        <v>37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Definitions'!$A$9</f>
        <v>18-64_females</v>
      </c>
      <c r="B149" t="s">
        <v>61</v>
      </c>
      <c r="C149" t="s">
        <v>32</v>
      </c>
      <c r="D149" s="3"/>
      <c r="E149" s="3">
        <v>0</v>
      </c>
      <c r="F149" s="4" t="s">
        <v>37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Definitions'!$A$10</f>
        <v>65+_males</v>
      </c>
      <c r="B150" t="s">
        <v>61</v>
      </c>
      <c r="C150" t="s">
        <v>32</v>
      </c>
      <c r="D150" s="3"/>
      <c r="E150" s="3">
        <v>0</v>
      </c>
      <c r="F150" s="4" t="s">
        <v>37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Definitions'!$A$11</f>
        <v>65+_females</v>
      </c>
      <c r="B151" t="s">
        <v>61</v>
      </c>
      <c r="C151" t="s">
        <v>32</v>
      </c>
      <c r="D151" s="3"/>
      <c r="E151" s="3">
        <v>0</v>
      </c>
      <c r="F151" s="4" t="s">
        <v>37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Definitions'!$A$12</f>
        <v>Prisoners_males</v>
      </c>
      <c r="B152" t="s">
        <v>61</v>
      </c>
      <c r="C152" t="s">
        <v>32</v>
      </c>
      <c r="D152" s="3"/>
      <c r="E152" s="3">
        <v>0</v>
      </c>
      <c r="F152" s="4" t="s">
        <v>37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Definitions'!$A$13</f>
        <v>Prisoners_females</v>
      </c>
      <c r="B153" t="s">
        <v>61</v>
      </c>
      <c r="C153" t="s">
        <v>32</v>
      </c>
      <c r="D153" s="3"/>
      <c r="E153" s="3">
        <v>0</v>
      </c>
      <c r="F153" s="4" t="s">
        <v>37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5" spans="1:57">
      <c r="A155" s="1" t="s">
        <v>137</v>
      </c>
      <c r="B155" s="1" t="s">
        <v>29</v>
      </c>
      <c r="C155" s="1" t="s">
        <v>30</v>
      </c>
      <c r="D155" s="1" t="s">
        <v>31</v>
      </c>
      <c r="E155" s="1" t="s">
        <v>36</v>
      </c>
      <c r="F155" s="1"/>
      <c r="G155" s="1">
        <v>2000</v>
      </c>
      <c r="H155" s="1">
        <v>2001</v>
      </c>
      <c r="I155" s="1">
        <v>2002</v>
      </c>
      <c r="J155" s="1">
        <v>2003</v>
      </c>
      <c r="K155" s="1">
        <v>2004</v>
      </c>
      <c r="L155" s="1">
        <v>2005</v>
      </c>
      <c r="M155" s="1">
        <v>2006</v>
      </c>
      <c r="N155" s="1">
        <v>2007</v>
      </c>
      <c r="O155" s="1">
        <v>2008</v>
      </c>
      <c r="P155" s="1">
        <v>2009</v>
      </c>
      <c r="Q155" s="1">
        <v>2010</v>
      </c>
      <c r="R155" s="1">
        <v>2011</v>
      </c>
      <c r="S155" s="1">
        <v>2012</v>
      </c>
      <c r="T155" s="1">
        <v>2013</v>
      </c>
      <c r="U155" s="1">
        <v>2014</v>
      </c>
      <c r="V155" s="1">
        <v>2015</v>
      </c>
      <c r="W155" s="1">
        <v>2016</v>
      </c>
      <c r="X155" s="1">
        <v>2017</v>
      </c>
      <c r="Y155" s="1">
        <v>2018</v>
      </c>
      <c r="Z155" s="1">
        <v>2019</v>
      </c>
      <c r="AA155" s="1">
        <v>2020</v>
      </c>
      <c r="AB155" s="1">
        <v>2021</v>
      </c>
      <c r="AC155" s="1">
        <v>2022</v>
      </c>
      <c r="AD155" s="1">
        <v>2023</v>
      </c>
      <c r="AE155" s="1">
        <v>2024</v>
      </c>
      <c r="AF155" s="1">
        <v>2025</v>
      </c>
      <c r="AG155" s="1">
        <v>2026</v>
      </c>
      <c r="AH155" s="1">
        <v>2027</v>
      </c>
      <c r="AI155" s="1">
        <v>2028</v>
      </c>
      <c r="AJ155" s="1">
        <v>2029</v>
      </c>
      <c r="AK155" s="1">
        <v>2030</v>
      </c>
      <c r="AL155" s="1">
        <v>2031</v>
      </c>
      <c r="AM155" s="1">
        <v>2032</v>
      </c>
      <c r="AN155" s="1">
        <v>2033</v>
      </c>
      <c r="AO155" s="1">
        <v>2034</v>
      </c>
      <c r="AP155" s="1">
        <v>2035</v>
      </c>
      <c r="AQ155" s="1">
        <v>2036</v>
      </c>
      <c r="AR155" s="1">
        <v>2037</v>
      </c>
      <c r="AS155" s="1">
        <v>2038</v>
      </c>
      <c r="AT155" s="1">
        <v>2039</v>
      </c>
      <c r="AU155" s="1">
        <v>2040</v>
      </c>
      <c r="AV155" s="1">
        <v>2041</v>
      </c>
      <c r="AW155" s="1">
        <v>2042</v>
      </c>
      <c r="AX155" s="1">
        <v>2043</v>
      </c>
      <c r="AY155" s="1">
        <v>2044</v>
      </c>
      <c r="AZ155" s="1">
        <v>2045</v>
      </c>
      <c r="BA155" s="1">
        <v>2046</v>
      </c>
      <c r="BB155" s="1">
        <v>2047</v>
      </c>
      <c r="BC155" s="1">
        <v>2048</v>
      </c>
      <c r="BD155" s="1">
        <v>2049</v>
      </c>
      <c r="BE155" s="1">
        <v>2050</v>
      </c>
    </row>
    <row r="156" spans="1:57">
      <c r="A156" s="1" t="str">
        <f>'Population Definitions'!$A$2</f>
        <v>PWID_males</v>
      </c>
      <c r="B156" t="s">
        <v>61</v>
      </c>
      <c r="C156" t="s">
        <v>32</v>
      </c>
      <c r="D156" s="3"/>
      <c r="E156" s="3">
        <v>0</v>
      </c>
      <c r="F156" s="4" t="s">
        <v>37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Definitions'!$A$3</f>
        <v>PWID_females</v>
      </c>
      <c r="B157" t="s">
        <v>61</v>
      </c>
      <c r="C157" t="s">
        <v>32</v>
      </c>
      <c r="D157" s="3"/>
      <c r="E157" s="3">
        <v>0</v>
      </c>
      <c r="F157" s="4" t="s">
        <v>37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Definitions'!$A$4</f>
        <v>0-9_males</v>
      </c>
      <c r="B158" t="s">
        <v>61</v>
      </c>
      <c r="C158" t="s">
        <v>32</v>
      </c>
      <c r="D158" s="3"/>
      <c r="E158" s="3">
        <v>0</v>
      </c>
      <c r="F158" s="4" t="s">
        <v>37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Definitions'!$A$5</f>
        <v>0-9_females</v>
      </c>
      <c r="B159" t="s">
        <v>61</v>
      </c>
      <c r="C159" t="s">
        <v>32</v>
      </c>
      <c r="D159" s="3"/>
      <c r="E159" s="3">
        <v>0</v>
      </c>
      <c r="F159" s="4" t="s">
        <v>37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Definitions'!$A$6</f>
        <v>10-17_males</v>
      </c>
      <c r="B160" t="s">
        <v>61</v>
      </c>
      <c r="C160" t="s">
        <v>32</v>
      </c>
      <c r="D160" s="3"/>
      <c r="E160" s="3">
        <v>0</v>
      </c>
      <c r="F160" s="4" t="s">
        <v>37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Definitions'!$A$7</f>
        <v>10-17_females</v>
      </c>
      <c r="B161" t="s">
        <v>61</v>
      </c>
      <c r="C161" t="s">
        <v>32</v>
      </c>
      <c r="D161" s="3"/>
      <c r="E161" s="3">
        <v>0</v>
      </c>
      <c r="F161" s="4" t="s">
        <v>37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Definitions'!$A$8</f>
        <v>18-64_males</v>
      </c>
      <c r="B162" t="s">
        <v>61</v>
      </c>
      <c r="C162" t="s">
        <v>32</v>
      </c>
      <c r="D162" s="3"/>
      <c r="E162" s="3">
        <v>0</v>
      </c>
      <c r="F162" s="4" t="s">
        <v>37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Definitions'!$A$9</f>
        <v>18-64_females</v>
      </c>
      <c r="B163" t="s">
        <v>61</v>
      </c>
      <c r="C163" t="s">
        <v>32</v>
      </c>
      <c r="D163" s="3"/>
      <c r="E163" s="3">
        <v>0</v>
      </c>
      <c r="F163" s="4" t="s">
        <v>37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Definitions'!$A$10</f>
        <v>65+_males</v>
      </c>
      <c r="B164" t="s">
        <v>61</v>
      </c>
      <c r="C164" t="s">
        <v>32</v>
      </c>
      <c r="D164" s="3"/>
      <c r="E164" s="3">
        <v>0</v>
      </c>
      <c r="F164" s="4" t="s">
        <v>37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Definitions'!$A$11</f>
        <v>65+_females</v>
      </c>
      <c r="B165" t="s">
        <v>61</v>
      </c>
      <c r="C165" t="s">
        <v>32</v>
      </c>
      <c r="D165" s="3"/>
      <c r="E165" s="3">
        <v>0</v>
      </c>
      <c r="F165" s="4" t="s">
        <v>37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Definitions'!$A$12</f>
        <v>Prisoners_males</v>
      </c>
      <c r="B166" t="s">
        <v>61</v>
      </c>
      <c r="C166" t="s">
        <v>32</v>
      </c>
      <c r="D166" s="3"/>
      <c r="E166" s="3">
        <v>0</v>
      </c>
      <c r="F166" s="4" t="s">
        <v>37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Definitions'!$A$13</f>
        <v>Prisoners_females</v>
      </c>
      <c r="B167" t="s">
        <v>61</v>
      </c>
      <c r="C167" t="s">
        <v>32</v>
      </c>
      <c r="D167" s="3"/>
      <c r="E167" s="3">
        <v>0</v>
      </c>
      <c r="F167" s="4" t="s">
        <v>37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9" spans="1:57">
      <c r="A169" s="1" t="s">
        <v>138</v>
      </c>
      <c r="B169" s="1" t="s">
        <v>29</v>
      </c>
      <c r="C169" s="1" t="s">
        <v>30</v>
      </c>
      <c r="D169" s="1" t="s">
        <v>31</v>
      </c>
      <c r="E169" s="1" t="s">
        <v>36</v>
      </c>
      <c r="F169" s="1"/>
      <c r="G169" s="1">
        <v>2000</v>
      </c>
      <c r="H169" s="1">
        <v>2001</v>
      </c>
      <c r="I169" s="1">
        <v>2002</v>
      </c>
      <c r="J169" s="1">
        <v>2003</v>
      </c>
      <c r="K169" s="1">
        <v>2004</v>
      </c>
      <c r="L169" s="1">
        <v>2005</v>
      </c>
      <c r="M169" s="1">
        <v>2006</v>
      </c>
      <c r="N169" s="1">
        <v>2007</v>
      </c>
      <c r="O169" s="1">
        <v>2008</v>
      </c>
      <c r="P169" s="1">
        <v>2009</v>
      </c>
      <c r="Q169" s="1">
        <v>2010</v>
      </c>
      <c r="R169" s="1">
        <v>2011</v>
      </c>
      <c r="S169" s="1">
        <v>2012</v>
      </c>
      <c r="T169" s="1">
        <v>2013</v>
      </c>
      <c r="U169" s="1">
        <v>2014</v>
      </c>
      <c r="V169" s="1">
        <v>2015</v>
      </c>
      <c r="W169" s="1">
        <v>2016</v>
      </c>
      <c r="X169" s="1">
        <v>2017</v>
      </c>
      <c r="Y169" s="1">
        <v>2018</v>
      </c>
      <c r="Z169" s="1">
        <v>2019</v>
      </c>
      <c r="AA169" s="1">
        <v>2020</v>
      </c>
      <c r="AB169" s="1">
        <v>2021</v>
      </c>
      <c r="AC169" s="1">
        <v>2022</v>
      </c>
      <c r="AD169" s="1">
        <v>2023</v>
      </c>
      <c r="AE169" s="1">
        <v>2024</v>
      </c>
      <c r="AF169" s="1">
        <v>2025</v>
      </c>
      <c r="AG169" s="1">
        <v>2026</v>
      </c>
      <c r="AH169" s="1">
        <v>2027</v>
      </c>
      <c r="AI169" s="1">
        <v>2028</v>
      </c>
      <c r="AJ169" s="1">
        <v>2029</v>
      </c>
      <c r="AK169" s="1">
        <v>2030</v>
      </c>
      <c r="AL169" s="1">
        <v>2031</v>
      </c>
      <c r="AM169" s="1">
        <v>2032</v>
      </c>
      <c r="AN169" s="1">
        <v>2033</v>
      </c>
      <c r="AO169" s="1">
        <v>2034</v>
      </c>
      <c r="AP169" s="1">
        <v>2035</v>
      </c>
      <c r="AQ169" s="1">
        <v>2036</v>
      </c>
      <c r="AR169" s="1">
        <v>2037</v>
      </c>
      <c r="AS169" s="1">
        <v>2038</v>
      </c>
      <c r="AT169" s="1">
        <v>2039</v>
      </c>
      <c r="AU169" s="1">
        <v>2040</v>
      </c>
      <c r="AV169" s="1">
        <v>2041</v>
      </c>
      <c r="AW169" s="1">
        <v>2042</v>
      </c>
      <c r="AX169" s="1">
        <v>2043</v>
      </c>
      <c r="AY169" s="1">
        <v>2044</v>
      </c>
      <c r="AZ169" s="1">
        <v>2045</v>
      </c>
      <c r="BA169" s="1">
        <v>2046</v>
      </c>
      <c r="BB169" s="1">
        <v>2047</v>
      </c>
      <c r="BC169" s="1">
        <v>2048</v>
      </c>
      <c r="BD169" s="1">
        <v>2049</v>
      </c>
      <c r="BE169" s="1">
        <v>2050</v>
      </c>
    </row>
    <row r="170" spans="1:57">
      <c r="A170" s="1" t="str">
        <f>'Population Definitions'!$A$2</f>
        <v>PWID_males</v>
      </c>
      <c r="B170" t="s">
        <v>61</v>
      </c>
      <c r="C170" t="s">
        <v>32</v>
      </c>
      <c r="D170" s="3"/>
      <c r="E170" s="3">
        <v>0</v>
      </c>
      <c r="F170" s="4" t="s">
        <v>37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Definitions'!$A$3</f>
        <v>PWID_females</v>
      </c>
      <c r="B171" t="s">
        <v>61</v>
      </c>
      <c r="C171" t="s">
        <v>32</v>
      </c>
      <c r="D171" s="3"/>
      <c r="E171" s="3">
        <v>0</v>
      </c>
      <c r="F171" s="4" t="s">
        <v>37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Definitions'!$A$4</f>
        <v>0-9_males</v>
      </c>
      <c r="B172" t="s">
        <v>61</v>
      </c>
      <c r="C172" t="s">
        <v>32</v>
      </c>
      <c r="D172" s="3"/>
      <c r="E172" s="3">
        <v>0</v>
      </c>
      <c r="F172" s="4" t="s">
        <v>37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Definitions'!$A$5</f>
        <v>0-9_females</v>
      </c>
      <c r="B173" t="s">
        <v>61</v>
      </c>
      <c r="C173" t="s">
        <v>32</v>
      </c>
      <c r="D173" s="3"/>
      <c r="E173" s="3">
        <v>0</v>
      </c>
      <c r="F173" s="4" t="s">
        <v>37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Definitions'!$A$6</f>
        <v>10-17_males</v>
      </c>
      <c r="B174" t="s">
        <v>61</v>
      </c>
      <c r="C174" t="s">
        <v>32</v>
      </c>
      <c r="D174" s="3"/>
      <c r="E174" s="3">
        <v>0</v>
      </c>
      <c r="F174" s="4" t="s">
        <v>37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Definitions'!$A$7</f>
        <v>10-17_females</v>
      </c>
      <c r="B175" t="s">
        <v>61</v>
      </c>
      <c r="C175" t="s">
        <v>32</v>
      </c>
      <c r="D175" s="3"/>
      <c r="E175" s="3">
        <v>0</v>
      </c>
      <c r="F175" s="4" t="s">
        <v>37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Definitions'!$A$8</f>
        <v>18-64_males</v>
      </c>
      <c r="B176" t="s">
        <v>61</v>
      </c>
      <c r="C176" t="s">
        <v>32</v>
      </c>
      <c r="D176" s="3"/>
      <c r="E176" s="3">
        <v>0</v>
      </c>
      <c r="F176" s="4" t="s">
        <v>37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Definitions'!$A$9</f>
        <v>18-64_females</v>
      </c>
      <c r="B177" t="s">
        <v>61</v>
      </c>
      <c r="C177" t="s">
        <v>32</v>
      </c>
      <c r="D177" s="3"/>
      <c r="E177" s="3">
        <v>0</v>
      </c>
      <c r="F177" s="4" t="s">
        <v>37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Definitions'!$A$10</f>
        <v>65+_males</v>
      </c>
      <c r="B178" t="s">
        <v>61</v>
      </c>
      <c r="C178" t="s">
        <v>32</v>
      </c>
      <c r="D178" s="3"/>
      <c r="E178" s="3">
        <v>0</v>
      </c>
      <c r="F178" s="4" t="s">
        <v>37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Definitions'!$A$11</f>
        <v>65+_females</v>
      </c>
      <c r="B179" t="s">
        <v>61</v>
      </c>
      <c r="C179" t="s">
        <v>32</v>
      </c>
      <c r="D179" s="3"/>
      <c r="E179" s="3">
        <v>0</v>
      </c>
      <c r="F179" s="4" t="s">
        <v>37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Definitions'!$A$12</f>
        <v>Prisoners_males</v>
      </c>
      <c r="B180" t="s">
        <v>61</v>
      </c>
      <c r="C180" t="s">
        <v>32</v>
      </c>
      <c r="D180" s="3"/>
      <c r="E180" s="3">
        <v>0</v>
      </c>
      <c r="F180" s="4" t="s">
        <v>37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Definitions'!$A$13</f>
        <v>Prisoners_females</v>
      </c>
      <c r="B181" t="s">
        <v>61</v>
      </c>
      <c r="C181" t="s">
        <v>32</v>
      </c>
      <c r="D181" s="3"/>
      <c r="E181" s="3">
        <v>0</v>
      </c>
      <c r="F181" s="4" t="s">
        <v>37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3" spans="1:57">
      <c r="A183" s="1" t="s">
        <v>139</v>
      </c>
      <c r="B183" s="1" t="s">
        <v>29</v>
      </c>
      <c r="C183" s="1" t="s">
        <v>30</v>
      </c>
      <c r="D183" s="1" t="s">
        <v>31</v>
      </c>
      <c r="E183" s="1" t="s">
        <v>36</v>
      </c>
      <c r="F183" s="1"/>
      <c r="G183" s="1">
        <v>2000</v>
      </c>
      <c r="H183" s="1">
        <v>2001</v>
      </c>
      <c r="I183" s="1">
        <v>2002</v>
      </c>
      <c r="J183" s="1">
        <v>2003</v>
      </c>
      <c r="K183" s="1">
        <v>2004</v>
      </c>
      <c r="L183" s="1">
        <v>2005</v>
      </c>
      <c r="M183" s="1">
        <v>2006</v>
      </c>
      <c r="N183" s="1">
        <v>2007</v>
      </c>
      <c r="O183" s="1">
        <v>2008</v>
      </c>
      <c r="P183" s="1">
        <v>2009</v>
      </c>
      <c r="Q183" s="1">
        <v>2010</v>
      </c>
      <c r="R183" s="1">
        <v>2011</v>
      </c>
      <c r="S183" s="1">
        <v>2012</v>
      </c>
      <c r="T183" s="1">
        <v>2013</v>
      </c>
      <c r="U183" s="1">
        <v>2014</v>
      </c>
      <c r="V183" s="1">
        <v>2015</v>
      </c>
      <c r="W183" s="1">
        <v>2016</v>
      </c>
      <c r="X183" s="1">
        <v>2017</v>
      </c>
      <c r="Y183" s="1">
        <v>2018</v>
      </c>
      <c r="Z183" s="1">
        <v>2019</v>
      </c>
      <c r="AA183" s="1">
        <v>2020</v>
      </c>
      <c r="AB183" s="1">
        <v>2021</v>
      </c>
      <c r="AC183" s="1">
        <v>2022</v>
      </c>
      <c r="AD183" s="1">
        <v>2023</v>
      </c>
      <c r="AE183" s="1">
        <v>2024</v>
      </c>
      <c r="AF183" s="1">
        <v>2025</v>
      </c>
      <c r="AG183" s="1">
        <v>2026</v>
      </c>
      <c r="AH183" s="1">
        <v>2027</v>
      </c>
      <c r="AI183" s="1">
        <v>2028</v>
      </c>
      <c r="AJ183" s="1">
        <v>2029</v>
      </c>
      <c r="AK183" s="1">
        <v>2030</v>
      </c>
      <c r="AL183" s="1">
        <v>2031</v>
      </c>
      <c r="AM183" s="1">
        <v>2032</v>
      </c>
      <c r="AN183" s="1">
        <v>2033</v>
      </c>
      <c r="AO183" s="1">
        <v>2034</v>
      </c>
      <c r="AP183" s="1">
        <v>2035</v>
      </c>
      <c r="AQ183" s="1">
        <v>2036</v>
      </c>
      <c r="AR183" s="1">
        <v>2037</v>
      </c>
      <c r="AS183" s="1">
        <v>2038</v>
      </c>
      <c r="AT183" s="1">
        <v>2039</v>
      </c>
      <c r="AU183" s="1">
        <v>2040</v>
      </c>
      <c r="AV183" s="1">
        <v>2041</v>
      </c>
      <c r="AW183" s="1">
        <v>2042</v>
      </c>
      <c r="AX183" s="1">
        <v>2043</v>
      </c>
      <c r="AY183" s="1">
        <v>2044</v>
      </c>
      <c r="AZ183" s="1">
        <v>2045</v>
      </c>
      <c r="BA183" s="1">
        <v>2046</v>
      </c>
      <c r="BB183" s="1">
        <v>2047</v>
      </c>
      <c r="BC183" s="1">
        <v>2048</v>
      </c>
      <c r="BD183" s="1">
        <v>2049</v>
      </c>
      <c r="BE183" s="1">
        <v>2050</v>
      </c>
    </row>
    <row r="184" spans="1:57">
      <c r="A184" s="1" t="str">
        <f>'Population Definitions'!$A$2</f>
        <v>PWID_males</v>
      </c>
      <c r="B184" t="s">
        <v>61</v>
      </c>
      <c r="C184" t="s">
        <v>32</v>
      </c>
      <c r="D184" s="3"/>
      <c r="E184" s="3">
        <v>0</v>
      </c>
      <c r="F184" s="4" t="s">
        <v>37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Definitions'!$A$3</f>
        <v>PWID_females</v>
      </c>
      <c r="B185" t="s">
        <v>61</v>
      </c>
      <c r="C185" t="s">
        <v>32</v>
      </c>
      <c r="D185" s="3"/>
      <c r="E185" s="3">
        <v>0</v>
      </c>
      <c r="F185" s="4" t="s">
        <v>37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Definitions'!$A$4</f>
        <v>0-9_males</v>
      </c>
      <c r="B186" t="s">
        <v>61</v>
      </c>
      <c r="C186" t="s">
        <v>32</v>
      </c>
      <c r="D186" s="3"/>
      <c r="E186" s="3">
        <v>0</v>
      </c>
      <c r="F186" s="4" t="s">
        <v>37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Definitions'!$A$5</f>
        <v>0-9_females</v>
      </c>
      <c r="B187" t="s">
        <v>61</v>
      </c>
      <c r="C187" t="s">
        <v>32</v>
      </c>
      <c r="D187" s="3"/>
      <c r="E187" s="3">
        <v>0</v>
      </c>
      <c r="F187" s="4" t="s">
        <v>37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Definitions'!$A$6</f>
        <v>10-17_males</v>
      </c>
      <c r="B188" t="s">
        <v>61</v>
      </c>
      <c r="C188" t="s">
        <v>32</v>
      </c>
      <c r="D188" s="3"/>
      <c r="E188" s="3">
        <v>0</v>
      </c>
      <c r="F188" s="4" t="s">
        <v>37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Definitions'!$A$7</f>
        <v>10-17_females</v>
      </c>
      <c r="B189" t="s">
        <v>61</v>
      </c>
      <c r="C189" t="s">
        <v>32</v>
      </c>
      <c r="D189" s="3"/>
      <c r="E189" s="3">
        <v>0</v>
      </c>
      <c r="F189" s="4" t="s">
        <v>37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Definitions'!$A$8</f>
        <v>18-64_males</v>
      </c>
      <c r="B190" t="s">
        <v>61</v>
      </c>
      <c r="C190" t="s">
        <v>32</v>
      </c>
      <c r="D190" s="3"/>
      <c r="E190" s="3">
        <v>0</v>
      </c>
      <c r="F190" s="4" t="s">
        <v>37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Definitions'!$A$9</f>
        <v>18-64_females</v>
      </c>
      <c r="B191" t="s">
        <v>61</v>
      </c>
      <c r="C191" t="s">
        <v>32</v>
      </c>
      <c r="D191" s="3"/>
      <c r="E191" s="3">
        <v>0</v>
      </c>
      <c r="F191" s="4" t="s">
        <v>37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Definitions'!$A$10</f>
        <v>65+_males</v>
      </c>
      <c r="B192" t="s">
        <v>61</v>
      </c>
      <c r="C192" t="s">
        <v>32</v>
      </c>
      <c r="D192" s="3"/>
      <c r="E192" s="3">
        <v>0</v>
      </c>
      <c r="F192" s="4" t="s">
        <v>37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Definitions'!$A$11</f>
        <v>65+_females</v>
      </c>
      <c r="B193" t="s">
        <v>61</v>
      </c>
      <c r="C193" t="s">
        <v>32</v>
      </c>
      <c r="D193" s="3"/>
      <c r="E193" s="3">
        <v>0</v>
      </c>
      <c r="F193" s="4" t="s">
        <v>37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Definitions'!$A$12</f>
        <v>Prisoners_males</v>
      </c>
      <c r="B194" t="s">
        <v>61</v>
      </c>
      <c r="C194" t="s">
        <v>32</v>
      </c>
      <c r="D194" s="3"/>
      <c r="E194" s="3">
        <v>0</v>
      </c>
      <c r="F194" s="4" t="s">
        <v>37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Definitions'!$A$13</f>
        <v>Prisoners_females</v>
      </c>
      <c r="B195" t="s">
        <v>61</v>
      </c>
      <c r="C195" t="s">
        <v>32</v>
      </c>
      <c r="D195" s="3"/>
      <c r="E195" s="3">
        <v>0</v>
      </c>
      <c r="F195" s="4" t="s">
        <v>37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7" spans="1:57">
      <c r="A197" s="1" t="s">
        <v>140</v>
      </c>
      <c r="B197" s="1" t="s">
        <v>29</v>
      </c>
      <c r="C197" s="1" t="s">
        <v>30</v>
      </c>
      <c r="D197" s="1" t="s">
        <v>31</v>
      </c>
      <c r="E197" s="1" t="s">
        <v>36</v>
      </c>
      <c r="F197" s="1"/>
      <c r="G197" s="1">
        <v>2000</v>
      </c>
      <c r="H197" s="1">
        <v>2001</v>
      </c>
      <c r="I197" s="1">
        <v>2002</v>
      </c>
      <c r="J197" s="1">
        <v>2003</v>
      </c>
      <c r="K197" s="1">
        <v>2004</v>
      </c>
      <c r="L197" s="1">
        <v>2005</v>
      </c>
      <c r="M197" s="1">
        <v>2006</v>
      </c>
      <c r="N197" s="1">
        <v>2007</v>
      </c>
      <c r="O197" s="1">
        <v>2008</v>
      </c>
      <c r="P197" s="1">
        <v>2009</v>
      </c>
      <c r="Q197" s="1">
        <v>2010</v>
      </c>
      <c r="R197" s="1">
        <v>2011</v>
      </c>
      <c r="S197" s="1">
        <v>2012</v>
      </c>
      <c r="T197" s="1">
        <v>2013</v>
      </c>
      <c r="U197" s="1">
        <v>2014</v>
      </c>
      <c r="V197" s="1">
        <v>2015</v>
      </c>
      <c r="W197" s="1">
        <v>2016</v>
      </c>
      <c r="X197" s="1">
        <v>2017</v>
      </c>
      <c r="Y197" s="1">
        <v>2018</v>
      </c>
      <c r="Z197" s="1">
        <v>2019</v>
      </c>
      <c r="AA197" s="1">
        <v>2020</v>
      </c>
      <c r="AB197" s="1">
        <v>2021</v>
      </c>
      <c r="AC197" s="1">
        <v>2022</v>
      </c>
      <c r="AD197" s="1">
        <v>2023</v>
      </c>
      <c r="AE197" s="1">
        <v>2024</v>
      </c>
      <c r="AF197" s="1">
        <v>2025</v>
      </c>
      <c r="AG197" s="1">
        <v>2026</v>
      </c>
      <c r="AH197" s="1">
        <v>2027</v>
      </c>
      <c r="AI197" s="1">
        <v>2028</v>
      </c>
      <c r="AJ197" s="1">
        <v>2029</v>
      </c>
      <c r="AK197" s="1">
        <v>2030</v>
      </c>
      <c r="AL197" s="1">
        <v>2031</v>
      </c>
      <c r="AM197" s="1">
        <v>2032</v>
      </c>
      <c r="AN197" s="1">
        <v>2033</v>
      </c>
      <c r="AO197" s="1">
        <v>2034</v>
      </c>
      <c r="AP197" s="1">
        <v>2035</v>
      </c>
      <c r="AQ197" s="1">
        <v>2036</v>
      </c>
      <c r="AR197" s="1">
        <v>2037</v>
      </c>
      <c r="AS197" s="1">
        <v>2038</v>
      </c>
      <c r="AT197" s="1">
        <v>2039</v>
      </c>
      <c r="AU197" s="1">
        <v>2040</v>
      </c>
      <c r="AV197" s="1">
        <v>2041</v>
      </c>
      <c r="AW197" s="1">
        <v>2042</v>
      </c>
      <c r="AX197" s="1">
        <v>2043</v>
      </c>
      <c r="AY197" s="1">
        <v>2044</v>
      </c>
      <c r="AZ197" s="1">
        <v>2045</v>
      </c>
      <c r="BA197" s="1">
        <v>2046</v>
      </c>
      <c r="BB197" s="1">
        <v>2047</v>
      </c>
      <c r="BC197" s="1">
        <v>2048</v>
      </c>
      <c r="BD197" s="1">
        <v>2049</v>
      </c>
      <c r="BE197" s="1">
        <v>2050</v>
      </c>
    </row>
    <row r="198" spans="1:57">
      <c r="A198" s="1" t="str">
        <f>'Population Definitions'!$A$2</f>
        <v>PWID_males</v>
      </c>
      <c r="B198" t="s">
        <v>61</v>
      </c>
      <c r="C198" t="s">
        <v>32</v>
      </c>
      <c r="D198" s="3"/>
      <c r="E198" s="3">
        <v>0</v>
      </c>
      <c r="F198" s="4" t="s">
        <v>37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Definitions'!$A$3</f>
        <v>PWID_females</v>
      </c>
      <c r="B199" t="s">
        <v>61</v>
      </c>
      <c r="C199" t="s">
        <v>32</v>
      </c>
      <c r="D199" s="3"/>
      <c r="E199" s="3">
        <v>0</v>
      </c>
      <c r="F199" s="4" t="s">
        <v>37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Definitions'!$A$4</f>
        <v>0-9_males</v>
      </c>
      <c r="B200" t="s">
        <v>61</v>
      </c>
      <c r="C200" t="s">
        <v>32</v>
      </c>
      <c r="D200" s="3"/>
      <c r="E200" s="3">
        <v>0</v>
      </c>
      <c r="F200" s="4" t="s">
        <v>37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Definitions'!$A$5</f>
        <v>0-9_females</v>
      </c>
      <c r="B201" t="s">
        <v>61</v>
      </c>
      <c r="C201" t="s">
        <v>32</v>
      </c>
      <c r="D201" s="3"/>
      <c r="E201" s="3">
        <v>0</v>
      </c>
      <c r="F201" s="4" t="s">
        <v>37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Definitions'!$A$6</f>
        <v>10-17_males</v>
      </c>
      <c r="B202" t="s">
        <v>61</v>
      </c>
      <c r="C202" t="s">
        <v>32</v>
      </c>
      <c r="D202" s="3"/>
      <c r="E202" s="3">
        <v>0</v>
      </c>
      <c r="F202" s="4" t="s">
        <v>37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Definitions'!$A$7</f>
        <v>10-17_females</v>
      </c>
      <c r="B203" t="s">
        <v>61</v>
      </c>
      <c r="C203" t="s">
        <v>32</v>
      </c>
      <c r="D203" s="3"/>
      <c r="E203" s="3">
        <v>0</v>
      </c>
      <c r="F203" s="4" t="s">
        <v>37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Definitions'!$A$8</f>
        <v>18-64_males</v>
      </c>
      <c r="B204" t="s">
        <v>61</v>
      </c>
      <c r="C204" t="s">
        <v>32</v>
      </c>
      <c r="D204" s="3"/>
      <c r="E204" s="3">
        <v>0</v>
      </c>
      <c r="F204" s="4" t="s">
        <v>37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Definitions'!$A$9</f>
        <v>18-64_females</v>
      </c>
      <c r="B205" t="s">
        <v>61</v>
      </c>
      <c r="C205" t="s">
        <v>32</v>
      </c>
      <c r="D205" s="3"/>
      <c r="E205" s="3">
        <v>0</v>
      </c>
      <c r="F205" s="4" t="s">
        <v>37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Definitions'!$A$10</f>
        <v>65+_males</v>
      </c>
      <c r="B206" t="s">
        <v>61</v>
      </c>
      <c r="C206" t="s">
        <v>32</v>
      </c>
      <c r="D206" s="3"/>
      <c r="E206" s="3">
        <v>0</v>
      </c>
      <c r="F206" s="4" t="s">
        <v>37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Definitions'!$A$11</f>
        <v>65+_females</v>
      </c>
      <c r="B207" t="s">
        <v>61</v>
      </c>
      <c r="C207" t="s">
        <v>32</v>
      </c>
      <c r="D207" s="3"/>
      <c r="E207" s="3">
        <v>0</v>
      </c>
      <c r="F207" s="4" t="s">
        <v>37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Definitions'!$A$12</f>
        <v>Prisoners_males</v>
      </c>
      <c r="B208" t="s">
        <v>61</v>
      </c>
      <c r="C208" t="s">
        <v>32</v>
      </c>
      <c r="D208" s="3"/>
      <c r="E208" s="3">
        <v>0</v>
      </c>
      <c r="F208" s="4" t="s">
        <v>37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Definitions'!$A$13</f>
        <v>Prisoners_females</v>
      </c>
      <c r="B209" t="s">
        <v>61</v>
      </c>
      <c r="C209" t="s">
        <v>32</v>
      </c>
      <c r="D209" s="3"/>
      <c r="E209" s="3">
        <v>0</v>
      </c>
      <c r="F209" s="4" t="s">
        <v>37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1" spans="1:57">
      <c r="A211" s="1" t="s">
        <v>141</v>
      </c>
      <c r="B211" s="1" t="s">
        <v>29</v>
      </c>
      <c r="C211" s="1" t="s">
        <v>30</v>
      </c>
      <c r="D211" s="1" t="s">
        <v>31</v>
      </c>
      <c r="E211" s="1" t="s">
        <v>36</v>
      </c>
      <c r="F211" s="1"/>
      <c r="G211" s="1">
        <v>2000</v>
      </c>
      <c r="H211" s="1">
        <v>2001</v>
      </c>
      <c r="I211" s="1">
        <v>2002</v>
      </c>
      <c r="J211" s="1">
        <v>2003</v>
      </c>
      <c r="K211" s="1">
        <v>2004</v>
      </c>
      <c r="L211" s="1">
        <v>2005</v>
      </c>
      <c r="M211" s="1">
        <v>2006</v>
      </c>
      <c r="N211" s="1">
        <v>2007</v>
      </c>
      <c r="O211" s="1">
        <v>2008</v>
      </c>
      <c r="P211" s="1">
        <v>2009</v>
      </c>
      <c r="Q211" s="1">
        <v>2010</v>
      </c>
      <c r="R211" s="1">
        <v>2011</v>
      </c>
      <c r="S211" s="1">
        <v>2012</v>
      </c>
      <c r="T211" s="1">
        <v>2013</v>
      </c>
      <c r="U211" s="1">
        <v>2014</v>
      </c>
      <c r="V211" s="1">
        <v>2015</v>
      </c>
      <c r="W211" s="1">
        <v>2016</v>
      </c>
      <c r="X211" s="1">
        <v>2017</v>
      </c>
      <c r="Y211" s="1">
        <v>2018</v>
      </c>
      <c r="Z211" s="1">
        <v>2019</v>
      </c>
      <c r="AA211" s="1">
        <v>2020</v>
      </c>
      <c r="AB211" s="1">
        <v>2021</v>
      </c>
      <c r="AC211" s="1">
        <v>2022</v>
      </c>
      <c r="AD211" s="1">
        <v>2023</v>
      </c>
      <c r="AE211" s="1">
        <v>2024</v>
      </c>
      <c r="AF211" s="1">
        <v>2025</v>
      </c>
      <c r="AG211" s="1">
        <v>2026</v>
      </c>
      <c r="AH211" s="1">
        <v>2027</v>
      </c>
      <c r="AI211" s="1">
        <v>2028</v>
      </c>
      <c r="AJ211" s="1">
        <v>2029</v>
      </c>
      <c r="AK211" s="1">
        <v>2030</v>
      </c>
      <c r="AL211" s="1">
        <v>2031</v>
      </c>
      <c r="AM211" s="1">
        <v>2032</v>
      </c>
      <c r="AN211" s="1">
        <v>2033</v>
      </c>
      <c r="AO211" s="1">
        <v>2034</v>
      </c>
      <c r="AP211" s="1">
        <v>2035</v>
      </c>
      <c r="AQ211" s="1">
        <v>2036</v>
      </c>
      <c r="AR211" s="1">
        <v>2037</v>
      </c>
      <c r="AS211" s="1">
        <v>2038</v>
      </c>
      <c r="AT211" s="1">
        <v>2039</v>
      </c>
      <c r="AU211" s="1">
        <v>2040</v>
      </c>
      <c r="AV211" s="1">
        <v>2041</v>
      </c>
      <c r="AW211" s="1">
        <v>2042</v>
      </c>
      <c r="AX211" s="1">
        <v>2043</v>
      </c>
      <c r="AY211" s="1">
        <v>2044</v>
      </c>
      <c r="AZ211" s="1">
        <v>2045</v>
      </c>
      <c r="BA211" s="1">
        <v>2046</v>
      </c>
      <c r="BB211" s="1">
        <v>2047</v>
      </c>
      <c r="BC211" s="1">
        <v>2048</v>
      </c>
      <c r="BD211" s="1">
        <v>2049</v>
      </c>
      <c r="BE211" s="1">
        <v>2050</v>
      </c>
    </row>
    <row r="212" spans="1:57">
      <c r="A212" s="1" t="str">
        <f>'Population Definitions'!$A$2</f>
        <v>PWID_males</v>
      </c>
      <c r="B212" t="s">
        <v>61</v>
      </c>
      <c r="C212" t="s">
        <v>32</v>
      </c>
      <c r="D212" s="3"/>
      <c r="E212" s="3">
        <v>0</v>
      </c>
      <c r="F212" s="4" t="s">
        <v>37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Definitions'!$A$3</f>
        <v>PWID_females</v>
      </c>
      <c r="B213" t="s">
        <v>61</v>
      </c>
      <c r="C213" t="s">
        <v>32</v>
      </c>
      <c r="D213" s="3"/>
      <c r="E213" s="3">
        <v>0</v>
      </c>
      <c r="F213" s="4" t="s">
        <v>37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Definitions'!$A$4</f>
        <v>0-9_males</v>
      </c>
      <c r="B214" t="s">
        <v>61</v>
      </c>
      <c r="C214" t="s">
        <v>32</v>
      </c>
      <c r="D214" s="3"/>
      <c r="E214" s="3">
        <v>0</v>
      </c>
      <c r="F214" s="4" t="s">
        <v>37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Definitions'!$A$5</f>
        <v>0-9_females</v>
      </c>
      <c r="B215" t="s">
        <v>61</v>
      </c>
      <c r="C215" t="s">
        <v>32</v>
      </c>
      <c r="D215" s="3"/>
      <c r="E215" s="3">
        <v>0</v>
      </c>
      <c r="F215" s="4" t="s">
        <v>37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Definitions'!$A$6</f>
        <v>10-17_males</v>
      </c>
      <c r="B216" t="s">
        <v>61</v>
      </c>
      <c r="C216" t="s">
        <v>32</v>
      </c>
      <c r="D216" s="3"/>
      <c r="E216" s="3">
        <v>0</v>
      </c>
      <c r="F216" s="4" t="s">
        <v>37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Definitions'!$A$7</f>
        <v>10-17_females</v>
      </c>
      <c r="B217" t="s">
        <v>61</v>
      </c>
      <c r="C217" t="s">
        <v>32</v>
      </c>
      <c r="D217" s="3"/>
      <c r="E217" s="3">
        <v>0</v>
      </c>
      <c r="F217" s="4" t="s">
        <v>37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Definitions'!$A$8</f>
        <v>18-64_males</v>
      </c>
      <c r="B218" t="s">
        <v>61</v>
      </c>
      <c r="C218" t="s">
        <v>32</v>
      </c>
      <c r="D218" s="3"/>
      <c r="E218" s="3">
        <v>0</v>
      </c>
      <c r="F218" s="4" t="s">
        <v>37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Definitions'!$A$9</f>
        <v>18-64_females</v>
      </c>
      <c r="B219" t="s">
        <v>61</v>
      </c>
      <c r="C219" t="s">
        <v>32</v>
      </c>
      <c r="D219" s="3"/>
      <c r="E219" s="3">
        <v>0</v>
      </c>
      <c r="F219" s="4" t="s">
        <v>37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Definitions'!$A$10</f>
        <v>65+_males</v>
      </c>
      <c r="B220" t="s">
        <v>61</v>
      </c>
      <c r="C220" t="s">
        <v>32</v>
      </c>
      <c r="D220" s="3"/>
      <c r="E220" s="3">
        <v>0</v>
      </c>
      <c r="F220" s="4" t="s">
        <v>37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Definitions'!$A$11</f>
        <v>65+_females</v>
      </c>
      <c r="B221" t="s">
        <v>61</v>
      </c>
      <c r="C221" t="s">
        <v>32</v>
      </c>
      <c r="D221" s="3"/>
      <c r="E221" s="3">
        <v>0</v>
      </c>
      <c r="F221" s="4" t="s">
        <v>37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Definitions'!$A$12</f>
        <v>Prisoners_males</v>
      </c>
      <c r="B222" t="s">
        <v>61</v>
      </c>
      <c r="C222" t="s">
        <v>32</v>
      </c>
      <c r="D222" s="3"/>
      <c r="E222" s="3">
        <v>0</v>
      </c>
      <c r="F222" s="4" t="s">
        <v>37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Definitions'!$A$13</f>
        <v>Prisoners_females</v>
      </c>
      <c r="B223" t="s">
        <v>61</v>
      </c>
      <c r="C223" t="s">
        <v>32</v>
      </c>
      <c r="D223" s="3"/>
      <c r="E223" s="3">
        <v>0</v>
      </c>
      <c r="F223" s="4" t="s">
        <v>37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142</v>
      </c>
      <c r="B225" s="1" t="s">
        <v>29</v>
      </c>
      <c r="C225" s="1" t="s">
        <v>30</v>
      </c>
      <c r="D225" s="1" t="s">
        <v>31</v>
      </c>
      <c r="E225" s="1" t="s">
        <v>36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61</v>
      </c>
      <c r="C226" t="s">
        <v>32</v>
      </c>
      <c r="D226" s="3"/>
      <c r="E226" s="3">
        <v>0</v>
      </c>
      <c r="F226" s="4" t="s">
        <v>37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61</v>
      </c>
      <c r="C227" t="s">
        <v>32</v>
      </c>
      <c r="D227" s="3"/>
      <c r="E227" s="3">
        <v>0</v>
      </c>
      <c r="F227" s="4" t="s">
        <v>37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61</v>
      </c>
      <c r="C228" t="s">
        <v>32</v>
      </c>
      <c r="D228" s="3"/>
      <c r="E228" s="3">
        <v>0</v>
      </c>
      <c r="F228" s="4" t="s">
        <v>37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61</v>
      </c>
      <c r="C229" t="s">
        <v>32</v>
      </c>
      <c r="D229" s="3"/>
      <c r="E229" s="3">
        <v>0</v>
      </c>
      <c r="F229" s="4" t="s">
        <v>37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61</v>
      </c>
      <c r="C230" t="s">
        <v>32</v>
      </c>
      <c r="D230" s="3"/>
      <c r="E230" s="3">
        <v>0</v>
      </c>
      <c r="F230" s="4" t="s">
        <v>37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61</v>
      </c>
      <c r="C231" t="s">
        <v>32</v>
      </c>
      <c r="D231" s="3"/>
      <c r="E231" s="3">
        <v>0</v>
      </c>
      <c r="F231" s="4" t="s">
        <v>37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61</v>
      </c>
      <c r="C232" t="s">
        <v>32</v>
      </c>
      <c r="D232" s="3"/>
      <c r="E232" s="3">
        <v>0</v>
      </c>
      <c r="F232" s="4" t="s">
        <v>37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61</v>
      </c>
      <c r="C233" t="s">
        <v>32</v>
      </c>
      <c r="D233" s="3"/>
      <c r="E233" s="3">
        <v>0</v>
      </c>
      <c r="F233" s="4" t="s">
        <v>37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61</v>
      </c>
      <c r="C234" t="s">
        <v>32</v>
      </c>
      <c r="D234" s="3"/>
      <c r="E234" s="3">
        <v>0</v>
      </c>
      <c r="F234" s="4" t="s">
        <v>37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61</v>
      </c>
      <c r="C235" t="s">
        <v>32</v>
      </c>
      <c r="D235" s="3"/>
      <c r="E235" s="3">
        <v>0</v>
      </c>
      <c r="F235" s="4" t="s">
        <v>37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61</v>
      </c>
      <c r="C236" t="s">
        <v>32</v>
      </c>
      <c r="D236" s="3"/>
      <c r="E236" s="3">
        <v>0</v>
      </c>
      <c r="F236" s="4" t="s">
        <v>37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61</v>
      </c>
      <c r="C237" t="s">
        <v>32</v>
      </c>
      <c r="D237" s="3"/>
      <c r="E237" s="3">
        <v>0</v>
      </c>
      <c r="F237" s="4" t="s">
        <v>37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143</v>
      </c>
      <c r="B239" s="1" t="s">
        <v>29</v>
      </c>
      <c r="C239" s="1" t="s">
        <v>30</v>
      </c>
      <c r="D239" s="1" t="s">
        <v>31</v>
      </c>
      <c r="E239" s="1" t="s">
        <v>36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B240" t="s">
        <v>61</v>
      </c>
      <c r="C240" t="s">
        <v>32</v>
      </c>
      <c r="D240" s="3"/>
      <c r="E240" s="3">
        <v>0</v>
      </c>
      <c r="F240" s="4" t="s">
        <v>37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B241" t="s">
        <v>61</v>
      </c>
      <c r="C241" t="s">
        <v>32</v>
      </c>
      <c r="D241" s="3"/>
      <c r="E241" s="3">
        <v>0</v>
      </c>
      <c r="F241" s="4" t="s">
        <v>37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B242" t="s">
        <v>61</v>
      </c>
      <c r="C242" t="s">
        <v>32</v>
      </c>
      <c r="D242" s="3"/>
      <c r="E242" s="3">
        <v>0</v>
      </c>
      <c r="F242" s="4" t="s">
        <v>37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B243" t="s">
        <v>61</v>
      </c>
      <c r="C243" t="s">
        <v>32</v>
      </c>
      <c r="D243" s="3"/>
      <c r="E243" s="3">
        <v>0</v>
      </c>
      <c r="F243" s="4" t="s">
        <v>37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B244" t="s">
        <v>61</v>
      </c>
      <c r="C244" t="s">
        <v>32</v>
      </c>
      <c r="D244" s="3"/>
      <c r="E244" s="3">
        <v>0</v>
      </c>
      <c r="F244" s="4" t="s">
        <v>37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B245" t="s">
        <v>61</v>
      </c>
      <c r="C245" t="s">
        <v>32</v>
      </c>
      <c r="D245" s="3"/>
      <c r="E245" s="3">
        <v>0</v>
      </c>
      <c r="F245" s="4" t="s">
        <v>37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B246" t="s">
        <v>61</v>
      </c>
      <c r="C246" t="s">
        <v>32</v>
      </c>
      <c r="D246" s="3"/>
      <c r="E246" s="3">
        <v>0</v>
      </c>
      <c r="F246" s="4" t="s">
        <v>37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B247" t="s">
        <v>61</v>
      </c>
      <c r="C247" t="s">
        <v>32</v>
      </c>
      <c r="D247" s="3"/>
      <c r="E247" s="3">
        <v>0</v>
      </c>
      <c r="F247" s="4" t="s">
        <v>37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B248" t="s">
        <v>61</v>
      </c>
      <c r="C248" t="s">
        <v>32</v>
      </c>
      <c r="D248" s="3"/>
      <c r="E248" s="3">
        <v>0</v>
      </c>
      <c r="F248" s="4" t="s">
        <v>37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B249" t="s">
        <v>61</v>
      </c>
      <c r="C249" t="s">
        <v>32</v>
      </c>
      <c r="D249" s="3"/>
      <c r="E249" s="3">
        <v>0</v>
      </c>
      <c r="F249" s="4" t="s">
        <v>37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B250" t="s">
        <v>61</v>
      </c>
      <c r="C250" t="s">
        <v>32</v>
      </c>
      <c r="D250" s="3"/>
      <c r="E250" s="3">
        <v>0</v>
      </c>
      <c r="F250" s="4" t="s">
        <v>37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B251" t="s">
        <v>61</v>
      </c>
      <c r="C251" t="s">
        <v>32</v>
      </c>
      <c r="D251" s="3"/>
      <c r="E251" s="3">
        <v>0</v>
      </c>
      <c r="F251" s="4" t="s">
        <v>37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3" spans="1:57">
      <c r="A253" s="1" t="s">
        <v>144</v>
      </c>
      <c r="B253" s="1" t="s">
        <v>29</v>
      </c>
      <c r="C253" s="1" t="s">
        <v>30</v>
      </c>
      <c r="D253" s="1" t="s">
        <v>31</v>
      </c>
      <c r="E253" s="1">
        <v>2000</v>
      </c>
      <c r="F253" s="1">
        <v>2001</v>
      </c>
      <c r="G253" s="1">
        <v>2002</v>
      </c>
      <c r="H253" s="1">
        <v>2003</v>
      </c>
      <c r="I253" s="1">
        <v>2004</v>
      </c>
      <c r="J253" s="1">
        <v>2005</v>
      </c>
      <c r="K253" s="1">
        <v>2006</v>
      </c>
      <c r="L253" s="1">
        <v>2007</v>
      </c>
      <c r="M253" s="1">
        <v>2008</v>
      </c>
      <c r="N253" s="1">
        <v>2009</v>
      </c>
      <c r="O253" s="1">
        <v>2010</v>
      </c>
      <c r="P253" s="1">
        <v>2011</v>
      </c>
      <c r="Q253" s="1">
        <v>2012</v>
      </c>
      <c r="R253" s="1">
        <v>2013</v>
      </c>
      <c r="S253" s="1">
        <v>2014</v>
      </c>
      <c r="T253" s="1">
        <v>2015</v>
      </c>
      <c r="U253" s="1">
        <v>2016</v>
      </c>
      <c r="V253" s="1">
        <v>2017</v>
      </c>
      <c r="W253" s="1">
        <v>2018</v>
      </c>
      <c r="X253" s="1">
        <v>2019</v>
      </c>
      <c r="Y253" s="1">
        <v>2020</v>
      </c>
      <c r="Z253" s="1">
        <v>2021</v>
      </c>
      <c r="AA253" s="1">
        <v>2022</v>
      </c>
      <c r="AB253" s="1">
        <v>2023</v>
      </c>
      <c r="AC253" s="1">
        <v>2024</v>
      </c>
      <c r="AD253" s="1">
        <v>2025</v>
      </c>
      <c r="AE253" s="1">
        <v>2026</v>
      </c>
      <c r="AF253" s="1">
        <v>2027</v>
      </c>
      <c r="AG253" s="1">
        <v>2028</v>
      </c>
      <c r="AH253" s="1">
        <v>2029</v>
      </c>
      <c r="AI253" s="1">
        <v>2030</v>
      </c>
      <c r="AJ253" s="1">
        <v>2031</v>
      </c>
      <c r="AK253" s="1">
        <v>2032</v>
      </c>
      <c r="AL253" s="1">
        <v>2033</v>
      </c>
      <c r="AM253" s="1">
        <v>2034</v>
      </c>
      <c r="AN253" s="1">
        <v>2035</v>
      </c>
      <c r="AO253" s="1">
        <v>2036</v>
      </c>
      <c r="AP253" s="1">
        <v>2037</v>
      </c>
      <c r="AQ253" s="1">
        <v>2038</v>
      </c>
      <c r="AR253" s="1">
        <v>2039</v>
      </c>
      <c r="AS253" s="1">
        <v>2040</v>
      </c>
      <c r="AT253" s="1">
        <v>2041</v>
      </c>
      <c r="AU253" s="1">
        <v>2042</v>
      </c>
      <c r="AV253" s="1">
        <v>2043</v>
      </c>
      <c r="AW253" s="1">
        <v>2044</v>
      </c>
      <c r="AX253" s="1">
        <v>2045</v>
      </c>
      <c r="AY253" s="1">
        <v>2046</v>
      </c>
      <c r="AZ253" s="1">
        <v>2047</v>
      </c>
      <c r="BA253" s="1">
        <v>2048</v>
      </c>
      <c r="BB253" s="1">
        <v>2049</v>
      </c>
      <c r="BC253" s="1">
        <v>2050</v>
      </c>
    </row>
    <row r="254" spans="1:57">
      <c r="A254" s="1" t="str">
        <f>'Population Definitions'!$A$2</f>
        <v>PWID_males</v>
      </c>
      <c r="C254" t="s">
        <v>32</v>
      </c>
      <c r="D254" s="3"/>
      <c r="E254" s="3">
        <v>38.68787556825563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</row>
    <row r="255" spans="1:57">
      <c r="A255" s="1" t="str">
        <f>'Population Definitions'!$A$3</f>
        <v>PWID_females</v>
      </c>
      <c r="C255" t="s">
        <v>32</v>
      </c>
      <c r="D255" s="3"/>
      <c r="E255" s="3">
        <v>11.8471144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</row>
    <row r="256" spans="1:57">
      <c r="A256" s="1" t="str">
        <f>'Population Definitions'!$A$4</f>
        <v>0-9_males</v>
      </c>
      <c r="C256" t="s">
        <v>32</v>
      </c>
      <c r="D256" s="3"/>
      <c r="E256" s="3">
        <v>0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</row>
    <row r="257" spans="1:55">
      <c r="A257" s="1" t="str">
        <f>'Population Definitions'!$A$5</f>
        <v>0-9_females</v>
      </c>
      <c r="C257" t="s">
        <v>32</v>
      </c>
      <c r="D257" s="3"/>
      <c r="E257" s="3">
        <v>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</row>
    <row r="258" spans="1:55">
      <c r="A258" s="1" t="str">
        <f>'Population Definitions'!$A$6</f>
        <v>10-17_males</v>
      </c>
      <c r="C258" t="s">
        <v>32</v>
      </c>
      <c r="D258" s="3"/>
      <c r="E258" s="3">
        <v>0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</row>
    <row r="259" spans="1:55">
      <c r="A259" s="1" t="str">
        <f>'Population Definitions'!$A$7</f>
        <v>10-17_females</v>
      </c>
      <c r="C259" t="s">
        <v>32</v>
      </c>
      <c r="D259" s="3"/>
      <c r="E259" s="3">
        <v>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</row>
    <row r="260" spans="1:55">
      <c r="A260" s="1" t="str">
        <f>'Population Definitions'!$A$8</f>
        <v>18-64_males</v>
      </c>
      <c r="C260" t="s">
        <v>32</v>
      </c>
      <c r="D260" s="3"/>
      <c r="E260" s="3">
        <v>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</row>
    <row r="261" spans="1:55">
      <c r="A261" s="1" t="str">
        <f>'Population Definitions'!$A$9</f>
        <v>18-64_females</v>
      </c>
      <c r="C261" t="s">
        <v>32</v>
      </c>
      <c r="D261" s="3"/>
      <c r="E261" s="3">
        <v>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</row>
    <row r="262" spans="1:55">
      <c r="A262" s="1" t="str">
        <f>'Population Definitions'!$A$10</f>
        <v>65+_males</v>
      </c>
      <c r="C262" t="s">
        <v>32</v>
      </c>
      <c r="D262" s="3"/>
      <c r="E262" s="3">
        <v>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</row>
    <row r="263" spans="1:55">
      <c r="A263" s="1" t="str">
        <f>'Population Definitions'!$A$11</f>
        <v>65+_females</v>
      </c>
      <c r="C263" t="s">
        <v>32</v>
      </c>
      <c r="D263" s="3"/>
      <c r="E263" s="3">
        <v>0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</row>
    <row r="264" spans="1:55">
      <c r="A264" s="1" t="str">
        <f>'Population Definitions'!$A$12</f>
        <v>Prisoners_males</v>
      </c>
      <c r="C264" t="s">
        <v>32</v>
      </c>
      <c r="D264" s="3"/>
      <c r="E264" s="3">
        <v>41.678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</row>
    <row r="265" spans="1:55">
      <c r="A265" s="1" t="str">
        <f>'Population Definitions'!$A$13</f>
        <v>Prisoners_females</v>
      </c>
      <c r="C265" t="s">
        <v>32</v>
      </c>
      <c r="D265" s="3"/>
      <c r="E265" s="3">
        <v>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</row>
    <row r="267" spans="1:55">
      <c r="A267" s="1" t="s">
        <v>145</v>
      </c>
      <c r="B267" s="1" t="s">
        <v>29</v>
      </c>
      <c r="C267" s="1" t="s">
        <v>30</v>
      </c>
      <c r="D267" s="1" t="s">
        <v>31</v>
      </c>
      <c r="E267" s="1">
        <v>2000</v>
      </c>
      <c r="F267" s="1">
        <v>2001</v>
      </c>
      <c r="G267" s="1">
        <v>2002</v>
      </c>
      <c r="H267" s="1">
        <v>2003</v>
      </c>
      <c r="I267" s="1">
        <v>2004</v>
      </c>
      <c r="J267" s="1">
        <v>2005</v>
      </c>
      <c r="K267" s="1">
        <v>2006</v>
      </c>
      <c r="L267" s="1">
        <v>2007</v>
      </c>
      <c r="M267" s="1">
        <v>2008</v>
      </c>
      <c r="N267" s="1">
        <v>2009</v>
      </c>
      <c r="O267" s="1">
        <v>2010</v>
      </c>
      <c r="P267" s="1">
        <v>2011</v>
      </c>
      <c r="Q267" s="1">
        <v>2012</v>
      </c>
      <c r="R267" s="1">
        <v>2013</v>
      </c>
      <c r="S267" s="1">
        <v>2014</v>
      </c>
      <c r="T267" s="1">
        <v>2015</v>
      </c>
      <c r="U267" s="1">
        <v>2016</v>
      </c>
      <c r="V267" s="1">
        <v>2017</v>
      </c>
      <c r="W267" s="1">
        <v>2018</v>
      </c>
      <c r="X267" s="1">
        <v>2019</v>
      </c>
      <c r="Y267" s="1">
        <v>2020</v>
      </c>
      <c r="Z267" s="1">
        <v>2021</v>
      </c>
      <c r="AA267" s="1">
        <v>2022</v>
      </c>
      <c r="AB267" s="1">
        <v>2023</v>
      </c>
      <c r="AC267" s="1">
        <v>2024</v>
      </c>
      <c r="AD267" s="1">
        <v>2025</v>
      </c>
      <c r="AE267" s="1">
        <v>2026</v>
      </c>
      <c r="AF267" s="1">
        <v>2027</v>
      </c>
      <c r="AG267" s="1">
        <v>2028</v>
      </c>
      <c r="AH267" s="1">
        <v>2029</v>
      </c>
      <c r="AI267" s="1">
        <v>2030</v>
      </c>
      <c r="AJ267" s="1">
        <v>2031</v>
      </c>
      <c r="AK267" s="1">
        <v>2032</v>
      </c>
      <c r="AL267" s="1">
        <v>2033</v>
      </c>
      <c r="AM267" s="1">
        <v>2034</v>
      </c>
      <c r="AN267" s="1">
        <v>2035</v>
      </c>
      <c r="AO267" s="1">
        <v>2036</v>
      </c>
      <c r="AP267" s="1">
        <v>2037</v>
      </c>
      <c r="AQ267" s="1">
        <v>2038</v>
      </c>
      <c r="AR267" s="1">
        <v>2039</v>
      </c>
      <c r="AS267" s="1">
        <v>2040</v>
      </c>
      <c r="AT267" s="1">
        <v>2041</v>
      </c>
      <c r="AU267" s="1">
        <v>2042</v>
      </c>
      <c r="AV267" s="1">
        <v>2043</v>
      </c>
      <c r="AW267" s="1">
        <v>2044</v>
      </c>
      <c r="AX267" s="1">
        <v>2045</v>
      </c>
      <c r="AY267" s="1">
        <v>2046</v>
      </c>
      <c r="AZ267" s="1">
        <v>2047</v>
      </c>
      <c r="BA267" s="1">
        <v>2048</v>
      </c>
      <c r="BB267" s="1">
        <v>2049</v>
      </c>
      <c r="BC267" s="1">
        <v>2050</v>
      </c>
    </row>
    <row r="268" spans="1:55">
      <c r="A268" s="1" t="str">
        <f>'Population Definitions'!$A$2</f>
        <v>PWID_males</v>
      </c>
      <c r="C268" t="s">
        <v>32</v>
      </c>
      <c r="D268" s="3"/>
      <c r="E268" s="3"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</row>
    <row r="269" spans="1:55">
      <c r="A269" s="1" t="str">
        <f>'Population Definitions'!$A$3</f>
        <v>PWID_females</v>
      </c>
      <c r="C269" t="s">
        <v>32</v>
      </c>
      <c r="D269" s="3"/>
      <c r="E269" s="3"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</row>
    <row r="270" spans="1:55">
      <c r="A270" s="1" t="str">
        <f>'Population Definitions'!$A$4</f>
        <v>0-9_males</v>
      </c>
      <c r="C270" t="s">
        <v>32</v>
      </c>
      <c r="D270" s="3"/>
      <c r="E270" s="3"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</row>
    <row r="271" spans="1:55">
      <c r="A271" s="1" t="str">
        <f>'Population Definitions'!$A$5</f>
        <v>0-9_females</v>
      </c>
      <c r="C271" t="s">
        <v>32</v>
      </c>
      <c r="D271" s="3"/>
      <c r="E271" s="3"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</row>
    <row r="272" spans="1:55">
      <c r="A272" s="1" t="str">
        <f>'Population Definitions'!$A$6</f>
        <v>10-17_males</v>
      </c>
      <c r="C272" t="s">
        <v>32</v>
      </c>
      <c r="D272" s="3"/>
      <c r="E272" s="3">
        <v>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</row>
    <row r="273" spans="1:55">
      <c r="A273" s="1" t="str">
        <f>'Population Definitions'!$A$7</f>
        <v>10-17_females</v>
      </c>
      <c r="C273" t="s">
        <v>32</v>
      </c>
      <c r="D273" s="3"/>
      <c r="E273" s="3">
        <v>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</row>
    <row r="274" spans="1:55">
      <c r="A274" s="1" t="str">
        <f>'Population Definitions'!$A$8</f>
        <v>18-64_males</v>
      </c>
      <c r="C274" t="s">
        <v>32</v>
      </c>
      <c r="D274" s="3"/>
      <c r="E274" s="3"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</row>
    <row r="275" spans="1:55">
      <c r="A275" s="1" t="str">
        <f>'Population Definitions'!$A$9</f>
        <v>18-64_females</v>
      </c>
      <c r="C275" t="s">
        <v>32</v>
      </c>
      <c r="D275" s="3"/>
      <c r="E275" s="3">
        <v>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</row>
    <row r="276" spans="1:55">
      <c r="A276" s="1" t="str">
        <f>'Population Definitions'!$A$10</f>
        <v>65+_males</v>
      </c>
      <c r="C276" t="s">
        <v>32</v>
      </c>
      <c r="D276" s="3"/>
      <c r="E276" s="3">
        <v>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</row>
    <row r="277" spans="1:55">
      <c r="A277" s="1" t="str">
        <f>'Population Definitions'!$A$11</f>
        <v>65+_females</v>
      </c>
      <c r="C277" t="s">
        <v>32</v>
      </c>
      <c r="D277" s="3"/>
      <c r="E277" s="3">
        <v>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</row>
    <row r="278" spans="1:55">
      <c r="A278" s="1" t="str">
        <f>'Population Definitions'!$A$12</f>
        <v>Prisoners_males</v>
      </c>
      <c r="C278" t="s">
        <v>32</v>
      </c>
      <c r="D278" s="3"/>
      <c r="E278" s="3">
        <v>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</row>
    <row r="279" spans="1:55">
      <c r="A279" s="1" t="str">
        <f>'Population Definitions'!$A$13</f>
        <v>Prisoners_females</v>
      </c>
      <c r="C279" t="s">
        <v>32</v>
      </c>
      <c r="D279" s="3"/>
      <c r="E279" s="3">
        <v>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</row>
    <row r="281" spans="1:55">
      <c r="A281" s="1" t="s">
        <v>146</v>
      </c>
      <c r="B281" s="1" t="s">
        <v>29</v>
      </c>
      <c r="C281" s="1" t="s">
        <v>30</v>
      </c>
      <c r="D281" s="1" t="s">
        <v>31</v>
      </c>
      <c r="E281" s="1">
        <v>2000</v>
      </c>
      <c r="F281" s="1">
        <v>2001</v>
      </c>
      <c r="G281" s="1">
        <v>2002</v>
      </c>
      <c r="H281" s="1">
        <v>2003</v>
      </c>
      <c r="I281" s="1">
        <v>2004</v>
      </c>
      <c r="J281" s="1">
        <v>2005</v>
      </c>
      <c r="K281" s="1">
        <v>2006</v>
      </c>
      <c r="L281" s="1">
        <v>2007</v>
      </c>
      <c r="M281" s="1">
        <v>2008</v>
      </c>
      <c r="N281" s="1">
        <v>2009</v>
      </c>
      <c r="O281" s="1">
        <v>2010</v>
      </c>
      <c r="P281" s="1">
        <v>2011</v>
      </c>
      <c r="Q281" s="1">
        <v>2012</v>
      </c>
      <c r="R281" s="1">
        <v>2013</v>
      </c>
      <c r="S281" s="1">
        <v>2014</v>
      </c>
      <c r="T281" s="1">
        <v>2015</v>
      </c>
      <c r="U281" s="1">
        <v>2016</v>
      </c>
      <c r="V281" s="1">
        <v>2017</v>
      </c>
      <c r="W281" s="1">
        <v>2018</v>
      </c>
      <c r="X281" s="1">
        <v>2019</v>
      </c>
      <c r="Y281" s="1">
        <v>2020</v>
      </c>
      <c r="Z281" s="1">
        <v>2021</v>
      </c>
      <c r="AA281" s="1">
        <v>2022</v>
      </c>
      <c r="AB281" s="1">
        <v>2023</v>
      </c>
      <c r="AC281" s="1">
        <v>2024</v>
      </c>
      <c r="AD281" s="1">
        <v>2025</v>
      </c>
      <c r="AE281" s="1">
        <v>2026</v>
      </c>
      <c r="AF281" s="1">
        <v>2027</v>
      </c>
      <c r="AG281" s="1">
        <v>2028</v>
      </c>
      <c r="AH281" s="1">
        <v>2029</v>
      </c>
      <c r="AI281" s="1">
        <v>2030</v>
      </c>
      <c r="AJ281" s="1">
        <v>2031</v>
      </c>
      <c r="AK281" s="1">
        <v>2032</v>
      </c>
      <c r="AL281" s="1">
        <v>2033</v>
      </c>
      <c r="AM281" s="1">
        <v>2034</v>
      </c>
      <c r="AN281" s="1">
        <v>2035</v>
      </c>
      <c r="AO281" s="1">
        <v>2036</v>
      </c>
      <c r="AP281" s="1">
        <v>2037</v>
      </c>
      <c r="AQ281" s="1">
        <v>2038</v>
      </c>
      <c r="AR281" s="1">
        <v>2039</v>
      </c>
      <c r="AS281" s="1">
        <v>2040</v>
      </c>
      <c r="AT281" s="1">
        <v>2041</v>
      </c>
      <c r="AU281" s="1">
        <v>2042</v>
      </c>
      <c r="AV281" s="1">
        <v>2043</v>
      </c>
      <c r="AW281" s="1">
        <v>2044</v>
      </c>
      <c r="AX281" s="1">
        <v>2045</v>
      </c>
      <c r="AY281" s="1">
        <v>2046</v>
      </c>
      <c r="AZ281" s="1">
        <v>2047</v>
      </c>
      <c r="BA281" s="1">
        <v>2048</v>
      </c>
      <c r="BB281" s="1">
        <v>2049</v>
      </c>
      <c r="BC281" s="1">
        <v>2050</v>
      </c>
    </row>
    <row r="282" spans="1:55">
      <c r="A282" s="1" t="str">
        <f>'Population Definitions'!$A$2</f>
        <v>PWID_males</v>
      </c>
      <c r="C282" t="s">
        <v>32</v>
      </c>
      <c r="D282" s="3"/>
      <c r="E282" s="3"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</row>
    <row r="283" spans="1:55">
      <c r="A283" s="1" t="str">
        <f>'Population Definitions'!$A$3</f>
        <v>PWID_females</v>
      </c>
      <c r="C283" t="s">
        <v>32</v>
      </c>
      <c r="D283" s="3"/>
      <c r="E283" s="3"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</row>
    <row r="284" spans="1:55">
      <c r="A284" s="1" t="str">
        <f>'Population Definitions'!$A$4</f>
        <v>0-9_males</v>
      </c>
      <c r="C284" t="s">
        <v>32</v>
      </c>
      <c r="D284" s="3"/>
      <c r="E284" s="3"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</row>
    <row r="285" spans="1:55">
      <c r="A285" s="1" t="str">
        <f>'Population Definitions'!$A$5</f>
        <v>0-9_females</v>
      </c>
      <c r="C285" t="s">
        <v>32</v>
      </c>
      <c r="D285" s="3"/>
      <c r="E285" s="3"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</row>
    <row r="286" spans="1:55">
      <c r="A286" s="1" t="str">
        <f>'Population Definitions'!$A$6</f>
        <v>10-17_males</v>
      </c>
      <c r="C286" t="s">
        <v>32</v>
      </c>
      <c r="D286" s="3"/>
      <c r="E286" s="3"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</row>
    <row r="287" spans="1:55">
      <c r="A287" s="1" t="str">
        <f>'Population Definitions'!$A$7</f>
        <v>10-17_females</v>
      </c>
      <c r="C287" t="s">
        <v>32</v>
      </c>
      <c r="D287" s="3"/>
      <c r="E287" s="3"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</row>
    <row r="288" spans="1:55">
      <c r="A288" s="1" t="str">
        <f>'Population Definitions'!$A$8</f>
        <v>18-64_males</v>
      </c>
      <c r="C288" t="s">
        <v>32</v>
      </c>
      <c r="D288" s="3"/>
      <c r="E288" s="3"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</row>
    <row r="289" spans="1:55">
      <c r="A289" s="1" t="str">
        <f>'Population Definitions'!$A$9</f>
        <v>18-64_females</v>
      </c>
      <c r="C289" t="s">
        <v>32</v>
      </c>
      <c r="D289" s="3"/>
      <c r="E289" s="3"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</row>
    <row r="290" spans="1:55">
      <c r="A290" s="1" t="str">
        <f>'Population Definitions'!$A$10</f>
        <v>65+_males</v>
      </c>
      <c r="C290" t="s">
        <v>32</v>
      </c>
      <c r="D290" s="3"/>
      <c r="E290" s="3"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Definitions'!$A$11</f>
        <v>65+_females</v>
      </c>
      <c r="C291" t="s">
        <v>32</v>
      </c>
      <c r="D291" s="3"/>
      <c r="E291" s="3"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Definitions'!$A$12</f>
        <v>Prisoners_males</v>
      </c>
      <c r="C292" t="s">
        <v>32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Definitions'!$A$13</f>
        <v>Prisoners_females</v>
      </c>
      <c r="C293" t="s">
        <v>32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5" spans="1:55">
      <c r="A295" s="1" t="s">
        <v>147</v>
      </c>
      <c r="B295" s="1" t="s">
        <v>29</v>
      </c>
      <c r="C295" s="1" t="s">
        <v>30</v>
      </c>
      <c r="D295" s="1" t="s">
        <v>31</v>
      </c>
      <c r="E295" s="1">
        <v>2000</v>
      </c>
      <c r="F295" s="1">
        <v>2001</v>
      </c>
      <c r="G295" s="1">
        <v>2002</v>
      </c>
      <c r="H295" s="1">
        <v>2003</v>
      </c>
      <c r="I295" s="1">
        <v>2004</v>
      </c>
      <c r="J295" s="1">
        <v>2005</v>
      </c>
      <c r="K295" s="1">
        <v>2006</v>
      </c>
      <c r="L295" s="1">
        <v>2007</v>
      </c>
      <c r="M295" s="1">
        <v>2008</v>
      </c>
      <c r="N295" s="1">
        <v>2009</v>
      </c>
      <c r="O295" s="1">
        <v>2010</v>
      </c>
      <c r="P295" s="1">
        <v>2011</v>
      </c>
      <c r="Q295" s="1">
        <v>2012</v>
      </c>
      <c r="R295" s="1">
        <v>2013</v>
      </c>
      <c r="S295" s="1">
        <v>2014</v>
      </c>
      <c r="T295" s="1">
        <v>2015</v>
      </c>
      <c r="U295" s="1">
        <v>2016</v>
      </c>
      <c r="V295" s="1">
        <v>2017</v>
      </c>
      <c r="W295" s="1">
        <v>2018</v>
      </c>
      <c r="X295" s="1">
        <v>2019</v>
      </c>
      <c r="Y295" s="1">
        <v>2020</v>
      </c>
      <c r="Z295" s="1">
        <v>2021</v>
      </c>
      <c r="AA295" s="1">
        <v>2022</v>
      </c>
      <c r="AB295" s="1">
        <v>2023</v>
      </c>
      <c r="AC295" s="1">
        <v>2024</v>
      </c>
      <c r="AD295" s="1">
        <v>2025</v>
      </c>
      <c r="AE295" s="1">
        <v>2026</v>
      </c>
      <c r="AF295" s="1">
        <v>2027</v>
      </c>
      <c r="AG295" s="1">
        <v>2028</v>
      </c>
      <c r="AH295" s="1">
        <v>2029</v>
      </c>
      <c r="AI295" s="1">
        <v>2030</v>
      </c>
      <c r="AJ295" s="1">
        <v>2031</v>
      </c>
      <c r="AK295" s="1">
        <v>2032</v>
      </c>
      <c r="AL295" s="1">
        <v>2033</v>
      </c>
      <c r="AM295" s="1">
        <v>2034</v>
      </c>
      <c r="AN295" s="1">
        <v>2035</v>
      </c>
      <c r="AO295" s="1">
        <v>2036</v>
      </c>
      <c r="AP295" s="1">
        <v>2037</v>
      </c>
      <c r="AQ295" s="1">
        <v>2038</v>
      </c>
      <c r="AR295" s="1">
        <v>2039</v>
      </c>
      <c r="AS295" s="1">
        <v>2040</v>
      </c>
      <c r="AT295" s="1">
        <v>2041</v>
      </c>
      <c r="AU295" s="1">
        <v>2042</v>
      </c>
      <c r="AV295" s="1">
        <v>2043</v>
      </c>
      <c r="AW295" s="1">
        <v>2044</v>
      </c>
      <c r="AX295" s="1">
        <v>2045</v>
      </c>
      <c r="AY295" s="1">
        <v>2046</v>
      </c>
      <c r="AZ295" s="1">
        <v>2047</v>
      </c>
      <c r="BA295" s="1">
        <v>2048</v>
      </c>
      <c r="BB295" s="1">
        <v>2049</v>
      </c>
      <c r="BC295" s="1">
        <v>2050</v>
      </c>
    </row>
    <row r="296" spans="1:55">
      <c r="A296" s="1" t="str">
        <f>'Population Definitions'!$A$2</f>
        <v>PWID_males</v>
      </c>
      <c r="C296" t="s">
        <v>32</v>
      </c>
      <c r="D296" s="3"/>
      <c r="E296" s="3"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Definitions'!$A$3</f>
        <v>PWID_females</v>
      </c>
      <c r="C297" t="s">
        <v>32</v>
      </c>
      <c r="D297" s="3"/>
      <c r="E297" s="3"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Definitions'!$A$4</f>
        <v>0-9_males</v>
      </c>
      <c r="C298" t="s">
        <v>32</v>
      </c>
      <c r="D298" s="3"/>
      <c r="E298" s="3"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Definitions'!$A$5</f>
        <v>0-9_females</v>
      </c>
      <c r="C299" t="s">
        <v>32</v>
      </c>
      <c r="D299" s="3"/>
      <c r="E299" s="3"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Definitions'!$A$6</f>
        <v>10-17_males</v>
      </c>
      <c r="C300" t="s">
        <v>32</v>
      </c>
      <c r="D300" s="3"/>
      <c r="E300" s="3"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Definitions'!$A$7</f>
        <v>10-17_females</v>
      </c>
      <c r="C301" t="s">
        <v>32</v>
      </c>
      <c r="D301" s="3"/>
      <c r="E301" s="3"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Definitions'!$A$8</f>
        <v>18-64_males</v>
      </c>
      <c r="C302" t="s">
        <v>32</v>
      </c>
      <c r="D302" s="3"/>
      <c r="E302" s="3"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Definitions'!$A$9</f>
        <v>18-64_females</v>
      </c>
      <c r="C303" t="s">
        <v>32</v>
      </c>
      <c r="D303" s="3"/>
      <c r="E303" s="3"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4" spans="1:55">
      <c r="A304" s="1" t="str">
        <f>'Population Definitions'!$A$10</f>
        <v>65+_males</v>
      </c>
      <c r="C304" t="s">
        <v>32</v>
      </c>
      <c r="D304" s="3"/>
      <c r="E304" s="3"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</row>
    <row r="305" spans="1:55">
      <c r="A305" s="1" t="str">
        <f>'Population Definitions'!$A$11</f>
        <v>65+_females</v>
      </c>
      <c r="C305" t="s">
        <v>32</v>
      </c>
      <c r="D305" s="3"/>
      <c r="E305" s="3"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</row>
    <row r="306" spans="1:55">
      <c r="A306" s="1" t="str">
        <f>'Population Definitions'!$A$12</f>
        <v>Prisoners_males</v>
      </c>
      <c r="C306" t="s">
        <v>32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Definitions'!$A$13</f>
        <v>Prisoners_females</v>
      </c>
      <c r="C307" t="s">
        <v>32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9" spans="1:55">
      <c r="A309" s="1" t="s">
        <v>148</v>
      </c>
      <c r="B309" s="1" t="s">
        <v>29</v>
      </c>
      <c r="C309" s="1" t="s">
        <v>30</v>
      </c>
      <c r="D309" s="1" t="s">
        <v>31</v>
      </c>
      <c r="E309" s="1">
        <v>2000</v>
      </c>
      <c r="F309" s="1">
        <v>2001</v>
      </c>
      <c r="G309" s="1">
        <v>2002</v>
      </c>
      <c r="H309" s="1">
        <v>2003</v>
      </c>
      <c r="I309" s="1">
        <v>2004</v>
      </c>
      <c r="J309" s="1">
        <v>2005</v>
      </c>
      <c r="K309" s="1">
        <v>2006</v>
      </c>
      <c r="L309" s="1">
        <v>2007</v>
      </c>
      <c r="M309" s="1">
        <v>2008</v>
      </c>
      <c r="N309" s="1">
        <v>2009</v>
      </c>
      <c r="O309" s="1">
        <v>2010</v>
      </c>
      <c r="P309" s="1">
        <v>2011</v>
      </c>
      <c r="Q309" s="1">
        <v>2012</v>
      </c>
      <c r="R309" s="1">
        <v>2013</v>
      </c>
      <c r="S309" s="1">
        <v>2014</v>
      </c>
      <c r="T309" s="1">
        <v>2015</v>
      </c>
      <c r="U309" s="1">
        <v>2016</v>
      </c>
      <c r="V309" s="1">
        <v>2017</v>
      </c>
      <c r="W309" s="1">
        <v>2018</v>
      </c>
      <c r="X309" s="1">
        <v>2019</v>
      </c>
      <c r="Y309" s="1">
        <v>2020</v>
      </c>
      <c r="Z309" s="1">
        <v>2021</v>
      </c>
      <c r="AA309" s="1">
        <v>2022</v>
      </c>
      <c r="AB309" s="1">
        <v>2023</v>
      </c>
      <c r="AC309" s="1">
        <v>2024</v>
      </c>
      <c r="AD309" s="1">
        <v>2025</v>
      </c>
      <c r="AE309" s="1">
        <v>2026</v>
      </c>
      <c r="AF309" s="1">
        <v>2027</v>
      </c>
      <c r="AG309" s="1">
        <v>2028</v>
      </c>
      <c r="AH309" s="1">
        <v>2029</v>
      </c>
      <c r="AI309" s="1">
        <v>2030</v>
      </c>
      <c r="AJ309" s="1">
        <v>2031</v>
      </c>
      <c r="AK309" s="1">
        <v>2032</v>
      </c>
      <c r="AL309" s="1">
        <v>2033</v>
      </c>
      <c r="AM309" s="1">
        <v>2034</v>
      </c>
      <c r="AN309" s="1">
        <v>2035</v>
      </c>
      <c r="AO309" s="1">
        <v>2036</v>
      </c>
      <c r="AP309" s="1">
        <v>2037</v>
      </c>
      <c r="AQ309" s="1">
        <v>2038</v>
      </c>
      <c r="AR309" s="1">
        <v>2039</v>
      </c>
      <c r="AS309" s="1">
        <v>2040</v>
      </c>
      <c r="AT309" s="1">
        <v>2041</v>
      </c>
      <c r="AU309" s="1">
        <v>2042</v>
      </c>
      <c r="AV309" s="1">
        <v>2043</v>
      </c>
      <c r="AW309" s="1">
        <v>2044</v>
      </c>
      <c r="AX309" s="1">
        <v>2045</v>
      </c>
      <c r="AY309" s="1">
        <v>2046</v>
      </c>
      <c r="AZ309" s="1">
        <v>2047</v>
      </c>
      <c r="BA309" s="1">
        <v>2048</v>
      </c>
      <c r="BB309" s="1">
        <v>2049</v>
      </c>
      <c r="BC309" s="1">
        <v>2050</v>
      </c>
    </row>
    <row r="310" spans="1:55">
      <c r="A310" s="1" t="str">
        <f>'Population Definitions'!$A$2</f>
        <v>PWID_males</v>
      </c>
      <c r="C310" t="s">
        <v>32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Definitions'!$A$3</f>
        <v>PWID_females</v>
      </c>
      <c r="C311" t="s">
        <v>32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Definitions'!$A$4</f>
        <v>0-9_males</v>
      </c>
      <c r="C312" t="s">
        <v>32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Definitions'!$A$5</f>
        <v>0-9_females</v>
      </c>
      <c r="C313" t="s">
        <v>32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Definitions'!$A$6</f>
        <v>10-17_males</v>
      </c>
      <c r="C314" t="s">
        <v>32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Definitions'!$A$7</f>
        <v>10-17_females</v>
      </c>
      <c r="C315" t="s">
        <v>32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Definitions'!$A$8</f>
        <v>18-64_males</v>
      </c>
      <c r="C316" t="s">
        <v>32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Definitions'!$A$9</f>
        <v>18-64_females</v>
      </c>
      <c r="C317" t="s">
        <v>32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Definitions'!$A$10</f>
        <v>65+_males</v>
      </c>
      <c r="C318" t="s">
        <v>32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Definitions'!$A$11</f>
        <v>65+_females</v>
      </c>
      <c r="C319" t="s">
        <v>32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0" spans="1:55">
      <c r="A320" s="1" t="str">
        <f>'Population Definitions'!$A$12</f>
        <v>Prisoners_males</v>
      </c>
      <c r="C320" t="s">
        <v>32</v>
      </c>
      <c r="D320" s="3"/>
      <c r="E320" s="3"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</row>
    <row r="321" spans="1:55">
      <c r="A321" s="1" t="str">
        <f>'Population Definitions'!$A$13</f>
        <v>Prisoners_females</v>
      </c>
      <c r="C321" t="s">
        <v>32</v>
      </c>
      <c r="D321" s="3"/>
      <c r="E321" s="3"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</row>
    <row r="323" spans="1:55">
      <c r="A323" s="1" t="s">
        <v>149</v>
      </c>
      <c r="B323" s="1" t="s">
        <v>29</v>
      </c>
      <c r="C323" s="1" t="s">
        <v>30</v>
      </c>
      <c r="D323" s="1" t="s">
        <v>31</v>
      </c>
      <c r="E323" s="1">
        <v>2000</v>
      </c>
      <c r="F323" s="1">
        <v>2001</v>
      </c>
      <c r="G323" s="1">
        <v>2002</v>
      </c>
      <c r="H323" s="1">
        <v>2003</v>
      </c>
      <c r="I323" s="1">
        <v>2004</v>
      </c>
      <c r="J323" s="1">
        <v>2005</v>
      </c>
      <c r="K323" s="1">
        <v>2006</v>
      </c>
      <c r="L323" s="1">
        <v>2007</v>
      </c>
      <c r="M323" s="1">
        <v>2008</v>
      </c>
      <c r="N323" s="1">
        <v>2009</v>
      </c>
      <c r="O323" s="1">
        <v>2010</v>
      </c>
      <c r="P323" s="1">
        <v>2011</v>
      </c>
      <c r="Q323" s="1">
        <v>2012</v>
      </c>
      <c r="R323" s="1">
        <v>2013</v>
      </c>
      <c r="S323" s="1">
        <v>2014</v>
      </c>
      <c r="T323" s="1">
        <v>2015</v>
      </c>
      <c r="U323" s="1">
        <v>2016</v>
      </c>
      <c r="V323" s="1">
        <v>2017</v>
      </c>
      <c r="W323" s="1">
        <v>2018</v>
      </c>
      <c r="X323" s="1">
        <v>2019</v>
      </c>
      <c r="Y323" s="1">
        <v>2020</v>
      </c>
      <c r="Z323" s="1">
        <v>2021</v>
      </c>
      <c r="AA323" s="1">
        <v>2022</v>
      </c>
      <c r="AB323" s="1">
        <v>2023</v>
      </c>
      <c r="AC323" s="1">
        <v>2024</v>
      </c>
      <c r="AD323" s="1">
        <v>2025</v>
      </c>
      <c r="AE323" s="1">
        <v>2026</v>
      </c>
      <c r="AF323" s="1">
        <v>2027</v>
      </c>
      <c r="AG323" s="1">
        <v>2028</v>
      </c>
      <c r="AH323" s="1">
        <v>2029</v>
      </c>
      <c r="AI323" s="1">
        <v>2030</v>
      </c>
      <c r="AJ323" s="1">
        <v>2031</v>
      </c>
      <c r="AK323" s="1">
        <v>2032</v>
      </c>
      <c r="AL323" s="1">
        <v>2033</v>
      </c>
      <c r="AM323" s="1">
        <v>2034</v>
      </c>
      <c r="AN323" s="1">
        <v>2035</v>
      </c>
      <c r="AO323" s="1">
        <v>2036</v>
      </c>
      <c r="AP323" s="1">
        <v>2037</v>
      </c>
      <c r="AQ323" s="1">
        <v>2038</v>
      </c>
      <c r="AR323" s="1">
        <v>2039</v>
      </c>
      <c r="AS323" s="1">
        <v>2040</v>
      </c>
      <c r="AT323" s="1">
        <v>2041</v>
      </c>
      <c r="AU323" s="1">
        <v>2042</v>
      </c>
      <c r="AV323" s="1">
        <v>2043</v>
      </c>
      <c r="AW323" s="1">
        <v>2044</v>
      </c>
      <c r="AX323" s="1">
        <v>2045</v>
      </c>
      <c r="AY323" s="1">
        <v>2046</v>
      </c>
      <c r="AZ323" s="1">
        <v>2047</v>
      </c>
      <c r="BA323" s="1">
        <v>2048</v>
      </c>
      <c r="BB323" s="1">
        <v>2049</v>
      </c>
      <c r="BC323" s="1">
        <v>2050</v>
      </c>
    </row>
    <row r="324" spans="1:55">
      <c r="A324" s="1" t="str">
        <f>'Population Definitions'!$A$2</f>
        <v>PWID_males</v>
      </c>
      <c r="C324" t="s">
        <v>32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Definitions'!$A$3</f>
        <v>PWID_females</v>
      </c>
      <c r="C325" t="s">
        <v>32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Definitions'!$A$4</f>
        <v>0-9_males</v>
      </c>
      <c r="C326" t="s">
        <v>32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Definitions'!$A$5</f>
        <v>0-9_females</v>
      </c>
      <c r="C327" t="s">
        <v>32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Definitions'!$A$6</f>
        <v>10-17_males</v>
      </c>
      <c r="C328" t="s">
        <v>32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Definitions'!$A$7</f>
        <v>10-17_females</v>
      </c>
      <c r="C329" t="s">
        <v>32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Definitions'!$A$8</f>
        <v>18-64_males</v>
      </c>
      <c r="C330" t="s">
        <v>32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Definitions'!$A$9</f>
        <v>18-64_females</v>
      </c>
      <c r="C331" t="s">
        <v>32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Definitions'!$A$10</f>
        <v>65+_males</v>
      </c>
      <c r="C332" t="s">
        <v>32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Definitions'!$A$11</f>
        <v>65+_females</v>
      </c>
      <c r="C333" t="s">
        <v>32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Definitions'!$A$12</f>
        <v>Prisoners_males</v>
      </c>
      <c r="C334" t="s">
        <v>32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Definitions'!$A$13</f>
        <v>Prisoners_females</v>
      </c>
      <c r="C335" t="s">
        <v>32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150</v>
      </c>
      <c r="B337" s="1" t="s">
        <v>29</v>
      </c>
      <c r="C337" s="1" t="s">
        <v>30</v>
      </c>
      <c r="D337" s="1" t="s">
        <v>31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32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32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32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32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32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32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32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32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32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32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32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32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1" spans="1:55">
      <c r="A351" s="1" t="s">
        <v>151</v>
      </c>
      <c r="B351" s="1" t="s">
        <v>29</v>
      </c>
      <c r="C351" s="1" t="s">
        <v>30</v>
      </c>
      <c r="D351" s="1" t="s">
        <v>31</v>
      </c>
      <c r="E351" s="1">
        <v>2000</v>
      </c>
      <c r="F351" s="1">
        <v>2001</v>
      </c>
      <c r="G351" s="1">
        <v>2002</v>
      </c>
      <c r="H351" s="1">
        <v>2003</v>
      </c>
      <c r="I351" s="1">
        <v>2004</v>
      </c>
      <c r="J351" s="1">
        <v>2005</v>
      </c>
      <c r="K351" s="1">
        <v>2006</v>
      </c>
      <c r="L351" s="1">
        <v>2007</v>
      </c>
      <c r="M351" s="1">
        <v>2008</v>
      </c>
      <c r="N351" s="1">
        <v>2009</v>
      </c>
      <c r="O351" s="1">
        <v>2010</v>
      </c>
      <c r="P351" s="1">
        <v>2011</v>
      </c>
      <c r="Q351" s="1">
        <v>2012</v>
      </c>
      <c r="R351" s="1">
        <v>2013</v>
      </c>
      <c r="S351" s="1">
        <v>2014</v>
      </c>
      <c r="T351" s="1">
        <v>2015</v>
      </c>
      <c r="U351" s="1">
        <v>2016</v>
      </c>
      <c r="V351" s="1">
        <v>2017</v>
      </c>
      <c r="W351" s="1">
        <v>2018</v>
      </c>
      <c r="X351" s="1">
        <v>2019</v>
      </c>
      <c r="Y351" s="1">
        <v>2020</v>
      </c>
      <c r="Z351" s="1">
        <v>2021</v>
      </c>
      <c r="AA351" s="1">
        <v>2022</v>
      </c>
      <c r="AB351" s="1">
        <v>2023</v>
      </c>
      <c r="AC351" s="1">
        <v>2024</v>
      </c>
      <c r="AD351" s="1">
        <v>2025</v>
      </c>
      <c r="AE351" s="1">
        <v>2026</v>
      </c>
      <c r="AF351" s="1">
        <v>2027</v>
      </c>
      <c r="AG351" s="1">
        <v>2028</v>
      </c>
      <c r="AH351" s="1">
        <v>2029</v>
      </c>
      <c r="AI351" s="1">
        <v>2030</v>
      </c>
      <c r="AJ351" s="1">
        <v>2031</v>
      </c>
      <c r="AK351" s="1">
        <v>2032</v>
      </c>
      <c r="AL351" s="1">
        <v>2033</v>
      </c>
      <c r="AM351" s="1">
        <v>2034</v>
      </c>
      <c r="AN351" s="1">
        <v>2035</v>
      </c>
      <c r="AO351" s="1">
        <v>2036</v>
      </c>
      <c r="AP351" s="1">
        <v>2037</v>
      </c>
      <c r="AQ351" s="1">
        <v>2038</v>
      </c>
      <c r="AR351" s="1">
        <v>2039</v>
      </c>
      <c r="AS351" s="1">
        <v>2040</v>
      </c>
      <c r="AT351" s="1">
        <v>2041</v>
      </c>
      <c r="AU351" s="1">
        <v>2042</v>
      </c>
      <c r="AV351" s="1">
        <v>2043</v>
      </c>
      <c r="AW351" s="1">
        <v>2044</v>
      </c>
      <c r="AX351" s="1">
        <v>2045</v>
      </c>
      <c r="AY351" s="1">
        <v>2046</v>
      </c>
      <c r="AZ351" s="1">
        <v>2047</v>
      </c>
      <c r="BA351" s="1">
        <v>2048</v>
      </c>
      <c r="BB351" s="1">
        <v>2049</v>
      </c>
      <c r="BC351" s="1">
        <v>2050</v>
      </c>
    </row>
    <row r="352" spans="1:55">
      <c r="A352" s="1" t="str">
        <f>'Population Definitions'!$A$2</f>
        <v>PWID_males</v>
      </c>
      <c r="C352" t="s">
        <v>32</v>
      </c>
      <c r="D352" s="3"/>
      <c r="E352" s="3"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</row>
    <row r="353" spans="1:55">
      <c r="A353" s="1" t="str">
        <f>'Population Definitions'!$A$3</f>
        <v>PWID_females</v>
      </c>
      <c r="C353" t="s">
        <v>32</v>
      </c>
      <c r="D353" s="3"/>
      <c r="E353" s="3"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</row>
    <row r="354" spans="1:55">
      <c r="A354" s="1" t="str">
        <f>'Population Definitions'!$A$4</f>
        <v>0-9_males</v>
      </c>
      <c r="C354" t="s">
        <v>32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Definitions'!$A$5</f>
        <v>0-9_females</v>
      </c>
      <c r="C355" t="s">
        <v>32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Definitions'!$A$6</f>
        <v>10-17_males</v>
      </c>
      <c r="C356" t="s">
        <v>32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Definitions'!$A$7</f>
        <v>10-17_females</v>
      </c>
      <c r="C357" t="s">
        <v>32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Definitions'!$A$8</f>
        <v>18-64_males</v>
      </c>
      <c r="C358" t="s">
        <v>32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Definitions'!$A$9</f>
        <v>18-64_females</v>
      </c>
      <c r="C359" t="s">
        <v>32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Definitions'!$A$10</f>
        <v>65+_males</v>
      </c>
      <c r="C360" t="s">
        <v>32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Definitions'!$A$11</f>
        <v>65+_females</v>
      </c>
      <c r="C361" t="s">
        <v>32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Definitions'!$A$12</f>
        <v>Prisoners_males</v>
      </c>
      <c r="C362" t="s">
        <v>32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Definitions'!$A$13</f>
        <v>Prisoners_females</v>
      </c>
      <c r="C363" t="s">
        <v>32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5" spans="1:55">
      <c r="A365" s="1" t="s">
        <v>152</v>
      </c>
      <c r="B365" s="1" t="s">
        <v>29</v>
      </c>
      <c r="C365" s="1" t="s">
        <v>30</v>
      </c>
      <c r="D365" s="1" t="s">
        <v>31</v>
      </c>
      <c r="E365" s="1">
        <v>2000</v>
      </c>
      <c r="F365" s="1">
        <v>2001</v>
      </c>
      <c r="G365" s="1">
        <v>2002</v>
      </c>
      <c r="H365" s="1">
        <v>2003</v>
      </c>
      <c r="I365" s="1">
        <v>2004</v>
      </c>
      <c r="J365" s="1">
        <v>2005</v>
      </c>
      <c r="K365" s="1">
        <v>2006</v>
      </c>
      <c r="L365" s="1">
        <v>2007</v>
      </c>
      <c r="M365" s="1">
        <v>2008</v>
      </c>
      <c r="N365" s="1">
        <v>2009</v>
      </c>
      <c r="O365" s="1">
        <v>2010</v>
      </c>
      <c r="P365" s="1">
        <v>2011</v>
      </c>
      <c r="Q365" s="1">
        <v>2012</v>
      </c>
      <c r="R365" s="1">
        <v>2013</v>
      </c>
      <c r="S365" s="1">
        <v>2014</v>
      </c>
      <c r="T365" s="1">
        <v>2015</v>
      </c>
      <c r="U365" s="1">
        <v>2016</v>
      </c>
      <c r="V365" s="1">
        <v>2017</v>
      </c>
      <c r="W365" s="1">
        <v>2018</v>
      </c>
      <c r="X365" s="1">
        <v>2019</v>
      </c>
      <c r="Y365" s="1">
        <v>2020</v>
      </c>
      <c r="Z365" s="1">
        <v>2021</v>
      </c>
      <c r="AA365" s="1">
        <v>2022</v>
      </c>
      <c r="AB365" s="1">
        <v>2023</v>
      </c>
      <c r="AC365" s="1">
        <v>2024</v>
      </c>
      <c r="AD365" s="1">
        <v>2025</v>
      </c>
      <c r="AE365" s="1">
        <v>2026</v>
      </c>
      <c r="AF365" s="1">
        <v>2027</v>
      </c>
      <c r="AG365" s="1">
        <v>2028</v>
      </c>
      <c r="AH365" s="1">
        <v>2029</v>
      </c>
      <c r="AI365" s="1">
        <v>2030</v>
      </c>
      <c r="AJ365" s="1">
        <v>2031</v>
      </c>
      <c r="AK365" s="1">
        <v>2032</v>
      </c>
      <c r="AL365" s="1">
        <v>2033</v>
      </c>
      <c r="AM365" s="1">
        <v>2034</v>
      </c>
      <c r="AN365" s="1">
        <v>2035</v>
      </c>
      <c r="AO365" s="1">
        <v>2036</v>
      </c>
      <c r="AP365" s="1">
        <v>2037</v>
      </c>
      <c r="AQ365" s="1">
        <v>2038</v>
      </c>
      <c r="AR365" s="1">
        <v>2039</v>
      </c>
      <c r="AS365" s="1">
        <v>2040</v>
      </c>
      <c r="AT365" s="1">
        <v>2041</v>
      </c>
      <c r="AU365" s="1">
        <v>2042</v>
      </c>
      <c r="AV365" s="1">
        <v>2043</v>
      </c>
      <c r="AW365" s="1">
        <v>2044</v>
      </c>
      <c r="AX365" s="1">
        <v>2045</v>
      </c>
      <c r="AY365" s="1">
        <v>2046</v>
      </c>
      <c r="AZ365" s="1">
        <v>2047</v>
      </c>
      <c r="BA365" s="1">
        <v>2048</v>
      </c>
      <c r="BB365" s="1">
        <v>2049</v>
      </c>
      <c r="BC365" s="1">
        <v>2050</v>
      </c>
    </row>
    <row r="366" spans="1:55">
      <c r="A366" s="1" t="str">
        <f>'Population Definitions'!$A$2</f>
        <v>PWID_males</v>
      </c>
      <c r="C366" t="s">
        <v>32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Definitions'!$A$3</f>
        <v>PWID_females</v>
      </c>
      <c r="C367" t="s">
        <v>32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8" spans="1:55">
      <c r="A368" s="1" t="str">
        <f>'Population Definitions'!$A$4</f>
        <v>0-9_males</v>
      </c>
      <c r="C368" t="s">
        <v>32</v>
      </c>
      <c r="D368" s="3"/>
      <c r="E368" s="3"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</row>
    <row r="369" spans="1:55">
      <c r="A369" s="1" t="str">
        <f>'Population Definitions'!$A$5</f>
        <v>0-9_females</v>
      </c>
      <c r="C369" t="s">
        <v>32</v>
      </c>
      <c r="D369" s="3"/>
      <c r="E369" s="3"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</row>
    <row r="370" spans="1:55">
      <c r="A370" s="1" t="str">
        <f>'Population Definitions'!$A$6</f>
        <v>10-17_males</v>
      </c>
      <c r="C370" t="s">
        <v>32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Definitions'!$A$7</f>
        <v>10-17_females</v>
      </c>
      <c r="C371" t="s">
        <v>32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Definitions'!$A$8</f>
        <v>18-64_males</v>
      </c>
      <c r="C372" t="s">
        <v>32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Definitions'!$A$9</f>
        <v>18-64_females</v>
      </c>
      <c r="C373" t="s">
        <v>32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Definitions'!$A$10</f>
        <v>65+_males</v>
      </c>
      <c r="C374" t="s">
        <v>32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Definitions'!$A$11</f>
        <v>65+_females</v>
      </c>
      <c r="C375" t="s">
        <v>32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Definitions'!$A$12</f>
        <v>Prisoners_males</v>
      </c>
      <c r="C376" t="s">
        <v>32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Definitions'!$A$13</f>
        <v>Prisoners_females</v>
      </c>
      <c r="C377" t="s">
        <v>32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9" spans="1:55">
      <c r="A379" s="1" t="s">
        <v>153</v>
      </c>
      <c r="B379" s="1" t="s">
        <v>29</v>
      </c>
      <c r="C379" s="1" t="s">
        <v>30</v>
      </c>
      <c r="D379" s="1" t="s">
        <v>31</v>
      </c>
      <c r="E379" s="1">
        <v>2000</v>
      </c>
      <c r="F379" s="1">
        <v>2001</v>
      </c>
      <c r="G379" s="1">
        <v>2002</v>
      </c>
      <c r="H379" s="1">
        <v>2003</v>
      </c>
      <c r="I379" s="1">
        <v>2004</v>
      </c>
      <c r="J379" s="1">
        <v>2005</v>
      </c>
      <c r="K379" s="1">
        <v>2006</v>
      </c>
      <c r="L379" s="1">
        <v>2007</v>
      </c>
      <c r="M379" s="1">
        <v>2008</v>
      </c>
      <c r="N379" s="1">
        <v>2009</v>
      </c>
      <c r="O379" s="1">
        <v>2010</v>
      </c>
      <c r="P379" s="1">
        <v>2011</v>
      </c>
      <c r="Q379" s="1">
        <v>2012</v>
      </c>
      <c r="R379" s="1">
        <v>2013</v>
      </c>
      <c r="S379" s="1">
        <v>2014</v>
      </c>
      <c r="T379" s="1">
        <v>2015</v>
      </c>
      <c r="U379" s="1">
        <v>2016</v>
      </c>
      <c r="V379" s="1">
        <v>2017</v>
      </c>
      <c r="W379" s="1">
        <v>2018</v>
      </c>
      <c r="X379" s="1">
        <v>2019</v>
      </c>
      <c r="Y379" s="1">
        <v>2020</v>
      </c>
      <c r="Z379" s="1">
        <v>2021</v>
      </c>
      <c r="AA379" s="1">
        <v>2022</v>
      </c>
      <c r="AB379" s="1">
        <v>2023</v>
      </c>
      <c r="AC379" s="1">
        <v>2024</v>
      </c>
      <c r="AD379" s="1">
        <v>2025</v>
      </c>
      <c r="AE379" s="1">
        <v>2026</v>
      </c>
      <c r="AF379" s="1">
        <v>2027</v>
      </c>
      <c r="AG379" s="1">
        <v>2028</v>
      </c>
      <c r="AH379" s="1">
        <v>2029</v>
      </c>
      <c r="AI379" s="1">
        <v>2030</v>
      </c>
      <c r="AJ379" s="1">
        <v>2031</v>
      </c>
      <c r="AK379" s="1">
        <v>2032</v>
      </c>
      <c r="AL379" s="1">
        <v>2033</v>
      </c>
      <c r="AM379" s="1">
        <v>2034</v>
      </c>
      <c r="AN379" s="1">
        <v>2035</v>
      </c>
      <c r="AO379" s="1">
        <v>2036</v>
      </c>
      <c r="AP379" s="1">
        <v>2037</v>
      </c>
      <c r="AQ379" s="1">
        <v>2038</v>
      </c>
      <c r="AR379" s="1">
        <v>2039</v>
      </c>
      <c r="AS379" s="1">
        <v>2040</v>
      </c>
      <c r="AT379" s="1">
        <v>2041</v>
      </c>
      <c r="AU379" s="1">
        <v>2042</v>
      </c>
      <c r="AV379" s="1">
        <v>2043</v>
      </c>
      <c r="AW379" s="1">
        <v>2044</v>
      </c>
      <c r="AX379" s="1">
        <v>2045</v>
      </c>
      <c r="AY379" s="1">
        <v>2046</v>
      </c>
      <c r="AZ379" s="1">
        <v>2047</v>
      </c>
      <c r="BA379" s="1">
        <v>2048</v>
      </c>
      <c r="BB379" s="1">
        <v>2049</v>
      </c>
      <c r="BC379" s="1">
        <v>2050</v>
      </c>
    </row>
    <row r="380" spans="1:55">
      <c r="A380" s="1" t="str">
        <f>'Population Definitions'!$A$2</f>
        <v>PWID_males</v>
      </c>
      <c r="C380" t="s">
        <v>32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Definitions'!$A$3</f>
        <v>PWID_females</v>
      </c>
      <c r="C381" t="s">
        <v>32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Definitions'!$A$4</f>
        <v>0-9_males</v>
      </c>
      <c r="C382" t="s">
        <v>32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Definitions'!$A$5</f>
        <v>0-9_females</v>
      </c>
      <c r="C383" t="s">
        <v>32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4" spans="1:55">
      <c r="A384" s="1" t="str">
        <f>'Population Definitions'!$A$6</f>
        <v>10-17_males</v>
      </c>
      <c r="C384" t="s">
        <v>32</v>
      </c>
      <c r="D384" s="3"/>
      <c r="E384" s="3">
        <v>0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</row>
    <row r="385" spans="1:55">
      <c r="A385" s="1" t="str">
        <f>'Population Definitions'!$A$7</f>
        <v>10-17_females</v>
      </c>
      <c r="C385" t="s">
        <v>32</v>
      </c>
      <c r="D385" s="3"/>
      <c r="E385" s="3">
        <v>0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</row>
    <row r="386" spans="1:55">
      <c r="A386" s="1" t="str">
        <f>'Population Definitions'!$A$8</f>
        <v>18-64_males</v>
      </c>
      <c r="C386" t="s">
        <v>32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Definitions'!$A$9</f>
        <v>18-64_females</v>
      </c>
      <c r="C387" t="s">
        <v>32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Definitions'!$A$10</f>
        <v>65+_males</v>
      </c>
      <c r="C388" t="s">
        <v>32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Definitions'!$A$11</f>
        <v>65+_females</v>
      </c>
      <c r="C389" t="s">
        <v>32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Definitions'!$A$12</f>
        <v>Prisoners_males</v>
      </c>
      <c r="C390" t="s">
        <v>32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Definitions'!$A$13</f>
        <v>Prisoners_females</v>
      </c>
      <c r="C391" t="s">
        <v>32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3" spans="1:55">
      <c r="A393" s="1" t="s">
        <v>154</v>
      </c>
      <c r="B393" s="1" t="s">
        <v>29</v>
      </c>
      <c r="C393" s="1" t="s">
        <v>30</v>
      </c>
      <c r="D393" s="1" t="s">
        <v>31</v>
      </c>
      <c r="E393" s="1">
        <v>2000</v>
      </c>
      <c r="F393" s="1">
        <v>2001</v>
      </c>
      <c r="G393" s="1">
        <v>2002</v>
      </c>
      <c r="H393" s="1">
        <v>2003</v>
      </c>
      <c r="I393" s="1">
        <v>2004</v>
      </c>
      <c r="J393" s="1">
        <v>2005</v>
      </c>
      <c r="K393" s="1">
        <v>2006</v>
      </c>
      <c r="L393" s="1">
        <v>2007</v>
      </c>
      <c r="M393" s="1">
        <v>2008</v>
      </c>
      <c r="N393" s="1">
        <v>2009</v>
      </c>
      <c r="O393" s="1">
        <v>2010</v>
      </c>
      <c r="P393" s="1">
        <v>2011</v>
      </c>
      <c r="Q393" s="1">
        <v>2012</v>
      </c>
      <c r="R393" s="1">
        <v>2013</v>
      </c>
      <c r="S393" s="1">
        <v>2014</v>
      </c>
      <c r="T393" s="1">
        <v>2015</v>
      </c>
      <c r="U393" s="1">
        <v>2016</v>
      </c>
      <c r="V393" s="1">
        <v>2017</v>
      </c>
      <c r="W393" s="1">
        <v>2018</v>
      </c>
      <c r="X393" s="1">
        <v>2019</v>
      </c>
      <c r="Y393" s="1">
        <v>2020</v>
      </c>
      <c r="Z393" s="1">
        <v>2021</v>
      </c>
      <c r="AA393" s="1">
        <v>2022</v>
      </c>
      <c r="AB393" s="1">
        <v>2023</v>
      </c>
      <c r="AC393" s="1">
        <v>2024</v>
      </c>
      <c r="AD393" s="1">
        <v>2025</v>
      </c>
      <c r="AE393" s="1">
        <v>2026</v>
      </c>
      <c r="AF393" s="1">
        <v>2027</v>
      </c>
      <c r="AG393" s="1">
        <v>2028</v>
      </c>
      <c r="AH393" s="1">
        <v>2029</v>
      </c>
      <c r="AI393" s="1">
        <v>2030</v>
      </c>
      <c r="AJ393" s="1">
        <v>2031</v>
      </c>
      <c r="AK393" s="1">
        <v>2032</v>
      </c>
      <c r="AL393" s="1">
        <v>2033</v>
      </c>
      <c r="AM393" s="1">
        <v>2034</v>
      </c>
      <c r="AN393" s="1">
        <v>2035</v>
      </c>
      <c r="AO393" s="1">
        <v>2036</v>
      </c>
      <c r="AP393" s="1">
        <v>2037</v>
      </c>
      <c r="AQ393" s="1">
        <v>2038</v>
      </c>
      <c r="AR393" s="1">
        <v>2039</v>
      </c>
      <c r="AS393" s="1">
        <v>2040</v>
      </c>
      <c r="AT393" s="1">
        <v>2041</v>
      </c>
      <c r="AU393" s="1">
        <v>2042</v>
      </c>
      <c r="AV393" s="1">
        <v>2043</v>
      </c>
      <c r="AW393" s="1">
        <v>2044</v>
      </c>
      <c r="AX393" s="1">
        <v>2045</v>
      </c>
      <c r="AY393" s="1">
        <v>2046</v>
      </c>
      <c r="AZ393" s="1">
        <v>2047</v>
      </c>
      <c r="BA393" s="1">
        <v>2048</v>
      </c>
      <c r="BB393" s="1">
        <v>2049</v>
      </c>
      <c r="BC393" s="1">
        <v>2050</v>
      </c>
    </row>
    <row r="394" spans="1:55">
      <c r="A394" s="1" t="str">
        <f>'Population Definitions'!$A$2</f>
        <v>PWID_males</v>
      </c>
      <c r="C394" t="s">
        <v>32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Definitions'!$A$3</f>
        <v>PWID_females</v>
      </c>
      <c r="C395" t="s">
        <v>32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Definitions'!$A$4</f>
        <v>0-9_males</v>
      </c>
      <c r="C396" t="s">
        <v>32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Definitions'!$A$5</f>
        <v>0-9_females</v>
      </c>
      <c r="C397" t="s">
        <v>32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Definitions'!$A$6</f>
        <v>10-17_males</v>
      </c>
      <c r="C398" t="s">
        <v>32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Definitions'!$A$7</f>
        <v>10-17_females</v>
      </c>
      <c r="C399" t="s">
        <v>32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0" spans="1:55">
      <c r="A400" s="1" t="str">
        <f>'Population Definitions'!$A$8</f>
        <v>18-64_males</v>
      </c>
      <c r="C400" t="s">
        <v>32</v>
      </c>
      <c r="D400" s="3"/>
      <c r="E400" s="3">
        <v>0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</row>
    <row r="401" spans="1:55">
      <c r="A401" s="1" t="str">
        <f>'Population Definitions'!$A$9</f>
        <v>18-64_females</v>
      </c>
      <c r="C401" t="s">
        <v>32</v>
      </c>
      <c r="D401" s="3"/>
      <c r="E401" s="3">
        <v>0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</row>
    <row r="402" spans="1:55">
      <c r="A402" s="1" t="str">
        <f>'Population Definitions'!$A$10</f>
        <v>65+_males</v>
      </c>
      <c r="C402" t="s">
        <v>32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Definitions'!$A$11</f>
        <v>65+_females</v>
      </c>
      <c r="C403" t="s">
        <v>32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Definitions'!$A$12</f>
        <v>Prisoners_males</v>
      </c>
      <c r="C404" t="s">
        <v>32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Definitions'!$A$13</f>
        <v>Prisoners_females</v>
      </c>
      <c r="C405" t="s">
        <v>32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7" spans="1:55">
      <c r="A407" s="1" t="s">
        <v>155</v>
      </c>
      <c r="B407" s="1" t="s">
        <v>29</v>
      </c>
      <c r="C407" s="1" t="s">
        <v>30</v>
      </c>
      <c r="D407" s="1" t="s">
        <v>31</v>
      </c>
      <c r="E407" s="1">
        <v>2000</v>
      </c>
      <c r="F407" s="1">
        <v>2001</v>
      </c>
      <c r="G407" s="1">
        <v>2002</v>
      </c>
      <c r="H407" s="1">
        <v>2003</v>
      </c>
      <c r="I407" s="1">
        <v>2004</v>
      </c>
      <c r="J407" s="1">
        <v>2005</v>
      </c>
      <c r="K407" s="1">
        <v>2006</v>
      </c>
      <c r="L407" s="1">
        <v>2007</v>
      </c>
      <c r="M407" s="1">
        <v>2008</v>
      </c>
      <c r="N407" s="1">
        <v>2009</v>
      </c>
      <c r="O407" s="1">
        <v>2010</v>
      </c>
      <c r="P407" s="1">
        <v>2011</v>
      </c>
      <c r="Q407" s="1">
        <v>2012</v>
      </c>
      <c r="R407" s="1">
        <v>2013</v>
      </c>
      <c r="S407" s="1">
        <v>2014</v>
      </c>
      <c r="T407" s="1">
        <v>2015</v>
      </c>
      <c r="U407" s="1">
        <v>2016</v>
      </c>
      <c r="V407" s="1">
        <v>2017</v>
      </c>
      <c r="W407" s="1">
        <v>2018</v>
      </c>
      <c r="X407" s="1">
        <v>2019</v>
      </c>
      <c r="Y407" s="1">
        <v>2020</v>
      </c>
      <c r="Z407" s="1">
        <v>2021</v>
      </c>
      <c r="AA407" s="1">
        <v>2022</v>
      </c>
      <c r="AB407" s="1">
        <v>2023</v>
      </c>
      <c r="AC407" s="1">
        <v>2024</v>
      </c>
      <c r="AD407" s="1">
        <v>2025</v>
      </c>
      <c r="AE407" s="1">
        <v>2026</v>
      </c>
      <c r="AF407" s="1">
        <v>2027</v>
      </c>
      <c r="AG407" s="1">
        <v>2028</v>
      </c>
      <c r="AH407" s="1">
        <v>2029</v>
      </c>
      <c r="AI407" s="1">
        <v>2030</v>
      </c>
      <c r="AJ407" s="1">
        <v>2031</v>
      </c>
      <c r="AK407" s="1">
        <v>2032</v>
      </c>
      <c r="AL407" s="1">
        <v>2033</v>
      </c>
      <c r="AM407" s="1">
        <v>2034</v>
      </c>
      <c r="AN407" s="1">
        <v>2035</v>
      </c>
      <c r="AO407" s="1">
        <v>2036</v>
      </c>
      <c r="AP407" s="1">
        <v>2037</v>
      </c>
      <c r="AQ407" s="1">
        <v>2038</v>
      </c>
      <c r="AR407" s="1">
        <v>2039</v>
      </c>
      <c r="AS407" s="1">
        <v>2040</v>
      </c>
      <c r="AT407" s="1">
        <v>2041</v>
      </c>
      <c r="AU407" s="1">
        <v>2042</v>
      </c>
      <c r="AV407" s="1">
        <v>2043</v>
      </c>
      <c r="AW407" s="1">
        <v>2044</v>
      </c>
      <c r="AX407" s="1">
        <v>2045</v>
      </c>
      <c r="AY407" s="1">
        <v>2046</v>
      </c>
      <c r="AZ407" s="1">
        <v>2047</v>
      </c>
      <c r="BA407" s="1">
        <v>2048</v>
      </c>
      <c r="BB407" s="1">
        <v>2049</v>
      </c>
      <c r="BC407" s="1">
        <v>2050</v>
      </c>
    </row>
    <row r="408" spans="1:55">
      <c r="A408" s="1" t="str">
        <f>'Population Definitions'!$A$2</f>
        <v>PWID_males</v>
      </c>
      <c r="C408" t="s">
        <v>32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Definitions'!$A$3</f>
        <v>PWID_females</v>
      </c>
      <c r="C409" t="s">
        <v>32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Definitions'!$A$4</f>
        <v>0-9_males</v>
      </c>
      <c r="C410" t="s">
        <v>32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Definitions'!$A$5</f>
        <v>0-9_females</v>
      </c>
      <c r="C411" t="s">
        <v>32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Definitions'!$A$6</f>
        <v>10-17_males</v>
      </c>
      <c r="C412" t="s">
        <v>32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Definitions'!$A$7</f>
        <v>10-17_females</v>
      </c>
      <c r="C413" t="s">
        <v>32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Definitions'!$A$8</f>
        <v>18-64_males</v>
      </c>
      <c r="C414" t="s">
        <v>32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Definitions'!$A$9</f>
        <v>18-64_females</v>
      </c>
      <c r="C415" t="s">
        <v>32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6" spans="1:55">
      <c r="A416" s="1" t="str">
        <f>'Population Definitions'!$A$10</f>
        <v>65+_males</v>
      </c>
      <c r="C416" t="s">
        <v>32</v>
      </c>
      <c r="D416" s="3"/>
      <c r="E416" s="3">
        <v>0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</row>
    <row r="417" spans="1:55">
      <c r="A417" s="1" t="str">
        <f>'Population Definitions'!$A$11</f>
        <v>65+_females</v>
      </c>
      <c r="C417" t="s">
        <v>32</v>
      </c>
      <c r="D417" s="3"/>
      <c r="E417" s="3">
        <v>0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</row>
    <row r="418" spans="1:55">
      <c r="A418" s="1" t="str">
        <f>'Population Definitions'!$A$12</f>
        <v>Prisoners_males</v>
      </c>
      <c r="C418" t="s">
        <v>32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Definitions'!$A$13</f>
        <v>Prisoners_females</v>
      </c>
      <c r="C419" t="s">
        <v>32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1" spans="1:55">
      <c r="A421" s="1" t="s">
        <v>156</v>
      </c>
      <c r="B421" s="1" t="s">
        <v>29</v>
      </c>
      <c r="C421" s="1" t="s">
        <v>30</v>
      </c>
      <c r="D421" s="1" t="s">
        <v>31</v>
      </c>
      <c r="E421" s="1">
        <v>2000</v>
      </c>
      <c r="F421" s="1">
        <v>2001</v>
      </c>
      <c r="G421" s="1">
        <v>2002</v>
      </c>
      <c r="H421" s="1">
        <v>2003</v>
      </c>
      <c r="I421" s="1">
        <v>2004</v>
      </c>
      <c r="J421" s="1">
        <v>2005</v>
      </c>
      <c r="K421" s="1">
        <v>2006</v>
      </c>
      <c r="L421" s="1">
        <v>2007</v>
      </c>
      <c r="M421" s="1">
        <v>2008</v>
      </c>
      <c r="N421" s="1">
        <v>2009</v>
      </c>
      <c r="O421" s="1">
        <v>2010</v>
      </c>
      <c r="P421" s="1">
        <v>2011</v>
      </c>
      <c r="Q421" s="1">
        <v>2012</v>
      </c>
      <c r="R421" s="1">
        <v>2013</v>
      </c>
      <c r="S421" s="1">
        <v>2014</v>
      </c>
      <c r="T421" s="1">
        <v>2015</v>
      </c>
      <c r="U421" s="1">
        <v>2016</v>
      </c>
      <c r="V421" s="1">
        <v>2017</v>
      </c>
      <c r="W421" s="1">
        <v>2018</v>
      </c>
      <c r="X421" s="1">
        <v>2019</v>
      </c>
      <c r="Y421" s="1">
        <v>2020</v>
      </c>
      <c r="Z421" s="1">
        <v>2021</v>
      </c>
      <c r="AA421" s="1">
        <v>2022</v>
      </c>
      <c r="AB421" s="1">
        <v>2023</v>
      </c>
      <c r="AC421" s="1">
        <v>2024</v>
      </c>
      <c r="AD421" s="1">
        <v>2025</v>
      </c>
      <c r="AE421" s="1">
        <v>2026</v>
      </c>
      <c r="AF421" s="1">
        <v>2027</v>
      </c>
      <c r="AG421" s="1">
        <v>2028</v>
      </c>
      <c r="AH421" s="1">
        <v>2029</v>
      </c>
      <c r="AI421" s="1">
        <v>2030</v>
      </c>
      <c r="AJ421" s="1">
        <v>2031</v>
      </c>
      <c r="AK421" s="1">
        <v>2032</v>
      </c>
      <c r="AL421" s="1">
        <v>2033</v>
      </c>
      <c r="AM421" s="1">
        <v>2034</v>
      </c>
      <c r="AN421" s="1">
        <v>2035</v>
      </c>
      <c r="AO421" s="1">
        <v>2036</v>
      </c>
      <c r="AP421" s="1">
        <v>2037</v>
      </c>
      <c r="AQ421" s="1">
        <v>2038</v>
      </c>
      <c r="AR421" s="1">
        <v>2039</v>
      </c>
      <c r="AS421" s="1">
        <v>2040</v>
      </c>
      <c r="AT421" s="1">
        <v>2041</v>
      </c>
      <c r="AU421" s="1">
        <v>2042</v>
      </c>
      <c r="AV421" s="1">
        <v>2043</v>
      </c>
      <c r="AW421" s="1">
        <v>2044</v>
      </c>
      <c r="AX421" s="1">
        <v>2045</v>
      </c>
      <c r="AY421" s="1">
        <v>2046</v>
      </c>
      <c r="AZ421" s="1">
        <v>2047</v>
      </c>
      <c r="BA421" s="1">
        <v>2048</v>
      </c>
      <c r="BB421" s="1">
        <v>2049</v>
      </c>
      <c r="BC421" s="1">
        <v>2050</v>
      </c>
    </row>
    <row r="422" spans="1:55">
      <c r="A422" s="1" t="str">
        <f>'Population Definitions'!$A$2</f>
        <v>PWID_males</v>
      </c>
      <c r="C422" t="s">
        <v>32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Definitions'!$A$3</f>
        <v>PWID_females</v>
      </c>
      <c r="C423" t="s">
        <v>32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Definitions'!$A$4</f>
        <v>0-9_males</v>
      </c>
      <c r="C424" t="s">
        <v>32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Definitions'!$A$5</f>
        <v>0-9_females</v>
      </c>
      <c r="C425" t="s">
        <v>32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Definitions'!$A$6</f>
        <v>10-17_males</v>
      </c>
      <c r="C426" t="s">
        <v>32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Definitions'!$A$7</f>
        <v>10-17_females</v>
      </c>
      <c r="C427" t="s">
        <v>32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Definitions'!$A$8</f>
        <v>18-64_males</v>
      </c>
      <c r="C428" t="s">
        <v>32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Definitions'!$A$9</f>
        <v>18-64_females</v>
      </c>
      <c r="C429" t="s">
        <v>32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Definitions'!$A$10</f>
        <v>65+_males</v>
      </c>
      <c r="C430" t="s">
        <v>32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Definitions'!$A$11</f>
        <v>65+_females</v>
      </c>
      <c r="C431" t="s">
        <v>32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2" spans="1:55">
      <c r="A432" s="1" t="str">
        <f>'Population Definitions'!$A$12</f>
        <v>Prisoners_males</v>
      </c>
      <c r="C432" t="s">
        <v>32</v>
      </c>
      <c r="D432" s="3"/>
      <c r="E432" s="3">
        <v>0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</row>
    <row r="433" spans="1:55">
      <c r="A433" s="1" t="str">
        <f>'Population Definitions'!$A$13</f>
        <v>Prisoners_females</v>
      </c>
      <c r="C433" t="s">
        <v>32</v>
      </c>
      <c r="D433" s="3"/>
      <c r="E433" s="3">
        <v>0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</row>
    <row r="435" spans="1:55">
      <c r="A435" s="1" t="s">
        <v>157</v>
      </c>
      <c r="B435" s="1" t="s">
        <v>29</v>
      </c>
      <c r="C435" s="1" t="s">
        <v>30</v>
      </c>
      <c r="D435" s="1" t="s">
        <v>31</v>
      </c>
      <c r="E435" s="1">
        <v>2000</v>
      </c>
      <c r="F435" s="1">
        <v>2001</v>
      </c>
      <c r="G435" s="1">
        <v>2002</v>
      </c>
      <c r="H435" s="1">
        <v>2003</v>
      </c>
      <c r="I435" s="1">
        <v>2004</v>
      </c>
      <c r="J435" s="1">
        <v>2005</v>
      </c>
      <c r="K435" s="1">
        <v>2006</v>
      </c>
      <c r="L435" s="1">
        <v>2007</v>
      </c>
      <c r="M435" s="1">
        <v>2008</v>
      </c>
      <c r="N435" s="1">
        <v>2009</v>
      </c>
      <c r="O435" s="1">
        <v>2010</v>
      </c>
      <c r="P435" s="1">
        <v>2011</v>
      </c>
      <c r="Q435" s="1">
        <v>2012</v>
      </c>
      <c r="R435" s="1">
        <v>2013</v>
      </c>
      <c r="S435" s="1">
        <v>2014</v>
      </c>
      <c r="T435" s="1">
        <v>2015</v>
      </c>
      <c r="U435" s="1">
        <v>2016</v>
      </c>
      <c r="V435" s="1">
        <v>2017</v>
      </c>
      <c r="W435" s="1">
        <v>2018</v>
      </c>
      <c r="X435" s="1">
        <v>2019</v>
      </c>
      <c r="Y435" s="1">
        <v>2020</v>
      </c>
      <c r="Z435" s="1">
        <v>2021</v>
      </c>
      <c r="AA435" s="1">
        <v>2022</v>
      </c>
      <c r="AB435" s="1">
        <v>2023</v>
      </c>
      <c r="AC435" s="1">
        <v>2024</v>
      </c>
      <c r="AD435" s="1">
        <v>2025</v>
      </c>
      <c r="AE435" s="1">
        <v>2026</v>
      </c>
      <c r="AF435" s="1">
        <v>2027</v>
      </c>
      <c r="AG435" s="1">
        <v>2028</v>
      </c>
      <c r="AH435" s="1">
        <v>2029</v>
      </c>
      <c r="AI435" s="1">
        <v>2030</v>
      </c>
      <c r="AJ435" s="1">
        <v>2031</v>
      </c>
      <c r="AK435" s="1">
        <v>2032</v>
      </c>
      <c r="AL435" s="1">
        <v>2033</v>
      </c>
      <c r="AM435" s="1">
        <v>2034</v>
      </c>
      <c r="AN435" s="1">
        <v>2035</v>
      </c>
      <c r="AO435" s="1">
        <v>2036</v>
      </c>
      <c r="AP435" s="1">
        <v>2037</v>
      </c>
      <c r="AQ435" s="1">
        <v>2038</v>
      </c>
      <c r="AR435" s="1">
        <v>2039</v>
      </c>
      <c r="AS435" s="1">
        <v>2040</v>
      </c>
      <c r="AT435" s="1">
        <v>2041</v>
      </c>
      <c r="AU435" s="1">
        <v>2042</v>
      </c>
      <c r="AV435" s="1">
        <v>2043</v>
      </c>
      <c r="AW435" s="1">
        <v>2044</v>
      </c>
      <c r="AX435" s="1">
        <v>2045</v>
      </c>
      <c r="AY435" s="1">
        <v>2046</v>
      </c>
      <c r="AZ435" s="1">
        <v>2047</v>
      </c>
      <c r="BA435" s="1">
        <v>2048</v>
      </c>
      <c r="BB435" s="1">
        <v>2049</v>
      </c>
      <c r="BC435" s="1">
        <v>2050</v>
      </c>
    </row>
    <row r="436" spans="1:55">
      <c r="A436" s="1" t="str">
        <f>'Population Definitions'!$A$2</f>
        <v>PWID_males</v>
      </c>
      <c r="C436" t="s">
        <v>32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Definitions'!$A$3</f>
        <v>PWID_females</v>
      </c>
      <c r="C437" t="s">
        <v>32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Definitions'!$A$4</f>
        <v>0-9_males</v>
      </c>
      <c r="C438" t="s">
        <v>32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Definitions'!$A$5</f>
        <v>0-9_females</v>
      </c>
      <c r="C439" t="s">
        <v>32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Definitions'!$A$6</f>
        <v>10-17_males</v>
      </c>
      <c r="C440" t="s">
        <v>32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Definitions'!$A$7</f>
        <v>10-17_females</v>
      </c>
      <c r="C441" t="s">
        <v>32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Definitions'!$A$8</f>
        <v>18-64_males</v>
      </c>
      <c r="C442" t="s">
        <v>32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Definitions'!$A$9</f>
        <v>18-64_females</v>
      </c>
      <c r="C443" t="s">
        <v>32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Definitions'!$A$10</f>
        <v>65+_males</v>
      </c>
      <c r="C444" t="s">
        <v>32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Definitions'!$A$11</f>
        <v>65+_females</v>
      </c>
      <c r="C445" t="s">
        <v>32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Definitions'!$A$12</f>
        <v>Prisoners_males</v>
      </c>
      <c r="C446" t="s">
        <v>32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Definitions'!$A$13</f>
        <v>Prisoners_females</v>
      </c>
      <c r="C447" t="s">
        <v>32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158</v>
      </c>
      <c r="B449" s="1" t="s">
        <v>29</v>
      </c>
      <c r="C449" s="1" t="s">
        <v>30</v>
      </c>
      <c r="D449" s="1" t="s">
        <v>31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32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32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32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32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32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32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32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32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32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32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32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32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3" spans="1:55">
      <c r="A463" s="1" t="s">
        <v>159</v>
      </c>
      <c r="B463" s="1" t="s">
        <v>29</v>
      </c>
      <c r="C463" s="1" t="s">
        <v>30</v>
      </c>
      <c r="D463" s="1" t="s">
        <v>31</v>
      </c>
      <c r="E463" s="1">
        <v>2000</v>
      </c>
      <c r="F463" s="1">
        <v>2001</v>
      </c>
      <c r="G463" s="1">
        <v>2002</v>
      </c>
      <c r="H463" s="1">
        <v>2003</v>
      </c>
      <c r="I463" s="1">
        <v>2004</v>
      </c>
      <c r="J463" s="1">
        <v>2005</v>
      </c>
      <c r="K463" s="1">
        <v>2006</v>
      </c>
      <c r="L463" s="1">
        <v>2007</v>
      </c>
      <c r="M463" s="1">
        <v>2008</v>
      </c>
      <c r="N463" s="1">
        <v>2009</v>
      </c>
      <c r="O463" s="1">
        <v>2010</v>
      </c>
      <c r="P463" s="1">
        <v>2011</v>
      </c>
      <c r="Q463" s="1">
        <v>2012</v>
      </c>
      <c r="R463" s="1">
        <v>2013</v>
      </c>
      <c r="S463" s="1">
        <v>2014</v>
      </c>
      <c r="T463" s="1">
        <v>2015</v>
      </c>
      <c r="U463" s="1">
        <v>2016</v>
      </c>
      <c r="V463" s="1">
        <v>2017</v>
      </c>
      <c r="W463" s="1">
        <v>2018</v>
      </c>
      <c r="X463" s="1">
        <v>2019</v>
      </c>
      <c r="Y463" s="1">
        <v>2020</v>
      </c>
      <c r="Z463" s="1">
        <v>2021</v>
      </c>
      <c r="AA463" s="1">
        <v>2022</v>
      </c>
      <c r="AB463" s="1">
        <v>2023</v>
      </c>
      <c r="AC463" s="1">
        <v>2024</v>
      </c>
      <c r="AD463" s="1">
        <v>2025</v>
      </c>
      <c r="AE463" s="1">
        <v>2026</v>
      </c>
      <c r="AF463" s="1">
        <v>2027</v>
      </c>
      <c r="AG463" s="1">
        <v>2028</v>
      </c>
      <c r="AH463" s="1">
        <v>2029</v>
      </c>
      <c r="AI463" s="1">
        <v>2030</v>
      </c>
      <c r="AJ463" s="1">
        <v>2031</v>
      </c>
      <c r="AK463" s="1">
        <v>2032</v>
      </c>
      <c r="AL463" s="1">
        <v>2033</v>
      </c>
      <c r="AM463" s="1">
        <v>2034</v>
      </c>
      <c r="AN463" s="1">
        <v>2035</v>
      </c>
      <c r="AO463" s="1">
        <v>2036</v>
      </c>
      <c r="AP463" s="1">
        <v>2037</v>
      </c>
      <c r="AQ463" s="1">
        <v>2038</v>
      </c>
      <c r="AR463" s="1">
        <v>2039</v>
      </c>
      <c r="AS463" s="1">
        <v>2040</v>
      </c>
      <c r="AT463" s="1">
        <v>2041</v>
      </c>
      <c r="AU463" s="1">
        <v>2042</v>
      </c>
      <c r="AV463" s="1">
        <v>2043</v>
      </c>
      <c r="AW463" s="1">
        <v>2044</v>
      </c>
      <c r="AX463" s="1">
        <v>2045</v>
      </c>
      <c r="AY463" s="1">
        <v>2046</v>
      </c>
      <c r="AZ463" s="1">
        <v>2047</v>
      </c>
      <c r="BA463" s="1">
        <v>2048</v>
      </c>
      <c r="BB463" s="1">
        <v>2049</v>
      </c>
      <c r="BC463" s="1">
        <v>2050</v>
      </c>
    </row>
    <row r="464" spans="1:55">
      <c r="A464" s="1" t="str">
        <f>'Population Definitions'!$A$2</f>
        <v>PWID_males</v>
      </c>
      <c r="C464" t="s">
        <v>32</v>
      </c>
      <c r="D464" s="3"/>
      <c r="E464" s="3">
        <v>16.16766319997403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</row>
    <row r="465" spans="1:55">
      <c r="A465" s="1" t="str">
        <f>'Population Definitions'!$A$3</f>
        <v>PWID_females</v>
      </c>
      <c r="C465" t="s">
        <v>32</v>
      </c>
      <c r="D465" s="3"/>
      <c r="E465" s="3">
        <v>4.950909107760001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</row>
    <row r="466" spans="1:55">
      <c r="A466" s="1" t="str">
        <f>'Population Definitions'!$A$4</f>
        <v>0-9_males</v>
      </c>
      <c r="C466" t="s">
        <v>32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Definitions'!$A$5</f>
        <v>0-9_females</v>
      </c>
      <c r="C467" t="s">
        <v>32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Definitions'!$A$6</f>
        <v>10-17_males</v>
      </c>
      <c r="C468" t="s">
        <v>32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Definitions'!$A$7</f>
        <v>10-17_females</v>
      </c>
      <c r="C469" t="s">
        <v>32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Definitions'!$A$8</f>
        <v>18-64_males</v>
      </c>
      <c r="C470" t="s">
        <v>32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Definitions'!$A$9</f>
        <v>18-64_females</v>
      </c>
      <c r="C471" t="s">
        <v>32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Definitions'!$A$10</f>
        <v>65+_males</v>
      </c>
      <c r="C472" t="s">
        <v>32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Definitions'!$A$11</f>
        <v>65+_females</v>
      </c>
      <c r="C473" t="s">
        <v>32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Definitions'!$A$12</f>
        <v>Prisoners_males</v>
      </c>
      <c r="C474" t="s">
        <v>32</v>
      </c>
      <c r="D474" s="3"/>
      <c r="E474" s="3">
        <v>17.4172362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Definitions'!$A$13</f>
        <v>Prisoners_females</v>
      </c>
      <c r="C475" t="s">
        <v>32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7" spans="1:55">
      <c r="A477" s="1" t="s">
        <v>160</v>
      </c>
      <c r="B477" s="1" t="s">
        <v>29</v>
      </c>
      <c r="C477" s="1" t="s">
        <v>30</v>
      </c>
      <c r="D477" s="1" t="s">
        <v>31</v>
      </c>
      <c r="E477" s="1">
        <v>2000</v>
      </c>
      <c r="F477" s="1">
        <v>2001</v>
      </c>
      <c r="G477" s="1">
        <v>2002</v>
      </c>
      <c r="H477" s="1">
        <v>2003</v>
      </c>
      <c r="I477" s="1">
        <v>2004</v>
      </c>
      <c r="J477" s="1">
        <v>2005</v>
      </c>
      <c r="K477" s="1">
        <v>2006</v>
      </c>
      <c r="L477" s="1">
        <v>2007</v>
      </c>
      <c r="M477" s="1">
        <v>2008</v>
      </c>
      <c r="N477" s="1">
        <v>2009</v>
      </c>
      <c r="O477" s="1">
        <v>2010</v>
      </c>
      <c r="P477" s="1">
        <v>2011</v>
      </c>
      <c r="Q477" s="1">
        <v>2012</v>
      </c>
      <c r="R477" s="1">
        <v>2013</v>
      </c>
      <c r="S477" s="1">
        <v>2014</v>
      </c>
      <c r="T477" s="1">
        <v>2015</v>
      </c>
      <c r="U477" s="1">
        <v>2016</v>
      </c>
      <c r="V477" s="1">
        <v>2017</v>
      </c>
      <c r="W477" s="1">
        <v>2018</v>
      </c>
      <c r="X477" s="1">
        <v>2019</v>
      </c>
      <c r="Y477" s="1">
        <v>2020</v>
      </c>
      <c r="Z477" s="1">
        <v>2021</v>
      </c>
      <c r="AA477" s="1">
        <v>2022</v>
      </c>
      <c r="AB477" s="1">
        <v>2023</v>
      </c>
      <c r="AC477" s="1">
        <v>2024</v>
      </c>
      <c r="AD477" s="1">
        <v>2025</v>
      </c>
      <c r="AE477" s="1">
        <v>2026</v>
      </c>
      <c r="AF477" s="1">
        <v>2027</v>
      </c>
      <c r="AG477" s="1">
        <v>2028</v>
      </c>
      <c r="AH477" s="1">
        <v>2029</v>
      </c>
      <c r="AI477" s="1">
        <v>2030</v>
      </c>
      <c r="AJ477" s="1">
        <v>2031</v>
      </c>
      <c r="AK477" s="1">
        <v>2032</v>
      </c>
      <c r="AL477" s="1">
        <v>2033</v>
      </c>
      <c r="AM477" s="1">
        <v>2034</v>
      </c>
      <c r="AN477" s="1">
        <v>2035</v>
      </c>
      <c r="AO477" s="1">
        <v>2036</v>
      </c>
      <c r="AP477" s="1">
        <v>2037</v>
      </c>
      <c r="AQ477" s="1">
        <v>2038</v>
      </c>
      <c r="AR477" s="1">
        <v>2039</v>
      </c>
      <c r="AS477" s="1">
        <v>2040</v>
      </c>
      <c r="AT477" s="1">
        <v>2041</v>
      </c>
      <c r="AU477" s="1">
        <v>2042</v>
      </c>
      <c r="AV477" s="1">
        <v>2043</v>
      </c>
      <c r="AW477" s="1">
        <v>2044</v>
      </c>
      <c r="AX477" s="1">
        <v>2045</v>
      </c>
      <c r="AY477" s="1">
        <v>2046</v>
      </c>
      <c r="AZ477" s="1">
        <v>2047</v>
      </c>
      <c r="BA477" s="1">
        <v>2048</v>
      </c>
      <c r="BB477" s="1">
        <v>2049</v>
      </c>
      <c r="BC477" s="1">
        <v>2050</v>
      </c>
    </row>
    <row r="478" spans="1:55">
      <c r="A478" s="1" t="str">
        <f>'Population Definitions'!$A$2</f>
        <v>PWID_males</v>
      </c>
      <c r="C478" t="s">
        <v>32</v>
      </c>
      <c r="D478" s="3"/>
      <c r="E478" s="3">
        <v>16.16766319997403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Definitions'!$A$3</f>
        <v>PWID_females</v>
      </c>
      <c r="C479" t="s">
        <v>32</v>
      </c>
      <c r="D479" s="3"/>
      <c r="E479" s="3">
        <v>4.950909107760001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0" spans="1:55">
      <c r="A480" s="1" t="str">
        <f>'Population Definitions'!$A$4</f>
        <v>0-9_males</v>
      </c>
      <c r="C480" t="s">
        <v>32</v>
      </c>
      <c r="D480" s="3"/>
      <c r="E480" s="3">
        <v>0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</row>
    <row r="481" spans="1:55">
      <c r="A481" s="1" t="str">
        <f>'Population Definitions'!$A$5</f>
        <v>0-9_females</v>
      </c>
      <c r="C481" t="s">
        <v>32</v>
      </c>
      <c r="D481" s="3"/>
      <c r="E481" s="3">
        <v>0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</row>
    <row r="482" spans="1:55">
      <c r="A482" s="1" t="str">
        <f>'Population Definitions'!$A$6</f>
        <v>10-17_males</v>
      </c>
      <c r="C482" t="s">
        <v>32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Definitions'!$A$7</f>
        <v>10-17_females</v>
      </c>
      <c r="C483" t="s">
        <v>32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Definitions'!$A$8</f>
        <v>18-64_males</v>
      </c>
      <c r="C484" t="s">
        <v>32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Definitions'!$A$9</f>
        <v>18-64_females</v>
      </c>
      <c r="C485" t="s">
        <v>32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Definitions'!$A$10</f>
        <v>65+_males</v>
      </c>
      <c r="C486" t="s">
        <v>32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Definitions'!$A$11</f>
        <v>65+_females</v>
      </c>
      <c r="C487" t="s">
        <v>32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Definitions'!$A$12</f>
        <v>Prisoners_males</v>
      </c>
      <c r="C488" t="s">
        <v>32</v>
      </c>
      <c r="D488" s="3"/>
      <c r="E488" s="3">
        <v>17.4172362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Definitions'!$A$13</f>
        <v>Prisoners_females</v>
      </c>
      <c r="C489" t="s">
        <v>32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1" spans="1:55">
      <c r="A491" s="1" t="s">
        <v>161</v>
      </c>
      <c r="B491" s="1" t="s">
        <v>29</v>
      </c>
      <c r="C491" s="1" t="s">
        <v>30</v>
      </c>
      <c r="D491" s="1" t="s">
        <v>31</v>
      </c>
      <c r="E491" s="1">
        <v>2000</v>
      </c>
      <c r="F491" s="1">
        <v>2001</v>
      </c>
      <c r="G491" s="1">
        <v>2002</v>
      </c>
      <c r="H491" s="1">
        <v>2003</v>
      </c>
      <c r="I491" s="1">
        <v>2004</v>
      </c>
      <c r="J491" s="1">
        <v>2005</v>
      </c>
      <c r="K491" s="1">
        <v>2006</v>
      </c>
      <c r="L491" s="1">
        <v>2007</v>
      </c>
      <c r="M491" s="1">
        <v>2008</v>
      </c>
      <c r="N491" s="1">
        <v>2009</v>
      </c>
      <c r="O491" s="1">
        <v>2010</v>
      </c>
      <c r="P491" s="1">
        <v>2011</v>
      </c>
      <c r="Q491" s="1">
        <v>2012</v>
      </c>
      <c r="R491" s="1">
        <v>2013</v>
      </c>
      <c r="S491" s="1">
        <v>2014</v>
      </c>
      <c r="T491" s="1">
        <v>2015</v>
      </c>
      <c r="U491" s="1">
        <v>2016</v>
      </c>
      <c r="V491" s="1">
        <v>2017</v>
      </c>
      <c r="W491" s="1">
        <v>2018</v>
      </c>
      <c r="X491" s="1">
        <v>2019</v>
      </c>
      <c r="Y491" s="1">
        <v>2020</v>
      </c>
      <c r="Z491" s="1">
        <v>2021</v>
      </c>
      <c r="AA491" s="1">
        <v>2022</v>
      </c>
      <c r="AB491" s="1">
        <v>2023</v>
      </c>
      <c r="AC491" s="1">
        <v>2024</v>
      </c>
      <c r="AD491" s="1">
        <v>2025</v>
      </c>
      <c r="AE491" s="1">
        <v>2026</v>
      </c>
      <c r="AF491" s="1">
        <v>2027</v>
      </c>
      <c r="AG491" s="1">
        <v>2028</v>
      </c>
      <c r="AH491" s="1">
        <v>2029</v>
      </c>
      <c r="AI491" s="1">
        <v>2030</v>
      </c>
      <c r="AJ491" s="1">
        <v>2031</v>
      </c>
      <c r="AK491" s="1">
        <v>2032</v>
      </c>
      <c r="AL491" s="1">
        <v>2033</v>
      </c>
      <c r="AM491" s="1">
        <v>2034</v>
      </c>
      <c r="AN491" s="1">
        <v>2035</v>
      </c>
      <c r="AO491" s="1">
        <v>2036</v>
      </c>
      <c r="AP491" s="1">
        <v>2037</v>
      </c>
      <c r="AQ491" s="1">
        <v>2038</v>
      </c>
      <c r="AR491" s="1">
        <v>2039</v>
      </c>
      <c r="AS491" s="1">
        <v>2040</v>
      </c>
      <c r="AT491" s="1">
        <v>2041</v>
      </c>
      <c r="AU491" s="1">
        <v>2042</v>
      </c>
      <c r="AV491" s="1">
        <v>2043</v>
      </c>
      <c r="AW491" s="1">
        <v>2044</v>
      </c>
      <c r="AX491" s="1">
        <v>2045</v>
      </c>
      <c r="AY491" s="1">
        <v>2046</v>
      </c>
      <c r="AZ491" s="1">
        <v>2047</v>
      </c>
      <c r="BA491" s="1">
        <v>2048</v>
      </c>
      <c r="BB491" s="1">
        <v>2049</v>
      </c>
      <c r="BC491" s="1">
        <v>2050</v>
      </c>
    </row>
    <row r="492" spans="1:55">
      <c r="A492" s="1" t="str">
        <f>'Population Definitions'!$A$2</f>
        <v>PWID_males</v>
      </c>
      <c r="C492" t="s">
        <v>32</v>
      </c>
      <c r="D492" s="3"/>
      <c r="E492" s="3">
        <v>4.041915799993507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Definitions'!$A$3</f>
        <v>PWID_females</v>
      </c>
      <c r="C493" t="s">
        <v>32</v>
      </c>
      <c r="D493" s="3"/>
      <c r="E493" s="3">
        <v>1.23772727694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Definitions'!$A$4</f>
        <v>0-9_males</v>
      </c>
      <c r="C494" t="s">
        <v>32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Definitions'!$A$5</f>
        <v>0-9_females</v>
      </c>
      <c r="C495" t="s">
        <v>32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6" spans="1:55">
      <c r="A496" s="1" t="str">
        <f>'Population Definitions'!$A$6</f>
        <v>10-17_males</v>
      </c>
      <c r="C496" t="s">
        <v>32</v>
      </c>
      <c r="D496" s="3"/>
      <c r="E496" s="3">
        <v>0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</row>
    <row r="497" spans="1:55">
      <c r="A497" s="1" t="str">
        <f>'Population Definitions'!$A$7</f>
        <v>10-17_females</v>
      </c>
      <c r="C497" t="s">
        <v>32</v>
      </c>
      <c r="D497" s="3"/>
      <c r="E497" s="3">
        <v>0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</row>
    <row r="498" spans="1:55">
      <c r="A498" s="1" t="str">
        <f>'Population Definitions'!$A$8</f>
        <v>18-64_males</v>
      </c>
      <c r="C498" t="s">
        <v>32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Definitions'!$A$9</f>
        <v>18-64_females</v>
      </c>
      <c r="C499" t="s">
        <v>32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Definitions'!$A$10</f>
        <v>65+_males</v>
      </c>
      <c r="C500" t="s">
        <v>32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Definitions'!$A$11</f>
        <v>65+_females</v>
      </c>
      <c r="C501" t="s">
        <v>32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Definitions'!$A$12</f>
        <v>Prisoners_males</v>
      </c>
      <c r="C502" t="s">
        <v>32</v>
      </c>
      <c r="D502" s="3"/>
      <c r="E502" s="3">
        <v>4.35430905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Definitions'!$A$13</f>
        <v>Prisoners_females</v>
      </c>
      <c r="C503" t="s">
        <v>32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5" spans="1:55">
      <c r="A505" s="1" t="s">
        <v>162</v>
      </c>
      <c r="B505" s="1" t="s">
        <v>29</v>
      </c>
      <c r="C505" s="1" t="s">
        <v>30</v>
      </c>
      <c r="D505" s="1" t="s">
        <v>31</v>
      </c>
      <c r="E505" s="1">
        <v>2000</v>
      </c>
      <c r="F505" s="1">
        <v>2001</v>
      </c>
      <c r="G505" s="1">
        <v>2002</v>
      </c>
      <c r="H505" s="1">
        <v>2003</v>
      </c>
      <c r="I505" s="1">
        <v>2004</v>
      </c>
      <c r="J505" s="1">
        <v>2005</v>
      </c>
      <c r="K505" s="1">
        <v>2006</v>
      </c>
      <c r="L505" s="1">
        <v>2007</v>
      </c>
      <c r="M505" s="1">
        <v>2008</v>
      </c>
      <c r="N505" s="1">
        <v>2009</v>
      </c>
      <c r="O505" s="1">
        <v>2010</v>
      </c>
      <c r="P505" s="1">
        <v>2011</v>
      </c>
      <c r="Q505" s="1">
        <v>2012</v>
      </c>
      <c r="R505" s="1">
        <v>2013</v>
      </c>
      <c r="S505" s="1">
        <v>2014</v>
      </c>
      <c r="T505" s="1">
        <v>2015</v>
      </c>
      <c r="U505" s="1">
        <v>2016</v>
      </c>
      <c r="V505" s="1">
        <v>2017</v>
      </c>
      <c r="W505" s="1">
        <v>2018</v>
      </c>
      <c r="X505" s="1">
        <v>2019</v>
      </c>
      <c r="Y505" s="1">
        <v>2020</v>
      </c>
      <c r="Z505" s="1">
        <v>2021</v>
      </c>
      <c r="AA505" s="1">
        <v>2022</v>
      </c>
      <c r="AB505" s="1">
        <v>2023</v>
      </c>
      <c r="AC505" s="1">
        <v>2024</v>
      </c>
      <c r="AD505" s="1">
        <v>2025</v>
      </c>
      <c r="AE505" s="1">
        <v>2026</v>
      </c>
      <c r="AF505" s="1">
        <v>2027</v>
      </c>
      <c r="AG505" s="1">
        <v>2028</v>
      </c>
      <c r="AH505" s="1">
        <v>2029</v>
      </c>
      <c r="AI505" s="1">
        <v>2030</v>
      </c>
      <c r="AJ505" s="1">
        <v>2031</v>
      </c>
      <c r="AK505" s="1">
        <v>2032</v>
      </c>
      <c r="AL505" s="1">
        <v>2033</v>
      </c>
      <c r="AM505" s="1">
        <v>2034</v>
      </c>
      <c r="AN505" s="1">
        <v>2035</v>
      </c>
      <c r="AO505" s="1">
        <v>2036</v>
      </c>
      <c r="AP505" s="1">
        <v>2037</v>
      </c>
      <c r="AQ505" s="1">
        <v>2038</v>
      </c>
      <c r="AR505" s="1">
        <v>2039</v>
      </c>
      <c r="AS505" s="1">
        <v>2040</v>
      </c>
      <c r="AT505" s="1">
        <v>2041</v>
      </c>
      <c r="AU505" s="1">
        <v>2042</v>
      </c>
      <c r="AV505" s="1">
        <v>2043</v>
      </c>
      <c r="AW505" s="1">
        <v>2044</v>
      </c>
      <c r="AX505" s="1">
        <v>2045</v>
      </c>
      <c r="AY505" s="1">
        <v>2046</v>
      </c>
      <c r="AZ505" s="1">
        <v>2047</v>
      </c>
      <c r="BA505" s="1">
        <v>2048</v>
      </c>
      <c r="BB505" s="1">
        <v>2049</v>
      </c>
      <c r="BC505" s="1">
        <v>2050</v>
      </c>
    </row>
    <row r="506" spans="1:55">
      <c r="A506" s="1" t="str">
        <f>'Population Definitions'!$A$2</f>
        <v>PWID_males</v>
      </c>
      <c r="C506" t="s">
        <v>32</v>
      </c>
      <c r="D506" s="3"/>
      <c r="E506" s="3">
        <v>1.154833085712431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Definitions'!$A$3</f>
        <v>PWID_females</v>
      </c>
      <c r="C507" t="s">
        <v>32</v>
      </c>
      <c r="D507" s="3"/>
      <c r="E507" s="3">
        <v>0.3536363648400001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Definitions'!$A$4</f>
        <v>0-9_males</v>
      </c>
      <c r="C508" t="s">
        <v>32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Definitions'!$A$5</f>
        <v>0-9_females</v>
      </c>
      <c r="C509" t="s">
        <v>32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Definitions'!$A$6</f>
        <v>10-17_males</v>
      </c>
      <c r="C510" t="s">
        <v>32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Definitions'!$A$7</f>
        <v>10-17_females</v>
      </c>
      <c r="C511" t="s">
        <v>32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2" spans="1:55">
      <c r="A512" s="1" t="str">
        <f>'Population Definitions'!$A$8</f>
        <v>18-64_males</v>
      </c>
      <c r="C512" t="s">
        <v>32</v>
      </c>
      <c r="D512" s="3"/>
      <c r="E512" s="3">
        <v>0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</row>
    <row r="513" spans="1:55">
      <c r="A513" s="1" t="str">
        <f>'Population Definitions'!$A$9</f>
        <v>18-64_females</v>
      </c>
      <c r="C513" t="s">
        <v>32</v>
      </c>
      <c r="D513" s="3"/>
      <c r="E513" s="3">
        <v>0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</row>
    <row r="514" spans="1:55">
      <c r="A514" s="1" t="str">
        <f>'Population Definitions'!$A$10</f>
        <v>65+_males</v>
      </c>
      <c r="C514" t="s">
        <v>32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Definitions'!$A$11</f>
        <v>65+_females</v>
      </c>
      <c r="C515" t="s">
        <v>32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Definitions'!$A$12</f>
        <v>Prisoners_males</v>
      </c>
      <c r="C516" t="s">
        <v>32</v>
      </c>
      <c r="D516" s="3"/>
      <c r="E516" s="3">
        <v>1.2440883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Definitions'!$A$13</f>
        <v>Prisoners_females</v>
      </c>
      <c r="C517" t="s">
        <v>32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9" spans="1:55">
      <c r="A519" s="1" t="s">
        <v>163</v>
      </c>
      <c r="B519" s="1" t="s">
        <v>29</v>
      </c>
      <c r="C519" s="1" t="s">
        <v>30</v>
      </c>
      <c r="D519" s="1" t="s">
        <v>31</v>
      </c>
      <c r="E519" s="1">
        <v>2000</v>
      </c>
      <c r="F519" s="1">
        <v>2001</v>
      </c>
      <c r="G519" s="1">
        <v>2002</v>
      </c>
      <c r="H519" s="1">
        <v>2003</v>
      </c>
      <c r="I519" s="1">
        <v>2004</v>
      </c>
      <c r="J519" s="1">
        <v>2005</v>
      </c>
      <c r="K519" s="1">
        <v>2006</v>
      </c>
      <c r="L519" s="1">
        <v>2007</v>
      </c>
      <c r="M519" s="1">
        <v>2008</v>
      </c>
      <c r="N519" s="1">
        <v>2009</v>
      </c>
      <c r="O519" s="1">
        <v>2010</v>
      </c>
      <c r="P519" s="1">
        <v>2011</v>
      </c>
      <c r="Q519" s="1">
        <v>2012</v>
      </c>
      <c r="R519" s="1">
        <v>2013</v>
      </c>
      <c r="S519" s="1">
        <v>2014</v>
      </c>
      <c r="T519" s="1">
        <v>2015</v>
      </c>
      <c r="U519" s="1">
        <v>2016</v>
      </c>
      <c r="V519" s="1">
        <v>2017</v>
      </c>
      <c r="W519" s="1">
        <v>2018</v>
      </c>
      <c r="X519" s="1">
        <v>2019</v>
      </c>
      <c r="Y519" s="1">
        <v>2020</v>
      </c>
      <c r="Z519" s="1">
        <v>2021</v>
      </c>
      <c r="AA519" s="1">
        <v>2022</v>
      </c>
      <c r="AB519" s="1">
        <v>2023</v>
      </c>
      <c r="AC519" s="1">
        <v>2024</v>
      </c>
      <c r="AD519" s="1">
        <v>2025</v>
      </c>
      <c r="AE519" s="1">
        <v>2026</v>
      </c>
      <c r="AF519" s="1">
        <v>2027</v>
      </c>
      <c r="AG519" s="1">
        <v>2028</v>
      </c>
      <c r="AH519" s="1">
        <v>2029</v>
      </c>
      <c r="AI519" s="1">
        <v>2030</v>
      </c>
      <c r="AJ519" s="1">
        <v>2031</v>
      </c>
      <c r="AK519" s="1">
        <v>2032</v>
      </c>
      <c r="AL519" s="1">
        <v>2033</v>
      </c>
      <c r="AM519" s="1">
        <v>2034</v>
      </c>
      <c r="AN519" s="1">
        <v>2035</v>
      </c>
      <c r="AO519" s="1">
        <v>2036</v>
      </c>
      <c r="AP519" s="1">
        <v>2037</v>
      </c>
      <c r="AQ519" s="1">
        <v>2038</v>
      </c>
      <c r="AR519" s="1">
        <v>2039</v>
      </c>
      <c r="AS519" s="1">
        <v>2040</v>
      </c>
      <c r="AT519" s="1">
        <v>2041</v>
      </c>
      <c r="AU519" s="1">
        <v>2042</v>
      </c>
      <c r="AV519" s="1">
        <v>2043</v>
      </c>
      <c r="AW519" s="1">
        <v>2044</v>
      </c>
      <c r="AX519" s="1">
        <v>2045</v>
      </c>
      <c r="AY519" s="1">
        <v>2046</v>
      </c>
      <c r="AZ519" s="1">
        <v>2047</v>
      </c>
      <c r="BA519" s="1">
        <v>2048</v>
      </c>
      <c r="BB519" s="1">
        <v>2049</v>
      </c>
      <c r="BC519" s="1">
        <v>2050</v>
      </c>
    </row>
    <row r="520" spans="1:55">
      <c r="A520" s="1" t="str">
        <f>'Population Definitions'!$A$2</f>
        <v>PWID_males</v>
      </c>
      <c r="C520" t="s">
        <v>32</v>
      </c>
      <c r="D520" s="3"/>
      <c r="E520" s="3">
        <v>0.7698887238082871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Definitions'!$A$3</f>
        <v>PWID_females</v>
      </c>
      <c r="C521" t="s">
        <v>32</v>
      </c>
      <c r="D521" s="3"/>
      <c r="E521" s="3">
        <v>0.2357575765600001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Definitions'!$A$4</f>
        <v>0-9_males</v>
      </c>
      <c r="C522" t="s">
        <v>32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Definitions'!$A$5</f>
        <v>0-9_females</v>
      </c>
      <c r="C523" t="s">
        <v>32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Definitions'!$A$6</f>
        <v>10-17_males</v>
      </c>
      <c r="C524" t="s">
        <v>32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Definitions'!$A$7</f>
        <v>10-17_females</v>
      </c>
      <c r="C525" t="s">
        <v>32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Definitions'!$A$8</f>
        <v>18-64_males</v>
      </c>
      <c r="C526" t="s">
        <v>32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Definitions'!$A$9</f>
        <v>18-64_females</v>
      </c>
      <c r="C527" t="s">
        <v>32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8" spans="1:55">
      <c r="A528" s="1" t="str">
        <f>'Population Definitions'!$A$10</f>
        <v>65+_males</v>
      </c>
      <c r="C528" t="s">
        <v>32</v>
      </c>
      <c r="D528" s="3"/>
      <c r="E528" s="3">
        <v>0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</row>
    <row r="529" spans="1:55">
      <c r="A529" s="1" t="str">
        <f>'Population Definitions'!$A$11</f>
        <v>65+_females</v>
      </c>
      <c r="C529" t="s">
        <v>32</v>
      </c>
      <c r="D529" s="3"/>
      <c r="E529" s="3">
        <v>0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</row>
    <row r="530" spans="1:55">
      <c r="A530" s="1" t="str">
        <f>'Population Definitions'!$A$12</f>
        <v>Prisoners_males</v>
      </c>
      <c r="C530" t="s">
        <v>32</v>
      </c>
      <c r="D530" s="3"/>
      <c r="E530" s="3">
        <v>0.8293922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Definitions'!$A$13</f>
        <v>Prisoners_females</v>
      </c>
      <c r="C531" t="s">
        <v>32</v>
      </c>
      <c r="D531" s="3"/>
      <c r="E531" s="3">
        <v>0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3" spans="1:55">
      <c r="A533" s="1" t="s">
        <v>164</v>
      </c>
      <c r="B533" s="1" t="s">
        <v>29</v>
      </c>
      <c r="C533" s="1" t="s">
        <v>30</v>
      </c>
      <c r="D533" s="1" t="s">
        <v>31</v>
      </c>
      <c r="E533" s="1">
        <v>2000</v>
      </c>
      <c r="F533" s="1">
        <v>2001</v>
      </c>
      <c r="G533" s="1">
        <v>2002</v>
      </c>
      <c r="H533" s="1">
        <v>2003</v>
      </c>
      <c r="I533" s="1">
        <v>2004</v>
      </c>
      <c r="J533" s="1">
        <v>2005</v>
      </c>
      <c r="K533" s="1">
        <v>2006</v>
      </c>
      <c r="L533" s="1">
        <v>2007</v>
      </c>
      <c r="M533" s="1">
        <v>2008</v>
      </c>
      <c r="N533" s="1">
        <v>2009</v>
      </c>
      <c r="O533" s="1">
        <v>2010</v>
      </c>
      <c r="P533" s="1">
        <v>2011</v>
      </c>
      <c r="Q533" s="1">
        <v>2012</v>
      </c>
      <c r="R533" s="1">
        <v>2013</v>
      </c>
      <c r="S533" s="1">
        <v>2014</v>
      </c>
      <c r="T533" s="1">
        <v>2015</v>
      </c>
      <c r="U533" s="1">
        <v>2016</v>
      </c>
      <c r="V533" s="1">
        <v>2017</v>
      </c>
      <c r="W533" s="1">
        <v>2018</v>
      </c>
      <c r="X533" s="1">
        <v>2019</v>
      </c>
      <c r="Y533" s="1">
        <v>2020</v>
      </c>
      <c r="Z533" s="1">
        <v>2021</v>
      </c>
      <c r="AA533" s="1">
        <v>2022</v>
      </c>
      <c r="AB533" s="1">
        <v>2023</v>
      </c>
      <c r="AC533" s="1">
        <v>2024</v>
      </c>
      <c r="AD533" s="1">
        <v>2025</v>
      </c>
      <c r="AE533" s="1">
        <v>2026</v>
      </c>
      <c r="AF533" s="1">
        <v>2027</v>
      </c>
      <c r="AG533" s="1">
        <v>2028</v>
      </c>
      <c r="AH533" s="1">
        <v>2029</v>
      </c>
      <c r="AI533" s="1">
        <v>2030</v>
      </c>
      <c r="AJ533" s="1">
        <v>2031</v>
      </c>
      <c r="AK533" s="1">
        <v>2032</v>
      </c>
      <c r="AL533" s="1">
        <v>2033</v>
      </c>
      <c r="AM533" s="1">
        <v>2034</v>
      </c>
      <c r="AN533" s="1">
        <v>2035</v>
      </c>
      <c r="AO533" s="1">
        <v>2036</v>
      </c>
      <c r="AP533" s="1">
        <v>2037</v>
      </c>
      <c r="AQ533" s="1">
        <v>2038</v>
      </c>
      <c r="AR533" s="1">
        <v>2039</v>
      </c>
      <c r="AS533" s="1">
        <v>2040</v>
      </c>
      <c r="AT533" s="1">
        <v>2041</v>
      </c>
      <c r="AU533" s="1">
        <v>2042</v>
      </c>
      <c r="AV533" s="1">
        <v>2043</v>
      </c>
      <c r="AW533" s="1">
        <v>2044</v>
      </c>
      <c r="AX533" s="1">
        <v>2045</v>
      </c>
      <c r="AY533" s="1">
        <v>2046</v>
      </c>
      <c r="AZ533" s="1">
        <v>2047</v>
      </c>
      <c r="BA533" s="1">
        <v>2048</v>
      </c>
      <c r="BB533" s="1">
        <v>2049</v>
      </c>
      <c r="BC533" s="1">
        <v>2050</v>
      </c>
    </row>
    <row r="534" spans="1:55">
      <c r="A534" s="1" t="str">
        <f>'Population Definitions'!$A$2</f>
        <v>PWID_males</v>
      </c>
      <c r="C534" t="s">
        <v>32</v>
      </c>
      <c r="D534" s="3"/>
      <c r="E534" s="3">
        <v>0.1732249628568646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Definitions'!$A$3</f>
        <v>PWID_females</v>
      </c>
      <c r="C535" t="s">
        <v>32</v>
      </c>
      <c r="D535" s="3"/>
      <c r="E535" s="3">
        <v>0.05304545472600002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Definitions'!$A$4</f>
        <v>0-9_males</v>
      </c>
      <c r="C536" t="s">
        <v>32</v>
      </c>
      <c r="D536" s="3"/>
      <c r="E536" s="3">
        <v>0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Definitions'!$A$5</f>
        <v>0-9_females</v>
      </c>
      <c r="C537" t="s">
        <v>32</v>
      </c>
      <c r="D537" s="3"/>
      <c r="E537" s="3">
        <v>0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Definitions'!$A$6</f>
        <v>10-17_males</v>
      </c>
      <c r="C538" t="s">
        <v>32</v>
      </c>
      <c r="D538" s="3"/>
      <c r="E538" s="3">
        <v>0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Definitions'!$A$7</f>
        <v>10-17_females</v>
      </c>
      <c r="C539" t="s">
        <v>32</v>
      </c>
      <c r="D539" s="3"/>
      <c r="E539" s="3">
        <v>0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Definitions'!$A$8</f>
        <v>18-64_males</v>
      </c>
      <c r="C540" t="s">
        <v>32</v>
      </c>
      <c r="D540" s="3"/>
      <c r="E540" s="3">
        <v>0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Definitions'!$A$9</f>
        <v>18-64_females</v>
      </c>
      <c r="C541" t="s">
        <v>32</v>
      </c>
      <c r="D541" s="3"/>
      <c r="E541" s="3">
        <v>0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Definitions'!$A$10</f>
        <v>65+_males</v>
      </c>
      <c r="C542" t="s">
        <v>32</v>
      </c>
      <c r="D542" s="3"/>
      <c r="E542" s="3">
        <v>0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Definitions'!$A$11</f>
        <v>65+_females</v>
      </c>
      <c r="C543" t="s">
        <v>32</v>
      </c>
      <c r="D543" s="3"/>
      <c r="E543" s="3">
        <v>0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4" spans="1:55">
      <c r="A544" s="1" t="str">
        <f>'Population Definitions'!$A$12</f>
        <v>Prisoners_males</v>
      </c>
      <c r="C544" t="s">
        <v>32</v>
      </c>
      <c r="D544" s="3"/>
      <c r="E544" s="3">
        <v>0.186613245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</row>
    <row r="545" spans="1:55">
      <c r="A545" s="1" t="str">
        <f>'Population Definitions'!$A$13</f>
        <v>Prisoners_females</v>
      </c>
      <c r="C545" t="s">
        <v>32</v>
      </c>
      <c r="D545" s="3"/>
      <c r="E545" s="3">
        <v>0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</row>
    <row r="547" spans="1:55">
      <c r="A547" s="1" t="s">
        <v>165</v>
      </c>
      <c r="B547" s="1" t="s">
        <v>29</v>
      </c>
      <c r="C547" s="1" t="s">
        <v>30</v>
      </c>
      <c r="D547" s="1" t="s">
        <v>31</v>
      </c>
      <c r="E547" s="1">
        <v>2000</v>
      </c>
      <c r="F547" s="1">
        <v>2001</v>
      </c>
      <c r="G547" s="1">
        <v>2002</v>
      </c>
      <c r="H547" s="1">
        <v>2003</v>
      </c>
      <c r="I547" s="1">
        <v>2004</v>
      </c>
      <c r="J547" s="1">
        <v>2005</v>
      </c>
      <c r="K547" s="1">
        <v>2006</v>
      </c>
      <c r="L547" s="1">
        <v>2007</v>
      </c>
      <c r="M547" s="1">
        <v>2008</v>
      </c>
      <c r="N547" s="1">
        <v>2009</v>
      </c>
      <c r="O547" s="1">
        <v>2010</v>
      </c>
      <c r="P547" s="1">
        <v>2011</v>
      </c>
      <c r="Q547" s="1">
        <v>2012</v>
      </c>
      <c r="R547" s="1">
        <v>2013</v>
      </c>
      <c r="S547" s="1">
        <v>2014</v>
      </c>
      <c r="T547" s="1">
        <v>2015</v>
      </c>
      <c r="U547" s="1">
        <v>2016</v>
      </c>
      <c r="V547" s="1">
        <v>2017</v>
      </c>
      <c r="W547" s="1">
        <v>2018</v>
      </c>
      <c r="X547" s="1">
        <v>2019</v>
      </c>
      <c r="Y547" s="1">
        <v>2020</v>
      </c>
      <c r="Z547" s="1">
        <v>2021</v>
      </c>
      <c r="AA547" s="1">
        <v>2022</v>
      </c>
      <c r="AB547" s="1">
        <v>2023</v>
      </c>
      <c r="AC547" s="1">
        <v>2024</v>
      </c>
      <c r="AD547" s="1">
        <v>2025</v>
      </c>
      <c r="AE547" s="1">
        <v>2026</v>
      </c>
      <c r="AF547" s="1">
        <v>2027</v>
      </c>
      <c r="AG547" s="1">
        <v>2028</v>
      </c>
      <c r="AH547" s="1">
        <v>2029</v>
      </c>
      <c r="AI547" s="1">
        <v>2030</v>
      </c>
      <c r="AJ547" s="1">
        <v>2031</v>
      </c>
      <c r="AK547" s="1">
        <v>2032</v>
      </c>
      <c r="AL547" s="1">
        <v>2033</v>
      </c>
      <c r="AM547" s="1">
        <v>2034</v>
      </c>
      <c r="AN547" s="1">
        <v>2035</v>
      </c>
      <c r="AO547" s="1">
        <v>2036</v>
      </c>
      <c r="AP547" s="1">
        <v>2037</v>
      </c>
      <c r="AQ547" s="1">
        <v>2038</v>
      </c>
      <c r="AR547" s="1">
        <v>2039</v>
      </c>
      <c r="AS547" s="1">
        <v>2040</v>
      </c>
      <c r="AT547" s="1">
        <v>2041</v>
      </c>
      <c r="AU547" s="1">
        <v>2042</v>
      </c>
      <c r="AV547" s="1">
        <v>2043</v>
      </c>
      <c r="AW547" s="1">
        <v>2044</v>
      </c>
      <c r="AX547" s="1">
        <v>2045</v>
      </c>
      <c r="AY547" s="1">
        <v>2046</v>
      </c>
      <c r="AZ547" s="1">
        <v>2047</v>
      </c>
      <c r="BA547" s="1">
        <v>2048</v>
      </c>
      <c r="BB547" s="1">
        <v>2049</v>
      </c>
      <c r="BC547" s="1">
        <v>2050</v>
      </c>
    </row>
    <row r="548" spans="1:55">
      <c r="A548" s="1" t="str">
        <f>'Population Definitions'!$A$2</f>
        <v>PWID_males</v>
      </c>
      <c r="C548" t="s">
        <v>32</v>
      </c>
      <c r="D548" s="3"/>
      <c r="E548" s="3">
        <v>0.01924721809520933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Definitions'!$A$3</f>
        <v>PWID_females</v>
      </c>
      <c r="C549" t="s">
        <v>32</v>
      </c>
      <c r="D549" s="3"/>
      <c r="E549" s="3">
        <v>0.005893939414000662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Definitions'!$A$4</f>
        <v>0-9_males</v>
      </c>
      <c r="C550" t="s">
        <v>32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Definitions'!$A$5</f>
        <v>0-9_females</v>
      </c>
      <c r="C551" t="s">
        <v>32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Definitions'!$A$6</f>
        <v>10-17_males</v>
      </c>
      <c r="C552" t="s">
        <v>32</v>
      </c>
      <c r="D552" s="3"/>
      <c r="E552" s="3">
        <v>0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Definitions'!$A$7</f>
        <v>10-17_females</v>
      </c>
      <c r="C553" t="s">
        <v>32</v>
      </c>
      <c r="D553" s="3"/>
      <c r="E553" s="3">
        <v>0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Definitions'!$A$8</f>
        <v>18-64_males</v>
      </c>
      <c r="C554" t="s">
        <v>32</v>
      </c>
      <c r="D554" s="3"/>
      <c r="E554" s="3">
        <v>0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Definitions'!$A$9</f>
        <v>18-64_females</v>
      </c>
      <c r="C555" t="s">
        <v>32</v>
      </c>
      <c r="D555" s="3"/>
      <c r="E555" s="3">
        <v>0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Definitions'!$A$10</f>
        <v>65+_males</v>
      </c>
      <c r="C556" t="s">
        <v>32</v>
      </c>
      <c r="D556" s="3"/>
      <c r="E556" s="3">
        <v>0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Definitions'!$A$11</f>
        <v>65+_females</v>
      </c>
      <c r="C557" t="s">
        <v>32</v>
      </c>
      <c r="D557" s="3"/>
      <c r="E557" s="3">
        <v>0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Definitions'!$A$12</f>
        <v>Prisoners_males</v>
      </c>
      <c r="C558" t="s">
        <v>32</v>
      </c>
      <c r="D558" s="3"/>
      <c r="E558" s="3">
        <v>0.02073480500000232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Definitions'!$A$13</f>
        <v>Prisoners_females</v>
      </c>
      <c r="C559" t="s">
        <v>32</v>
      </c>
      <c r="D559" s="3"/>
      <c r="E559" s="3">
        <v>0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7">
      <c r="A561" s="1" t="s">
        <v>166</v>
      </c>
      <c r="B561" s="1" t="s">
        <v>29</v>
      </c>
      <c r="C561" s="1" t="s">
        <v>30</v>
      </c>
      <c r="D561" s="1" t="s">
        <v>31</v>
      </c>
      <c r="E561" s="1" t="s">
        <v>36</v>
      </c>
      <c r="F561" s="1"/>
      <c r="G561" s="1">
        <v>2000</v>
      </c>
      <c r="H561" s="1">
        <v>2001</v>
      </c>
      <c r="I561" s="1">
        <v>2002</v>
      </c>
      <c r="J561" s="1">
        <v>2003</v>
      </c>
      <c r="K561" s="1">
        <v>2004</v>
      </c>
      <c r="L561" s="1">
        <v>2005</v>
      </c>
      <c r="M561" s="1">
        <v>2006</v>
      </c>
      <c r="N561" s="1">
        <v>2007</v>
      </c>
      <c r="O561" s="1">
        <v>2008</v>
      </c>
      <c r="P561" s="1">
        <v>2009</v>
      </c>
      <c r="Q561" s="1">
        <v>2010</v>
      </c>
      <c r="R561" s="1">
        <v>2011</v>
      </c>
      <c r="S561" s="1">
        <v>2012</v>
      </c>
      <c r="T561" s="1">
        <v>2013</v>
      </c>
      <c r="U561" s="1">
        <v>2014</v>
      </c>
      <c r="V561" s="1">
        <v>2015</v>
      </c>
      <c r="W561" s="1">
        <v>2016</v>
      </c>
      <c r="X561" s="1">
        <v>2017</v>
      </c>
      <c r="Y561" s="1">
        <v>2018</v>
      </c>
      <c r="Z561" s="1">
        <v>2019</v>
      </c>
      <c r="AA561" s="1">
        <v>2020</v>
      </c>
      <c r="AB561" s="1">
        <v>2021</v>
      </c>
      <c r="AC561" s="1">
        <v>2022</v>
      </c>
      <c r="AD561" s="1">
        <v>2023</v>
      </c>
      <c r="AE561" s="1">
        <v>2024</v>
      </c>
      <c r="AF561" s="1">
        <v>2025</v>
      </c>
      <c r="AG561" s="1">
        <v>2026</v>
      </c>
      <c r="AH561" s="1">
        <v>2027</v>
      </c>
      <c r="AI561" s="1">
        <v>2028</v>
      </c>
      <c r="AJ561" s="1">
        <v>2029</v>
      </c>
      <c r="AK561" s="1">
        <v>2030</v>
      </c>
      <c r="AL561" s="1">
        <v>2031</v>
      </c>
      <c r="AM561" s="1">
        <v>2032</v>
      </c>
      <c r="AN561" s="1">
        <v>2033</v>
      </c>
      <c r="AO561" s="1">
        <v>2034</v>
      </c>
      <c r="AP561" s="1">
        <v>2035</v>
      </c>
      <c r="AQ561" s="1">
        <v>2036</v>
      </c>
      <c r="AR561" s="1">
        <v>2037</v>
      </c>
      <c r="AS561" s="1">
        <v>2038</v>
      </c>
      <c r="AT561" s="1">
        <v>2039</v>
      </c>
      <c r="AU561" s="1">
        <v>2040</v>
      </c>
      <c r="AV561" s="1">
        <v>2041</v>
      </c>
      <c r="AW561" s="1">
        <v>2042</v>
      </c>
      <c r="AX561" s="1">
        <v>2043</v>
      </c>
      <c r="AY561" s="1">
        <v>2044</v>
      </c>
      <c r="AZ561" s="1">
        <v>2045</v>
      </c>
      <c r="BA561" s="1">
        <v>2046</v>
      </c>
      <c r="BB561" s="1">
        <v>2047</v>
      </c>
      <c r="BC561" s="1">
        <v>2048</v>
      </c>
      <c r="BD561" s="1">
        <v>2049</v>
      </c>
      <c r="BE561" s="1">
        <v>2050</v>
      </c>
    </row>
    <row r="562" spans="1:57">
      <c r="A562" s="1" t="str">
        <f>'Population Definitions'!$A$2</f>
        <v>PWID_males</v>
      </c>
      <c r="C562" t="s">
        <v>32</v>
      </c>
      <c r="D562" s="3"/>
      <c r="E562" s="3">
        <v>0</v>
      </c>
      <c r="F562" s="4" t="s">
        <v>37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</row>
    <row r="563" spans="1:57">
      <c r="A563" s="1" t="str">
        <f>'Population Definitions'!$A$3</f>
        <v>PWID_females</v>
      </c>
      <c r="C563" t="s">
        <v>32</v>
      </c>
      <c r="D563" s="3"/>
      <c r="E563" s="3">
        <v>0</v>
      </c>
      <c r="F563" s="4" t="s">
        <v>37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</row>
    <row r="564" spans="1:57">
      <c r="A564" s="1" t="str">
        <f>'Population Definitions'!$A$4</f>
        <v>0-9_males</v>
      </c>
      <c r="C564" t="s">
        <v>32</v>
      </c>
      <c r="D564" s="3"/>
      <c r="E564" s="3">
        <v>0</v>
      </c>
      <c r="F564" s="4" t="s">
        <v>37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</row>
    <row r="565" spans="1:57">
      <c r="A565" s="1" t="str">
        <f>'Population Definitions'!$A$5</f>
        <v>0-9_females</v>
      </c>
      <c r="C565" t="s">
        <v>32</v>
      </c>
      <c r="D565" s="3"/>
      <c r="E565" s="3">
        <v>0</v>
      </c>
      <c r="F565" s="4" t="s">
        <v>37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</row>
    <row r="566" spans="1:57">
      <c r="A566" s="1" t="str">
        <f>'Population Definitions'!$A$6</f>
        <v>10-17_males</v>
      </c>
      <c r="C566" t="s">
        <v>32</v>
      </c>
      <c r="D566" s="3"/>
      <c r="E566" s="3">
        <v>0</v>
      </c>
      <c r="F566" s="4" t="s">
        <v>37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</row>
    <row r="567" spans="1:57">
      <c r="A567" s="1" t="str">
        <f>'Population Definitions'!$A$7</f>
        <v>10-17_females</v>
      </c>
      <c r="C567" t="s">
        <v>32</v>
      </c>
      <c r="D567" s="3"/>
      <c r="E567" s="3">
        <v>0</v>
      </c>
      <c r="F567" s="4" t="s">
        <v>37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</row>
    <row r="568" spans="1:57">
      <c r="A568" s="1" t="str">
        <f>'Population Definitions'!$A$8</f>
        <v>18-64_males</v>
      </c>
      <c r="C568" t="s">
        <v>32</v>
      </c>
      <c r="D568" s="3"/>
      <c r="E568" s="3">
        <v>0</v>
      </c>
      <c r="F568" s="4" t="s">
        <v>37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</row>
    <row r="569" spans="1:57">
      <c r="A569" s="1" t="str">
        <f>'Population Definitions'!$A$9</f>
        <v>18-64_females</v>
      </c>
      <c r="C569" t="s">
        <v>32</v>
      </c>
      <c r="D569" s="3"/>
      <c r="E569" s="3">
        <v>0</v>
      </c>
      <c r="F569" s="4" t="s">
        <v>37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</row>
    <row r="570" spans="1:57">
      <c r="A570" s="1" t="str">
        <f>'Population Definitions'!$A$10</f>
        <v>65+_males</v>
      </c>
      <c r="C570" t="s">
        <v>32</v>
      </c>
      <c r="D570" s="3"/>
      <c r="E570" s="3">
        <v>0</v>
      </c>
      <c r="F570" s="4" t="s">
        <v>37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</row>
    <row r="571" spans="1:57">
      <c r="A571" s="1" t="str">
        <f>'Population Definitions'!$A$11</f>
        <v>65+_females</v>
      </c>
      <c r="C571" t="s">
        <v>32</v>
      </c>
      <c r="D571" s="3"/>
      <c r="E571" s="3">
        <v>0</v>
      </c>
      <c r="F571" s="4" t="s">
        <v>37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</row>
    <row r="572" spans="1:57">
      <c r="A572" s="1" t="str">
        <f>'Population Definitions'!$A$12</f>
        <v>Prisoners_males</v>
      </c>
      <c r="C572" t="s">
        <v>32</v>
      </c>
      <c r="D572" s="3"/>
      <c r="E572" s="3">
        <v>0</v>
      </c>
      <c r="F572" s="4" t="s">
        <v>37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</row>
    <row r="573" spans="1:57">
      <c r="A573" s="1" t="str">
        <f>'Population Definitions'!$A$13</f>
        <v>Prisoners_females</v>
      </c>
      <c r="C573" t="s">
        <v>32</v>
      </c>
      <c r="D573" s="3"/>
      <c r="E573" s="3">
        <v>0</v>
      </c>
      <c r="F573" s="4" t="s">
        <v>37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</row>
    <row r="575" spans="1:57">
      <c r="A575" s="1" t="s">
        <v>167</v>
      </c>
      <c r="B575" s="1" t="s">
        <v>29</v>
      </c>
      <c r="C575" s="1" t="s">
        <v>30</v>
      </c>
      <c r="D575" s="1" t="s">
        <v>31</v>
      </c>
      <c r="E575" s="1">
        <v>2000</v>
      </c>
      <c r="F575" s="1">
        <v>2001</v>
      </c>
      <c r="G575" s="1">
        <v>2002</v>
      </c>
      <c r="H575" s="1">
        <v>2003</v>
      </c>
      <c r="I575" s="1">
        <v>2004</v>
      </c>
      <c r="J575" s="1">
        <v>2005</v>
      </c>
      <c r="K575" s="1">
        <v>2006</v>
      </c>
      <c r="L575" s="1">
        <v>2007</v>
      </c>
      <c r="M575" s="1">
        <v>2008</v>
      </c>
      <c r="N575" s="1">
        <v>2009</v>
      </c>
      <c r="O575" s="1">
        <v>2010</v>
      </c>
      <c r="P575" s="1">
        <v>2011</v>
      </c>
      <c r="Q575" s="1">
        <v>2012</v>
      </c>
      <c r="R575" s="1">
        <v>2013</v>
      </c>
      <c r="S575" s="1">
        <v>2014</v>
      </c>
      <c r="T575" s="1">
        <v>2015</v>
      </c>
      <c r="U575" s="1">
        <v>2016</v>
      </c>
      <c r="V575" s="1">
        <v>2017</v>
      </c>
      <c r="W575" s="1">
        <v>2018</v>
      </c>
      <c r="X575" s="1">
        <v>2019</v>
      </c>
      <c r="Y575" s="1">
        <v>2020</v>
      </c>
      <c r="Z575" s="1">
        <v>2021</v>
      </c>
      <c r="AA575" s="1">
        <v>2022</v>
      </c>
      <c r="AB575" s="1">
        <v>2023</v>
      </c>
      <c r="AC575" s="1">
        <v>2024</v>
      </c>
      <c r="AD575" s="1">
        <v>2025</v>
      </c>
      <c r="AE575" s="1">
        <v>2026</v>
      </c>
      <c r="AF575" s="1">
        <v>2027</v>
      </c>
      <c r="AG575" s="1">
        <v>2028</v>
      </c>
      <c r="AH575" s="1">
        <v>2029</v>
      </c>
      <c r="AI575" s="1">
        <v>2030</v>
      </c>
      <c r="AJ575" s="1">
        <v>2031</v>
      </c>
      <c r="AK575" s="1">
        <v>2032</v>
      </c>
      <c r="AL575" s="1">
        <v>2033</v>
      </c>
      <c r="AM575" s="1">
        <v>2034</v>
      </c>
      <c r="AN575" s="1">
        <v>2035</v>
      </c>
      <c r="AO575" s="1">
        <v>2036</v>
      </c>
      <c r="AP575" s="1">
        <v>2037</v>
      </c>
      <c r="AQ575" s="1">
        <v>2038</v>
      </c>
      <c r="AR575" s="1">
        <v>2039</v>
      </c>
      <c r="AS575" s="1">
        <v>2040</v>
      </c>
      <c r="AT575" s="1">
        <v>2041</v>
      </c>
      <c r="AU575" s="1">
        <v>2042</v>
      </c>
      <c r="AV575" s="1">
        <v>2043</v>
      </c>
      <c r="AW575" s="1">
        <v>2044</v>
      </c>
      <c r="AX575" s="1">
        <v>2045</v>
      </c>
      <c r="AY575" s="1">
        <v>2046</v>
      </c>
      <c r="AZ575" s="1">
        <v>2047</v>
      </c>
      <c r="BA575" s="1">
        <v>2048</v>
      </c>
      <c r="BB575" s="1">
        <v>2049</v>
      </c>
      <c r="BC575" s="1">
        <v>2050</v>
      </c>
    </row>
    <row r="576" spans="1:57">
      <c r="A576" s="1" t="str">
        <f>'Population Definitions'!$A$2</f>
        <v>PWID_males</v>
      </c>
      <c r="C576" t="s">
        <v>32</v>
      </c>
      <c r="D576" s="3"/>
      <c r="E576" s="3">
        <v>0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</row>
    <row r="577" spans="1:55">
      <c r="A577" s="1" t="str">
        <f>'Population Definitions'!$A$3</f>
        <v>PWID_females</v>
      </c>
      <c r="C577" t="s">
        <v>32</v>
      </c>
      <c r="D577" s="3"/>
      <c r="E577" s="3">
        <v>0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</row>
    <row r="578" spans="1:55">
      <c r="A578" s="1" t="str">
        <f>'Population Definitions'!$A$4</f>
        <v>0-9_males</v>
      </c>
      <c r="C578" t="s">
        <v>32</v>
      </c>
      <c r="D578" s="3"/>
      <c r="E578" s="3">
        <v>0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Definitions'!$A$5</f>
        <v>0-9_females</v>
      </c>
      <c r="C579" t="s">
        <v>32</v>
      </c>
      <c r="D579" s="3"/>
      <c r="E579" s="3">
        <v>0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Definitions'!$A$6</f>
        <v>10-17_males</v>
      </c>
      <c r="C580" t="s">
        <v>32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Definitions'!$A$7</f>
        <v>10-17_females</v>
      </c>
      <c r="C581" t="s">
        <v>32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Definitions'!$A$8</f>
        <v>18-64_males</v>
      </c>
      <c r="C582" t="s">
        <v>32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Definitions'!$A$9</f>
        <v>18-64_females</v>
      </c>
      <c r="C583" t="s">
        <v>32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Definitions'!$A$10</f>
        <v>65+_males</v>
      </c>
      <c r="C584" t="s">
        <v>32</v>
      </c>
      <c r="D584" s="3"/>
      <c r="E584" s="3">
        <v>0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Definitions'!$A$11</f>
        <v>65+_females</v>
      </c>
      <c r="C585" t="s">
        <v>32</v>
      </c>
      <c r="D585" s="3"/>
      <c r="E585" s="3">
        <v>0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Definitions'!$A$12</f>
        <v>Prisoners_males</v>
      </c>
      <c r="C586" t="s">
        <v>32</v>
      </c>
      <c r="D586" s="3"/>
      <c r="E586" s="3">
        <v>0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Definitions'!$A$13</f>
        <v>Prisoners_females</v>
      </c>
      <c r="C587" t="s">
        <v>32</v>
      </c>
      <c r="D587" s="3"/>
      <c r="E587" s="3">
        <v>0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9" spans="1:55">
      <c r="A589" s="1" t="s">
        <v>168</v>
      </c>
      <c r="B589" s="1" t="s">
        <v>29</v>
      </c>
      <c r="C589" s="1" t="s">
        <v>30</v>
      </c>
      <c r="D589" s="1" t="s">
        <v>31</v>
      </c>
      <c r="E589" s="1">
        <v>2000</v>
      </c>
      <c r="F589" s="1">
        <v>2001</v>
      </c>
      <c r="G589" s="1">
        <v>2002</v>
      </c>
      <c r="H589" s="1">
        <v>2003</v>
      </c>
      <c r="I589" s="1">
        <v>2004</v>
      </c>
      <c r="J589" s="1">
        <v>2005</v>
      </c>
      <c r="K589" s="1">
        <v>2006</v>
      </c>
      <c r="L589" s="1">
        <v>2007</v>
      </c>
      <c r="M589" s="1">
        <v>2008</v>
      </c>
      <c r="N589" s="1">
        <v>2009</v>
      </c>
      <c r="O589" s="1">
        <v>2010</v>
      </c>
      <c r="P589" s="1">
        <v>2011</v>
      </c>
      <c r="Q589" s="1">
        <v>2012</v>
      </c>
      <c r="R589" s="1">
        <v>2013</v>
      </c>
      <c r="S589" s="1">
        <v>2014</v>
      </c>
      <c r="T589" s="1">
        <v>2015</v>
      </c>
      <c r="U589" s="1">
        <v>2016</v>
      </c>
      <c r="V589" s="1">
        <v>2017</v>
      </c>
      <c r="W589" s="1">
        <v>2018</v>
      </c>
      <c r="X589" s="1">
        <v>2019</v>
      </c>
      <c r="Y589" s="1">
        <v>2020</v>
      </c>
      <c r="Z589" s="1">
        <v>2021</v>
      </c>
      <c r="AA589" s="1">
        <v>2022</v>
      </c>
      <c r="AB589" s="1">
        <v>2023</v>
      </c>
      <c r="AC589" s="1">
        <v>2024</v>
      </c>
      <c r="AD589" s="1">
        <v>2025</v>
      </c>
      <c r="AE589" s="1">
        <v>2026</v>
      </c>
      <c r="AF589" s="1">
        <v>2027</v>
      </c>
      <c r="AG589" s="1">
        <v>2028</v>
      </c>
      <c r="AH589" s="1">
        <v>2029</v>
      </c>
      <c r="AI589" s="1">
        <v>2030</v>
      </c>
      <c r="AJ589" s="1">
        <v>2031</v>
      </c>
      <c r="AK589" s="1">
        <v>2032</v>
      </c>
      <c r="AL589" s="1">
        <v>2033</v>
      </c>
      <c r="AM589" s="1">
        <v>2034</v>
      </c>
      <c r="AN589" s="1">
        <v>2035</v>
      </c>
      <c r="AO589" s="1">
        <v>2036</v>
      </c>
      <c r="AP589" s="1">
        <v>2037</v>
      </c>
      <c r="AQ589" s="1">
        <v>2038</v>
      </c>
      <c r="AR589" s="1">
        <v>2039</v>
      </c>
      <c r="AS589" s="1">
        <v>2040</v>
      </c>
      <c r="AT589" s="1">
        <v>2041</v>
      </c>
      <c r="AU589" s="1">
        <v>2042</v>
      </c>
      <c r="AV589" s="1">
        <v>2043</v>
      </c>
      <c r="AW589" s="1">
        <v>2044</v>
      </c>
      <c r="AX589" s="1">
        <v>2045</v>
      </c>
      <c r="AY589" s="1">
        <v>2046</v>
      </c>
      <c r="AZ589" s="1">
        <v>2047</v>
      </c>
      <c r="BA589" s="1">
        <v>2048</v>
      </c>
      <c r="BB589" s="1">
        <v>2049</v>
      </c>
      <c r="BC589" s="1">
        <v>2050</v>
      </c>
    </row>
    <row r="590" spans="1:55">
      <c r="A590" s="1" t="str">
        <f>'Population Definitions'!$A$2</f>
        <v>PWID_males</v>
      </c>
      <c r="C590" t="s">
        <v>32</v>
      </c>
      <c r="D590" s="3"/>
      <c r="E590" s="3">
        <v>0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Definitions'!$A$3</f>
        <v>PWID_females</v>
      </c>
      <c r="C591" t="s">
        <v>32</v>
      </c>
      <c r="D591" s="3"/>
      <c r="E591" s="3">
        <v>0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2" spans="1:55">
      <c r="A592" s="1" t="str">
        <f>'Population Definitions'!$A$4</f>
        <v>0-9_males</v>
      </c>
      <c r="C592" t="s">
        <v>32</v>
      </c>
      <c r="D592" s="3"/>
      <c r="E592" s="3">
        <v>0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</row>
    <row r="593" spans="1:55">
      <c r="A593" s="1" t="str">
        <f>'Population Definitions'!$A$5</f>
        <v>0-9_females</v>
      </c>
      <c r="C593" t="s">
        <v>32</v>
      </c>
      <c r="D593" s="3"/>
      <c r="E593" s="3">
        <v>0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</row>
    <row r="594" spans="1:55">
      <c r="A594" s="1" t="str">
        <f>'Population Definitions'!$A$6</f>
        <v>10-17_males</v>
      </c>
      <c r="C594" t="s">
        <v>32</v>
      </c>
      <c r="D594" s="3"/>
      <c r="E594" s="3">
        <v>0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Definitions'!$A$7</f>
        <v>10-17_females</v>
      </c>
      <c r="C595" t="s">
        <v>32</v>
      </c>
      <c r="D595" s="3"/>
      <c r="E595" s="3">
        <v>0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Definitions'!$A$8</f>
        <v>18-64_males</v>
      </c>
      <c r="C596" t="s">
        <v>32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Definitions'!$A$9</f>
        <v>18-64_females</v>
      </c>
      <c r="C597" t="s">
        <v>32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Definitions'!$A$10</f>
        <v>65+_males</v>
      </c>
      <c r="C598" t="s">
        <v>32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Definitions'!$A$11</f>
        <v>65+_females</v>
      </c>
      <c r="C599" t="s">
        <v>32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Definitions'!$A$12</f>
        <v>Prisoners_males</v>
      </c>
      <c r="C600" t="s">
        <v>32</v>
      </c>
      <c r="D600" s="3"/>
      <c r="E600" s="3">
        <v>0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Definitions'!$A$13</f>
        <v>Prisoners_females</v>
      </c>
      <c r="C601" t="s">
        <v>32</v>
      </c>
      <c r="D601" s="3"/>
      <c r="E601" s="3">
        <v>0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3" spans="1:55">
      <c r="A603" s="1" t="s">
        <v>169</v>
      </c>
      <c r="B603" s="1" t="s">
        <v>29</v>
      </c>
      <c r="C603" s="1" t="s">
        <v>30</v>
      </c>
      <c r="D603" s="1" t="s">
        <v>31</v>
      </c>
      <c r="E603" s="1">
        <v>2000</v>
      </c>
      <c r="F603" s="1">
        <v>2001</v>
      </c>
      <c r="G603" s="1">
        <v>2002</v>
      </c>
      <c r="H603" s="1">
        <v>2003</v>
      </c>
      <c r="I603" s="1">
        <v>2004</v>
      </c>
      <c r="J603" s="1">
        <v>2005</v>
      </c>
      <c r="K603" s="1">
        <v>2006</v>
      </c>
      <c r="L603" s="1">
        <v>2007</v>
      </c>
      <c r="M603" s="1">
        <v>2008</v>
      </c>
      <c r="N603" s="1">
        <v>2009</v>
      </c>
      <c r="O603" s="1">
        <v>2010</v>
      </c>
      <c r="P603" s="1">
        <v>2011</v>
      </c>
      <c r="Q603" s="1">
        <v>2012</v>
      </c>
      <c r="R603" s="1">
        <v>2013</v>
      </c>
      <c r="S603" s="1">
        <v>2014</v>
      </c>
      <c r="T603" s="1">
        <v>2015</v>
      </c>
      <c r="U603" s="1">
        <v>2016</v>
      </c>
      <c r="V603" s="1">
        <v>2017</v>
      </c>
      <c r="W603" s="1">
        <v>2018</v>
      </c>
      <c r="X603" s="1">
        <v>2019</v>
      </c>
      <c r="Y603" s="1">
        <v>2020</v>
      </c>
      <c r="Z603" s="1">
        <v>2021</v>
      </c>
      <c r="AA603" s="1">
        <v>2022</v>
      </c>
      <c r="AB603" s="1">
        <v>2023</v>
      </c>
      <c r="AC603" s="1">
        <v>2024</v>
      </c>
      <c r="AD603" s="1">
        <v>2025</v>
      </c>
      <c r="AE603" s="1">
        <v>2026</v>
      </c>
      <c r="AF603" s="1">
        <v>2027</v>
      </c>
      <c r="AG603" s="1">
        <v>2028</v>
      </c>
      <c r="AH603" s="1">
        <v>2029</v>
      </c>
      <c r="AI603" s="1">
        <v>2030</v>
      </c>
      <c r="AJ603" s="1">
        <v>2031</v>
      </c>
      <c r="AK603" s="1">
        <v>2032</v>
      </c>
      <c r="AL603" s="1">
        <v>2033</v>
      </c>
      <c r="AM603" s="1">
        <v>2034</v>
      </c>
      <c r="AN603" s="1">
        <v>2035</v>
      </c>
      <c r="AO603" s="1">
        <v>2036</v>
      </c>
      <c r="AP603" s="1">
        <v>2037</v>
      </c>
      <c r="AQ603" s="1">
        <v>2038</v>
      </c>
      <c r="AR603" s="1">
        <v>2039</v>
      </c>
      <c r="AS603" s="1">
        <v>2040</v>
      </c>
      <c r="AT603" s="1">
        <v>2041</v>
      </c>
      <c r="AU603" s="1">
        <v>2042</v>
      </c>
      <c r="AV603" s="1">
        <v>2043</v>
      </c>
      <c r="AW603" s="1">
        <v>2044</v>
      </c>
      <c r="AX603" s="1">
        <v>2045</v>
      </c>
      <c r="AY603" s="1">
        <v>2046</v>
      </c>
      <c r="AZ603" s="1">
        <v>2047</v>
      </c>
      <c r="BA603" s="1">
        <v>2048</v>
      </c>
      <c r="BB603" s="1">
        <v>2049</v>
      </c>
      <c r="BC603" s="1">
        <v>2050</v>
      </c>
    </row>
    <row r="604" spans="1:55">
      <c r="A604" s="1" t="str">
        <f>'Population Definitions'!$A$2</f>
        <v>PWID_males</v>
      </c>
      <c r="C604" t="s">
        <v>32</v>
      </c>
      <c r="D604" s="3"/>
      <c r="E604" s="3">
        <v>0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Definitions'!$A$3</f>
        <v>PWID_females</v>
      </c>
      <c r="C605" t="s">
        <v>32</v>
      </c>
      <c r="D605" s="3"/>
      <c r="E605" s="3">
        <v>0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Definitions'!$A$4</f>
        <v>0-9_males</v>
      </c>
      <c r="C606" t="s">
        <v>32</v>
      </c>
      <c r="D606" s="3"/>
      <c r="E606" s="3">
        <v>0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Definitions'!$A$5</f>
        <v>0-9_females</v>
      </c>
      <c r="C607" t="s">
        <v>32</v>
      </c>
      <c r="D607" s="3"/>
      <c r="E607" s="3">
        <v>0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8" spans="1:55">
      <c r="A608" s="1" t="str">
        <f>'Population Definitions'!$A$6</f>
        <v>10-17_males</v>
      </c>
      <c r="C608" t="s">
        <v>32</v>
      </c>
      <c r="D608" s="3"/>
      <c r="E608" s="3">
        <v>0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</row>
    <row r="609" spans="1:55">
      <c r="A609" s="1" t="str">
        <f>'Population Definitions'!$A$7</f>
        <v>10-17_females</v>
      </c>
      <c r="C609" t="s">
        <v>32</v>
      </c>
      <c r="D609" s="3"/>
      <c r="E609" s="3">
        <v>0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</row>
    <row r="610" spans="1:55">
      <c r="A610" s="1" t="str">
        <f>'Population Definitions'!$A$8</f>
        <v>18-64_males</v>
      </c>
      <c r="C610" t="s">
        <v>32</v>
      </c>
      <c r="D610" s="3"/>
      <c r="E610" s="3">
        <v>0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Definitions'!$A$9</f>
        <v>18-64_females</v>
      </c>
      <c r="C611" t="s">
        <v>32</v>
      </c>
      <c r="D611" s="3"/>
      <c r="E611" s="3">
        <v>0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Definitions'!$A$10</f>
        <v>65+_males</v>
      </c>
      <c r="C612" t="s">
        <v>32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Definitions'!$A$11</f>
        <v>65+_females</v>
      </c>
      <c r="C613" t="s">
        <v>32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Definitions'!$A$12</f>
        <v>Prisoners_males</v>
      </c>
      <c r="C614" t="s">
        <v>32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Definitions'!$A$13</f>
        <v>Prisoners_females</v>
      </c>
      <c r="C615" t="s">
        <v>32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7" spans="1:55">
      <c r="A617" s="1" t="s">
        <v>170</v>
      </c>
      <c r="B617" s="1" t="s">
        <v>29</v>
      </c>
      <c r="C617" s="1" t="s">
        <v>30</v>
      </c>
      <c r="D617" s="1" t="s">
        <v>31</v>
      </c>
      <c r="E617" s="1">
        <v>2000</v>
      </c>
      <c r="F617" s="1">
        <v>2001</v>
      </c>
      <c r="G617" s="1">
        <v>2002</v>
      </c>
      <c r="H617" s="1">
        <v>2003</v>
      </c>
      <c r="I617" s="1">
        <v>2004</v>
      </c>
      <c r="J617" s="1">
        <v>2005</v>
      </c>
      <c r="K617" s="1">
        <v>2006</v>
      </c>
      <c r="L617" s="1">
        <v>2007</v>
      </c>
      <c r="M617" s="1">
        <v>2008</v>
      </c>
      <c r="N617" s="1">
        <v>2009</v>
      </c>
      <c r="O617" s="1">
        <v>2010</v>
      </c>
      <c r="P617" s="1">
        <v>2011</v>
      </c>
      <c r="Q617" s="1">
        <v>2012</v>
      </c>
      <c r="R617" s="1">
        <v>2013</v>
      </c>
      <c r="S617" s="1">
        <v>2014</v>
      </c>
      <c r="T617" s="1">
        <v>2015</v>
      </c>
      <c r="U617" s="1">
        <v>2016</v>
      </c>
      <c r="V617" s="1">
        <v>2017</v>
      </c>
      <c r="W617" s="1">
        <v>2018</v>
      </c>
      <c r="X617" s="1">
        <v>2019</v>
      </c>
      <c r="Y617" s="1">
        <v>2020</v>
      </c>
      <c r="Z617" s="1">
        <v>2021</v>
      </c>
      <c r="AA617" s="1">
        <v>2022</v>
      </c>
      <c r="AB617" s="1">
        <v>2023</v>
      </c>
      <c r="AC617" s="1">
        <v>2024</v>
      </c>
      <c r="AD617" s="1">
        <v>2025</v>
      </c>
      <c r="AE617" s="1">
        <v>2026</v>
      </c>
      <c r="AF617" s="1">
        <v>2027</v>
      </c>
      <c r="AG617" s="1">
        <v>2028</v>
      </c>
      <c r="AH617" s="1">
        <v>2029</v>
      </c>
      <c r="AI617" s="1">
        <v>2030</v>
      </c>
      <c r="AJ617" s="1">
        <v>2031</v>
      </c>
      <c r="AK617" s="1">
        <v>2032</v>
      </c>
      <c r="AL617" s="1">
        <v>2033</v>
      </c>
      <c r="AM617" s="1">
        <v>2034</v>
      </c>
      <c r="AN617" s="1">
        <v>2035</v>
      </c>
      <c r="AO617" s="1">
        <v>2036</v>
      </c>
      <c r="AP617" s="1">
        <v>2037</v>
      </c>
      <c r="AQ617" s="1">
        <v>2038</v>
      </c>
      <c r="AR617" s="1">
        <v>2039</v>
      </c>
      <c r="AS617" s="1">
        <v>2040</v>
      </c>
      <c r="AT617" s="1">
        <v>2041</v>
      </c>
      <c r="AU617" s="1">
        <v>2042</v>
      </c>
      <c r="AV617" s="1">
        <v>2043</v>
      </c>
      <c r="AW617" s="1">
        <v>2044</v>
      </c>
      <c r="AX617" s="1">
        <v>2045</v>
      </c>
      <c r="AY617" s="1">
        <v>2046</v>
      </c>
      <c r="AZ617" s="1">
        <v>2047</v>
      </c>
      <c r="BA617" s="1">
        <v>2048</v>
      </c>
      <c r="BB617" s="1">
        <v>2049</v>
      </c>
      <c r="BC617" s="1">
        <v>2050</v>
      </c>
    </row>
    <row r="618" spans="1:55">
      <c r="A618" s="1" t="str">
        <f>'Population Definitions'!$A$2</f>
        <v>PWID_males</v>
      </c>
      <c r="C618" t="s">
        <v>32</v>
      </c>
      <c r="D618" s="3"/>
      <c r="E618" s="3">
        <v>0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Definitions'!$A$3</f>
        <v>PWID_females</v>
      </c>
      <c r="C619" t="s">
        <v>32</v>
      </c>
      <c r="D619" s="3"/>
      <c r="E619" s="3">
        <v>0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Definitions'!$A$4</f>
        <v>0-9_males</v>
      </c>
      <c r="C620" t="s">
        <v>32</v>
      </c>
      <c r="D620" s="3"/>
      <c r="E620" s="3">
        <v>0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Definitions'!$A$5</f>
        <v>0-9_females</v>
      </c>
      <c r="C621" t="s">
        <v>32</v>
      </c>
      <c r="D621" s="3"/>
      <c r="E621" s="3">
        <v>0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Definitions'!$A$6</f>
        <v>10-17_males</v>
      </c>
      <c r="C622" t="s">
        <v>32</v>
      </c>
      <c r="D622" s="3"/>
      <c r="E622" s="3">
        <v>0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Definitions'!$A$7</f>
        <v>10-17_females</v>
      </c>
      <c r="C623" t="s">
        <v>32</v>
      </c>
      <c r="D623" s="3"/>
      <c r="E623" s="3">
        <v>0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4" spans="1:55">
      <c r="A624" s="1" t="str">
        <f>'Population Definitions'!$A$8</f>
        <v>18-64_males</v>
      </c>
      <c r="C624" t="s">
        <v>32</v>
      </c>
      <c r="D624" s="3"/>
      <c r="E624" s="3">
        <v>0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</row>
    <row r="625" spans="1:55">
      <c r="A625" s="1" t="str">
        <f>'Population Definitions'!$A$9</f>
        <v>18-64_females</v>
      </c>
      <c r="C625" t="s">
        <v>32</v>
      </c>
      <c r="D625" s="3"/>
      <c r="E625" s="3">
        <v>0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</row>
    <row r="626" spans="1:55">
      <c r="A626" s="1" t="str">
        <f>'Population Definitions'!$A$10</f>
        <v>65+_males</v>
      </c>
      <c r="C626" t="s">
        <v>32</v>
      </c>
      <c r="D626" s="3"/>
      <c r="E626" s="3">
        <v>0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Definitions'!$A$11</f>
        <v>65+_females</v>
      </c>
      <c r="C627" t="s">
        <v>32</v>
      </c>
      <c r="D627" s="3"/>
      <c r="E627" s="3">
        <v>0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Definitions'!$A$12</f>
        <v>Prisoners_males</v>
      </c>
      <c r="C628" t="s">
        <v>32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Definitions'!$A$13</f>
        <v>Prisoners_females</v>
      </c>
      <c r="C629" t="s">
        <v>32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1" spans="1:55">
      <c r="A631" s="1" t="s">
        <v>171</v>
      </c>
      <c r="B631" s="1" t="s">
        <v>29</v>
      </c>
      <c r="C631" s="1" t="s">
        <v>30</v>
      </c>
      <c r="D631" s="1" t="s">
        <v>31</v>
      </c>
      <c r="E631" s="1">
        <v>2000</v>
      </c>
      <c r="F631" s="1">
        <v>2001</v>
      </c>
      <c r="G631" s="1">
        <v>2002</v>
      </c>
      <c r="H631" s="1">
        <v>2003</v>
      </c>
      <c r="I631" s="1">
        <v>2004</v>
      </c>
      <c r="J631" s="1">
        <v>2005</v>
      </c>
      <c r="K631" s="1">
        <v>2006</v>
      </c>
      <c r="L631" s="1">
        <v>2007</v>
      </c>
      <c r="M631" s="1">
        <v>2008</v>
      </c>
      <c r="N631" s="1">
        <v>2009</v>
      </c>
      <c r="O631" s="1">
        <v>2010</v>
      </c>
      <c r="P631" s="1">
        <v>2011</v>
      </c>
      <c r="Q631" s="1">
        <v>2012</v>
      </c>
      <c r="R631" s="1">
        <v>2013</v>
      </c>
      <c r="S631" s="1">
        <v>2014</v>
      </c>
      <c r="T631" s="1">
        <v>2015</v>
      </c>
      <c r="U631" s="1">
        <v>2016</v>
      </c>
      <c r="V631" s="1">
        <v>2017</v>
      </c>
      <c r="W631" s="1">
        <v>2018</v>
      </c>
      <c r="X631" s="1">
        <v>2019</v>
      </c>
      <c r="Y631" s="1">
        <v>2020</v>
      </c>
      <c r="Z631" s="1">
        <v>2021</v>
      </c>
      <c r="AA631" s="1">
        <v>2022</v>
      </c>
      <c r="AB631" s="1">
        <v>2023</v>
      </c>
      <c r="AC631" s="1">
        <v>2024</v>
      </c>
      <c r="AD631" s="1">
        <v>2025</v>
      </c>
      <c r="AE631" s="1">
        <v>2026</v>
      </c>
      <c r="AF631" s="1">
        <v>2027</v>
      </c>
      <c r="AG631" s="1">
        <v>2028</v>
      </c>
      <c r="AH631" s="1">
        <v>2029</v>
      </c>
      <c r="AI631" s="1">
        <v>2030</v>
      </c>
      <c r="AJ631" s="1">
        <v>2031</v>
      </c>
      <c r="AK631" s="1">
        <v>2032</v>
      </c>
      <c r="AL631" s="1">
        <v>2033</v>
      </c>
      <c r="AM631" s="1">
        <v>2034</v>
      </c>
      <c r="AN631" s="1">
        <v>2035</v>
      </c>
      <c r="AO631" s="1">
        <v>2036</v>
      </c>
      <c r="AP631" s="1">
        <v>2037</v>
      </c>
      <c r="AQ631" s="1">
        <v>2038</v>
      </c>
      <c r="AR631" s="1">
        <v>2039</v>
      </c>
      <c r="AS631" s="1">
        <v>2040</v>
      </c>
      <c r="AT631" s="1">
        <v>2041</v>
      </c>
      <c r="AU631" s="1">
        <v>2042</v>
      </c>
      <c r="AV631" s="1">
        <v>2043</v>
      </c>
      <c r="AW631" s="1">
        <v>2044</v>
      </c>
      <c r="AX631" s="1">
        <v>2045</v>
      </c>
      <c r="AY631" s="1">
        <v>2046</v>
      </c>
      <c r="AZ631" s="1">
        <v>2047</v>
      </c>
      <c r="BA631" s="1">
        <v>2048</v>
      </c>
      <c r="BB631" s="1">
        <v>2049</v>
      </c>
      <c r="BC631" s="1">
        <v>2050</v>
      </c>
    </row>
    <row r="632" spans="1:55">
      <c r="A632" s="1" t="str">
        <f>'Population Definitions'!$A$2</f>
        <v>PWID_males</v>
      </c>
      <c r="C632" t="s">
        <v>32</v>
      </c>
      <c r="D632" s="3"/>
      <c r="E632" s="3">
        <v>0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Definitions'!$A$3</f>
        <v>PWID_females</v>
      </c>
      <c r="C633" t="s">
        <v>32</v>
      </c>
      <c r="D633" s="3"/>
      <c r="E633" s="3">
        <v>0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Definitions'!$A$4</f>
        <v>0-9_males</v>
      </c>
      <c r="C634" t="s">
        <v>32</v>
      </c>
      <c r="D634" s="3"/>
      <c r="E634" s="3">
        <v>0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Definitions'!$A$5</f>
        <v>0-9_females</v>
      </c>
      <c r="C635" t="s">
        <v>32</v>
      </c>
      <c r="D635" s="3"/>
      <c r="E635" s="3">
        <v>0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Definitions'!$A$6</f>
        <v>10-17_males</v>
      </c>
      <c r="C636" t="s">
        <v>32</v>
      </c>
      <c r="D636" s="3"/>
      <c r="E636" s="3">
        <v>0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Definitions'!$A$7</f>
        <v>10-17_females</v>
      </c>
      <c r="C637" t="s">
        <v>32</v>
      </c>
      <c r="D637" s="3"/>
      <c r="E637" s="3">
        <v>0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Definitions'!$A$8</f>
        <v>18-64_males</v>
      </c>
      <c r="C638" t="s">
        <v>32</v>
      </c>
      <c r="D638" s="3"/>
      <c r="E638" s="3">
        <v>0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Definitions'!$A$9</f>
        <v>18-64_females</v>
      </c>
      <c r="C639" t="s">
        <v>32</v>
      </c>
      <c r="D639" s="3"/>
      <c r="E639" s="3">
        <v>0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0" spans="1:55">
      <c r="A640" s="1" t="str">
        <f>'Population Definitions'!$A$10</f>
        <v>65+_males</v>
      </c>
      <c r="C640" t="s">
        <v>32</v>
      </c>
      <c r="D640" s="3"/>
      <c r="E640" s="3">
        <v>0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</row>
    <row r="641" spans="1:55">
      <c r="A641" s="1" t="str">
        <f>'Population Definitions'!$A$11</f>
        <v>65+_females</v>
      </c>
      <c r="C641" t="s">
        <v>32</v>
      </c>
      <c r="D641" s="3"/>
      <c r="E641" s="3">
        <v>0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</row>
    <row r="642" spans="1:55">
      <c r="A642" s="1" t="str">
        <f>'Population Definitions'!$A$12</f>
        <v>Prisoners_males</v>
      </c>
      <c r="C642" t="s">
        <v>32</v>
      </c>
      <c r="D642" s="3"/>
      <c r="E642" s="3">
        <v>0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</row>
    <row r="643" spans="1:55">
      <c r="A643" s="1" t="str">
        <f>'Population Definitions'!$A$13</f>
        <v>Prisoners_females</v>
      </c>
      <c r="C643" t="s">
        <v>32</v>
      </c>
      <c r="D643" s="3"/>
      <c r="E643" s="3">
        <v>0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</row>
    <row r="645" spans="1:55">
      <c r="A645" s="1" t="s">
        <v>172</v>
      </c>
      <c r="B645" s="1" t="s">
        <v>29</v>
      </c>
      <c r="C645" s="1" t="s">
        <v>30</v>
      </c>
      <c r="D645" s="1" t="s">
        <v>31</v>
      </c>
      <c r="E645" s="1">
        <v>2000</v>
      </c>
      <c r="F645" s="1">
        <v>2001</v>
      </c>
      <c r="G645" s="1">
        <v>2002</v>
      </c>
      <c r="H645" s="1">
        <v>2003</v>
      </c>
      <c r="I645" s="1">
        <v>2004</v>
      </c>
      <c r="J645" s="1">
        <v>2005</v>
      </c>
      <c r="K645" s="1">
        <v>2006</v>
      </c>
      <c r="L645" s="1">
        <v>2007</v>
      </c>
      <c r="M645" s="1">
        <v>2008</v>
      </c>
      <c r="N645" s="1">
        <v>2009</v>
      </c>
      <c r="O645" s="1">
        <v>2010</v>
      </c>
      <c r="P645" s="1">
        <v>2011</v>
      </c>
      <c r="Q645" s="1">
        <v>2012</v>
      </c>
      <c r="R645" s="1">
        <v>2013</v>
      </c>
      <c r="S645" s="1">
        <v>2014</v>
      </c>
      <c r="T645" s="1">
        <v>2015</v>
      </c>
      <c r="U645" s="1">
        <v>2016</v>
      </c>
      <c r="V645" s="1">
        <v>2017</v>
      </c>
      <c r="W645" s="1">
        <v>2018</v>
      </c>
      <c r="X645" s="1">
        <v>2019</v>
      </c>
      <c r="Y645" s="1">
        <v>2020</v>
      </c>
      <c r="Z645" s="1">
        <v>2021</v>
      </c>
      <c r="AA645" s="1">
        <v>2022</v>
      </c>
      <c r="AB645" s="1">
        <v>2023</v>
      </c>
      <c r="AC645" s="1">
        <v>2024</v>
      </c>
      <c r="AD645" s="1">
        <v>2025</v>
      </c>
      <c r="AE645" s="1">
        <v>2026</v>
      </c>
      <c r="AF645" s="1">
        <v>2027</v>
      </c>
      <c r="AG645" s="1">
        <v>2028</v>
      </c>
      <c r="AH645" s="1">
        <v>2029</v>
      </c>
      <c r="AI645" s="1">
        <v>2030</v>
      </c>
      <c r="AJ645" s="1">
        <v>2031</v>
      </c>
      <c r="AK645" s="1">
        <v>2032</v>
      </c>
      <c r="AL645" s="1">
        <v>2033</v>
      </c>
      <c r="AM645" s="1">
        <v>2034</v>
      </c>
      <c r="AN645" s="1">
        <v>2035</v>
      </c>
      <c r="AO645" s="1">
        <v>2036</v>
      </c>
      <c r="AP645" s="1">
        <v>2037</v>
      </c>
      <c r="AQ645" s="1">
        <v>2038</v>
      </c>
      <c r="AR645" s="1">
        <v>2039</v>
      </c>
      <c r="AS645" s="1">
        <v>2040</v>
      </c>
      <c r="AT645" s="1">
        <v>2041</v>
      </c>
      <c r="AU645" s="1">
        <v>2042</v>
      </c>
      <c r="AV645" s="1">
        <v>2043</v>
      </c>
      <c r="AW645" s="1">
        <v>2044</v>
      </c>
      <c r="AX645" s="1">
        <v>2045</v>
      </c>
      <c r="AY645" s="1">
        <v>2046</v>
      </c>
      <c r="AZ645" s="1">
        <v>2047</v>
      </c>
      <c r="BA645" s="1">
        <v>2048</v>
      </c>
      <c r="BB645" s="1">
        <v>2049</v>
      </c>
      <c r="BC645" s="1">
        <v>2050</v>
      </c>
    </row>
    <row r="646" spans="1:55">
      <c r="A646" s="1" t="str">
        <f>'Population Definitions'!$A$2</f>
        <v>PWID_males</v>
      </c>
      <c r="C646" t="s">
        <v>32</v>
      </c>
      <c r="D646" s="3"/>
      <c r="E646" s="3">
        <v>0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</row>
    <row r="647" spans="1:55">
      <c r="A647" s="1" t="str">
        <f>'Population Definitions'!$A$3</f>
        <v>PWID_females</v>
      </c>
      <c r="C647" t="s">
        <v>32</v>
      </c>
      <c r="D647" s="3"/>
      <c r="E647" s="3">
        <v>0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</row>
    <row r="648" spans="1:55">
      <c r="A648" s="1" t="str">
        <f>'Population Definitions'!$A$4</f>
        <v>0-9_males</v>
      </c>
      <c r="C648" t="s">
        <v>32</v>
      </c>
      <c r="D648" s="3"/>
      <c r="E648" s="3">
        <v>0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</row>
    <row r="649" spans="1:55">
      <c r="A649" s="1" t="str">
        <f>'Population Definitions'!$A$5</f>
        <v>0-9_females</v>
      </c>
      <c r="C649" t="s">
        <v>32</v>
      </c>
      <c r="D649" s="3"/>
      <c r="E649" s="3">
        <v>0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</row>
    <row r="650" spans="1:55">
      <c r="A650" s="1" t="str">
        <f>'Population Definitions'!$A$6</f>
        <v>10-17_males</v>
      </c>
      <c r="C650" t="s">
        <v>32</v>
      </c>
      <c r="D650" s="3"/>
      <c r="E650" s="3">
        <v>0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</row>
    <row r="651" spans="1:55">
      <c r="A651" s="1" t="str">
        <f>'Population Definitions'!$A$7</f>
        <v>10-17_females</v>
      </c>
      <c r="C651" t="s">
        <v>32</v>
      </c>
      <c r="D651" s="3"/>
      <c r="E651" s="3">
        <v>0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</row>
    <row r="652" spans="1:55">
      <c r="A652" s="1" t="str">
        <f>'Population Definitions'!$A$8</f>
        <v>18-64_males</v>
      </c>
      <c r="C652" t="s">
        <v>32</v>
      </c>
      <c r="D652" s="3"/>
      <c r="E652" s="3">
        <v>0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</row>
    <row r="653" spans="1:55">
      <c r="A653" s="1" t="str">
        <f>'Population Definitions'!$A$9</f>
        <v>18-64_females</v>
      </c>
      <c r="C653" t="s">
        <v>32</v>
      </c>
      <c r="D653" s="3"/>
      <c r="E653" s="3">
        <v>0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</row>
    <row r="654" spans="1:55">
      <c r="A654" s="1" t="str">
        <f>'Population Definitions'!$A$10</f>
        <v>65+_males</v>
      </c>
      <c r="C654" t="s">
        <v>32</v>
      </c>
      <c r="D654" s="3"/>
      <c r="E654" s="3">
        <v>0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</row>
    <row r="655" spans="1:55">
      <c r="A655" s="1" t="str">
        <f>'Population Definitions'!$A$11</f>
        <v>65+_females</v>
      </c>
      <c r="C655" t="s">
        <v>32</v>
      </c>
      <c r="D655" s="3"/>
      <c r="E655" s="3">
        <v>0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</row>
    <row r="656" spans="1:55">
      <c r="A656" s="1" t="str">
        <f>'Population Definitions'!$A$12</f>
        <v>Prisoners_males</v>
      </c>
      <c r="C656" t="s">
        <v>32</v>
      </c>
      <c r="D656" s="3"/>
      <c r="E656" s="3">
        <v>0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</row>
    <row r="657" spans="1:55">
      <c r="A657" s="1" t="str">
        <f>'Population Definitions'!$A$13</f>
        <v>Prisoners_females</v>
      </c>
      <c r="C657" t="s">
        <v>32</v>
      </c>
      <c r="D657" s="3"/>
      <c r="E657" s="3">
        <v>0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</row>
    <row r="659" spans="1:55">
      <c r="A659" s="1" t="s">
        <v>173</v>
      </c>
      <c r="B659" s="1" t="s">
        <v>29</v>
      </c>
      <c r="C659" s="1" t="s">
        <v>30</v>
      </c>
      <c r="D659" s="1" t="s">
        <v>31</v>
      </c>
      <c r="E659" s="1">
        <v>2000</v>
      </c>
      <c r="F659" s="1">
        <v>2001</v>
      </c>
      <c r="G659" s="1">
        <v>2002</v>
      </c>
      <c r="H659" s="1">
        <v>2003</v>
      </c>
      <c r="I659" s="1">
        <v>2004</v>
      </c>
      <c r="J659" s="1">
        <v>2005</v>
      </c>
      <c r="K659" s="1">
        <v>2006</v>
      </c>
      <c r="L659" s="1">
        <v>2007</v>
      </c>
      <c r="M659" s="1">
        <v>2008</v>
      </c>
      <c r="N659" s="1">
        <v>2009</v>
      </c>
      <c r="O659" s="1">
        <v>2010</v>
      </c>
      <c r="P659" s="1">
        <v>2011</v>
      </c>
      <c r="Q659" s="1">
        <v>2012</v>
      </c>
      <c r="R659" s="1">
        <v>2013</v>
      </c>
      <c r="S659" s="1">
        <v>2014</v>
      </c>
      <c r="T659" s="1">
        <v>2015</v>
      </c>
      <c r="U659" s="1">
        <v>2016</v>
      </c>
      <c r="V659" s="1">
        <v>2017</v>
      </c>
      <c r="W659" s="1">
        <v>2018</v>
      </c>
      <c r="X659" s="1">
        <v>2019</v>
      </c>
      <c r="Y659" s="1">
        <v>2020</v>
      </c>
      <c r="Z659" s="1">
        <v>2021</v>
      </c>
      <c r="AA659" s="1">
        <v>2022</v>
      </c>
      <c r="AB659" s="1">
        <v>2023</v>
      </c>
      <c r="AC659" s="1">
        <v>2024</v>
      </c>
      <c r="AD659" s="1">
        <v>2025</v>
      </c>
      <c r="AE659" s="1">
        <v>2026</v>
      </c>
      <c r="AF659" s="1">
        <v>2027</v>
      </c>
      <c r="AG659" s="1">
        <v>2028</v>
      </c>
      <c r="AH659" s="1">
        <v>2029</v>
      </c>
      <c r="AI659" s="1">
        <v>2030</v>
      </c>
      <c r="AJ659" s="1">
        <v>2031</v>
      </c>
      <c r="AK659" s="1">
        <v>2032</v>
      </c>
      <c r="AL659" s="1">
        <v>2033</v>
      </c>
      <c r="AM659" s="1">
        <v>2034</v>
      </c>
      <c r="AN659" s="1">
        <v>2035</v>
      </c>
      <c r="AO659" s="1">
        <v>2036</v>
      </c>
      <c r="AP659" s="1">
        <v>2037</v>
      </c>
      <c r="AQ659" s="1">
        <v>2038</v>
      </c>
      <c r="AR659" s="1">
        <v>2039</v>
      </c>
      <c r="AS659" s="1">
        <v>2040</v>
      </c>
      <c r="AT659" s="1">
        <v>2041</v>
      </c>
      <c r="AU659" s="1">
        <v>2042</v>
      </c>
      <c r="AV659" s="1">
        <v>2043</v>
      </c>
      <c r="AW659" s="1">
        <v>2044</v>
      </c>
      <c r="AX659" s="1">
        <v>2045</v>
      </c>
      <c r="AY659" s="1">
        <v>2046</v>
      </c>
      <c r="AZ659" s="1">
        <v>2047</v>
      </c>
      <c r="BA659" s="1">
        <v>2048</v>
      </c>
      <c r="BB659" s="1">
        <v>2049</v>
      </c>
      <c r="BC659" s="1">
        <v>2050</v>
      </c>
    </row>
    <row r="660" spans="1:55">
      <c r="A660" s="1" t="str">
        <f>'Population Definitions'!$A$2</f>
        <v>PWID_males</v>
      </c>
      <c r="C660" t="s">
        <v>32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Definitions'!$A$3</f>
        <v>PWID_females</v>
      </c>
      <c r="C661" t="s">
        <v>32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Definitions'!$A$4</f>
        <v>0-9_males</v>
      </c>
      <c r="C662" t="s">
        <v>32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Definitions'!$A$5</f>
        <v>0-9_females</v>
      </c>
      <c r="C663" t="s">
        <v>32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Definitions'!$A$6</f>
        <v>10-17_males</v>
      </c>
      <c r="C664" t="s">
        <v>32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Definitions'!$A$7</f>
        <v>10-17_females</v>
      </c>
      <c r="C665" t="s">
        <v>32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Definitions'!$A$8</f>
        <v>18-64_males</v>
      </c>
      <c r="C666" t="s">
        <v>32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Definitions'!$A$9</f>
        <v>18-64_females</v>
      </c>
      <c r="C667" t="s">
        <v>32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Definitions'!$A$10</f>
        <v>65+_males</v>
      </c>
      <c r="C668" t="s">
        <v>32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Definitions'!$A$11</f>
        <v>65+_females</v>
      </c>
      <c r="C669" t="s">
        <v>32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Definitions'!$A$12</f>
        <v>Prisoners_males</v>
      </c>
      <c r="C670" t="s">
        <v>32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Definitions'!$A$13</f>
        <v>Prisoners_females</v>
      </c>
      <c r="C671" t="s">
        <v>32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174</v>
      </c>
      <c r="B673" s="1" t="s">
        <v>29</v>
      </c>
      <c r="C673" s="1" t="s">
        <v>30</v>
      </c>
      <c r="D673" s="1" t="s">
        <v>31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32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32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32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32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32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32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32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32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32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32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32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32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7" spans="1:55">
      <c r="A687" s="1" t="s">
        <v>175</v>
      </c>
      <c r="B687" s="1" t="s">
        <v>29</v>
      </c>
      <c r="C687" s="1" t="s">
        <v>30</v>
      </c>
      <c r="D687" s="1" t="s">
        <v>31</v>
      </c>
      <c r="E687" s="1">
        <v>2000</v>
      </c>
      <c r="F687" s="1">
        <v>2001</v>
      </c>
      <c r="G687" s="1">
        <v>2002</v>
      </c>
      <c r="H687" s="1">
        <v>2003</v>
      </c>
      <c r="I687" s="1">
        <v>2004</v>
      </c>
      <c r="J687" s="1">
        <v>2005</v>
      </c>
      <c r="K687" s="1">
        <v>2006</v>
      </c>
      <c r="L687" s="1">
        <v>2007</v>
      </c>
      <c r="M687" s="1">
        <v>2008</v>
      </c>
      <c r="N687" s="1">
        <v>2009</v>
      </c>
      <c r="O687" s="1">
        <v>2010</v>
      </c>
      <c r="P687" s="1">
        <v>2011</v>
      </c>
      <c r="Q687" s="1">
        <v>2012</v>
      </c>
      <c r="R687" s="1">
        <v>2013</v>
      </c>
      <c r="S687" s="1">
        <v>2014</v>
      </c>
      <c r="T687" s="1">
        <v>2015</v>
      </c>
      <c r="U687" s="1">
        <v>2016</v>
      </c>
      <c r="V687" s="1">
        <v>2017</v>
      </c>
      <c r="W687" s="1">
        <v>2018</v>
      </c>
      <c r="X687" s="1">
        <v>2019</v>
      </c>
      <c r="Y687" s="1">
        <v>2020</v>
      </c>
      <c r="Z687" s="1">
        <v>2021</v>
      </c>
      <c r="AA687" s="1">
        <v>2022</v>
      </c>
      <c r="AB687" s="1">
        <v>2023</v>
      </c>
      <c r="AC687" s="1">
        <v>2024</v>
      </c>
      <c r="AD687" s="1">
        <v>2025</v>
      </c>
      <c r="AE687" s="1">
        <v>2026</v>
      </c>
      <c r="AF687" s="1">
        <v>2027</v>
      </c>
      <c r="AG687" s="1">
        <v>2028</v>
      </c>
      <c r="AH687" s="1">
        <v>2029</v>
      </c>
      <c r="AI687" s="1">
        <v>2030</v>
      </c>
      <c r="AJ687" s="1">
        <v>2031</v>
      </c>
      <c r="AK687" s="1">
        <v>2032</v>
      </c>
      <c r="AL687" s="1">
        <v>2033</v>
      </c>
      <c r="AM687" s="1">
        <v>2034</v>
      </c>
      <c r="AN687" s="1">
        <v>2035</v>
      </c>
      <c r="AO687" s="1">
        <v>2036</v>
      </c>
      <c r="AP687" s="1">
        <v>2037</v>
      </c>
      <c r="AQ687" s="1">
        <v>2038</v>
      </c>
      <c r="AR687" s="1">
        <v>2039</v>
      </c>
      <c r="AS687" s="1">
        <v>2040</v>
      </c>
      <c r="AT687" s="1">
        <v>2041</v>
      </c>
      <c r="AU687" s="1">
        <v>2042</v>
      </c>
      <c r="AV687" s="1">
        <v>2043</v>
      </c>
      <c r="AW687" s="1">
        <v>2044</v>
      </c>
      <c r="AX687" s="1">
        <v>2045</v>
      </c>
      <c r="AY687" s="1">
        <v>2046</v>
      </c>
      <c r="AZ687" s="1">
        <v>2047</v>
      </c>
      <c r="BA687" s="1">
        <v>2048</v>
      </c>
      <c r="BB687" s="1">
        <v>2049</v>
      </c>
      <c r="BC687" s="1">
        <v>2050</v>
      </c>
    </row>
    <row r="688" spans="1:55">
      <c r="A688" s="1" t="str">
        <f>'Population Definitions'!$A$2</f>
        <v>PWID_males</v>
      </c>
      <c r="C688" t="s">
        <v>32</v>
      </c>
      <c r="D688" s="3"/>
      <c r="E688" s="3">
        <v>0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</row>
    <row r="689" spans="1:55">
      <c r="A689" s="1" t="str">
        <f>'Population Definitions'!$A$3</f>
        <v>PWID_females</v>
      </c>
      <c r="C689" t="s">
        <v>32</v>
      </c>
      <c r="D689" s="3"/>
      <c r="E689" s="3">
        <v>0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</row>
    <row r="690" spans="1:55">
      <c r="A690" s="1" t="str">
        <f>'Population Definitions'!$A$4</f>
        <v>0-9_males</v>
      </c>
      <c r="C690" t="s">
        <v>32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Definitions'!$A$5</f>
        <v>0-9_females</v>
      </c>
      <c r="C691" t="s">
        <v>32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Definitions'!$A$6</f>
        <v>10-17_males</v>
      </c>
      <c r="C692" t="s">
        <v>32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Definitions'!$A$7</f>
        <v>10-17_females</v>
      </c>
      <c r="C693" t="s">
        <v>32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Definitions'!$A$8</f>
        <v>18-64_males</v>
      </c>
      <c r="C694" t="s">
        <v>32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Definitions'!$A$9</f>
        <v>18-64_females</v>
      </c>
      <c r="C695" t="s">
        <v>32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Definitions'!$A$10</f>
        <v>65+_males</v>
      </c>
      <c r="C696" t="s">
        <v>32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Definitions'!$A$11</f>
        <v>65+_females</v>
      </c>
      <c r="C697" t="s">
        <v>32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Definitions'!$A$12</f>
        <v>Prisoners_males</v>
      </c>
      <c r="C698" t="s">
        <v>32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Definitions'!$A$13</f>
        <v>Prisoners_females</v>
      </c>
      <c r="C699" t="s">
        <v>32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1" spans="1:55">
      <c r="A701" s="1" t="s">
        <v>176</v>
      </c>
      <c r="B701" s="1" t="s">
        <v>29</v>
      </c>
      <c r="C701" s="1" t="s">
        <v>30</v>
      </c>
      <c r="D701" s="1" t="s">
        <v>31</v>
      </c>
      <c r="E701" s="1">
        <v>2000</v>
      </c>
      <c r="F701" s="1">
        <v>2001</v>
      </c>
      <c r="G701" s="1">
        <v>2002</v>
      </c>
      <c r="H701" s="1">
        <v>2003</v>
      </c>
      <c r="I701" s="1">
        <v>2004</v>
      </c>
      <c r="J701" s="1">
        <v>2005</v>
      </c>
      <c r="K701" s="1">
        <v>2006</v>
      </c>
      <c r="L701" s="1">
        <v>2007</v>
      </c>
      <c r="M701" s="1">
        <v>2008</v>
      </c>
      <c r="N701" s="1">
        <v>2009</v>
      </c>
      <c r="O701" s="1">
        <v>2010</v>
      </c>
      <c r="P701" s="1">
        <v>2011</v>
      </c>
      <c r="Q701" s="1">
        <v>2012</v>
      </c>
      <c r="R701" s="1">
        <v>2013</v>
      </c>
      <c r="S701" s="1">
        <v>2014</v>
      </c>
      <c r="T701" s="1">
        <v>2015</v>
      </c>
      <c r="U701" s="1">
        <v>2016</v>
      </c>
      <c r="V701" s="1">
        <v>2017</v>
      </c>
      <c r="W701" s="1">
        <v>2018</v>
      </c>
      <c r="X701" s="1">
        <v>2019</v>
      </c>
      <c r="Y701" s="1">
        <v>2020</v>
      </c>
      <c r="Z701" s="1">
        <v>2021</v>
      </c>
      <c r="AA701" s="1">
        <v>2022</v>
      </c>
      <c r="AB701" s="1">
        <v>2023</v>
      </c>
      <c r="AC701" s="1">
        <v>2024</v>
      </c>
      <c r="AD701" s="1">
        <v>2025</v>
      </c>
      <c r="AE701" s="1">
        <v>2026</v>
      </c>
      <c r="AF701" s="1">
        <v>2027</v>
      </c>
      <c r="AG701" s="1">
        <v>2028</v>
      </c>
      <c r="AH701" s="1">
        <v>2029</v>
      </c>
      <c r="AI701" s="1">
        <v>2030</v>
      </c>
      <c r="AJ701" s="1">
        <v>2031</v>
      </c>
      <c r="AK701" s="1">
        <v>2032</v>
      </c>
      <c r="AL701" s="1">
        <v>2033</v>
      </c>
      <c r="AM701" s="1">
        <v>2034</v>
      </c>
      <c r="AN701" s="1">
        <v>2035</v>
      </c>
      <c r="AO701" s="1">
        <v>2036</v>
      </c>
      <c r="AP701" s="1">
        <v>2037</v>
      </c>
      <c r="AQ701" s="1">
        <v>2038</v>
      </c>
      <c r="AR701" s="1">
        <v>2039</v>
      </c>
      <c r="AS701" s="1">
        <v>2040</v>
      </c>
      <c r="AT701" s="1">
        <v>2041</v>
      </c>
      <c r="AU701" s="1">
        <v>2042</v>
      </c>
      <c r="AV701" s="1">
        <v>2043</v>
      </c>
      <c r="AW701" s="1">
        <v>2044</v>
      </c>
      <c r="AX701" s="1">
        <v>2045</v>
      </c>
      <c r="AY701" s="1">
        <v>2046</v>
      </c>
      <c r="AZ701" s="1">
        <v>2047</v>
      </c>
      <c r="BA701" s="1">
        <v>2048</v>
      </c>
      <c r="BB701" s="1">
        <v>2049</v>
      </c>
      <c r="BC701" s="1">
        <v>2050</v>
      </c>
    </row>
    <row r="702" spans="1:55">
      <c r="A702" s="1" t="str">
        <f>'Population Definitions'!$A$2</f>
        <v>PWID_males</v>
      </c>
      <c r="C702" t="s">
        <v>32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Definitions'!$A$3</f>
        <v>PWID_females</v>
      </c>
      <c r="C703" t="s">
        <v>32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4" spans="1:55">
      <c r="A704" s="1" t="str">
        <f>'Population Definitions'!$A$4</f>
        <v>0-9_males</v>
      </c>
      <c r="C704" t="s">
        <v>32</v>
      </c>
      <c r="D704" s="3"/>
      <c r="E704" s="3">
        <v>0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</row>
    <row r="705" spans="1:55">
      <c r="A705" s="1" t="str">
        <f>'Population Definitions'!$A$5</f>
        <v>0-9_females</v>
      </c>
      <c r="C705" t="s">
        <v>32</v>
      </c>
      <c r="D705" s="3"/>
      <c r="E705" s="3">
        <v>0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</row>
    <row r="706" spans="1:55">
      <c r="A706" s="1" t="str">
        <f>'Population Definitions'!$A$6</f>
        <v>10-17_males</v>
      </c>
      <c r="C706" t="s">
        <v>32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Definitions'!$A$7</f>
        <v>10-17_females</v>
      </c>
      <c r="C707" t="s">
        <v>32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Definitions'!$A$8</f>
        <v>18-64_males</v>
      </c>
      <c r="C708" t="s">
        <v>32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Definitions'!$A$9</f>
        <v>18-64_females</v>
      </c>
      <c r="C709" t="s">
        <v>32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Definitions'!$A$10</f>
        <v>65+_males</v>
      </c>
      <c r="C710" t="s">
        <v>32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Definitions'!$A$11</f>
        <v>65+_females</v>
      </c>
      <c r="C711" t="s">
        <v>32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Definitions'!$A$12</f>
        <v>Prisoners_males</v>
      </c>
      <c r="C712" t="s">
        <v>32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Definitions'!$A$13</f>
        <v>Prisoners_females</v>
      </c>
      <c r="C713" t="s">
        <v>32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5" spans="1:55">
      <c r="A715" s="1" t="s">
        <v>177</v>
      </c>
      <c r="B715" s="1" t="s">
        <v>29</v>
      </c>
      <c r="C715" s="1" t="s">
        <v>30</v>
      </c>
      <c r="D715" s="1" t="s">
        <v>31</v>
      </c>
      <c r="E715" s="1">
        <v>2000</v>
      </c>
      <c r="F715" s="1">
        <v>2001</v>
      </c>
      <c r="G715" s="1">
        <v>2002</v>
      </c>
      <c r="H715" s="1">
        <v>2003</v>
      </c>
      <c r="I715" s="1">
        <v>2004</v>
      </c>
      <c r="J715" s="1">
        <v>2005</v>
      </c>
      <c r="K715" s="1">
        <v>2006</v>
      </c>
      <c r="L715" s="1">
        <v>2007</v>
      </c>
      <c r="M715" s="1">
        <v>2008</v>
      </c>
      <c r="N715" s="1">
        <v>2009</v>
      </c>
      <c r="O715" s="1">
        <v>2010</v>
      </c>
      <c r="P715" s="1">
        <v>2011</v>
      </c>
      <c r="Q715" s="1">
        <v>2012</v>
      </c>
      <c r="R715" s="1">
        <v>2013</v>
      </c>
      <c r="S715" s="1">
        <v>2014</v>
      </c>
      <c r="T715" s="1">
        <v>2015</v>
      </c>
      <c r="U715" s="1">
        <v>2016</v>
      </c>
      <c r="V715" s="1">
        <v>2017</v>
      </c>
      <c r="W715" s="1">
        <v>2018</v>
      </c>
      <c r="X715" s="1">
        <v>2019</v>
      </c>
      <c r="Y715" s="1">
        <v>2020</v>
      </c>
      <c r="Z715" s="1">
        <v>2021</v>
      </c>
      <c r="AA715" s="1">
        <v>2022</v>
      </c>
      <c r="AB715" s="1">
        <v>2023</v>
      </c>
      <c r="AC715" s="1">
        <v>2024</v>
      </c>
      <c r="AD715" s="1">
        <v>2025</v>
      </c>
      <c r="AE715" s="1">
        <v>2026</v>
      </c>
      <c r="AF715" s="1">
        <v>2027</v>
      </c>
      <c r="AG715" s="1">
        <v>2028</v>
      </c>
      <c r="AH715" s="1">
        <v>2029</v>
      </c>
      <c r="AI715" s="1">
        <v>2030</v>
      </c>
      <c r="AJ715" s="1">
        <v>2031</v>
      </c>
      <c r="AK715" s="1">
        <v>2032</v>
      </c>
      <c r="AL715" s="1">
        <v>2033</v>
      </c>
      <c r="AM715" s="1">
        <v>2034</v>
      </c>
      <c r="AN715" s="1">
        <v>2035</v>
      </c>
      <c r="AO715" s="1">
        <v>2036</v>
      </c>
      <c r="AP715" s="1">
        <v>2037</v>
      </c>
      <c r="AQ715" s="1">
        <v>2038</v>
      </c>
      <c r="AR715" s="1">
        <v>2039</v>
      </c>
      <c r="AS715" s="1">
        <v>2040</v>
      </c>
      <c r="AT715" s="1">
        <v>2041</v>
      </c>
      <c r="AU715" s="1">
        <v>2042</v>
      </c>
      <c r="AV715" s="1">
        <v>2043</v>
      </c>
      <c r="AW715" s="1">
        <v>2044</v>
      </c>
      <c r="AX715" s="1">
        <v>2045</v>
      </c>
      <c r="AY715" s="1">
        <v>2046</v>
      </c>
      <c r="AZ715" s="1">
        <v>2047</v>
      </c>
      <c r="BA715" s="1">
        <v>2048</v>
      </c>
      <c r="BB715" s="1">
        <v>2049</v>
      </c>
      <c r="BC715" s="1">
        <v>2050</v>
      </c>
    </row>
    <row r="716" spans="1:55">
      <c r="A716" s="1" t="str">
        <f>'Population Definitions'!$A$2</f>
        <v>PWID_males</v>
      </c>
      <c r="C716" t="s">
        <v>32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Definitions'!$A$3</f>
        <v>PWID_females</v>
      </c>
      <c r="C717" t="s">
        <v>32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Definitions'!$A$4</f>
        <v>0-9_males</v>
      </c>
      <c r="C718" t="s">
        <v>32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Definitions'!$A$5</f>
        <v>0-9_females</v>
      </c>
      <c r="C719" t="s">
        <v>32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0" spans="1:55">
      <c r="A720" s="1" t="str">
        <f>'Population Definitions'!$A$6</f>
        <v>10-17_males</v>
      </c>
      <c r="C720" t="s">
        <v>32</v>
      </c>
      <c r="D720" s="3"/>
      <c r="E720" s="3">
        <v>0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</row>
    <row r="721" spans="1:55">
      <c r="A721" s="1" t="str">
        <f>'Population Definitions'!$A$7</f>
        <v>10-17_females</v>
      </c>
      <c r="C721" t="s">
        <v>32</v>
      </c>
      <c r="D721" s="3"/>
      <c r="E721" s="3">
        <v>0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</row>
    <row r="722" spans="1:55">
      <c r="A722" s="1" t="str">
        <f>'Population Definitions'!$A$8</f>
        <v>18-64_males</v>
      </c>
      <c r="C722" t="s">
        <v>32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Definitions'!$A$9</f>
        <v>18-64_females</v>
      </c>
      <c r="C723" t="s">
        <v>32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Definitions'!$A$10</f>
        <v>65+_males</v>
      </c>
      <c r="C724" t="s">
        <v>32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Definitions'!$A$11</f>
        <v>65+_females</v>
      </c>
      <c r="C725" t="s">
        <v>32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Definitions'!$A$12</f>
        <v>Prisoners_males</v>
      </c>
      <c r="C726" t="s">
        <v>32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Definitions'!$A$13</f>
        <v>Prisoners_females</v>
      </c>
      <c r="C727" t="s">
        <v>32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9" spans="1:55">
      <c r="A729" s="1" t="s">
        <v>178</v>
      </c>
      <c r="B729" s="1" t="s">
        <v>29</v>
      </c>
      <c r="C729" s="1" t="s">
        <v>30</v>
      </c>
      <c r="D729" s="1" t="s">
        <v>31</v>
      </c>
      <c r="E729" s="1">
        <v>2000</v>
      </c>
      <c r="F729" s="1">
        <v>2001</v>
      </c>
      <c r="G729" s="1">
        <v>2002</v>
      </c>
      <c r="H729" s="1">
        <v>2003</v>
      </c>
      <c r="I729" s="1">
        <v>2004</v>
      </c>
      <c r="J729" s="1">
        <v>2005</v>
      </c>
      <c r="K729" s="1">
        <v>2006</v>
      </c>
      <c r="L729" s="1">
        <v>2007</v>
      </c>
      <c r="M729" s="1">
        <v>2008</v>
      </c>
      <c r="N729" s="1">
        <v>2009</v>
      </c>
      <c r="O729" s="1">
        <v>2010</v>
      </c>
      <c r="P729" s="1">
        <v>2011</v>
      </c>
      <c r="Q729" s="1">
        <v>2012</v>
      </c>
      <c r="R729" s="1">
        <v>2013</v>
      </c>
      <c r="S729" s="1">
        <v>2014</v>
      </c>
      <c r="T729" s="1">
        <v>2015</v>
      </c>
      <c r="U729" s="1">
        <v>2016</v>
      </c>
      <c r="V729" s="1">
        <v>2017</v>
      </c>
      <c r="W729" s="1">
        <v>2018</v>
      </c>
      <c r="X729" s="1">
        <v>2019</v>
      </c>
      <c r="Y729" s="1">
        <v>2020</v>
      </c>
      <c r="Z729" s="1">
        <v>2021</v>
      </c>
      <c r="AA729" s="1">
        <v>2022</v>
      </c>
      <c r="AB729" s="1">
        <v>2023</v>
      </c>
      <c r="AC729" s="1">
        <v>2024</v>
      </c>
      <c r="AD729" s="1">
        <v>2025</v>
      </c>
      <c r="AE729" s="1">
        <v>2026</v>
      </c>
      <c r="AF729" s="1">
        <v>2027</v>
      </c>
      <c r="AG729" s="1">
        <v>2028</v>
      </c>
      <c r="AH729" s="1">
        <v>2029</v>
      </c>
      <c r="AI729" s="1">
        <v>2030</v>
      </c>
      <c r="AJ729" s="1">
        <v>2031</v>
      </c>
      <c r="AK729" s="1">
        <v>2032</v>
      </c>
      <c r="AL729" s="1">
        <v>2033</v>
      </c>
      <c r="AM729" s="1">
        <v>2034</v>
      </c>
      <c r="AN729" s="1">
        <v>2035</v>
      </c>
      <c r="AO729" s="1">
        <v>2036</v>
      </c>
      <c r="AP729" s="1">
        <v>2037</v>
      </c>
      <c r="AQ729" s="1">
        <v>2038</v>
      </c>
      <c r="AR729" s="1">
        <v>2039</v>
      </c>
      <c r="AS729" s="1">
        <v>2040</v>
      </c>
      <c r="AT729" s="1">
        <v>2041</v>
      </c>
      <c r="AU729" s="1">
        <v>2042</v>
      </c>
      <c r="AV729" s="1">
        <v>2043</v>
      </c>
      <c r="AW729" s="1">
        <v>2044</v>
      </c>
      <c r="AX729" s="1">
        <v>2045</v>
      </c>
      <c r="AY729" s="1">
        <v>2046</v>
      </c>
      <c r="AZ729" s="1">
        <v>2047</v>
      </c>
      <c r="BA729" s="1">
        <v>2048</v>
      </c>
      <c r="BB729" s="1">
        <v>2049</v>
      </c>
      <c r="BC729" s="1">
        <v>2050</v>
      </c>
    </row>
    <row r="730" spans="1:55">
      <c r="A730" s="1" t="str">
        <f>'Population Definitions'!$A$2</f>
        <v>PWID_males</v>
      </c>
      <c r="C730" t="s">
        <v>32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Definitions'!$A$3</f>
        <v>PWID_females</v>
      </c>
      <c r="C731" t="s">
        <v>32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Definitions'!$A$4</f>
        <v>0-9_males</v>
      </c>
      <c r="C732" t="s">
        <v>32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Definitions'!$A$5</f>
        <v>0-9_females</v>
      </c>
      <c r="C733" t="s">
        <v>32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Definitions'!$A$6</f>
        <v>10-17_males</v>
      </c>
      <c r="C734" t="s">
        <v>32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Definitions'!$A$7</f>
        <v>10-17_females</v>
      </c>
      <c r="C735" t="s">
        <v>32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6" spans="1:55">
      <c r="A736" s="1" t="str">
        <f>'Population Definitions'!$A$8</f>
        <v>18-64_males</v>
      </c>
      <c r="C736" t="s">
        <v>32</v>
      </c>
      <c r="D736" s="3"/>
      <c r="E736" s="3">
        <v>0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</row>
    <row r="737" spans="1:55">
      <c r="A737" s="1" t="str">
        <f>'Population Definitions'!$A$9</f>
        <v>18-64_females</v>
      </c>
      <c r="C737" t="s">
        <v>32</v>
      </c>
      <c r="D737" s="3"/>
      <c r="E737" s="3">
        <v>0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</row>
    <row r="738" spans="1:55">
      <c r="A738" s="1" t="str">
        <f>'Population Definitions'!$A$10</f>
        <v>65+_males</v>
      </c>
      <c r="C738" t="s">
        <v>32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Definitions'!$A$11</f>
        <v>65+_females</v>
      </c>
      <c r="C739" t="s">
        <v>32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Definitions'!$A$12</f>
        <v>Prisoners_males</v>
      </c>
      <c r="C740" t="s">
        <v>32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Definitions'!$A$13</f>
        <v>Prisoners_females</v>
      </c>
      <c r="C741" t="s">
        <v>32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3" spans="1:55">
      <c r="A743" s="1" t="s">
        <v>179</v>
      </c>
      <c r="B743" s="1" t="s">
        <v>29</v>
      </c>
      <c r="C743" s="1" t="s">
        <v>30</v>
      </c>
      <c r="D743" s="1" t="s">
        <v>31</v>
      </c>
      <c r="E743" s="1">
        <v>2000</v>
      </c>
      <c r="F743" s="1">
        <v>2001</v>
      </c>
      <c r="G743" s="1">
        <v>2002</v>
      </c>
      <c r="H743" s="1">
        <v>2003</v>
      </c>
      <c r="I743" s="1">
        <v>2004</v>
      </c>
      <c r="J743" s="1">
        <v>2005</v>
      </c>
      <c r="K743" s="1">
        <v>2006</v>
      </c>
      <c r="L743" s="1">
        <v>2007</v>
      </c>
      <c r="M743" s="1">
        <v>2008</v>
      </c>
      <c r="N743" s="1">
        <v>2009</v>
      </c>
      <c r="O743" s="1">
        <v>2010</v>
      </c>
      <c r="P743" s="1">
        <v>2011</v>
      </c>
      <c r="Q743" s="1">
        <v>2012</v>
      </c>
      <c r="R743" s="1">
        <v>2013</v>
      </c>
      <c r="S743" s="1">
        <v>2014</v>
      </c>
      <c r="T743" s="1">
        <v>2015</v>
      </c>
      <c r="U743" s="1">
        <v>2016</v>
      </c>
      <c r="V743" s="1">
        <v>2017</v>
      </c>
      <c r="W743" s="1">
        <v>2018</v>
      </c>
      <c r="X743" s="1">
        <v>2019</v>
      </c>
      <c r="Y743" s="1">
        <v>2020</v>
      </c>
      <c r="Z743" s="1">
        <v>2021</v>
      </c>
      <c r="AA743" s="1">
        <v>2022</v>
      </c>
      <c r="AB743" s="1">
        <v>2023</v>
      </c>
      <c r="AC743" s="1">
        <v>2024</v>
      </c>
      <c r="AD743" s="1">
        <v>2025</v>
      </c>
      <c r="AE743" s="1">
        <v>2026</v>
      </c>
      <c r="AF743" s="1">
        <v>2027</v>
      </c>
      <c r="AG743" s="1">
        <v>2028</v>
      </c>
      <c r="AH743" s="1">
        <v>2029</v>
      </c>
      <c r="AI743" s="1">
        <v>2030</v>
      </c>
      <c r="AJ743" s="1">
        <v>2031</v>
      </c>
      <c r="AK743" s="1">
        <v>2032</v>
      </c>
      <c r="AL743" s="1">
        <v>2033</v>
      </c>
      <c r="AM743" s="1">
        <v>2034</v>
      </c>
      <c r="AN743" s="1">
        <v>2035</v>
      </c>
      <c r="AO743" s="1">
        <v>2036</v>
      </c>
      <c r="AP743" s="1">
        <v>2037</v>
      </c>
      <c r="AQ743" s="1">
        <v>2038</v>
      </c>
      <c r="AR743" s="1">
        <v>2039</v>
      </c>
      <c r="AS743" s="1">
        <v>2040</v>
      </c>
      <c r="AT743" s="1">
        <v>2041</v>
      </c>
      <c r="AU743" s="1">
        <v>2042</v>
      </c>
      <c r="AV743" s="1">
        <v>2043</v>
      </c>
      <c r="AW743" s="1">
        <v>2044</v>
      </c>
      <c r="AX743" s="1">
        <v>2045</v>
      </c>
      <c r="AY743" s="1">
        <v>2046</v>
      </c>
      <c r="AZ743" s="1">
        <v>2047</v>
      </c>
      <c r="BA743" s="1">
        <v>2048</v>
      </c>
      <c r="BB743" s="1">
        <v>2049</v>
      </c>
      <c r="BC743" s="1">
        <v>2050</v>
      </c>
    </row>
    <row r="744" spans="1:55">
      <c r="A744" s="1" t="str">
        <f>'Population Definitions'!$A$2</f>
        <v>PWID_males</v>
      </c>
      <c r="C744" t="s">
        <v>32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Definitions'!$A$3</f>
        <v>PWID_females</v>
      </c>
      <c r="C745" t="s">
        <v>32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Definitions'!$A$4</f>
        <v>0-9_males</v>
      </c>
      <c r="C746" t="s">
        <v>32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Definitions'!$A$5</f>
        <v>0-9_females</v>
      </c>
      <c r="C747" t="s">
        <v>32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Definitions'!$A$6</f>
        <v>10-17_males</v>
      </c>
      <c r="C748" t="s">
        <v>32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Definitions'!$A$7</f>
        <v>10-17_females</v>
      </c>
      <c r="C749" t="s">
        <v>32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Definitions'!$A$8</f>
        <v>18-64_males</v>
      </c>
      <c r="C750" t="s">
        <v>32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Definitions'!$A$9</f>
        <v>18-64_females</v>
      </c>
      <c r="C751" t="s">
        <v>32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2" spans="1:55">
      <c r="A752" s="1" t="str">
        <f>'Population Definitions'!$A$10</f>
        <v>65+_males</v>
      </c>
      <c r="C752" t="s">
        <v>32</v>
      </c>
      <c r="D752" s="3"/>
      <c r="E752" s="3">
        <v>0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</row>
    <row r="753" spans="1:55">
      <c r="A753" s="1" t="str">
        <f>'Population Definitions'!$A$11</f>
        <v>65+_females</v>
      </c>
      <c r="C753" t="s">
        <v>32</v>
      </c>
      <c r="D753" s="3"/>
      <c r="E753" s="3">
        <v>0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</row>
    <row r="754" spans="1:55">
      <c r="A754" s="1" t="str">
        <f>'Population Definitions'!$A$12</f>
        <v>Prisoners_males</v>
      </c>
      <c r="C754" t="s">
        <v>32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Definitions'!$A$13</f>
        <v>Prisoners_females</v>
      </c>
      <c r="C755" t="s">
        <v>32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7" spans="1:55">
      <c r="A757" s="1" t="s">
        <v>180</v>
      </c>
      <c r="B757" s="1" t="s">
        <v>29</v>
      </c>
      <c r="C757" s="1" t="s">
        <v>30</v>
      </c>
      <c r="D757" s="1" t="s">
        <v>31</v>
      </c>
      <c r="E757" s="1">
        <v>2000</v>
      </c>
      <c r="F757" s="1">
        <v>2001</v>
      </c>
      <c r="G757" s="1">
        <v>2002</v>
      </c>
      <c r="H757" s="1">
        <v>2003</v>
      </c>
      <c r="I757" s="1">
        <v>2004</v>
      </c>
      <c r="J757" s="1">
        <v>2005</v>
      </c>
      <c r="K757" s="1">
        <v>2006</v>
      </c>
      <c r="L757" s="1">
        <v>2007</v>
      </c>
      <c r="M757" s="1">
        <v>2008</v>
      </c>
      <c r="N757" s="1">
        <v>2009</v>
      </c>
      <c r="O757" s="1">
        <v>2010</v>
      </c>
      <c r="P757" s="1">
        <v>2011</v>
      </c>
      <c r="Q757" s="1">
        <v>2012</v>
      </c>
      <c r="R757" s="1">
        <v>2013</v>
      </c>
      <c r="S757" s="1">
        <v>2014</v>
      </c>
      <c r="T757" s="1">
        <v>2015</v>
      </c>
      <c r="U757" s="1">
        <v>2016</v>
      </c>
      <c r="V757" s="1">
        <v>2017</v>
      </c>
      <c r="W757" s="1">
        <v>2018</v>
      </c>
      <c r="X757" s="1">
        <v>2019</v>
      </c>
      <c r="Y757" s="1">
        <v>2020</v>
      </c>
      <c r="Z757" s="1">
        <v>2021</v>
      </c>
      <c r="AA757" s="1">
        <v>2022</v>
      </c>
      <c r="AB757" s="1">
        <v>2023</v>
      </c>
      <c r="AC757" s="1">
        <v>2024</v>
      </c>
      <c r="AD757" s="1">
        <v>2025</v>
      </c>
      <c r="AE757" s="1">
        <v>2026</v>
      </c>
      <c r="AF757" s="1">
        <v>2027</v>
      </c>
      <c r="AG757" s="1">
        <v>2028</v>
      </c>
      <c r="AH757" s="1">
        <v>2029</v>
      </c>
      <c r="AI757" s="1">
        <v>2030</v>
      </c>
      <c r="AJ757" s="1">
        <v>2031</v>
      </c>
      <c r="AK757" s="1">
        <v>2032</v>
      </c>
      <c r="AL757" s="1">
        <v>2033</v>
      </c>
      <c r="AM757" s="1">
        <v>2034</v>
      </c>
      <c r="AN757" s="1">
        <v>2035</v>
      </c>
      <c r="AO757" s="1">
        <v>2036</v>
      </c>
      <c r="AP757" s="1">
        <v>2037</v>
      </c>
      <c r="AQ757" s="1">
        <v>2038</v>
      </c>
      <c r="AR757" s="1">
        <v>2039</v>
      </c>
      <c r="AS757" s="1">
        <v>2040</v>
      </c>
      <c r="AT757" s="1">
        <v>2041</v>
      </c>
      <c r="AU757" s="1">
        <v>2042</v>
      </c>
      <c r="AV757" s="1">
        <v>2043</v>
      </c>
      <c r="AW757" s="1">
        <v>2044</v>
      </c>
      <c r="AX757" s="1">
        <v>2045</v>
      </c>
      <c r="AY757" s="1">
        <v>2046</v>
      </c>
      <c r="AZ757" s="1">
        <v>2047</v>
      </c>
      <c r="BA757" s="1">
        <v>2048</v>
      </c>
      <c r="BB757" s="1">
        <v>2049</v>
      </c>
      <c r="BC757" s="1">
        <v>2050</v>
      </c>
    </row>
    <row r="758" spans="1:55">
      <c r="A758" s="1" t="str">
        <f>'Population Definitions'!$A$2</f>
        <v>PWID_males</v>
      </c>
      <c r="C758" t="s">
        <v>32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Definitions'!$A$3</f>
        <v>PWID_females</v>
      </c>
      <c r="C759" t="s">
        <v>32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Definitions'!$A$4</f>
        <v>0-9_males</v>
      </c>
      <c r="C760" t="s">
        <v>32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Definitions'!$A$5</f>
        <v>0-9_females</v>
      </c>
      <c r="C761" t="s">
        <v>32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Definitions'!$A$6</f>
        <v>10-17_males</v>
      </c>
      <c r="C762" t="s">
        <v>32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Definitions'!$A$7</f>
        <v>10-17_females</v>
      </c>
      <c r="C763" t="s">
        <v>32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Definitions'!$A$8</f>
        <v>18-64_males</v>
      </c>
      <c r="C764" t="s">
        <v>32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Definitions'!$A$9</f>
        <v>18-64_females</v>
      </c>
      <c r="C765" t="s">
        <v>32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Definitions'!$A$10</f>
        <v>65+_males</v>
      </c>
      <c r="C766" t="s">
        <v>32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Definitions'!$A$11</f>
        <v>65+_females</v>
      </c>
      <c r="C767" t="s">
        <v>32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8" spans="1:55">
      <c r="A768" s="1" t="str">
        <f>'Population Definitions'!$A$12</f>
        <v>Prisoners_males</v>
      </c>
      <c r="C768" t="s">
        <v>32</v>
      </c>
      <c r="D768" s="3"/>
      <c r="E768" s="3">
        <v>0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</row>
    <row r="769" spans="1:55">
      <c r="A769" s="1" t="str">
        <f>'Population Definitions'!$A$13</f>
        <v>Prisoners_females</v>
      </c>
      <c r="C769" t="s">
        <v>32</v>
      </c>
      <c r="D769" s="3"/>
      <c r="E769" s="3">
        <v>0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</row>
    <row r="771" spans="1:55">
      <c r="A771" s="1" t="s">
        <v>181</v>
      </c>
      <c r="B771" s="1" t="s">
        <v>29</v>
      </c>
      <c r="C771" s="1" t="s">
        <v>30</v>
      </c>
      <c r="D771" s="1" t="s">
        <v>31</v>
      </c>
      <c r="E771" s="1">
        <v>2000</v>
      </c>
      <c r="F771" s="1">
        <v>2001</v>
      </c>
      <c r="G771" s="1">
        <v>2002</v>
      </c>
      <c r="H771" s="1">
        <v>2003</v>
      </c>
      <c r="I771" s="1">
        <v>2004</v>
      </c>
      <c r="J771" s="1">
        <v>2005</v>
      </c>
      <c r="K771" s="1">
        <v>2006</v>
      </c>
      <c r="L771" s="1">
        <v>2007</v>
      </c>
      <c r="M771" s="1">
        <v>2008</v>
      </c>
      <c r="N771" s="1">
        <v>2009</v>
      </c>
      <c r="O771" s="1">
        <v>2010</v>
      </c>
      <c r="P771" s="1">
        <v>2011</v>
      </c>
      <c r="Q771" s="1">
        <v>2012</v>
      </c>
      <c r="R771" s="1">
        <v>2013</v>
      </c>
      <c r="S771" s="1">
        <v>2014</v>
      </c>
      <c r="T771" s="1">
        <v>2015</v>
      </c>
      <c r="U771" s="1">
        <v>2016</v>
      </c>
      <c r="V771" s="1">
        <v>2017</v>
      </c>
      <c r="W771" s="1">
        <v>2018</v>
      </c>
      <c r="X771" s="1">
        <v>2019</v>
      </c>
      <c r="Y771" s="1">
        <v>2020</v>
      </c>
      <c r="Z771" s="1">
        <v>2021</v>
      </c>
      <c r="AA771" s="1">
        <v>2022</v>
      </c>
      <c r="AB771" s="1">
        <v>2023</v>
      </c>
      <c r="AC771" s="1">
        <v>2024</v>
      </c>
      <c r="AD771" s="1">
        <v>2025</v>
      </c>
      <c r="AE771" s="1">
        <v>2026</v>
      </c>
      <c r="AF771" s="1">
        <v>2027</v>
      </c>
      <c r="AG771" s="1">
        <v>2028</v>
      </c>
      <c r="AH771" s="1">
        <v>2029</v>
      </c>
      <c r="AI771" s="1">
        <v>2030</v>
      </c>
      <c r="AJ771" s="1">
        <v>2031</v>
      </c>
      <c r="AK771" s="1">
        <v>2032</v>
      </c>
      <c r="AL771" s="1">
        <v>2033</v>
      </c>
      <c r="AM771" s="1">
        <v>2034</v>
      </c>
      <c r="AN771" s="1">
        <v>2035</v>
      </c>
      <c r="AO771" s="1">
        <v>2036</v>
      </c>
      <c r="AP771" s="1">
        <v>2037</v>
      </c>
      <c r="AQ771" s="1">
        <v>2038</v>
      </c>
      <c r="AR771" s="1">
        <v>2039</v>
      </c>
      <c r="AS771" s="1">
        <v>2040</v>
      </c>
      <c r="AT771" s="1">
        <v>2041</v>
      </c>
      <c r="AU771" s="1">
        <v>2042</v>
      </c>
      <c r="AV771" s="1">
        <v>2043</v>
      </c>
      <c r="AW771" s="1">
        <v>2044</v>
      </c>
      <c r="AX771" s="1">
        <v>2045</v>
      </c>
      <c r="AY771" s="1">
        <v>2046</v>
      </c>
      <c r="AZ771" s="1">
        <v>2047</v>
      </c>
      <c r="BA771" s="1">
        <v>2048</v>
      </c>
      <c r="BB771" s="1">
        <v>2049</v>
      </c>
      <c r="BC771" s="1">
        <v>2050</v>
      </c>
    </row>
    <row r="772" spans="1:55">
      <c r="A772" s="1" t="str">
        <f>'Population Definitions'!$A$2</f>
        <v>PWID_males</v>
      </c>
      <c r="C772" t="s">
        <v>32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Definitions'!$A$3</f>
        <v>PWID_females</v>
      </c>
      <c r="C773" t="s">
        <v>32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Definitions'!$A$4</f>
        <v>0-9_males</v>
      </c>
      <c r="C774" t="s">
        <v>32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Definitions'!$A$5</f>
        <v>0-9_females</v>
      </c>
      <c r="C775" t="s">
        <v>32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Definitions'!$A$6</f>
        <v>10-17_males</v>
      </c>
      <c r="C776" t="s">
        <v>32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Definitions'!$A$7</f>
        <v>10-17_females</v>
      </c>
      <c r="C777" t="s">
        <v>32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Definitions'!$A$8</f>
        <v>18-64_males</v>
      </c>
      <c r="C778" t="s">
        <v>32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Definitions'!$A$9</f>
        <v>18-64_females</v>
      </c>
      <c r="C779" t="s">
        <v>32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Definitions'!$A$10</f>
        <v>65+_males</v>
      </c>
      <c r="C780" t="s">
        <v>32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Definitions'!$A$11</f>
        <v>65+_females</v>
      </c>
      <c r="C781" t="s">
        <v>32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Definitions'!$A$12</f>
        <v>Prisoners_males</v>
      </c>
      <c r="C782" t="s">
        <v>32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Definitions'!$A$13</f>
        <v>Prisoners_females</v>
      </c>
      <c r="C783" t="s">
        <v>32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182</v>
      </c>
      <c r="B785" s="1" t="s">
        <v>29</v>
      </c>
      <c r="C785" s="1" t="s">
        <v>30</v>
      </c>
      <c r="D785" s="1" t="s">
        <v>31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32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32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32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32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32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32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32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32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32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32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32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32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9" spans="1:55">
      <c r="A799" s="1" t="s">
        <v>183</v>
      </c>
      <c r="B799" s="1" t="s">
        <v>29</v>
      </c>
      <c r="C799" s="1" t="s">
        <v>30</v>
      </c>
      <c r="D799" s="1" t="s">
        <v>31</v>
      </c>
      <c r="E799" s="1">
        <v>2000</v>
      </c>
      <c r="F799" s="1">
        <v>2001</v>
      </c>
      <c r="G799" s="1">
        <v>2002</v>
      </c>
      <c r="H799" s="1">
        <v>2003</v>
      </c>
      <c r="I799" s="1">
        <v>2004</v>
      </c>
      <c r="J799" s="1">
        <v>2005</v>
      </c>
      <c r="K799" s="1">
        <v>2006</v>
      </c>
      <c r="L799" s="1">
        <v>2007</v>
      </c>
      <c r="M799" s="1">
        <v>2008</v>
      </c>
      <c r="N799" s="1">
        <v>2009</v>
      </c>
      <c r="O799" s="1">
        <v>2010</v>
      </c>
      <c r="P799" s="1">
        <v>2011</v>
      </c>
      <c r="Q799" s="1">
        <v>2012</v>
      </c>
      <c r="R799" s="1">
        <v>2013</v>
      </c>
      <c r="S799" s="1">
        <v>2014</v>
      </c>
      <c r="T799" s="1">
        <v>2015</v>
      </c>
      <c r="U799" s="1">
        <v>2016</v>
      </c>
      <c r="V799" s="1">
        <v>2017</v>
      </c>
      <c r="W799" s="1">
        <v>2018</v>
      </c>
      <c r="X799" s="1">
        <v>2019</v>
      </c>
      <c r="Y799" s="1">
        <v>2020</v>
      </c>
      <c r="Z799" s="1">
        <v>2021</v>
      </c>
      <c r="AA799" s="1">
        <v>2022</v>
      </c>
      <c r="AB799" s="1">
        <v>2023</v>
      </c>
      <c r="AC799" s="1">
        <v>2024</v>
      </c>
      <c r="AD799" s="1">
        <v>2025</v>
      </c>
      <c r="AE799" s="1">
        <v>2026</v>
      </c>
      <c r="AF799" s="1">
        <v>2027</v>
      </c>
      <c r="AG799" s="1">
        <v>2028</v>
      </c>
      <c r="AH799" s="1">
        <v>2029</v>
      </c>
      <c r="AI799" s="1">
        <v>2030</v>
      </c>
      <c r="AJ799" s="1">
        <v>2031</v>
      </c>
      <c r="AK799" s="1">
        <v>2032</v>
      </c>
      <c r="AL799" s="1">
        <v>2033</v>
      </c>
      <c r="AM799" s="1">
        <v>2034</v>
      </c>
      <c r="AN799" s="1">
        <v>2035</v>
      </c>
      <c r="AO799" s="1">
        <v>2036</v>
      </c>
      <c r="AP799" s="1">
        <v>2037</v>
      </c>
      <c r="AQ799" s="1">
        <v>2038</v>
      </c>
      <c r="AR799" s="1">
        <v>2039</v>
      </c>
      <c r="AS799" s="1">
        <v>2040</v>
      </c>
      <c r="AT799" s="1">
        <v>2041</v>
      </c>
      <c r="AU799" s="1">
        <v>2042</v>
      </c>
      <c r="AV799" s="1">
        <v>2043</v>
      </c>
      <c r="AW799" s="1">
        <v>2044</v>
      </c>
      <c r="AX799" s="1">
        <v>2045</v>
      </c>
      <c r="AY799" s="1">
        <v>2046</v>
      </c>
      <c r="AZ799" s="1">
        <v>2047</v>
      </c>
      <c r="BA799" s="1">
        <v>2048</v>
      </c>
      <c r="BB799" s="1">
        <v>2049</v>
      </c>
      <c r="BC799" s="1">
        <v>2050</v>
      </c>
    </row>
    <row r="800" spans="1:55">
      <c r="A800" s="1" t="str">
        <f>'Population Definitions'!$A$2</f>
        <v>PWID_males</v>
      </c>
      <c r="C800" t="s">
        <v>32</v>
      </c>
      <c r="D800" s="3"/>
      <c r="E800" s="3">
        <v>0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</row>
    <row r="801" spans="1:55">
      <c r="A801" s="1" t="str">
        <f>'Population Definitions'!$A$3</f>
        <v>PWID_females</v>
      </c>
      <c r="C801" t="s">
        <v>32</v>
      </c>
      <c r="D801" s="3"/>
      <c r="E801" s="3">
        <v>0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</row>
    <row r="802" spans="1:55">
      <c r="A802" s="1" t="str">
        <f>'Population Definitions'!$A$4</f>
        <v>0-9_males</v>
      </c>
      <c r="C802" t="s">
        <v>32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Definitions'!$A$5</f>
        <v>0-9_females</v>
      </c>
      <c r="C803" t="s">
        <v>32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Definitions'!$A$6</f>
        <v>10-17_males</v>
      </c>
      <c r="C804" t="s">
        <v>32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Definitions'!$A$7</f>
        <v>10-17_females</v>
      </c>
      <c r="C805" t="s">
        <v>32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Definitions'!$A$8</f>
        <v>18-64_males</v>
      </c>
      <c r="C806" t="s">
        <v>32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Definitions'!$A$9</f>
        <v>18-64_females</v>
      </c>
      <c r="C807" t="s">
        <v>32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Definitions'!$A$10</f>
        <v>65+_males</v>
      </c>
      <c r="C808" t="s">
        <v>32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Definitions'!$A$11</f>
        <v>65+_females</v>
      </c>
      <c r="C809" t="s">
        <v>32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Definitions'!$A$12</f>
        <v>Prisoners_males</v>
      </c>
      <c r="C810" t="s">
        <v>32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Definitions'!$A$13</f>
        <v>Prisoners_females</v>
      </c>
      <c r="C811" t="s">
        <v>32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3" spans="1:55">
      <c r="A813" s="1" t="s">
        <v>184</v>
      </c>
      <c r="B813" s="1" t="s">
        <v>29</v>
      </c>
      <c r="C813" s="1" t="s">
        <v>30</v>
      </c>
      <c r="D813" s="1" t="s">
        <v>31</v>
      </c>
      <c r="E813" s="1">
        <v>2000</v>
      </c>
      <c r="F813" s="1">
        <v>2001</v>
      </c>
      <c r="G813" s="1">
        <v>2002</v>
      </c>
      <c r="H813" s="1">
        <v>2003</v>
      </c>
      <c r="I813" s="1">
        <v>2004</v>
      </c>
      <c r="J813" s="1">
        <v>2005</v>
      </c>
      <c r="K813" s="1">
        <v>2006</v>
      </c>
      <c r="L813" s="1">
        <v>2007</v>
      </c>
      <c r="M813" s="1">
        <v>2008</v>
      </c>
      <c r="N813" s="1">
        <v>2009</v>
      </c>
      <c r="O813" s="1">
        <v>2010</v>
      </c>
      <c r="P813" s="1">
        <v>2011</v>
      </c>
      <c r="Q813" s="1">
        <v>2012</v>
      </c>
      <c r="R813" s="1">
        <v>2013</v>
      </c>
      <c r="S813" s="1">
        <v>2014</v>
      </c>
      <c r="T813" s="1">
        <v>2015</v>
      </c>
      <c r="U813" s="1">
        <v>2016</v>
      </c>
      <c r="V813" s="1">
        <v>2017</v>
      </c>
      <c r="W813" s="1">
        <v>2018</v>
      </c>
      <c r="X813" s="1">
        <v>2019</v>
      </c>
      <c r="Y813" s="1">
        <v>2020</v>
      </c>
      <c r="Z813" s="1">
        <v>2021</v>
      </c>
      <c r="AA813" s="1">
        <v>2022</v>
      </c>
      <c r="AB813" s="1">
        <v>2023</v>
      </c>
      <c r="AC813" s="1">
        <v>2024</v>
      </c>
      <c r="AD813" s="1">
        <v>2025</v>
      </c>
      <c r="AE813" s="1">
        <v>2026</v>
      </c>
      <c r="AF813" s="1">
        <v>2027</v>
      </c>
      <c r="AG813" s="1">
        <v>2028</v>
      </c>
      <c r="AH813" s="1">
        <v>2029</v>
      </c>
      <c r="AI813" s="1">
        <v>2030</v>
      </c>
      <c r="AJ813" s="1">
        <v>2031</v>
      </c>
      <c r="AK813" s="1">
        <v>2032</v>
      </c>
      <c r="AL813" s="1">
        <v>2033</v>
      </c>
      <c r="AM813" s="1">
        <v>2034</v>
      </c>
      <c r="AN813" s="1">
        <v>2035</v>
      </c>
      <c r="AO813" s="1">
        <v>2036</v>
      </c>
      <c r="AP813" s="1">
        <v>2037</v>
      </c>
      <c r="AQ813" s="1">
        <v>2038</v>
      </c>
      <c r="AR813" s="1">
        <v>2039</v>
      </c>
      <c r="AS813" s="1">
        <v>2040</v>
      </c>
      <c r="AT813" s="1">
        <v>2041</v>
      </c>
      <c r="AU813" s="1">
        <v>2042</v>
      </c>
      <c r="AV813" s="1">
        <v>2043</v>
      </c>
      <c r="AW813" s="1">
        <v>2044</v>
      </c>
      <c r="AX813" s="1">
        <v>2045</v>
      </c>
      <c r="AY813" s="1">
        <v>2046</v>
      </c>
      <c r="AZ813" s="1">
        <v>2047</v>
      </c>
      <c r="BA813" s="1">
        <v>2048</v>
      </c>
      <c r="BB813" s="1">
        <v>2049</v>
      </c>
      <c r="BC813" s="1">
        <v>2050</v>
      </c>
    </row>
    <row r="814" spans="1:55">
      <c r="A814" s="1" t="str">
        <f>'Population Definitions'!$A$2</f>
        <v>PWID_males</v>
      </c>
      <c r="C814" t="s">
        <v>32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Definitions'!$A$3</f>
        <v>PWID_females</v>
      </c>
      <c r="C815" t="s">
        <v>32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6" spans="1:55">
      <c r="A816" s="1" t="str">
        <f>'Population Definitions'!$A$4</f>
        <v>0-9_males</v>
      </c>
      <c r="C816" t="s">
        <v>32</v>
      </c>
      <c r="D816" s="3"/>
      <c r="E816" s="3">
        <v>0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</row>
    <row r="817" spans="1:55">
      <c r="A817" s="1" t="str">
        <f>'Population Definitions'!$A$5</f>
        <v>0-9_females</v>
      </c>
      <c r="C817" t="s">
        <v>32</v>
      </c>
      <c r="D817" s="3"/>
      <c r="E817" s="3">
        <v>0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</row>
    <row r="818" spans="1:55">
      <c r="A818" s="1" t="str">
        <f>'Population Definitions'!$A$6</f>
        <v>10-17_males</v>
      </c>
      <c r="C818" t="s">
        <v>32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Definitions'!$A$7</f>
        <v>10-17_females</v>
      </c>
      <c r="C819" t="s">
        <v>32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Definitions'!$A$8</f>
        <v>18-64_males</v>
      </c>
      <c r="C820" t="s">
        <v>32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Definitions'!$A$9</f>
        <v>18-64_females</v>
      </c>
      <c r="C821" t="s">
        <v>32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Definitions'!$A$10</f>
        <v>65+_males</v>
      </c>
      <c r="C822" t="s">
        <v>32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Definitions'!$A$11</f>
        <v>65+_females</v>
      </c>
      <c r="C823" t="s">
        <v>32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Definitions'!$A$12</f>
        <v>Prisoners_males</v>
      </c>
      <c r="C824" t="s">
        <v>32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Definitions'!$A$13</f>
        <v>Prisoners_females</v>
      </c>
      <c r="C825" t="s">
        <v>32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7" spans="1:55">
      <c r="A827" s="1" t="s">
        <v>185</v>
      </c>
      <c r="B827" s="1" t="s">
        <v>29</v>
      </c>
      <c r="C827" s="1" t="s">
        <v>30</v>
      </c>
      <c r="D827" s="1" t="s">
        <v>31</v>
      </c>
      <c r="E827" s="1">
        <v>2000</v>
      </c>
      <c r="F827" s="1">
        <v>2001</v>
      </c>
      <c r="G827" s="1">
        <v>2002</v>
      </c>
      <c r="H827" s="1">
        <v>2003</v>
      </c>
      <c r="I827" s="1">
        <v>2004</v>
      </c>
      <c r="J827" s="1">
        <v>2005</v>
      </c>
      <c r="K827" s="1">
        <v>2006</v>
      </c>
      <c r="L827" s="1">
        <v>2007</v>
      </c>
      <c r="M827" s="1">
        <v>2008</v>
      </c>
      <c r="N827" s="1">
        <v>2009</v>
      </c>
      <c r="O827" s="1">
        <v>2010</v>
      </c>
      <c r="P827" s="1">
        <v>2011</v>
      </c>
      <c r="Q827" s="1">
        <v>2012</v>
      </c>
      <c r="R827" s="1">
        <v>2013</v>
      </c>
      <c r="S827" s="1">
        <v>2014</v>
      </c>
      <c r="T827" s="1">
        <v>2015</v>
      </c>
      <c r="U827" s="1">
        <v>2016</v>
      </c>
      <c r="V827" s="1">
        <v>2017</v>
      </c>
      <c r="W827" s="1">
        <v>2018</v>
      </c>
      <c r="X827" s="1">
        <v>2019</v>
      </c>
      <c r="Y827" s="1">
        <v>2020</v>
      </c>
      <c r="Z827" s="1">
        <v>2021</v>
      </c>
      <c r="AA827" s="1">
        <v>2022</v>
      </c>
      <c r="AB827" s="1">
        <v>2023</v>
      </c>
      <c r="AC827" s="1">
        <v>2024</v>
      </c>
      <c r="AD827" s="1">
        <v>2025</v>
      </c>
      <c r="AE827" s="1">
        <v>2026</v>
      </c>
      <c r="AF827" s="1">
        <v>2027</v>
      </c>
      <c r="AG827" s="1">
        <v>2028</v>
      </c>
      <c r="AH827" s="1">
        <v>2029</v>
      </c>
      <c r="AI827" s="1">
        <v>2030</v>
      </c>
      <c r="AJ827" s="1">
        <v>2031</v>
      </c>
      <c r="AK827" s="1">
        <v>2032</v>
      </c>
      <c r="AL827" s="1">
        <v>2033</v>
      </c>
      <c r="AM827" s="1">
        <v>2034</v>
      </c>
      <c r="AN827" s="1">
        <v>2035</v>
      </c>
      <c r="AO827" s="1">
        <v>2036</v>
      </c>
      <c r="AP827" s="1">
        <v>2037</v>
      </c>
      <c r="AQ827" s="1">
        <v>2038</v>
      </c>
      <c r="AR827" s="1">
        <v>2039</v>
      </c>
      <c r="AS827" s="1">
        <v>2040</v>
      </c>
      <c r="AT827" s="1">
        <v>2041</v>
      </c>
      <c r="AU827" s="1">
        <v>2042</v>
      </c>
      <c r="AV827" s="1">
        <v>2043</v>
      </c>
      <c r="AW827" s="1">
        <v>2044</v>
      </c>
      <c r="AX827" s="1">
        <v>2045</v>
      </c>
      <c r="AY827" s="1">
        <v>2046</v>
      </c>
      <c r="AZ827" s="1">
        <v>2047</v>
      </c>
      <c r="BA827" s="1">
        <v>2048</v>
      </c>
      <c r="BB827" s="1">
        <v>2049</v>
      </c>
      <c r="BC827" s="1">
        <v>2050</v>
      </c>
    </row>
    <row r="828" spans="1:55">
      <c r="A828" s="1" t="str">
        <f>'Population Definitions'!$A$2</f>
        <v>PWID_males</v>
      </c>
      <c r="C828" t="s">
        <v>32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Definitions'!$A$3</f>
        <v>PWID_females</v>
      </c>
      <c r="C829" t="s">
        <v>32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Definitions'!$A$4</f>
        <v>0-9_males</v>
      </c>
      <c r="C830" t="s">
        <v>32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Definitions'!$A$5</f>
        <v>0-9_females</v>
      </c>
      <c r="C831" t="s">
        <v>32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2" spans="1:55">
      <c r="A832" s="1" t="str">
        <f>'Population Definitions'!$A$6</f>
        <v>10-17_males</v>
      </c>
      <c r="C832" t="s">
        <v>32</v>
      </c>
      <c r="D832" s="3"/>
      <c r="E832" s="3">
        <v>0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</row>
    <row r="833" spans="1:55">
      <c r="A833" s="1" t="str">
        <f>'Population Definitions'!$A$7</f>
        <v>10-17_females</v>
      </c>
      <c r="C833" t="s">
        <v>32</v>
      </c>
      <c r="D833" s="3"/>
      <c r="E833" s="3">
        <v>0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</row>
    <row r="834" spans="1:55">
      <c r="A834" s="1" t="str">
        <f>'Population Definitions'!$A$8</f>
        <v>18-64_males</v>
      </c>
      <c r="C834" t="s">
        <v>32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Definitions'!$A$9</f>
        <v>18-64_females</v>
      </c>
      <c r="C835" t="s">
        <v>32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Definitions'!$A$10</f>
        <v>65+_males</v>
      </c>
      <c r="C836" t="s">
        <v>32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Definitions'!$A$11</f>
        <v>65+_females</v>
      </c>
      <c r="C837" t="s">
        <v>32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Definitions'!$A$12</f>
        <v>Prisoners_males</v>
      </c>
      <c r="C838" t="s">
        <v>32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Definitions'!$A$13</f>
        <v>Prisoners_females</v>
      </c>
      <c r="C839" t="s">
        <v>32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1" spans="1:55">
      <c r="A841" s="1" t="s">
        <v>186</v>
      </c>
      <c r="B841" s="1" t="s">
        <v>29</v>
      </c>
      <c r="C841" s="1" t="s">
        <v>30</v>
      </c>
      <c r="D841" s="1" t="s">
        <v>31</v>
      </c>
      <c r="E841" s="1">
        <v>2000</v>
      </c>
      <c r="F841" s="1">
        <v>2001</v>
      </c>
      <c r="G841" s="1">
        <v>2002</v>
      </c>
      <c r="H841" s="1">
        <v>2003</v>
      </c>
      <c r="I841" s="1">
        <v>2004</v>
      </c>
      <c r="J841" s="1">
        <v>2005</v>
      </c>
      <c r="K841" s="1">
        <v>2006</v>
      </c>
      <c r="L841" s="1">
        <v>2007</v>
      </c>
      <c r="M841" s="1">
        <v>2008</v>
      </c>
      <c r="N841" s="1">
        <v>2009</v>
      </c>
      <c r="O841" s="1">
        <v>2010</v>
      </c>
      <c r="P841" s="1">
        <v>2011</v>
      </c>
      <c r="Q841" s="1">
        <v>2012</v>
      </c>
      <c r="R841" s="1">
        <v>2013</v>
      </c>
      <c r="S841" s="1">
        <v>2014</v>
      </c>
      <c r="T841" s="1">
        <v>2015</v>
      </c>
      <c r="U841" s="1">
        <v>2016</v>
      </c>
      <c r="V841" s="1">
        <v>2017</v>
      </c>
      <c r="W841" s="1">
        <v>2018</v>
      </c>
      <c r="X841" s="1">
        <v>2019</v>
      </c>
      <c r="Y841" s="1">
        <v>2020</v>
      </c>
      <c r="Z841" s="1">
        <v>2021</v>
      </c>
      <c r="AA841" s="1">
        <v>2022</v>
      </c>
      <c r="AB841" s="1">
        <v>2023</v>
      </c>
      <c r="AC841" s="1">
        <v>2024</v>
      </c>
      <c r="AD841" s="1">
        <v>2025</v>
      </c>
      <c r="AE841" s="1">
        <v>2026</v>
      </c>
      <c r="AF841" s="1">
        <v>2027</v>
      </c>
      <c r="AG841" s="1">
        <v>2028</v>
      </c>
      <c r="AH841" s="1">
        <v>2029</v>
      </c>
      <c r="AI841" s="1">
        <v>2030</v>
      </c>
      <c r="AJ841" s="1">
        <v>2031</v>
      </c>
      <c r="AK841" s="1">
        <v>2032</v>
      </c>
      <c r="AL841" s="1">
        <v>2033</v>
      </c>
      <c r="AM841" s="1">
        <v>2034</v>
      </c>
      <c r="AN841" s="1">
        <v>2035</v>
      </c>
      <c r="AO841" s="1">
        <v>2036</v>
      </c>
      <c r="AP841" s="1">
        <v>2037</v>
      </c>
      <c r="AQ841" s="1">
        <v>2038</v>
      </c>
      <c r="AR841" s="1">
        <v>2039</v>
      </c>
      <c r="AS841" s="1">
        <v>2040</v>
      </c>
      <c r="AT841" s="1">
        <v>2041</v>
      </c>
      <c r="AU841" s="1">
        <v>2042</v>
      </c>
      <c r="AV841" s="1">
        <v>2043</v>
      </c>
      <c r="AW841" s="1">
        <v>2044</v>
      </c>
      <c r="AX841" s="1">
        <v>2045</v>
      </c>
      <c r="AY841" s="1">
        <v>2046</v>
      </c>
      <c r="AZ841" s="1">
        <v>2047</v>
      </c>
      <c r="BA841" s="1">
        <v>2048</v>
      </c>
      <c r="BB841" s="1">
        <v>2049</v>
      </c>
      <c r="BC841" s="1">
        <v>2050</v>
      </c>
    </row>
    <row r="842" spans="1:55">
      <c r="A842" s="1" t="str">
        <f>'Population Definitions'!$A$2</f>
        <v>PWID_males</v>
      </c>
      <c r="C842" t="s">
        <v>32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Definitions'!$A$3</f>
        <v>PWID_females</v>
      </c>
      <c r="C843" t="s">
        <v>32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Definitions'!$A$4</f>
        <v>0-9_males</v>
      </c>
      <c r="C844" t="s">
        <v>32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Definitions'!$A$5</f>
        <v>0-9_females</v>
      </c>
      <c r="C845" t="s">
        <v>32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Definitions'!$A$6</f>
        <v>10-17_males</v>
      </c>
      <c r="C846" t="s">
        <v>32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Definitions'!$A$7</f>
        <v>10-17_females</v>
      </c>
      <c r="C847" t="s">
        <v>32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8" spans="1:55">
      <c r="A848" s="1" t="str">
        <f>'Population Definitions'!$A$8</f>
        <v>18-64_males</v>
      </c>
      <c r="C848" t="s">
        <v>32</v>
      </c>
      <c r="D848" s="3"/>
      <c r="E848" s="3">
        <v>0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</row>
    <row r="849" spans="1:55">
      <c r="A849" s="1" t="str">
        <f>'Population Definitions'!$A$9</f>
        <v>18-64_females</v>
      </c>
      <c r="C849" t="s">
        <v>32</v>
      </c>
      <c r="D849" s="3"/>
      <c r="E849" s="3">
        <v>0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</row>
    <row r="850" spans="1:55">
      <c r="A850" s="1" t="str">
        <f>'Population Definitions'!$A$10</f>
        <v>65+_males</v>
      </c>
      <c r="C850" t="s">
        <v>32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Definitions'!$A$11</f>
        <v>65+_females</v>
      </c>
      <c r="C851" t="s">
        <v>32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Definitions'!$A$12</f>
        <v>Prisoners_males</v>
      </c>
      <c r="C852" t="s">
        <v>32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Definitions'!$A$13</f>
        <v>Prisoners_females</v>
      </c>
      <c r="C853" t="s">
        <v>32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5" spans="1:55">
      <c r="A855" s="1" t="s">
        <v>187</v>
      </c>
      <c r="B855" s="1" t="s">
        <v>29</v>
      </c>
      <c r="C855" s="1" t="s">
        <v>30</v>
      </c>
      <c r="D855" s="1" t="s">
        <v>31</v>
      </c>
      <c r="E855" s="1">
        <v>2000</v>
      </c>
      <c r="F855" s="1">
        <v>2001</v>
      </c>
      <c r="G855" s="1">
        <v>2002</v>
      </c>
      <c r="H855" s="1">
        <v>2003</v>
      </c>
      <c r="I855" s="1">
        <v>2004</v>
      </c>
      <c r="J855" s="1">
        <v>2005</v>
      </c>
      <c r="K855" s="1">
        <v>2006</v>
      </c>
      <c r="L855" s="1">
        <v>2007</v>
      </c>
      <c r="M855" s="1">
        <v>2008</v>
      </c>
      <c r="N855" s="1">
        <v>2009</v>
      </c>
      <c r="O855" s="1">
        <v>2010</v>
      </c>
      <c r="P855" s="1">
        <v>2011</v>
      </c>
      <c r="Q855" s="1">
        <v>2012</v>
      </c>
      <c r="R855" s="1">
        <v>2013</v>
      </c>
      <c r="S855" s="1">
        <v>2014</v>
      </c>
      <c r="T855" s="1">
        <v>2015</v>
      </c>
      <c r="U855" s="1">
        <v>2016</v>
      </c>
      <c r="V855" s="1">
        <v>2017</v>
      </c>
      <c r="W855" s="1">
        <v>2018</v>
      </c>
      <c r="X855" s="1">
        <v>2019</v>
      </c>
      <c r="Y855" s="1">
        <v>2020</v>
      </c>
      <c r="Z855" s="1">
        <v>2021</v>
      </c>
      <c r="AA855" s="1">
        <v>2022</v>
      </c>
      <c r="AB855" s="1">
        <v>2023</v>
      </c>
      <c r="AC855" s="1">
        <v>2024</v>
      </c>
      <c r="AD855" s="1">
        <v>2025</v>
      </c>
      <c r="AE855" s="1">
        <v>2026</v>
      </c>
      <c r="AF855" s="1">
        <v>2027</v>
      </c>
      <c r="AG855" s="1">
        <v>2028</v>
      </c>
      <c r="AH855" s="1">
        <v>2029</v>
      </c>
      <c r="AI855" s="1">
        <v>2030</v>
      </c>
      <c r="AJ855" s="1">
        <v>2031</v>
      </c>
      <c r="AK855" s="1">
        <v>2032</v>
      </c>
      <c r="AL855" s="1">
        <v>2033</v>
      </c>
      <c r="AM855" s="1">
        <v>2034</v>
      </c>
      <c r="AN855" s="1">
        <v>2035</v>
      </c>
      <c r="AO855" s="1">
        <v>2036</v>
      </c>
      <c r="AP855" s="1">
        <v>2037</v>
      </c>
      <c r="AQ855" s="1">
        <v>2038</v>
      </c>
      <c r="AR855" s="1">
        <v>2039</v>
      </c>
      <c r="AS855" s="1">
        <v>2040</v>
      </c>
      <c r="AT855" s="1">
        <v>2041</v>
      </c>
      <c r="AU855" s="1">
        <v>2042</v>
      </c>
      <c r="AV855" s="1">
        <v>2043</v>
      </c>
      <c r="AW855" s="1">
        <v>2044</v>
      </c>
      <c r="AX855" s="1">
        <v>2045</v>
      </c>
      <c r="AY855" s="1">
        <v>2046</v>
      </c>
      <c r="AZ855" s="1">
        <v>2047</v>
      </c>
      <c r="BA855" s="1">
        <v>2048</v>
      </c>
      <c r="BB855" s="1">
        <v>2049</v>
      </c>
      <c r="BC855" s="1">
        <v>2050</v>
      </c>
    </row>
    <row r="856" spans="1:55">
      <c r="A856" s="1" t="str">
        <f>'Population Definitions'!$A$2</f>
        <v>PWID_males</v>
      </c>
      <c r="C856" t="s">
        <v>32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Definitions'!$A$3</f>
        <v>PWID_females</v>
      </c>
      <c r="C857" t="s">
        <v>32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Definitions'!$A$4</f>
        <v>0-9_males</v>
      </c>
      <c r="C858" t="s">
        <v>32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Definitions'!$A$5</f>
        <v>0-9_females</v>
      </c>
      <c r="C859" t="s">
        <v>32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Definitions'!$A$6</f>
        <v>10-17_males</v>
      </c>
      <c r="C860" t="s">
        <v>32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Definitions'!$A$7</f>
        <v>10-17_females</v>
      </c>
      <c r="C861" t="s">
        <v>32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Definitions'!$A$8</f>
        <v>18-64_males</v>
      </c>
      <c r="C862" t="s">
        <v>32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Definitions'!$A$9</f>
        <v>18-64_females</v>
      </c>
      <c r="C863" t="s">
        <v>32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4" spans="1:55">
      <c r="A864" s="1" t="str">
        <f>'Population Definitions'!$A$10</f>
        <v>65+_males</v>
      </c>
      <c r="C864" t="s">
        <v>32</v>
      </c>
      <c r="D864" s="3"/>
      <c r="E864" s="3">
        <v>0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</row>
    <row r="865" spans="1:55">
      <c r="A865" s="1" t="str">
        <f>'Population Definitions'!$A$11</f>
        <v>65+_females</v>
      </c>
      <c r="C865" t="s">
        <v>32</v>
      </c>
      <c r="D865" s="3"/>
      <c r="E865" s="3">
        <v>0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</row>
    <row r="866" spans="1:55">
      <c r="A866" s="1" t="str">
        <f>'Population Definitions'!$A$12</f>
        <v>Prisoners_males</v>
      </c>
      <c r="C866" t="s">
        <v>32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Definitions'!$A$13</f>
        <v>Prisoners_females</v>
      </c>
      <c r="C867" t="s">
        <v>32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9" spans="1:55">
      <c r="A869" s="1" t="s">
        <v>188</v>
      </c>
      <c r="B869" s="1" t="s">
        <v>29</v>
      </c>
      <c r="C869" s="1" t="s">
        <v>30</v>
      </c>
      <c r="D869" s="1" t="s">
        <v>31</v>
      </c>
      <c r="E869" s="1">
        <v>2000</v>
      </c>
      <c r="F869" s="1">
        <v>2001</v>
      </c>
      <c r="G869" s="1">
        <v>2002</v>
      </c>
      <c r="H869" s="1">
        <v>2003</v>
      </c>
      <c r="I869" s="1">
        <v>2004</v>
      </c>
      <c r="J869" s="1">
        <v>2005</v>
      </c>
      <c r="K869" s="1">
        <v>2006</v>
      </c>
      <c r="L869" s="1">
        <v>2007</v>
      </c>
      <c r="M869" s="1">
        <v>2008</v>
      </c>
      <c r="N869" s="1">
        <v>2009</v>
      </c>
      <c r="O869" s="1">
        <v>2010</v>
      </c>
      <c r="P869" s="1">
        <v>2011</v>
      </c>
      <c r="Q869" s="1">
        <v>2012</v>
      </c>
      <c r="R869" s="1">
        <v>2013</v>
      </c>
      <c r="S869" s="1">
        <v>2014</v>
      </c>
      <c r="T869" s="1">
        <v>2015</v>
      </c>
      <c r="U869" s="1">
        <v>2016</v>
      </c>
      <c r="V869" s="1">
        <v>2017</v>
      </c>
      <c r="W869" s="1">
        <v>2018</v>
      </c>
      <c r="X869" s="1">
        <v>2019</v>
      </c>
      <c r="Y869" s="1">
        <v>2020</v>
      </c>
      <c r="Z869" s="1">
        <v>2021</v>
      </c>
      <c r="AA869" s="1">
        <v>2022</v>
      </c>
      <c r="AB869" s="1">
        <v>2023</v>
      </c>
      <c r="AC869" s="1">
        <v>2024</v>
      </c>
      <c r="AD869" s="1">
        <v>2025</v>
      </c>
      <c r="AE869" s="1">
        <v>2026</v>
      </c>
      <c r="AF869" s="1">
        <v>2027</v>
      </c>
      <c r="AG869" s="1">
        <v>2028</v>
      </c>
      <c r="AH869" s="1">
        <v>2029</v>
      </c>
      <c r="AI869" s="1">
        <v>2030</v>
      </c>
      <c r="AJ869" s="1">
        <v>2031</v>
      </c>
      <c r="AK869" s="1">
        <v>2032</v>
      </c>
      <c r="AL869" s="1">
        <v>2033</v>
      </c>
      <c r="AM869" s="1">
        <v>2034</v>
      </c>
      <c r="AN869" s="1">
        <v>2035</v>
      </c>
      <c r="AO869" s="1">
        <v>2036</v>
      </c>
      <c r="AP869" s="1">
        <v>2037</v>
      </c>
      <c r="AQ869" s="1">
        <v>2038</v>
      </c>
      <c r="AR869" s="1">
        <v>2039</v>
      </c>
      <c r="AS869" s="1">
        <v>2040</v>
      </c>
      <c r="AT869" s="1">
        <v>2041</v>
      </c>
      <c r="AU869" s="1">
        <v>2042</v>
      </c>
      <c r="AV869" s="1">
        <v>2043</v>
      </c>
      <c r="AW869" s="1">
        <v>2044</v>
      </c>
      <c r="AX869" s="1">
        <v>2045</v>
      </c>
      <c r="AY869" s="1">
        <v>2046</v>
      </c>
      <c r="AZ869" s="1">
        <v>2047</v>
      </c>
      <c r="BA869" s="1">
        <v>2048</v>
      </c>
      <c r="BB869" s="1">
        <v>2049</v>
      </c>
      <c r="BC869" s="1">
        <v>2050</v>
      </c>
    </row>
    <row r="870" spans="1:55">
      <c r="A870" s="1" t="str">
        <f>'Population Definitions'!$A$2</f>
        <v>PWID_males</v>
      </c>
      <c r="C870" t="s">
        <v>32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Definitions'!$A$3</f>
        <v>PWID_females</v>
      </c>
      <c r="C871" t="s">
        <v>32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Definitions'!$A$4</f>
        <v>0-9_males</v>
      </c>
      <c r="C872" t="s">
        <v>32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Definitions'!$A$5</f>
        <v>0-9_females</v>
      </c>
      <c r="C873" t="s">
        <v>32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Definitions'!$A$6</f>
        <v>10-17_males</v>
      </c>
      <c r="C874" t="s">
        <v>32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Definitions'!$A$7</f>
        <v>10-17_females</v>
      </c>
      <c r="C875" t="s">
        <v>32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Definitions'!$A$8</f>
        <v>18-64_males</v>
      </c>
      <c r="C876" t="s">
        <v>32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Definitions'!$A$9</f>
        <v>18-64_females</v>
      </c>
      <c r="C877" t="s">
        <v>32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Definitions'!$A$10</f>
        <v>65+_males</v>
      </c>
      <c r="C878" t="s">
        <v>32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Definitions'!$A$11</f>
        <v>65+_females</v>
      </c>
      <c r="C879" t="s">
        <v>32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0" spans="1:55">
      <c r="A880" s="1" t="str">
        <f>'Population Definitions'!$A$12</f>
        <v>Prisoners_males</v>
      </c>
      <c r="C880" t="s">
        <v>32</v>
      </c>
      <c r="D880" s="3"/>
      <c r="E880" s="3">
        <v>0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</row>
    <row r="881" spans="1:55">
      <c r="A881" s="1" t="str">
        <f>'Population Definitions'!$A$13</f>
        <v>Prisoners_females</v>
      </c>
      <c r="C881" t="s">
        <v>32</v>
      </c>
      <c r="D881" s="3"/>
      <c r="E881" s="3">
        <v>0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</row>
    <row r="883" spans="1:55">
      <c r="A883" s="1" t="s">
        <v>189</v>
      </c>
      <c r="B883" s="1" t="s">
        <v>29</v>
      </c>
      <c r="C883" s="1" t="s">
        <v>30</v>
      </c>
      <c r="D883" s="1" t="s">
        <v>31</v>
      </c>
      <c r="E883" s="1">
        <v>2000</v>
      </c>
      <c r="F883" s="1">
        <v>2001</v>
      </c>
      <c r="G883" s="1">
        <v>2002</v>
      </c>
      <c r="H883" s="1">
        <v>2003</v>
      </c>
      <c r="I883" s="1">
        <v>2004</v>
      </c>
      <c r="J883" s="1">
        <v>2005</v>
      </c>
      <c r="K883" s="1">
        <v>2006</v>
      </c>
      <c r="L883" s="1">
        <v>2007</v>
      </c>
      <c r="M883" s="1">
        <v>2008</v>
      </c>
      <c r="N883" s="1">
        <v>2009</v>
      </c>
      <c r="O883" s="1">
        <v>2010</v>
      </c>
      <c r="P883" s="1">
        <v>2011</v>
      </c>
      <c r="Q883" s="1">
        <v>2012</v>
      </c>
      <c r="R883" s="1">
        <v>2013</v>
      </c>
      <c r="S883" s="1">
        <v>2014</v>
      </c>
      <c r="T883" s="1">
        <v>2015</v>
      </c>
      <c r="U883" s="1">
        <v>2016</v>
      </c>
      <c r="V883" s="1">
        <v>2017</v>
      </c>
      <c r="W883" s="1">
        <v>2018</v>
      </c>
      <c r="X883" s="1">
        <v>2019</v>
      </c>
      <c r="Y883" s="1">
        <v>2020</v>
      </c>
      <c r="Z883" s="1">
        <v>2021</v>
      </c>
      <c r="AA883" s="1">
        <v>2022</v>
      </c>
      <c r="AB883" s="1">
        <v>2023</v>
      </c>
      <c r="AC883" s="1">
        <v>2024</v>
      </c>
      <c r="AD883" s="1">
        <v>2025</v>
      </c>
      <c r="AE883" s="1">
        <v>2026</v>
      </c>
      <c r="AF883" s="1">
        <v>2027</v>
      </c>
      <c r="AG883" s="1">
        <v>2028</v>
      </c>
      <c r="AH883" s="1">
        <v>2029</v>
      </c>
      <c r="AI883" s="1">
        <v>2030</v>
      </c>
      <c r="AJ883" s="1">
        <v>2031</v>
      </c>
      <c r="AK883" s="1">
        <v>2032</v>
      </c>
      <c r="AL883" s="1">
        <v>2033</v>
      </c>
      <c r="AM883" s="1">
        <v>2034</v>
      </c>
      <c r="AN883" s="1">
        <v>2035</v>
      </c>
      <c r="AO883" s="1">
        <v>2036</v>
      </c>
      <c r="AP883" s="1">
        <v>2037</v>
      </c>
      <c r="AQ883" s="1">
        <v>2038</v>
      </c>
      <c r="AR883" s="1">
        <v>2039</v>
      </c>
      <c r="AS883" s="1">
        <v>2040</v>
      </c>
      <c r="AT883" s="1">
        <v>2041</v>
      </c>
      <c r="AU883" s="1">
        <v>2042</v>
      </c>
      <c r="AV883" s="1">
        <v>2043</v>
      </c>
      <c r="AW883" s="1">
        <v>2044</v>
      </c>
      <c r="AX883" s="1">
        <v>2045</v>
      </c>
      <c r="AY883" s="1">
        <v>2046</v>
      </c>
      <c r="AZ883" s="1">
        <v>2047</v>
      </c>
      <c r="BA883" s="1">
        <v>2048</v>
      </c>
      <c r="BB883" s="1">
        <v>2049</v>
      </c>
      <c r="BC883" s="1">
        <v>2050</v>
      </c>
    </row>
    <row r="884" spans="1:55">
      <c r="A884" s="1" t="str">
        <f>'Population Definitions'!$A$2</f>
        <v>PWID_males</v>
      </c>
      <c r="C884" t="s">
        <v>32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Definitions'!$A$3</f>
        <v>PWID_females</v>
      </c>
      <c r="C885" t="s">
        <v>32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Definitions'!$A$4</f>
        <v>0-9_males</v>
      </c>
      <c r="C886" t="s">
        <v>32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Definitions'!$A$5</f>
        <v>0-9_females</v>
      </c>
      <c r="C887" t="s">
        <v>32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Definitions'!$A$6</f>
        <v>10-17_males</v>
      </c>
      <c r="C888" t="s">
        <v>32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Definitions'!$A$7</f>
        <v>10-17_females</v>
      </c>
      <c r="C889" t="s">
        <v>32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Definitions'!$A$8</f>
        <v>18-64_males</v>
      </c>
      <c r="C890" t="s">
        <v>32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Definitions'!$A$9</f>
        <v>18-64_females</v>
      </c>
      <c r="C891" t="s">
        <v>32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Definitions'!$A$10</f>
        <v>65+_males</v>
      </c>
      <c r="C892" t="s">
        <v>32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Definitions'!$A$11</f>
        <v>65+_females</v>
      </c>
      <c r="C893" t="s">
        <v>32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Definitions'!$A$12</f>
        <v>Prisoners_males</v>
      </c>
      <c r="C894" t="s">
        <v>32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Definitions'!$A$13</f>
        <v>Prisoners_females</v>
      </c>
      <c r="C895" t="s">
        <v>32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190</v>
      </c>
      <c r="B897" s="1" t="s">
        <v>29</v>
      </c>
      <c r="C897" s="1" t="s">
        <v>30</v>
      </c>
      <c r="D897" s="1" t="s">
        <v>31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32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32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32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32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32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32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32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32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32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32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32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32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1" spans="1:55">
      <c r="A911" s="1" t="s">
        <v>191</v>
      </c>
      <c r="B911" s="1" t="s">
        <v>29</v>
      </c>
      <c r="C911" s="1" t="s">
        <v>30</v>
      </c>
      <c r="D911" s="1" t="s">
        <v>31</v>
      </c>
      <c r="E911" s="1">
        <v>2000</v>
      </c>
      <c r="F911" s="1">
        <v>2001</v>
      </c>
      <c r="G911" s="1">
        <v>2002</v>
      </c>
      <c r="H911" s="1">
        <v>2003</v>
      </c>
      <c r="I911" s="1">
        <v>2004</v>
      </c>
      <c r="J911" s="1">
        <v>2005</v>
      </c>
      <c r="K911" s="1">
        <v>2006</v>
      </c>
      <c r="L911" s="1">
        <v>2007</v>
      </c>
      <c r="M911" s="1">
        <v>2008</v>
      </c>
      <c r="N911" s="1">
        <v>2009</v>
      </c>
      <c r="O911" s="1">
        <v>2010</v>
      </c>
      <c r="P911" s="1">
        <v>2011</v>
      </c>
      <c r="Q911" s="1">
        <v>2012</v>
      </c>
      <c r="R911" s="1">
        <v>2013</v>
      </c>
      <c r="S911" s="1">
        <v>2014</v>
      </c>
      <c r="T911" s="1">
        <v>2015</v>
      </c>
      <c r="U911" s="1">
        <v>2016</v>
      </c>
      <c r="V911" s="1">
        <v>2017</v>
      </c>
      <c r="W911" s="1">
        <v>2018</v>
      </c>
      <c r="X911" s="1">
        <v>2019</v>
      </c>
      <c r="Y911" s="1">
        <v>2020</v>
      </c>
      <c r="Z911" s="1">
        <v>2021</v>
      </c>
      <c r="AA911" s="1">
        <v>2022</v>
      </c>
      <c r="AB911" s="1">
        <v>2023</v>
      </c>
      <c r="AC911" s="1">
        <v>2024</v>
      </c>
      <c r="AD911" s="1">
        <v>2025</v>
      </c>
      <c r="AE911" s="1">
        <v>2026</v>
      </c>
      <c r="AF911" s="1">
        <v>2027</v>
      </c>
      <c r="AG911" s="1">
        <v>2028</v>
      </c>
      <c r="AH911" s="1">
        <v>2029</v>
      </c>
      <c r="AI911" s="1">
        <v>2030</v>
      </c>
      <c r="AJ911" s="1">
        <v>2031</v>
      </c>
      <c r="AK911" s="1">
        <v>2032</v>
      </c>
      <c r="AL911" s="1">
        <v>2033</v>
      </c>
      <c r="AM911" s="1">
        <v>2034</v>
      </c>
      <c r="AN911" s="1">
        <v>2035</v>
      </c>
      <c r="AO911" s="1">
        <v>2036</v>
      </c>
      <c r="AP911" s="1">
        <v>2037</v>
      </c>
      <c r="AQ911" s="1">
        <v>2038</v>
      </c>
      <c r="AR911" s="1">
        <v>2039</v>
      </c>
      <c r="AS911" s="1">
        <v>2040</v>
      </c>
      <c r="AT911" s="1">
        <v>2041</v>
      </c>
      <c r="AU911" s="1">
        <v>2042</v>
      </c>
      <c r="AV911" s="1">
        <v>2043</v>
      </c>
      <c r="AW911" s="1">
        <v>2044</v>
      </c>
      <c r="AX911" s="1">
        <v>2045</v>
      </c>
      <c r="AY911" s="1">
        <v>2046</v>
      </c>
      <c r="AZ911" s="1">
        <v>2047</v>
      </c>
      <c r="BA911" s="1">
        <v>2048</v>
      </c>
      <c r="BB911" s="1">
        <v>2049</v>
      </c>
      <c r="BC911" s="1">
        <v>2050</v>
      </c>
    </row>
    <row r="912" spans="1:55">
      <c r="A912" s="1" t="str">
        <f>'Population Definitions'!$A$2</f>
        <v>PWID_males</v>
      </c>
      <c r="C912" t="s">
        <v>32</v>
      </c>
      <c r="D912" s="3"/>
      <c r="E912" s="3">
        <v>0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</row>
    <row r="913" spans="1:55">
      <c r="A913" s="1" t="str">
        <f>'Population Definitions'!$A$3</f>
        <v>PWID_females</v>
      </c>
      <c r="C913" t="s">
        <v>32</v>
      </c>
      <c r="D913" s="3"/>
      <c r="E913" s="3">
        <v>0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</row>
    <row r="914" spans="1:55">
      <c r="A914" s="1" t="str">
        <f>'Population Definitions'!$A$4</f>
        <v>0-9_males</v>
      </c>
      <c r="C914" t="s">
        <v>32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Definitions'!$A$5</f>
        <v>0-9_females</v>
      </c>
      <c r="C915" t="s">
        <v>32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Definitions'!$A$6</f>
        <v>10-17_males</v>
      </c>
      <c r="C916" t="s">
        <v>32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Definitions'!$A$7</f>
        <v>10-17_females</v>
      </c>
      <c r="C917" t="s">
        <v>32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Definitions'!$A$8</f>
        <v>18-64_males</v>
      </c>
      <c r="C918" t="s">
        <v>32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Definitions'!$A$9</f>
        <v>18-64_females</v>
      </c>
      <c r="C919" t="s">
        <v>32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Definitions'!$A$10</f>
        <v>65+_males</v>
      </c>
      <c r="C920" t="s">
        <v>32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Definitions'!$A$11</f>
        <v>65+_females</v>
      </c>
      <c r="C921" t="s">
        <v>32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Definitions'!$A$12</f>
        <v>Prisoners_males</v>
      </c>
      <c r="C922" t="s">
        <v>32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Definitions'!$A$13</f>
        <v>Prisoners_females</v>
      </c>
      <c r="C923" t="s">
        <v>32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5" spans="1:55">
      <c r="A925" s="1" t="s">
        <v>192</v>
      </c>
      <c r="B925" s="1" t="s">
        <v>29</v>
      </c>
      <c r="C925" s="1" t="s">
        <v>30</v>
      </c>
      <c r="D925" s="1" t="s">
        <v>31</v>
      </c>
      <c r="E925" s="1">
        <v>2000</v>
      </c>
      <c r="F925" s="1">
        <v>2001</v>
      </c>
      <c r="G925" s="1">
        <v>2002</v>
      </c>
      <c r="H925" s="1">
        <v>2003</v>
      </c>
      <c r="I925" s="1">
        <v>2004</v>
      </c>
      <c r="J925" s="1">
        <v>2005</v>
      </c>
      <c r="K925" s="1">
        <v>2006</v>
      </c>
      <c r="L925" s="1">
        <v>2007</v>
      </c>
      <c r="M925" s="1">
        <v>2008</v>
      </c>
      <c r="N925" s="1">
        <v>2009</v>
      </c>
      <c r="O925" s="1">
        <v>2010</v>
      </c>
      <c r="P925" s="1">
        <v>2011</v>
      </c>
      <c r="Q925" s="1">
        <v>2012</v>
      </c>
      <c r="R925" s="1">
        <v>2013</v>
      </c>
      <c r="S925" s="1">
        <v>2014</v>
      </c>
      <c r="T925" s="1">
        <v>2015</v>
      </c>
      <c r="U925" s="1">
        <v>2016</v>
      </c>
      <c r="V925" s="1">
        <v>2017</v>
      </c>
      <c r="W925" s="1">
        <v>2018</v>
      </c>
      <c r="X925" s="1">
        <v>2019</v>
      </c>
      <c r="Y925" s="1">
        <v>2020</v>
      </c>
      <c r="Z925" s="1">
        <v>2021</v>
      </c>
      <c r="AA925" s="1">
        <v>2022</v>
      </c>
      <c r="AB925" s="1">
        <v>2023</v>
      </c>
      <c r="AC925" s="1">
        <v>2024</v>
      </c>
      <c r="AD925" s="1">
        <v>2025</v>
      </c>
      <c r="AE925" s="1">
        <v>2026</v>
      </c>
      <c r="AF925" s="1">
        <v>2027</v>
      </c>
      <c r="AG925" s="1">
        <v>2028</v>
      </c>
      <c r="AH925" s="1">
        <v>2029</v>
      </c>
      <c r="AI925" s="1">
        <v>2030</v>
      </c>
      <c r="AJ925" s="1">
        <v>2031</v>
      </c>
      <c r="AK925" s="1">
        <v>2032</v>
      </c>
      <c r="AL925" s="1">
        <v>2033</v>
      </c>
      <c r="AM925" s="1">
        <v>2034</v>
      </c>
      <c r="AN925" s="1">
        <v>2035</v>
      </c>
      <c r="AO925" s="1">
        <v>2036</v>
      </c>
      <c r="AP925" s="1">
        <v>2037</v>
      </c>
      <c r="AQ925" s="1">
        <v>2038</v>
      </c>
      <c r="AR925" s="1">
        <v>2039</v>
      </c>
      <c r="AS925" s="1">
        <v>2040</v>
      </c>
      <c r="AT925" s="1">
        <v>2041</v>
      </c>
      <c r="AU925" s="1">
        <v>2042</v>
      </c>
      <c r="AV925" s="1">
        <v>2043</v>
      </c>
      <c r="AW925" s="1">
        <v>2044</v>
      </c>
      <c r="AX925" s="1">
        <v>2045</v>
      </c>
      <c r="AY925" s="1">
        <v>2046</v>
      </c>
      <c r="AZ925" s="1">
        <v>2047</v>
      </c>
      <c r="BA925" s="1">
        <v>2048</v>
      </c>
      <c r="BB925" s="1">
        <v>2049</v>
      </c>
      <c r="BC925" s="1">
        <v>2050</v>
      </c>
    </row>
    <row r="926" spans="1:55">
      <c r="A926" s="1" t="str">
        <f>'Population Definitions'!$A$2</f>
        <v>PWID_males</v>
      </c>
      <c r="C926" t="s">
        <v>32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Definitions'!$A$3</f>
        <v>PWID_females</v>
      </c>
      <c r="C927" t="s">
        <v>32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8" spans="1:55">
      <c r="A928" s="1" t="str">
        <f>'Population Definitions'!$A$4</f>
        <v>0-9_males</v>
      </c>
      <c r="C928" t="s">
        <v>32</v>
      </c>
      <c r="D928" s="3"/>
      <c r="E928" s="3">
        <v>0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</row>
    <row r="929" spans="1:55">
      <c r="A929" s="1" t="str">
        <f>'Population Definitions'!$A$5</f>
        <v>0-9_females</v>
      </c>
      <c r="C929" t="s">
        <v>32</v>
      </c>
      <c r="D929" s="3"/>
      <c r="E929" s="3">
        <v>0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</row>
    <row r="930" spans="1:55">
      <c r="A930" s="1" t="str">
        <f>'Population Definitions'!$A$6</f>
        <v>10-17_males</v>
      </c>
      <c r="C930" t="s">
        <v>32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Definitions'!$A$7</f>
        <v>10-17_females</v>
      </c>
      <c r="C931" t="s">
        <v>32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Definitions'!$A$8</f>
        <v>18-64_males</v>
      </c>
      <c r="C932" t="s">
        <v>32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Definitions'!$A$9</f>
        <v>18-64_females</v>
      </c>
      <c r="C933" t="s">
        <v>32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Definitions'!$A$10</f>
        <v>65+_males</v>
      </c>
      <c r="C934" t="s">
        <v>32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Definitions'!$A$11</f>
        <v>65+_females</v>
      </c>
      <c r="C935" t="s">
        <v>32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Definitions'!$A$12</f>
        <v>Prisoners_males</v>
      </c>
      <c r="C936" t="s">
        <v>32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Definitions'!$A$13</f>
        <v>Prisoners_females</v>
      </c>
      <c r="C937" t="s">
        <v>32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9" spans="1:55">
      <c r="A939" s="1" t="s">
        <v>193</v>
      </c>
      <c r="B939" s="1" t="s">
        <v>29</v>
      </c>
      <c r="C939" s="1" t="s">
        <v>30</v>
      </c>
      <c r="D939" s="1" t="s">
        <v>31</v>
      </c>
      <c r="E939" s="1">
        <v>2000</v>
      </c>
      <c r="F939" s="1">
        <v>2001</v>
      </c>
      <c r="G939" s="1">
        <v>2002</v>
      </c>
      <c r="H939" s="1">
        <v>2003</v>
      </c>
      <c r="I939" s="1">
        <v>2004</v>
      </c>
      <c r="J939" s="1">
        <v>2005</v>
      </c>
      <c r="K939" s="1">
        <v>2006</v>
      </c>
      <c r="L939" s="1">
        <v>2007</v>
      </c>
      <c r="M939" s="1">
        <v>2008</v>
      </c>
      <c r="N939" s="1">
        <v>2009</v>
      </c>
      <c r="O939" s="1">
        <v>2010</v>
      </c>
      <c r="P939" s="1">
        <v>2011</v>
      </c>
      <c r="Q939" s="1">
        <v>2012</v>
      </c>
      <c r="R939" s="1">
        <v>2013</v>
      </c>
      <c r="S939" s="1">
        <v>2014</v>
      </c>
      <c r="T939" s="1">
        <v>2015</v>
      </c>
      <c r="U939" s="1">
        <v>2016</v>
      </c>
      <c r="V939" s="1">
        <v>2017</v>
      </c>
      <c r="W939" s="1">
        <v>2018</v>
      </c>
      <c r="X939" s="1">
        <v>2019</v>
      </c>
      <c r="Y939" s="1">
        <v>2020</v>
      </c>
      <c r="Z939" s="1">
        <v>2021</v>
      </c>
      <c r="AA939" s="1">
        <v>2022</v>
      </c>
      <c r="AB939" s="1">
        <v>2023</v>
      </c>
      <c r="AC939" s="1">
        <v>2024</v>
      </c>
      <c r="AD939" s="1">
        <v>2025</v>
      </c>
      <c r="AE939" s="1">
        <v>2026</v>
      </c>
      <c r="AF939" s="1">
        <v>2027</v>
      </c>
      <c r="AG939" s="1">
        <v>2028</v>
      </c>
      <c r="AH939" s="1">
        <v>2029</v>
      </c>
      <c r="AI939" s="1">
        <v>2030</v>
      </c>
      <c r="AJ939" s="1">
        <v>2031</v>
      </c>
      <c r="AK939" s="1">
        <v>2032</v>
      </c>
      <c r="AL939" s="1">
        <v>2033</v>
      </c>
      <c r="AM939" s="1">
        <v>2034</v>
      </c>
      <c r="AN939" s="1">
        <v>2035</v>
      </c>
      <c r="AO939" s="1">
        <v>2036</v>
      </c>
      <c r="AP939" s="1">
        <v>2037</v>
      </c>
      <c r="AQ939" s="1">
        <v>2038</v>
      </c>
      <c r="AR939" s="1">
        <v>2039</v>
      </c>
      <c r="AS939" s="1">
        <v>2040</v>
      </c>
      <c r="AT939" s="1">
        <v>2041</v>
      </c>
      <c r="AU939" s="1">
        <v>2042</v>
      </c>
      <c r="AV939" s="1">
        <v>2043</v>
      </c>
      <c r="AW939" s="1">
        <v>2044</v>
      </c>
      <c r="AX939" s="1">
        <v>2045</v>
      </c>
      <c r="AY939" s="1">
        <v>2046</v>
      </c>
      <c r="AZ939" s="1">
        <v>2047</v>
      </c>
      <c r="BA939" s="1">
        <v>2048</v>
      </c>
      <c r="BB939" s="1">
        <v>2049</v>
      </c>
      <c r="BC939" s="1">
        <v>2050</v>
      </c>
    </row>
    <row r="940" spans="1:55">
      <c r="A940" s="1" t="str">
        <f>'Population Definitions'!$A$2</f>
        <v>PWID_males</v>
      </c>
      <c r="C940" t="s">
        <v>32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Definitions'!$A$3</f>
        <v>PWID_females</v>
      </c>
      <c r="C941" t="s">
        <v>32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Definitions'!$A$4</f>
        <v>0-9_males</v>
      </c>
      <c r="C942" t="s">
        <v>32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Definitions'!$A$5</f>
        <v>0-9_females</v>
      </c>
      <c r="C943" t="s">
        <v>32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4" spans="1:55">
      <c r="A944" s="1" t="str">
        <f>'Population Definitions'!$A$6</f>
        <v>10-17_males</v>
      </c>
      <c r="C944" t="s">
        <v>32</v>
      </c>
      <c r="D944" s="3"/>
      <c r="E944" s="3">
        <v>0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</row>
    <row r="945" spans="1:55">
      <c r="A945" s="1" t="str">
        <f>'Population Definitions'!$A$7</f>
        <v>10-17_females</v>
      </c>
      <c r="C945" t="s">
        <v>32</v>
      </c>
      <c r="D945" s="3"/>
      <c r="E945" s="3">
        <v>0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</row>
    <row r="946" spans="1:55">
      <c r="A946" s="1" t="str">
        <f>'Population Definitions'!$A$8</f>
        <v>18-64_males</v>
      </c>
      <c r="C946" t="s">
        <v>32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Definitions'!$A$9</f>
        <v>18-64_females</v>
      </c>
      <c r="C947" t="s">
        <v>32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Definitions'!$A$10</f>
        <v>65+_males</v>
      </c>
      <c r="C948" t="s">
        <v>32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Definitions'!$A$11</f>
        <v>65+_females</v>
      </c>
      <c r="C949" t="s">
        <v>32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Definitions'!$A$12</f>
        <v>Prisoners_males</v>
      </c>
      <c r="C950" t="s">
        <v>32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Definitions'!$A$13</f>
        <v>Prisoners_females</v>
      </c>
      <c r="C951" t="s">
        <v>32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3" spans="1:55">
      <c r="A953" s="1" t="s">
        <v>194</v>
      </c>
      <c r="B953" s="1" t="s">
        <v>29</v>
      </c>
      <c r="C953" s="1" t="s">
        <v>30</v>
      </c>
      <c r="D953" s="1" t="s">
        <v>31</v>
      </c>
      <c r="E953" s="1">
        <v>2000</v>
      </c>
      <c r="F953" s="1">
        <v>2001</v>
      </c>
      <c r="G953" s="1">
        <v>2002</v>
      </c>
      <c r="H953" s="1">
        <v>2003</v>
      </c>
      <c r="I953" s="1">
        <v>2004</v>
      </c>
      <c r="J953" s="1">
        <v>2005</v>
      </c>
      <c r="K953" s="1">
        <v>2006</v>
      </c>
      <c r="L953" s="1">
        <v>2007</v>
      </c>
      <c r="M953" s="1">
        <v>2008</v>
      </c>
      <c r="N953" s="1">
        <v>2009</v>
      </c>
      <c r="O953" s="1">
        <v>2010</v>
      </c>
      <c r="P953" s="1">
        <v>2011</v>
      </c>
      <c r="Q953" s="1">
        <v>2012</v>
      </c>
      <c r="R953" s="1">
        <v>2013</v>
      </c>
      <c r="S953" s="1">
        <v>2014</v>
      </c>
      <c r="T953" s="1">
        <v>2015</v>
      </c>
      <c r="U953" s="1">
        <v>2016</v>
      </c>
      <c r="V953" s="1">
        <v>2017</v>
      </c>
      <c r="W953" s="1">
        <v>2018</v>
      </c>
      <c r="X953" s="1">
        <v>2019</v>
      </c>
      <c r="Y953" s="1">
        <v>2020</v>
      </c>
      <c r="Z953" s="1">
        <v>2021</v>
      </c>
      <c r="AA953" s="1">
        <v>2022</v>
      </c>
      <c r="AB953" s="1">
        <v>2023</v>
      </c>
      <c r="AC953" s="1">
        <v>2024</v>
      </c>
      <c r="AD953" s="1">
        <v>2025</v>
      </c>
      <c r="AE953" s="1">
        <v>2026</v>
      </c>
      <c r="AF953" s="1">
        <v>2027</v>
      </c>
      <c r="AG953" s="1">
        <v>2028</v>
      </c>
      <c r="AH953" s="1">
        <v>2029</v>
      </c>
      <c r="AI953" s="1">
        <v>2030</v>
      </c>
      <c r="AJ953" s="1">
        <v>2031</v>
      </c>
      <c r="AK953" s="1">
        <v>2032</v>
      </c>
      <c r="AL953" s="1">
        <v>2033</v>
      </c>
      <c r="AM953" s="1">
        <v>2034</v>
      </c>
      <c r="AN953" s="1">
        <v>2035</v>
      </c>
      <c r="AO953" s="1">
        <v>2036</v>
      </c>
      <c r="AP953" s="1">
        <v>2037</v>
      </c>
      <c r="AQ953" s="1">
        <v>2038</v>
      </c>
      <c r="AR953" s="1">
        <v>2039</v>
      </c>
      <c r="AS953" s="1">
        <v>2040</v>
      </c>
      <c r="AT953" s="1">
        <v>2041</v>
      </c>
      <c r="AU953" s="1">
        <v>2042</v>
      </c>
      <c r="AV953" s="1">
        <v>2043</v>
      </c>
      <c r="AW953" s="1">
        <v>2044</v>
      </c>
      <c r="AX953" s="1">
        <v>2045</v>
      </c>
      <c r="AY953" s="1">
        <v>2046</v>
      </c>
      <c r="AZ953" s="1">
        <v>2047</v>
      </c>
      <c r="BA953" s="1">
        <v>2048</v>
      </c>
      <c r="BB953" s="1">
        <v>2049</v>
      </c>
      <c r="BC953" s="1">
        <v>2050</v>
      </c>
    </row>
    <row r="954" spans="1:55">
      <c r="A954" s="1" t="str">
        <f>'Population Definitions'!$A$2</f>
        <v>PWID_males</v>
      </c>
      <c r="C954" t="s">
        <v>32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Definitions'!$A$3</f>
        <v>PWID_females</v>
      </c>
      <c r="C955" t="s">
        <v>32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Definitions'!$A$4</f>
        <v>0-9_males</v>
      </c>
      <c r="C956" t="s">
        <v>32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Definitions'!$A$5</f>
        <v>0-9_females</v>
      </c>
      <c r="C957" t="s">
        <v>32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Definitions'!$A$6</f>
        <v>10-17_males</v>
      </c>
      <c r="C958" t="s">
        <v>32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Definitions'!$A$7</f>
        <v>10-17_females</v>
      </c>
      <c r="C959" t="s">
        <v>32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0" spans="1:55">
      <c r="A960" s="1" t="str">
        <f>'Population Definitions'!$A$8</f>
        <v>18-64_males</v>
      </c>
      <c r="C960" t="s">
        <v>32</v>
      </c>
      <c r="D960" s="3"/>
      <c r="E960" s="3">
        <v>0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</row>
    <row r="961" spans="1:55">
      <c r="A961" s="1" t="str">
        <f>'Population Definitions'!$A$9</f>
        <v>18-64_females</v>
      </c>
      <c r="C961" t="s">
        <v>32</v>
      </c>
      <c r="D961" s="3"/>
      <c r="E961" s="3">
        <v>0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</row>
    <row r="962" spans="1:55">
      <c r="A962" s="1" t="str">
        <f>'Population Definitions'!$A$10</f>
        <v>65+_males</v>
      </c>
      <c r="C962" t="s">
        <v>32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Definitions'!$A$11</f>
        <v>65+_females</v>
      </c>
      <c r="C963" t="s">
        <v>32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Definitions'!$A$12</f>
        <v>Prisoners_males</v>
      </c>
      <c r="C964" t="s">
        <v>32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Definitions'!$A$13</f>
        <v>Prisoners_females</v>
      </c>
      <c r="C965" t="s">
        <v>32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7" spans="1:55">
      <c r="A967" s="1" t="s">
        <v>195</v>
      </c>
      <c r="B967" s="1" t="s">
        <v>29</v>
      </c>
      <c r="C967" s="1" t="s">
        <v>30</v>
      </c>
      <c r="D967" s="1" t="s">
        <v>31</v>
      </c>
      <c r="E967" s="1">
        <v>2000</v>
      </c>
      <c r="F967" s="1">
        <v>2001</v>
      </c>
      <c r="G967" s="1">
        <v>2002</v>
      </c>
      <c r="H967" s="1">
        <v>2003</v>
      </c>
      <c r="I967" s="1">
        <v>2004</v>
      </c>
      <c r="J967" s="1">
        <v>2005</v>
      </c>
      <c r="K967" s="1">
        <v>2006</v>
      </c>
      <c r="L967" s="1">
        <v>2007</v>
      </c>
      <c r="M967" s="1">
        <v>2008</v>
      </c>
      <c r="N967" s="1">
        <v>2009</v>
      </c>
      <c r="O967" s="1">
        <v>2010</v>
      </c>
      <c r="P967" s="1">
        <v>2011</v>
      </c>
      <c r="Q967" s="1">
        <v>2012</v>
      </c>
      <c r="R967" s="1">
        <v>2013</v>
      </c>
      <c r="S967" s="1">
        <v>2014</v>
      </c>
      <c r="T967" s="1">
        <v>2015</v>
      </c>
      <c r="U967" s="1">
        <v>2016</v>
      </c>
      <c r="V967" s="1">
        <v>2017</v>
      </c>
      <c r="W967" s="1">
        <v>2018</v>
      </c>
      <c r="X967" s="1">
        <v>2019</v>
      </c>
      <c r="Y967" s="1">
        <v>2020</v>
      </c>
      <c r="Z967" s="1">
        <v>2021</v>
      </c>
      <c r="AA967" s="1">
        <v>2022</v>
      </c>
      <c r="AB967" s="1">
        <v>2023</v>
      </c>
      <c r="AC967" s="1">
        <v>2024</v>
      </c>
      <c r="AD967" s="1">
        <v>2025</v>
      </c>
      <c r="AE967" s="1">
        <v>2026</v>
      </c>
      <c r="AF967" s="1">
        <v>2027</v>
      </c>
      <c r="AG967" s="1">
        <v>2028</v>
      </c>
      <c r="AH967" s="1">
        <v>2029</v>
      </c>
      <c r="AI967" s="1">
        <v>2030</v>
      </c>
      <c r="AJ967" s="1">
        <v>2031</v>
      </c>
      <c r="AK967" s="1">
        <v>2032</v>
      </c>
      <c r="AL967" s="1">
        <v>2033</v>
      </c>
      <c r="AM967" s="1">
        <v>2034</v>
      </c>
      <c r="AN967" s="1">
        <v>2035</v>
      </c>
      <c r="AO967" s="1">
        <v>2036</v>
      </c>
      <c r="AP967" s="1">
        <v>2037</v>
      </c>
      <c r="AQ967" s="1">
        <v>2038</v>
      </c>
      <c r="AR967" s="1">
        <v>2039</v>
      </c>
      <c r="AS967" s="1">
        <v>2040</v>
      </c>
      <c r="AT967" s="1">
        <v>2041</v>
      </c>
      <c r="AU967" s="1">
        <v>2042</v>
      </c>
      <c r="AV967" s="1">
        <v>2043</v>
      </c>
      <c r="AW967" s="1">
        <v>2044</v>
      </c>
      <c r="AX967" s="1">
        <v>2045</v>
      </c>
      <c r="AY967" s="1">
        <v>2046</v>
      </c>
      <c r="AZ967" s="1">
        <v>2047</v>
      </c>
      <c r="BA967" s="1">
        <v>2048</v>
      </c>
      <c r="BB967" s="1">
        <v>2049</v>
      </c>
      <c r="BC967" s="1">
        <v>2050</v>
      </c>
    </row>
    <row r="968" spans="1:55">
      <c r="A968" s="1" t="str">
        <f>'Population Definitions'!$A$2</f>
        <v>PWID_males</v>
      </c>
      <c r="C968" t="s">
        <v>32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Definitions'!$A$3</f>
        <v>PWID_females</v>
      </c>
      <c r="C969" t="s">
        <v>32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Definitions'!$A$4</f>
        <v>0-9_males</v>
      </c>
      <c r="C970" t="s">
        <v>32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Definitions'!$A$5</f>
        <v>0-9_females</v>
      </c>
      <c r="C971" t="s">
        <v>32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Definitions'!$A$6</f>
        <v>10-17_males</v>
      </c>
      <c r="C972" t="s">
        <v>32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Definitions'!$A$7</f>
        <v>10-17_females</v>
      </c>
      <c r="C973" t="s">
        <v>32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Definitions'!$A$8</f>
        <v>18-64_males</v>
      </c>
      <c r="C974" t="s">
        <v>32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Definitions'!$A$9</f>
        <v>18-64_females</v>
      </c>
      <c r="C975" t="s">
        <v>32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6" spans="1:55">
      <c r="A976" s="1" t="str">
        <f>'Population Definitions'!$A$10</f>
        <v>65+_males</v>
      </c>
      <c r="C976" t="s">
        <v>32</v>
      </c>
      <c r="D976" s="3"/>
      <c r="E976" s="3">
        <v>0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</row>
    <row r="977" spans="1:55">
      <c r="A977" s="1" t="str">
        <f>'Population Definitions'!$A$11</f>
        <v>65+_females</v>
      </c>
      <c r="C977" t="s">
        <v>32</v>
      </c>
      <c r="D977" s="3"/>
      <c r="E977" s="3">
        <v>0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</row>
    <row r="978" spans="1:55">
      <c r="A978" s="1" t="str">
        <f>'Population Definitions'!$A$12</f>
        <v>Prisoners_males</v>
      </c>
      <c r="C978" t="s">
        <v>32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Definitions'!$A$13</f>
        <v>Prisoners_females</v>
      </c>
      <c r="C979" t="s">
        <v>32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1" spans="1:55">
      <c r="A981" s="1" t="s">
        <v>196</v>
      </c>
      <c r="B981" s="1" t="s">
        <v>29</v>
      </c>
      <c r="C981" s="1" t="s">
        <v>30</v>
      </c>
      <c r="D981" s="1" t="s">
        <v>31</v>
      </c>
      <c r="E981" s="1">
        <v>2000</v>
      </c>
      <c r="F981" s="1">
        <v>2001</v>
      </c>
      <c r="G981" s="1">
        <v>2002</v>
      </c>
      <c r="H981" s="1">
        <v>2003</v>
      </c>
      <c r="I981" s="1">
        <v>2004</v>
      </c>
      <c r="J981" s="1">
        <v>2005</v>
      </c>
      <c r="K981" s="1">
        <v>2006</v>
      </c>
      <c r="L981" s="1">
        <v>2007</v>
      </c>
      <c r="M981" s="1">
        <v>2008</v>
      </c>
      <c r="N981" s="1">
        <v>2009</v>
      </c>
      <c r="O981" s="1">
        <v>2010</v>
      </c>
      <c r="P981" s="1">
        <v>2011</v>
      </c>
      <c r="Q981" s="1">
        <v>2012</v>
      </c>
      <c r="R981" s="1">
        <v>2013</v>
      </c>
      <c r="S981" s="1">
        <v>2014</v>
      </c>
      <c r="T981" s="1">
        <v>2015</v>
      </c>
      <c r="U981" s="1">
        <v>2016</v>
      </c>
      <c r="V981" s="1">
        <v>2017</v>
      </c>
      <c r="W981" s="1">
        <v>2018</v>
      </c>
      <c r="X981" s="1">
        <v>2019</v>
      </c>
      <c r="Y981" s="1">
        <v>2020</v>
      </c>
      <c r="Z981" s="1">
        <v>2021</v>
      </c>
      <c r="AA981" s="1">
        <v>2022</v>
      </c>
      <c r="AB981" s="1">
        <v>2023</v>
      </c>
      <c r="AC981" s="1">
        <v>2024</v>
      </c>
      <c r="AD981" s="1">
        <v>2025</v>
      </c>
      <c r="AE981" s="1">
        <v>2026</v>
      </c>
      <c r="AF981" s="1">
        <v>2027</v>
      </c>
      <c r="AG981" s="1">
        <v>2028</v>
      </c>
      <c r="AH981" s="1">
        <v>2029</v>
      </c>
      <c r="AI981" s="1">
        <v>2030</v>
      </c>
      <c r="AJ981" s="1">
        <v>2031</v>
      </c>
      <c r="AK981" s="1">
        <v>2032</v>
      </c>
      <c r="AL981" s="1">
        <v>2033</v>
      </c>
      <c r="AM981" s="1">
        <v>2034</v>
      </c>
      <c r="AN981" s="1">
        <v>2035</v>
      </c>
      <c r="AO981" s="1">
        <v>2036</v>
      </c>
      <c r="AP981" s="1">
        <v>2037</v>
      </c>
      <c r="AQ981" s="1">
        <v>2038</v>
      </c>
      <c r="AR981" s="1">
        <v>2039</v>
      </c>
      <c r="AS981" s="1">
        <v>2040</v>
      </c>
      <c r="AT981" s="1">
        <v>2041</v>
      </c>
      <c r="AU981" s="1">
        <v>2042</v>
      </c>
      <c r="AV981" s="1">
        <v>2043</v>
      </c>
      <c r="AW981" s="1">
        <v>2044</v>
      </c>
      <c r="AX981" s="1">
        <v>2045</v>
      </c>
      <c r="AY981" s="1">
        <v>2046</v>
      </c>
      <c r="AZ981" s="1">
        <v>2047</v>
      </c>
      <c r="BA981" s="1">
        <v>2048</v>
      </c>
      <c r="BB981" s="1">
        <v>2049</v>
      </c>
      <c r="BC981" s="1">
        <v>2050</v>
      </c>
    </row>
    <row r="982" spans="1:55">
      <c r="A982" s="1" t="str">
        <f>'Population Definitions'!$A$2</f>
        <v>PWID_males</v>
      </c>
      <c r="C982" t="s">
        <v>32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Definitions'!$A$3</f>
        <v>PWID_females</v>
      </c>
      <c r="C983" t="s">
        <v>32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Definitions'!$A$4</f>
        <v>0-9_males</v>
      </c>
      <c r="C984" t="s">
        <v>32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Definitions'!$A$5</f>
        <v>0-9_females</v>
      </c>
      <c r="C985" t="s">
        <v>32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Definitions'!$A$6</f>
        <v>10-17_males</v>
      </c>
      <c r="C986" t="s">
        <v>32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Definitions'!$A$7</f>
        <v>10-17_females</v>
      </c>
      <c r="C987" t="s">
        <v>32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Definitions'!$A$8</f>
        <v>18-64_males</v>
      </c>
      <c r="C988" t="s">
        <v>32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Definitions'!$A$9</f>
        <v>18-64_females</v>
      </c>
      <c r="C989" t="s">
        <v>32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Definitions'!$A$10</f>
        <v>65+_males</v>
      </c>
      <c r="C990" t="s">
        <v>32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Definitions'!$A$11</f>
        <v>65+_females</v>
      </c>
      <c r="C991" t="s">
        <v>32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2" spans="1:55">
      <c r="A992" s="1" t="str">
        <f>'Population Definitions'!$A$12</f>
        <v>Prisoners_males</v>
      </c>
      <c r="C992" t="s">
        <v>32</v>
      </c>
      <c r="D992" s="3"/>
      <c r="E992" s="3">
        <v>0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</row>
    <row r="993" spans="1:55">
      <c r="A993" s="1" t="str">
        <f>'Population Definitions'!$A$13</f>
        <v>Prisoners_females</v>
      </c>
      <c r="C993" t="s">
        <v>32</v>
      </c>
      <c r="D993" s="3"/>
      <c r="E993" s="3">
        <v>0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</row>
    <row r="995" spans="1:55">
      <c r="A995" s="1" t="s">
        <v>197</v>
      </c>
      <c r="B995" s="1" t="s">
        <v>29</v>
      </c>
      <c r="C995" s="1" t="s">
        <v>30</v>
      </c>
      <c r="D995" s="1" t="s">
        <v>31</v>
      </c>
      <c r="E995" s="1">
        <v>2000</v>
      </c>
      <c r="F995" s="1">
        <v>2001</v>
      </c>
      <c r="G995" s="1">
        <v>2002</v>
      </c>
      <c r="H995" s="1">
        <v>2003</v>
      </c>
      <c r="I995" s="1">
        <v>2004</v>
      </c>
      <c r="J995" s="1">
        <v>2005</v>
      </c>
      <c r="K995" s="1">
        <v>2006</v>
      </c>
      <c r="L995" s="1">
        <v>2007</v>
      </c>
      <c r="M995" s="1">
        <v>2008</v>
      </c>
      <c r="N995" s="1">
        <v>2009</v>
      </c>
      <c r="O995" s="1">
        <v>2010</v>
      </c>
      <c r="P995" s="1">
        <v>2011</v>
      </c>
      <c r="Q995" s="1">
        <v>2012</v>
      </c>
      <c r="R995" s="1">
        <v>2013</v>
      </c>
      <c r="S995" s="1">
        <v>2014</v>
      </c>
      <c r="T995" s="1">
        <v>2015</v>
      </c>
      <c r="U995" s="1">
        <v>2016</v>
      </c>
      <c r="V995" s="1">
        <v>2017</v>
      </c>
      <c r="W995" s="1">
        <v>2018</v>
      </c>
      <c r="X995" s="1">
        <v>2019</v>
      </c>
      <c r="Y995" s="1">
        <v>2020</v>
      </c>
      <c r="Z995" s="1">
        <v>2021</v>
      </c>
      <c r="AA995" s="1">
        <v>2022</v>
      </c>
      <c r="AB995" s="1">
        <v>2023</v>
      </c>
      <c r="AC995" s="1">
        <v>2024</v>
      </c>
      <c r="AD995" s="1">
        <v>2025</v>
      </c>
      <c r="AE995" s="1">
        <v>2026</v>
      </c>
      <c r="AF995" s="1">
        <v>2027</v>
      </c>
      <c r="AG995" s="1">
        <v>2028</v>
      </c>
      <c r="AH995" s="1">
        <v>2029</v>
      </c>
      <c r="AI995" s="1">
        <v>2030</v>
      </c>
      <c r="AJ995" s="1">
        <v>2031</v>
      </c>
      <c r="AK995" s="1">
        <v>2032</v>
      </c>
      <c r="AL995" s="1">
        <v>2033</v>
      </c>
      <c r="AM995" s="1">
        <v>2034</v>
      </c>
      <c r="AN995" s="1">
        <v>2035</v>
      </c>
      <c r="AO995" s="1">
        <v>2036</v>
      </c>
      <c r="AP995" s="1">
        <v>2037</v>
      </c>
      <c r="AQ995" s="1">
        <v>2038</v>
      </c>
      <c r="AR995" s="1">
        <v>2039</v>
      </c>
      <c r="AS995" s="1">
        <v>2040</v>
      </c>
      <c r="AT995" s="1">
        <v>2041</v>
      </c>
      <c r="AU995" s="1">
        <v>2042</v>
      </c>
      <c r="AV995" s="1">
        <v>2043</v>
      </c>
      <c r="AW995" s="1">
        <v>2044</v>
      </c>
      <c r="AX995" s="1">
        <v>2045</v>
      </c>
      <c r="AY995" s="1">
        <v>2046</v>
      </c>
      <c r="AZ995" s="1">
        <v>2047</v>
      </c>
      <c r="BA995" s="1">
        <v>2048</v>
      </c>
      <c r="BB995" s="1">
        <v>2049</v>
      </c>
      <c r="BC995" s="1">
        <v>2050</v>
      </c>
    </row>
    <row r="996" spans="1:55">
      <c r="A996" s="1" t="str">
        <f>'Population Definitions'!$A$2</f>
        <v>PWID_males</v>
      </c>
      <c r="C996" t="s">
        <v>32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Definitions'!$A$3</f>
        <v>PWID_females</v>
      </c>
      <c r="C997" t="s">
        <v>32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Definitions'!$A$4</f>
        <v>0-9_males</v>
      </c>
      <c r="C998" t="s">
        <v>32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Definitions'!$A$5</f>
        <v>0-9_females</v>
      </c>
      <c r="C999" t="s">
        <v>32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Definitions'!$A$6</f>
        <v>10-17_males</v>
      </c>
      <c r="C1000" t="s">
        <v>32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Definitions'!$A$7</f>
        <v>10-17_females</v>
      </c>
      <c r="C1001" t="s">
        <v>32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Definitions'!$A$8</f>
        <v>18-64_males</v>
      </c>
      <c r="C1002" t="s">
        <v>32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Definitions'!$A$9</f>
        <v>18-64_females</v>
      </c>
      <c r="C1003" t="s">
        <v>32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Definitions'!$A$10</f>
        <v>65+_males</v>
      </c>
      <c r="C1004" t="s">
        <v>32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Definitions'!$A$11</f>
        <v>65+_females</v>
      </c>
      <c r="C1005" t="s">
        <v>32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Definitions'!$A$12</f>
        <v>Prisoners_males</v>
      </c>
      <c r="C1006" t="s">
        <v>32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Definitions'!$A$13</f>
        <v>Prisoners_females</v>
      </c>
      <c r="C1007" t="s">
        <v>32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198</v>
      </c>
      <c r="B1009" s="1" t="s">
        <v>29</v>
      </c>
      <c r="C1009" s="1" t="s">
        <v>30</v>
      </c>
      <c r="D1009" s="1" t="s">
        <v>31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32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32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32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32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32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32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32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32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32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32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32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32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3" spans="1:55">
      <c r="A1023" s="1" t="s">
        <v>199</v>
      </c>
      <c r="B1023" s="1" t="s">
        <v>29</v>
      </c>
      <c r="C1023" s="1" t="s">
        <v>30</v>
      </c>
      <c r="D1023" s="1" t="s">
        <v>31</v>
      </c>
      <c r="E1023" s="1">
        <v>2000</v>
      </c>
      <c r="F1023" s="1">
        <v>2001</v>
      </c>
      <c r="G1023" s="1">
        <v>2002</v>
      </c>
      <c r="H1023" s="1">
        <v>2003</v>
      </c>
      <c r="I1023" s="1">
        <v>2004</v>
      </c>
      <c r="J1023" s="1">
        <v>2005</v>
      </c>
      <c r="K1023" s="1">
        <v>2006</v>
      </c>
      <c r="L1023" s="1">
        <v>2007</v>
      </c>
      <c r="M1023" s="1">
        <v>2008</v>
      </c>
      <c r="N1023" s="1">
        <v>2009</v>
      </c>
      <c r="O1023" s="1">
        <v>2010</v>
      </c>
      <c r="P1023" s="1">
        <v>2011</v>
      </c>
      <c r="Q1023" s="1">
        <v>2012</v>
      </c>
      <c r="R1023" s="1">
        <v>2013</v>
      </c>
      <c r="S1023" s="1">
        <v>2014</v>
      </c>
      <c r="T1023" s="1">
        <v>2015</v>
      </c>
      <c r="U1023" s="1">
        <v>2016</v>
      </c>
      <c r="V1023" s="1">
        <v>2017</v>
      </c>
      <c r="W1023" s="1">
        <v>2018</v>
      </c>
      <c r="X1023" s="1">
        <v>2019</v>
      </c>
      <c r="Y1023" s="1">
        <v>2020</v>
      </c>
      <c r="Z1023" s="1">
        <v>2021</v>
      </c>
      <c r="AA1023" s="1">
        <v>2022</v>
      </c>
      <c r="AB1023" s="1">
        <v>2023</v>
      </c>
      <c r="AC1023" s="1">
        <v>2024</v>
      </c>
      <c r="AD1023" s="1">
        <v>2025</v>
      </c>
      <c r="AE1023" s="1">
        <v>2026</v>
      </c>
      <c r="AF1023" s="1">
        <v>2027</v>
      </c>
      <c r="AG1023" s="1">
        <v>2028</v>
      </c>
      <c r="AH1023" s="1">
        <v>2029</v>
      </c>
      <c r="AI1023" s="1">
        <v>2030</v>
      </c>
      <c r="AJ1023" s="1">
        <v>2031</v>
      </c>
      <c r="AK1023" s="1">
        <v>2032</v>
      </c>
      <c r="AL1023" s="1">
        <v>2033</v>
      </c>
      <c r="AM1023" s="1">
        <v>2034</v>
      </c>
      <c r="AN1023" s="1">
        <v>2035</v>
      </c>
      <c r="AO1023" s="1">
        <v>2036</v>
      </c>
      <c r="AP1023" s="1">
        <v>2037</v>
      </c>
      <c r="AQ1023" s="1">
        <v>2038</v>
      </c>
      <c r="AR1023" s="1">
        <v>2039</v>
      </c>
      <c r="AS1023" s="1">
        <v>2040</v>
      </c>
      <c r="AT1023" s="1">
        <v>2041</v>
      </c>
      <c r="AU1023" s="1">
        <v>2042</v>
      </c>
      <c r="AV1023" s="1">
        <v>2043</v>
      </c>
      <c r="AW1023" s="1">
        <v>2044</v>
      </c>
      <c r="AX1023" s="1">
        <v>2045</v>
      </c>
      <c r="AY1023" s="1">
        <v>2046</v>
      </c>
      <c r="AZ1023" s="1">
        <v>2047</v>
      </c>
      <c r="BA1023" s="1">
        <v>2048</v>
      </c>
      <c r="BB1023" s="1">
        <v>2049</v>
      </c>
      <c r="BC1023" s="1">
        <v>2050</v>
      </c>
    </row>
    <row r="1024" spans="1:55">
      <c r="A1024" s="1" t="str">
        <f>'Population Definitions'!$A$2</f>
        <v>PWID_males</v>
      </c>
      <c r="C1024" t="s">
        <v>32</v>
      </c>
      <c r="D1024" s="3"/>
      <c r="E1024" s="3">
        <v>0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</row>
    <row r="1025" spans="1:55">
      <c r="A1025" s="1" t="str">
        <f>'Population Definitions'!$A$3</f>
        <v>PWID_females</v>
      </c>
      <c r="C1025" t="s">
        <v>32</v>
      </c>
      <c r="D1025" s="3"/>
      <c r="E1025" s="3">
        <v>0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</row>
    <row r="1026" spans="1:55">
      <c r="A1026" s="1" t="str">
        <f>'Population Definitions'!$A$4</f>
        <v>0-9_males</v>
      </c>
      <c r="C1026" t="s">
        <v>32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Definitions'!$A$5</f>
        <v>0-9_females</v>
      </c>
      <c r="C1027" t="s">
        <v>32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Definitions'!$A$6</f>
        <v>10-17_males</v>
      </c>
      <c r="C1028" t="s">
        <v>32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Definitions'!$A$7</f>
        <v>10-17_females</v>
      </c>
      <c r="C1029" t="s">
        <v>32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Definitions'!$A$8</f>
        <v>18-64_males</v>
      </c>
      <c r="C1030" t="s">
        <v>32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Definitions'!$A$9</f>
        <v>18-64_females</v>
      </c>
      <c r="C1031" t="s">
        <v>32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Definitions'!$A$10</f>
        <v>65+_males</v>
      </c>
      <c r="C1032" t="s">
        <v>32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Definitions'!$A$11</f>
        <v>65+_females</v>
      </c>
      <c r="C1033" t="s">
        <v>32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Definitions'!$A$12</f>
        <v>Prisoners_males</v>
      </c>
      <c r="C1034" t="s">
        <v>32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Definitions'!$A$13</f>
        <v>Prisoners_females</v>
      </c>
      <c r="C1035" t="s">
        <v>32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7" spans="1:55">
      <c r="A1037" s="1" t="s">
        <v>200</v>
      </c>
      <c r="B1037" s="1" t="s">
        <v>29</v>
      </c>
      <c r="C1037" s="1" t="s">
        <v>30</v>
      </c>
      <c r="D1037" s="1" t="s">
        <v>31</v>
      </c>
      <c r="E1037" s="1">
        <v>2000</v>
      </c>
      <c r="F1037" s="1">
        <v>2001</v>
      </c>
      <c r="G1037" s="1">
        <v>2002</v>
      </c>
      <c r="H1037" s="1">
        <v>2003</v>
      </c>
      <c r="I1037" s="1">
        <v>2004</v>
      </c>
      <c r="J1037" s="1">
        <v>2005</v>
      </c>
      <c r="K1037" s="1">
        <v>2006</v>
      </c>
      <c r="L1037" s="1">
        <v>2007</v>
      </c>
      <c r="M1037" s="1">
        <v>2008</v>
      </c>
      <c r="N1037" s="1">
        <v>2009</v>
      </c>
      <c r="O1037" s="1">
        <v>2010</v>
      </c>
      <c r="P1037" s="1">
        <v>2011</v>
      </c>
      <c r="Q1037" s="1">
        <v>2012</v>
      </c>
      <c r="R1037" s="1">
        <v>2013</v>
      </c>
      <c r="S1037" s="1">
        <v>2014</v>
      </c>
      <c r="T1037" s="1">
        <v>2015</v>
      </c>
      <c r="U1037" s="1">
        <v>2016</v>
      </c>
      <c r="V1037" s="1">
        <v>2017</v>
      </c>
      <c r="W1037" s="1">
        <v>2018</v>
      </c>
      <c r="X1037" s="1">
        <v>2019</v>
      </c>
      <c r="Y1037" s="1">
        <v>2020</v>
      </c>
      <c r="Z1037" s="1">
        <v>2021</v>
      </c>
      <c r="AA1037" s="1">
        <v>2022</v>
      </c>
      <c r="AB1037" s="1">
        <v>2023</v>
      </c>
      <c r="AC1037" s="1">
        <v>2024</v>
      </c>
      <c r="AD1037" s="1">
        <v>2025</v>
      </c>
      <c r="AE1037" s="1">
        <v>2026</v>
      </c>
      <c r="AF1037" s="1">
        <v>2027</v>
      </c>
      <c r="AG1037" s="1">
        <v>2028</v>
      </c>
      <c r="AH1037" s="1">
        <v>2029</v>
      </c>
      <c r="AI1037" s="1">
        <v>2030</v>
      </c>
      <c r="AJ1037" s="1">
        <v>2031</v>
      </c>
      <c r="AK1037" s="1">
        <v>2032</v>
      </c>
      <c r="AL1037" s="1">
        <v>2033</v>
      </c>
      <c r="AM1037" s="1">
        <v>2034</v>
      </c>
      <c r="AN1037" s="1">
        <v>2035</v>
      </c>
      <c r="AO1037" s="1">
        <v>2036</v>
      </c>
      <c r="AP1037" s="1">
        <v>2037</v>
      </c>
      <c r="AQ1037" s="1">
        <v>2038</v>
      </c>
      <c r="AR1037" s="1">
        <v>2039</v>
      </c>
      <c r="AS1037" s="1">
        <v>2040</v>
      </c>
      <c r="AT1037" s="1">
        <v>2041</v>
      </c>
      <c r="AU1037" s="1">
        <v>2042</v>
      </c>
      <c r="AV1037" s="1">
        <v>2043</v>
      </c>
      <c r="AW1037" s="1">
        <v>2044</v>
      </c>
      <c r="AX1037" s="1">
        <v>2045</v>
      </c>
      <c r="AY1037" s="1">
        <v>2046</v>
      </c>
      <c r="AZ1037" s="1">
        <v>2047</v>
      </c>
      <c r="BA1037" s="1">
        <v>2048</v>
      </c>
      <c r="BB1037" s="1">
        <v>2049</v>
      </c>
      <c r="BC1037" s="1">
        <v>2050</v>
      </c>
    </row>
    <row r="1038" spans="1:55">
      <c r="A1038" s="1" t="str">
        <f>'Population Definitions'!$A$2</f>
        <v>PWID_males</v>
      </c>
      <c r="C1038" t="s">
        <v>32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Definitions'!$A$3</f>
        <v>PWID_females</v>
      </c>
      <c r="C1039" t="s">
        <v>32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0" spans="1:55">
      <c r="A1040" s="1" t="str">
        <f>'Population Definitions'!$A$4</f>
        <v>0-9_males</v>
      </c>
      <c r="C1040" t="s">
        <v>32</v>
      </c>
      <c r="D1040" s="3"/>
      <c r="E1040" s="3">
        <v>0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</row>
    <row r="1041" spans="1:55">
      <c r="A1041" s="1" t="str">
        <f>'Population Definitions'!$A$5</f>
        <v>0-9_females</v>
      </c>
      <c r="C1041" t="s">
        <v>32</v>
      </c>
      <c r="D1041" s="3"/>
      <c r="E1041" s="3">
        <v>0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</row>
    <row r="1042" spans="1:55">
      <c r="A1042" s="1" t="str">
        <f>'Population Definitions'!$A$6</f>
        <v>10-17_males</v>
      </c>
      <c r="C1042" t="s">
        <v>32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Definitions'!$A$7</f>
        <v>10-17_females</v>
      </c>
      <c r="C1043" t="s">
        <v>32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Definitions'!$A$8</f>
        <v>18-64_males</v>
      </c>
      <c r="C1044" t="s">
        <v>32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Definitions'!$A$9</f>
        <v>18-64_females</v>
      </c>
      <c r="C1045" t="s">
        <v>32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Definitions'!$A$10</f>
        <v>65+_males</v>
      </c>
      <c r="C1046" t="s">
        <v>32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Definitions'!$A$11</f>
        <v>65+_females</v>
      </c>
      <c r="C1047" t="s">
        <v>32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Definitions'!$A$12</f>
        <v>Prisoners_males</v>
      </c>
      <c r="C1048" t="s">
        <v>32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Definitions'!$A$13</f>
        <v>Prisoners_females</v>
      </c>
      <c r="C1049" t="s">
        <v>32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1" spans="1:55">
      <c r="A1051" s="1" t="s">
        <v>201</v>
      </c>
      <c r="B1051" s="1" t="s">
        <v>29</v>
      </c>
      <c r="C1051" s="1" t="s">
        <v>30</v>
      </c>
      <c r="D1051" s="1" t="s">
        <v>31</v>
      </c>
      <c r="E1051" s="1">
        <v>2000</v>
      </c>
      <c r="F1051" s="1">
        <v>2001</v>
      </c>
      <c r="G1051" s="1">
        <v>2002</v>
      </c>
      <c r="H1051" s="1">
        <v>2003</v>
      </c>
      <c r="I1051" s="1">
        <v>2004</v>
      </c>
      <c r="J1051" s="1">
        <v>2005</v>
      </c>
      <c r="K1051" s="1">
        <v>2006</v>
      </c>
      <c r="L1051" s="1">
        <v>2007</v>
      </c>
      <c r="M1051" s="1">
        <v>2008</v>
      </c>
      <c r="N1051" s="1">
        <v>2009</v>
      </c>
      <c r="O1051" s="1">
        <v>2010</v>
      </c>
      <c r="P1051" s="1">
        <v>2011</v>
      </c>
      <c r="Q1051" s="1">
        <v>2012</v>
      </c>
      <c r="R1051" s="1">
        <v>2013</v>
      </c>
      <c r="S1051" s="1">
        <v>2014</v>
      </c>
      <c r="T1051" s="1">
        <v>2015</v>
      </c>
      <c r="U1051" s="1">
        <v>2016</v>
      </c>
      <c r="V1051" s="1">
        <v>2017</v>
      </c>
      <c r="W1051" s="1">
        <v>2018</v>
      </c>
      <c r="X1051" s="1">
        <v>2019</v>
      </c>
      <c r="Y1051" s="1">
        <v>2020</v>
      </c>
      <c r="Z1051" s="1">
        <v>2021</v>
      </c>
      <c r="AA1051" s="1">
        <v>2022</v>
      </c>
      <c r="AB1051" s="1">
        <v>2023</v>
      </c>
      <c r="AC1051" s="1">
        <v>2024</v>
      </c>
      <c r="AD1051" s="1">
        <v>2025</v>
      </c>
      <c r="AE1051" s="1">
        <v>2026</v>
      </c>
      <c r="AF1051" s="1">
        <v>2027</v>
      </c>
      <c r="AG1051" s="1">
        <v>2028</v>
      </c>
      <c r="AH1051" s="1">
        <v>2029</v>
      </c>
      <c r="AI1051" s="1">
        <v>2030</v>
      </c>
      <c r="AJ1051" s="1">
        <v>2031</v>
      </c>
      <c r="AK1051" s="1">
        <v>2032</v>
      </c>
      <c r="AL1051" s="1">
        <v>2033</v>
      </c>
      <c r="AM1051" s="1">
        <v>2034</v>
      </c>
      <c r="AN1051" s="1">
        <v>2035</v>
      </c>
      <c r="AO1051" s="1">
        <v>2036</v>
      </c>
      <c r="AP1051" s="1">
        <v>2037</v>
      </c>
      <c r="AQ1051" s="1">
        <v>2038</v>
      </c>
      <c r="AR1051" s="1">
        <v>2039</v>
      </c>
      <c r="AS1051" s="1">
        <v>2040</v>
      </c>
      <c r="AT1051" s="1">
        <v>2041</v>
      </c>
      <c r="AU1051" s="1">
        <v>2042</v>
      </c>
      <c r="AV1051" s="1">
        <v>2043</v>
      </c>
      <c r="AW1051" s="1">
        <v>2044</v>
      </c>
      <c r="AX1051" s="1">
        <v>2045</v>
      </c>
      <c r="AY1051" s="1">
        <v>2046</v>
      </c>
      <c r="AZ1051" s="1">
        <v>2047</v>
      </c>
      <c r="BA1051" s="1">
        <v>2048</v>
      </c>
      <c r="BB1051" s="1">
        <v>2049</v>
      </c>
      <c r="BC1051" s="1">
        <v>2050</v>
      </c>
    </row>
    <row r="1052" spans="1:55">
      <c r="A1052" s="1" t="str">
        <f>'Population Definitions'!$A$2</f>
        <v>PWID_males</v>
      </c>
      <c r="C1052" t="s">
        <v>32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Definitions'!$A$3</f>
        <v>PWID_females</v>
      </c>
      <c r="C1053" t="s">
        <v>32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Definitions'!$A$4</f>
        <v>0-9_males</v>
      </c>
      <c r="C1054" t="s">
        <v>32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Definitions'!$A$5</f>
        <v>0-9_females</v>
      </c>
      <c r="C1055" t="s">
        <v>32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6" spans="1:55">
      <c r="A1056" s="1" t="str">
        <f>'Population Definitions'!$A$6</f>
        <v>10-17_males</v>
      </c>
      <c r="C1056" t="s">
        <v>32</v>
      </c>
      <c r="D1056" s="3"/>
      <c r="E1056" s="3">
        <v>0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</row>
    <row r="1057" spans="1:55">
      <c r="A1057" s="1" t="str">
        <f>'Population Definitions'!$A$7</f>
        <v>10-17_females</v>
      </c>
      <c r="C1057" t="s">
        <v>32</v>
      </c>
      <c r="D1057" s="3"/>
      <c r="E1057" s="3">
        <v>0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</row>
    <row r="1058" spans="1:55">
      <c r="A1058" s="1" t="str">
        <f>'Population Definitions'!$A$8</f>
        <v>18-64_males</v>
      </c>
      <c r="C1058" t="s">
        <v>32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Definitions'!$A$9</f>
        <v>18-64_females</v>
      </c>
      <c r="C1059" t="s">
        <v>32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Definitions'!$A$10</f>
        <v>65+_males</v>
      </c>
      <c r="C1060" t="s">
        <v>32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Definitions'!$A$11</f>
        <v>65+_females</v>
      </c>
      <c r="C1061" t="s">
        <v>32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Definitions'!$A$12</f>
        <v>Prisoners_males</v>
      </c>
      <c r="C1062" t="s">
        <v>32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Definitions'!$A$13</f>
        <v>Prisoners_females</v>
      </c>
      <c r="C1063" t="s">
        <v>32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5" spans="1:55">
      <c r="A1065" s="1" t="s">
        <v>202</v>
      </c>
      <c r="B1065" s="1" t="s">
        <v>29</v>
      </c>
      <c r="C1065" s="1" t="s">
        <v>30</v>
      </c>
      <c r="D1065" s="1" t="s">
        <v>31</v>
      </c>
      <c r="E1065" s="1">
        <v>2000</v>
      </c>
      <c r="F1065" s="1">
        <v>2001</v>
      </c>
      <c r="G1065" s="1">
        <v>2002</v>
      </c>
      <c r="H1065" s="1">
        <v>2003</v>
      </c>
      <c r="I1065" s="1">
        <v>2004</v>
      </c>
      <c r="J1065" s="1">
        <v>2005</v>
      </c>
      <c r="K1065" s="1">
        <v>2006</v>
      </c>
      <c r="L1065" s="1">
        <v>2007</v>
      </c>
      <c r="M1065" s="1">
        <v>2008</v>
      </c>
      <c r="N1065" s="1">
        <v>2009</v>
      </c>
      <c r="O1065" s="1">
        <v>2010</v>
      </c>
      <c r="P1065" s="1">
        <v>2011</v>
      </c>
      <c r="Q1065" s="1">
        <v>2012</v>
      </c>
      <c r="R1065" s="1">
        <v>2013</v>
      </c>
      <c r="S1065" s="1">
        <v>2014</v>
      </c>
      <c r="T1065" s="1">
        <v>2015</v>
      </c>
      <c r="U1065" s="1">
        <v>2016</v>
      </c>
      <c r="V1065" s="1">
        <v>2017</v>
      </c>
      <c r="W1065" s="1">
        <v>2018</v>
      </c>
      <c r="X1065" s="1">
        <v>2019</v>
      </c>
      <c r="Y1065" s="1">
        <v>2020</v>
      </c>
      <c r="Z1065" s="1">
        <v>2021</v>
      </c>
      <c r="AA1065" s="1">
        <v>2022</v>
      </c>
      <c r="AB1065" s="1">
        <v>2023</v>
      </c>
      <c r="AC1065" s="1">
        <v>2024</v>
      </c>
      <c r="AD1065" s="1">
        <v>2025</v>
      </c>
      <c r="AE1065" s="1">
        <v>2026</v>
      </c>
      <c r="AF1065" s="1">
        <v>2027</v>
      </c>
      <c r="AG1065" s="1">
        <v>2028</v>
      </c>
      <c r="AH1065" s="1">
        <v>2029</v>
      </c>
      <c r="AI1065" s="1">
        <v>2030</v>
      </c>
      <c r="AJ1065" s="1">
        <v>2031</v>
      </c>
      <c r="AK1065" s="1">
        <v>2032</v>
      </c>
      <c r="AL1065" s="1">
        <v>2033</v>
      </c>
      <c r="AM1065" s="1">
        <v>2034</v>
      </c>
      <c r="AN1065" s="1">
        <v>2035</v>
      </c>
      <c r="AO1065" s="1">
        <v>2036</v>
      </c>
      <c r="AP1065" s="1">
        <v>2037</v>
      </c>
      <c r="AQ1065" s="1">
        <v>2038</v>
      </c>
      <c r="AR1065" s="1">
        <v>2039</v>
      </c>
      <c r="AS1065" s="1">
        <v>2040</v>
      </c>
      <c r="AT1065" s="1">
        <v>2041</v>
      </c>
      <c r="AU1065" s="1">
        <v>2042</v>
      </c>
      <c r="AV1065" s="1">
        <v>2043</v>
      </c>
      <c r="AW1065" s="1">
        <v>2044</v>
      </c>
      <c r="AX1065" s="1">
        <v>2045</v>
      </c>
      <c r="AY1065" s="1">
        <v>2046</v>
      </c>
      <c r="AZ1065" s="1">
        <v>2047</v>
      </c>
      <c r="BA1065" s="1">
        <v>2048</v>
      </c>
      <c r="BB1065" s="1">
        <v>2049</v>
      </c>
      <c r="BC1065" s="1">
        <v>2050</v>
      </c>
    </row>
    <row r="1066" spans="1:55">
      <c r="A1066" s="1" t="str">
        <f>'Population Definitions'!$A$2</f>
        <v>PWID_males</v>
      </c>
      <c r="C1066" t="s">
        <v>32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Definitions'!$A$3</f>
        <v>PWID_females</v>
      </c>
      <c r="C1067" t="s">
        <v>32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Definitions'!$A$4</f>
        <v>0-9_males</v>
      </c>
      <c r="C1068" t="s">
        <v>32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Definitions'!$A$5</f>
        <v>0-9_females</v>
      </c>
      <c r="C1069" t="s">
        <v>32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Definitions'!$A$6</f>
        <v>10-17_males</v>
      </c>
      <c r="C1070" t="s">
        <v>32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Definitions'!$A$7</f>
        <v>10-17_females</v>
      </c>
      <c r="C1071" t="s">
        <v>32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2" spans="1:55">
      <c r="A1072" s="1" t="str">
        <f>'Population Definitions'!$A$8</f>
        <v>18-64_males</v>
      </c>
      <c r="C1072" t="s">
        <v>32</v>
      </c>
      <c r="D1072" s="3"/>
      <c r="E1072" s="3">
        <v>0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</row>
    <row r="1073" spans="1:55">
      <c r="A1073" s="1" t="str">
        <f>'Population Definitions'!$A$9</f>
        <v>18-64_females</v>
      </c>
      <c r="C1073" t="s">
        <v>32</v>
      </c>
      <c r="D1073" s="3"/>
      <c r="E1073" s="3">
        <v>0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</row>
    <row r="1074" spans="1:55">
      <c r="A1074" s="1" t="str">
        <f>'Population Definitions'!$A$10</f>
        <v>65+_males</v>
      </c>
      <c r="C1074" t="s">
        <v>32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Definitions'!$A$11</f>
        <v>65+_females</v>
      </c>
      <c r="C1075" t="s">
        <v>32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Definitions'!$A$12</f>
        <v>Prisoners_males</v>
      </c>
      <c r="C1076" t="s">
        <v>32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Definitions'!$A$13</f>
        <v>Prisoners_females</v>
      </c>
      <c r="C1077" t="s">
        <v>32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9" spans="1:55">
      <c r="A1079" s="1" t="s">
        <v>203</v>
      </c>
      <c r="B1079" s="1" t="s">
        <v>29</v>
      </c>
      <c r="C1079" s="1" t="s">
        <v>30</v>
      </c>
      <c r="D1079" s="1" t="s">
        <v>31</v>
      </c>
      <c r="E1079" s="1">
        <v>2000</v>
      </c>
      <c r="F1079" s="1">
        <v>2001</v>
      </c>
      <c r="G1079" s="1">
        <v>2002</v>
      </c>
      <c r="H1079" s="1">
        <v>2003</v>
      </c>
      <c r="I1079" s="1">
        <v>2004</v>
      </c>
      <c r="J1079" s="1">
        <v>2005</v>
      </c>
      <c r="K1079" s="1">
        <v>2006</v>
      </c>
      <c r="L1079" s="1">
        <v>2007</v>
      </c>
      <c r="M1079" s="1">
        <v>2008</v>
      </c>
      <c r="N1079" s="1">
        <v>2009</v>
      </c>
      <c r="O1079" s="1">
        <v>2010</v>
      </c>
      <c r="P1079" s="1">
        <v>2011</v>
      </c>
      <c r="Q1079" s="1">
        <v>2012</v>
      </c>
      <c r="R1079" s="1">
        <v>2013</v>
      </c>
      <c r="S1079" s="1">
        <v>2014</v>
      </c>
      <c r="T1079" s="1">
        <v>2015</v>
      </c>
      <c r="U1079" s="1">
        <v>2016</v>
      </c>
      <c r="V1079" s="1">
        <v>2017</v>
      </c>
      <c r="W1079" s="1">
        <v>2018</v>
      </c>
      <c r="X1079" s="1">
        <v>2019</v>
      </c>
      <c r="Y1079" s="1">
        <v>2020</v>
      </c>
      <c r="Z1079" s="1">
        <v>2021</v>
      </c>
      <c r="AA1079" s="1">
        <v>2022</v>
      </c>
      <c r="AB1079" s="1">
        <v>2023</v>
      </c>
      <c r="AC1079" s="1">
        <v>2024</v>
      </c>
      <c r="AD1079" s="1">
        <v>2025</v>
      </c>
      <c r="AE1079" s="1">
        <v>2026</v>
      </c>
      <c r="AF1079" s="1">
        <v>2027</v>
      </c>
      <c r="AG1079" s="1">
        <v>2028</v>
      </c>
      <c r="AH1079" s="1">
        <v>2029</v>
      </c>
      <c r="AI1079" s="1">
        <v>2030</v>
      </c>
      <c r="AJ1079" s="1">
        <v>2031</v>
      </c>
      <c r="AK1079" s="1">
        <v>2032</v>
      </c>
      <c r="AL1079" s="1">
        <v>2033</v>
      </c>
      <c r="AM1079" s="1">
        <v>2034</v>
      </c>
      <c r="AN1079" s="1">
        <v>2035</v>
      </c>
      <c r="AO1079" s="1">
        <v>2036</v>
      </c>
      <c r="AP1079" s="1">
        <v>2037</v>
      </c>
      <c r="AQ1079" s="1">
        <v>2038</v>
      </c>
      <c r="AR1079" s="1">
        <v>2039</v>
      </c>
      <c r="AS1079" s="1">
        <v>2040</v>
      </c>
      <c r="AT1079" s="1">
        <v>2041</v>
      </c>
      <c r="AU1079" s="1">
        <v>2042</v>
      </c>
      <c r="AV1079" s="1">
        <v>2043</v>
      </c>
      <c r="AW1079" s="1">
        <v>2044</v>
      </c>
      <c r="AX1079" s="1">
        <v>2045</v>
      </c>
      <c r="AY1079" s="1">
        <v>2046</v>
      </c>
      <c r="AZ1079" s="1">
        <v>2047</v>
      </c>
      <c r="BA1079" s="1">
        <v>2048</v>
      </c>
      <c r="BB1079" s="1">
        <v>2049</v>
      </c>
      <c r="BC1079" s="1">
        <v>2050</v>
      </c>
    </row>
    <row r="1080" spans="1:55">
      <c r="A1080" s="1" t="str">
        <f>'Population Definitions'!$A$2</f>
        <v>PWID_males</v>
      </c>
      <c r="C1080" t="s">
        <v>32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Definitions'!$A$3</f>
        <v>PWID_females</v>
      </c>
      <c r="C1081" t="s">
        <v>32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Definitions'!$A$4</f>
        <v>0-9_males</v>
      </c>
      <c r="C1082" t="s">
        <v>32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Definitions'!$A$5</f>
        <v>0-9_females</v>
      </c>
      <c r="C1083" t="s">
        <v>32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Definitions'!$A$6</f>
        <v>10-17_males</v>
      </c>
      <c r="C1084" t="s">
        <v>32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Definitions'!$A$7</f>
        <v>10-17_females</v>
      </c>
      <c r="C1085" t="s">
        <v>32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Definitions'!$A$8</f>
        <v>18-64_males</v>
      </c>
      <c r="C1086" t="s">
        <v>32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Definitions'!$A$9</f>
        <v>18-64_females</v>
      </c>
      <c r="C1087" t="s">
        <v>32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8" spans="1:55">
      <c r="A1088" s="1" t="str">
        <f>'Population Definitions'!$A$10</f>
        <v>65+_males</v>
      </c>
      <c r="C1088" t="s">
        <v>32</v>
      </c>
      <c r="D1088" s="3"/>
      <c r="E1088" s="3">
        <v>0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</row>
    <row r="1089" spans="1:55">
      <c r="A1089" s="1" t="str">
        <f>'Population Definitions'!$A$11</f>
        <v>65+_females</v>
      </c>
      <c r="C1089" t="s">
        <v>32</v>
      </c>
      <c r="D1089" s="3"/>
      <c r="E1089" s="3">
        <v>0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</row>
    <row r="1090" spans="1:55">
      <c r="A1090" s="1" t="str">
        <f>'Population Definitions'!$A$12</f>
        <v>Prisoners_males</v>
      </c>
      <c r="C1090" t="s">
        <v>32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Definitions'!$A$13</f>
        <v>Prisoners_females</v>
      </c>
      <c r="C1091" t="s">
        <v>32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3" spans="1:55">
      <c r="A1093" s="1" t="s">
        <v>204</v>
      </c>
      <c r="B1093" s="1" t="s">
        <v>29</v>
      </c>
      <c r="C1093" s="1" t="s">
        <v>30</v>
      </c>
      <c r="D1093" s="1" t="s">
        <v>31</v>
      </c>
      <c r="E1093" s="1">
        <v>2000</v>
      </c>
      <c r="F1093" s="1">
        <v>2001</v>
      </c>
      <c r="G1093" s="1">
        <v>2002</v>
      </c>
      <c r="H1093" s="1">
        <v>2003</v>
      </c>
      <c r="I1093" s="1">
        <v>2004</v>
      </c>
      <c r="J1093" s="1">
        <v>2005</v>
      </c>
      <c r="K1093" s="1">
        <v>2006</v>
      </c>
      <c r="L1093" s="1">
        <v>2007</v>
      </c>
      <c r="M1093" s="1">
        <v>2008</v>
      </c>
      <c r="N1093" s="1">
        <v>2009</v>
      </c>
      <c r="O1093" s="1">
        <v>2010</v>
      </c>
      <c r="P1093" s="1">
        <v>2011</v>
      </c>
      <c r="Q1093" s="1">
        <v>2012</v>
      </c>
      <c r="R1093" s="1">
        <v>2013</v>
      </c>
      <c r="S1093" s="1">
        <v>2014</v>
      </c>
      <c r="T1093" s="1">
        <v>2015</v>
      </c>
      <c r="U1093" s="1">
        <v>2016</v>
      </c>
      <c r="V1093" s="1">
        <v>2017</v>
      </c>
      <c r="W1093" s="1">
        <v>2018</v>
      </c>
      <c r="X1093" s="1">
        <v>2019</v>
      </c>
      <c r="Y1093" s="1">
        <v>2020</v>
      </c>
      <c r="Z1093" s="1">
        <v>2021</v>
      </c>
      <c r="AA1093" s="1">
        <v>2022</v>
      </c>
      <c r="AB1093" s="1">
        <v>2023</v>
      </c>
      <c r="AC1093" s="1">
        <v>2024</v>
      </c>
      <c r="AD1093" s="1">
        <v>2025</v>
      </c>
      <c r="AE1093" s="1">
        <v>2026</v>
      </c>
      <c r="AF1093" s="1">
        <v>2027</v>
      </c>
      <c r="AG1093" s="1">
        <v>2028</v>
      </c>
      <c r="AH1093" s="1">
        <v>2029</v>
      </c>
      <c r="AI1093" s="1">
        <v>2030</v>
      </c>
      <c r="AJ1093" s="1">
        <v>2031</v>
      </c>
      <c r="AK1093" s="1">
        <v>2032</v>
      </c>
      <c r="AL1093" s="1">
        <v>2033</v>
      </c>
      <c r="AM1093" s="1">
        <v>2034</v>
      </c>
      <c r="AN1093" s="1">
        <v>2035</v>
      </c>
      <c r="AO1093" s="1">
        <v>2036</v>
      </c>
      <c r="AP1093" s="1">
        <v>2037</v>
      </c>
      <c r="AQ1093" s="1">
        <v>2038</v>
      </c>
      <c r="AR1093" s="1">
        <v>2039</v>
      </c>
      <c r="AS1093" s="1">
        <v>2040</v>
      </c>
      <c r="AT1093" s="1">
        <v>2041</v>
      </c>
      <c r="AU1093" s="1">
        <v>2042</v>
      </c>
      <c r="AV1093" s="1">
        <v>2043</v>
      </c>
      <c r="AW1093" s="1">
        <v>2044</v>
      </c>
      <c r="AX1093" s="1">
        <v>2045</v>
      </c>
      <c r="AY1093" s="1">
        <v>2046</v>
      </c>
      <c r="AZ1093" s="1">
        <v>2047</v>
      </c>
      <c r="BA1093" s="1">
        <v>2048</v>
      </c>
      <c r="BB1093" s="1">
        <v>2049</v>
      </c>
      <c r="BC1093" s="1">
        <v>2050</v>
      </c>
    </row>
    <row r="1094" spans="1:55">
      <c r="A1094" s="1" t="str">
        <f>'Population Definitions'!$A$2</f>
        <v>PWID_males</v>
      </c>
      <c r="C1094" t="s">
        <v>32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Definitions'!$A$3</f>
        <v>PWID_females</v>
      </c>
      <c r="C1095" t="s">
        <v>32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Definitions'!$A$4</f>
        <v>0-9_males</v>
      </c>
      <c r="C1096" t="s">
        <v>32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Definitions'!$A$5</f>
        <v>0-9_females</v>
      </c>
      <c r="C1097" t="s">
        <v>32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Definitions'!$A$6</f>
        <v>10-17_males</v>
      </c>
      <c r="C1098" t="s">
        <v>32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Definitions'!$A$7</f>
        <v>10-17_females</v>
      </c>
      <c r="C1099" t="s">
        <v>32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Definitions'!$A$8</f>
        <v>18-64_males</v>
      </c>
      <c r="C1100" t="s">
        <v>32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Definitions'!$A$9</f>
        <v>18-64_females</v>
      </c>
      <c r="C1101" t="s">
        <v>32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Definitions'!$A$10</f>
        <v>65+_males</v>
      </c>
      <c r="C1102" t="s">
        <v>32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Definitions'!$A$11</f>
        <v>65+_females</v>
      </c>
      <c r="C1103" t="s">
        <v>32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4" spans="1:55">
      <c r="A1104" s="1" t="str">
        <f>'Population Definitions'!$A$12</f>
        <v>Prisoners_males</v>
      </c>
      <c r="C1104" t="s">
        <v>32</v>
      </c>
      <c r="D1104" s="3"/>
      <c r="E1104" s="3">
        <v>0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</row>
    <row r="1105" spans="1:55">
      <c r="A1105" s="1" t="str">
        <f>'Population Definitions'!$A$13</f>
        <v>Prisoners_females</v>
      </c>
      <c r="C1105" t="s">
        <v>32</v>
      </c>
      <c r="D1105" s="3"/>
      <c r="E1105" s="3">
        <v>0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</row>
    <row r="1107" spans="1:55">
      <c r="A1107" s="1" t="s">
        <v>205</v>
      </c>
      <c r="B1107" s="1" t="s">
        <v>29</v>
      </c>
      <c r="C1107" s="1" t="s">
        <v>30</v>
      </c>
      <c r="D1107" s="1" t="s">
        <v>31</v>
      </c>
      <c r="E1107" s="1">
        <v>2000</v>
      </c>
      <c r="F1107" s="1">
        <v>2001</v>
      </c>
      <c r="G1107" s="1">
        <v>2002</v>
      </c>
      <c r="H1107" s="1">
        <v>2003</v>
      </c>
      <c r="I1107" s="1">
        <v>2004</v>
      </c>
      <c r="J1107" s="1">
        <v>2005</v>
      </c>
      <c r="K1107" s="1">
        <v>2006</v>
      </c>
      <c r="L1107" s="1">
        <v>2007</v>
      </c>
      <c r="M1107" s="1">
        <v>2008</v>
      </c>
      <c r="N1107" s="1">
        <v>2009</v>
      </c>
      <c r="O1107" s="1">
        <v>2010</v>
      </c>
      <c r="P1107" s="1">
        <v>2011</v>
      </c>
      <c r="Q1107" s="1">
        <v>2012</v>
      </c>
      <c r="R1107" s="1">
        <v>2013</v>
      </c>
      <c r="S1107" s="1">
        <v>2014</v>
      </c>
      <c r="T1107" s="1">
        <v>2015</v>
      </c>
      <c r="U1107" s="1">
        <v>2016</v>
      </c>
      <c r="V1107" s="1">
        <v>2017</v>
      </c>
      <c r="W1107" s="1">
        <v>2018</v>
      </c>
      <c r="X1107" s="1">
        <v>2019</v>
      </c>
      <c r="Y1107" s="1">
        <v>2020</v>
      </c>
      <c r="Z1107" s="1">
        <v>2021</v>
      </c>
      <c r="AA1107" s="1">
        <v>2022</v>
      </c>
      <c r="AB1107" s="1">
        <v>2023</v>
      </c>
      <c r="AC1107" s="1">
        <v>2024</v>
      </c>
      <c r="AD1107" s="1">
        <v>2025</v>
      </c>
      <c r="AE1107" s="1">
        <v>2026</v>
      </c>
      <c r="AF1107" s="1">
        <v>2027</v>
      </c>
      <c r="AG1107" s="1">
        <v>2028</v>
      </c>
      <c r="AH1107" s="1">
        <v>2029</v>
      </c>
      <c r="AI1107" s="1">
        <v>2030</v>
      </c>
      <c r="AJ1107" s="1">
        <v>2031</v>
      </c>
      <c r="AK1107" s="1">
        <v>2032</v>
      </c>
      <c r="AL1107" s="1">
        <v>2033</v>
      </c>
      <c r="AM1107" s="1">
        <v>2034</v>
      </c>
      <c r="AN1107" s="1">
        <v>2035</v>
      </c>
      <c r="AO1107" s="1">
        <v>2036</v>
      </c>
      <c r="AP1107" s="1">
        <v>2037</v>
      </c>
      <c r="AQ1107" s="1">
        <v>2038</v>
      </c>
      <c r="AR1107" s="1">
        <v>2039</v>
      </c>
      <c r="AS1107" s="1">
        <v>2040</v>
      </c>
      <c r="AT1107" s="1">
        <v>2041</v>
      </c>
      <c r="AU1107" s="1">
        <v>2042</v>
      </c>
      <c r="AV1107" s="1">
        <v>2043</v>
      </c>
      <c r="AW1107" s="1">
        <v>2044</v>
      </c>
      <c r="AX1107" s="1">
        <v>2045</v>
      </c>
      <c r="AY1107" s="1">
        <v>2046</v>
      </c>
      <c r="AZ1107" s="1">
        <v>2047</v>
      </c>
      <c r="BA1107" s="1">
        <v>2048</v>
      </c>
      <c r="BB1107" s="1">
        <v>2049</v>
      </c>
      <c r="BC1107" s="1">
        <v>2050</v>
      </c>
    </row>
    <row r="1108" spans="1:55">
      <c r="A1108" s="1" t="str">
        <f>'Population Definitions'!$A$2</f>
        <v>PWID_males</v>
      </c>
      <c r="C1108" t="s">
        <v>32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Definitions'!$A$3</f>
        <v>PWID_females</v>
      </c>
      <c r="C1109" t="s">
        <v>32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Definitions'!$A$4</f>
        <v>0-9_males</v>
      </c>
      <c r="C1110" t="s">
        <v>32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Definitions'!$A$5</f>
        <v>0-9_females</v>
      </c>
      <c r="C1111" t="s">
        <v>32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Definitions'!$A$6</f>
        <v>10-17_males</v>
      </c>
      <c r="C1112" t="s">
        <v>32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Definitions'!$A$7</f>
        <v>10-17_females</v>
      </c>
      <c r="C1113" t="s">
        <v>32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Definitions'!$A$8</f>
        <v>18-64_males</v>
      </c>
      <c r="C1114" t="s">
        <v>32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Definitions'!$A$9</f>
        <v>18-64_females</v>
      </c>
      <c r="C1115" t="s">
        <v>32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Definitions'!$A$10</f>
        <v>65+_males</v>
      </c>
      <c r="C1116" t="s">
        <v>32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Definitions'!$A$11</f>
        <v>65+_females</v>
      </c>
      <c r="C1117" t="s">
        <v>32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Definitions'!$A$12</f>
        <v>Prisoners_males</v>
      </c>
      <c r="C1118" t="s">
        <v>32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Definitions'!$A$13</f>
        <v>Prisoners_females</v>
      </c>
      <c r="C1119" t="s">
        <v>32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206</v>
      </c>
      <c r="B1121" s="1" t="s">
        <v>29</v>
      </c>
      <c r="C1121" s="1" t="s">
        <v>30</v>
      </c>
      <c r="D1121" s="1" t="s">
        <v>31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32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32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32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32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32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32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32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32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32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32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32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32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5" spans="1:55">
      <c r="A1135" s="1" t="s">
        <v>207</v>
      </c>
      <c r="B1135" s="1" t="s">
        <v>29</v>
      </c>
      <c r="C1135" s="1" t="s">
        <v>30</v>
      </c>
      <c r="D1135" s="1" t="s">
        <v>31</v>
      </c>
      <c r="E1135" s="1">
        <v>2000</v>
      </c>
      <c r="F1135" s="1">
        <v>2001</v>
      </c>
      <c r="G1135" s="1">
        <v>2002</v>
      </c>
      <c r="H1135" s="1">
        <v>2003</v>
      </c>
      <c r="I1135" s="1">
        <v>2004</v>
      </c>
      <c r="J1135" s="1">
        <v>2005</v>
      </c>
      <c r="K1135" s="1">
        <v>2006</v>
      </c>
      <c r="L1135" s="1">
        <v>2007</v>
      </c>
      <c r="M1135" s="1">
        <v>2008</v>
      </c>
      <c r="N1135" s="1">
        <v>2009</v>
      </c>
      <c r="O1135" s="1">
        <v>2010</v>
      </c>
      <c r="P1135" s="1">
        <v>2011</v>
      </c>
      <c r="Q1135" s="1">
        <v>2012</v>
      </c>
      <c r="R1135" s="1">
        <v>2013</v>
      </c>
      <c r="S1135" s="1">
        <v>2014</v>
      </c>
      <c r="T1135" s="1">
        <v>2015</v>
      </c>
      <c r="U1135" s="1">
        <v>2016</v>
      </c>
      <c r="V1135" s="1">
        <v>2017</v>
      </c>
      <c r="W1135" s="1">
        <v>2018</v>
      </c>
      <c r="X1135" s="1">
        <v>2019</v>
      </c>
      <c r="Y1135" s="1">
        <v>2020</v>
      </c>
      <c r="Z1135" s="1">
        <v>2021</v>
      </c>
      <c r="AA1135" s="1">
        <v>2022</v>
      </c>
      <c r="AB1135" s="1">
        <v>2023</v>
      </c>
      <c r="AC1135" s="1">
        <v>2024</v>
      </c>
      <c r="AD1135" s="1">
        <v>2025</v>
      </c>
      <c r="AE1135" s="1">
        <v>2026</v>
      </c>
      <c r="AF1135" s="1">
        <v>2027</v>
      </c>
      <c r="AG1135" s="1">
        <v>2028</v>
      </c>
      <c r="AH1135" s="1">
        <v>2029</v>
      </c>
      <c r="AI1135" s="1">
        <v>2030</v>
      </c>
      <c r="AJ1135" s="1">
        <v>2031</v>
      </c>
      <c r="AK1135" s="1">
        <v>2032</v>
      </c>
      <c r="AL1135" s="1">
        <v>2033</v>
      </c>
      <c r="AM1135" s="1">
        <v>2034</v>
      </c>
      <c r="AN1135" s="1">
        <v>2035</v>
      </c>
      <c r="AO1135" s="1">
        <v>2036</v>
      </c>
      <c r="AP1135" s="1">
        <v>2037</v>
      </c>
      <c r="AQ1135" s="1">
        <v>2038</v>
      </c>
      <c r="AR1135" s="1">
        <v>2039</v>
      </c>
      <c r="AS1135" s="1">
        <v>2040</v>
      </c>
      <c r="AT1135" s="1">
        <v>2041</v>
      </c>
      <c r="AU1135" s="1">
        <v>2042</v>
      </c>
      <c r="AV1135" s="1">
        <v>2043</v>
      </c>
      <c r="AW1135" s="1">
        <v>2044</v>
      </c>
      <c r="AX1135" s="1">
        <v>2045</v>
      </c>
      <c r="AY1135" s="1">
        <v>2046</v>
      </c>
      <c r="AZ1135" s="1">
        <v>2047</v>
      </c>
      <c r="BA1135" s="1">
        <v>2048</v>
      </c>
      <c r="BB1135" s="1">
        <v>2049</v>
      </c>
      <c r="BC1135" s="1">
        <v>2050</v>
      </c>
    </row>
    <row r="1136" spans="1:55">
      <c r="A1136" s="1" t="str">
        <f>'Population Definitions'!$A$2</f>
        <v>PWID_males</v>
      </c>
      <c r="C1136" t="s">
        <v>32</v>
      </c>
      <c r="D1136" s="3"/>
      <c r="E1136" s="3">
        <v>0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</row>
    <row r="1137" spans="1:55">
      <c r="A1137" s="1" t="str">
        <f>'Population Definitions'!$A$3</f>
        <v>PWID_females</v>
      </c>
      <c r="C1137" t="s">
        <v>32</v>
      </c>
      <c r="D1137" s="3"/>
      <c r="E1137" s="3">
        <v>0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</row>
    <row r="1138" spans="1:55">
      <c r="A1138" s="1" t="str">
        <f>'Population Definitions'!$A$4</f>
        <v>0-9_males</v>
      </c>
      <c r="C1138" t="s">
        <v>32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Definitions'!$A$5</f>
        <v>0-9_females</v>
      </c>
      <c r="C1139" t="s">
        <v>32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Definitions'!$A$6</f>
        <v>10-17_males</v>
      </c>
      <c r="C1140" t="s">
        <v>32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Definitions'!$A$7</f>
        <v>10-17_females</v>
      </c>
      <c r="C1141" t="s">
        <v>32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Definitions'!$A$8</f>
        <v>18-64_males</v>
      </c>
      <c r="C1142" t="s">
        <v>32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Definitions'!$A$9</f>
        <v>18-64_females</v>
      </c>
      <c r="C1143" t="s">
        <v>32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Definitions'!$A$10</f>
        <v>65+_males</v>
      </c>
      <c r="C1144" t="s">
        <v>32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Definitions'!$A$11</f>
        <v>65+_females</v>
      </c>
      <c r="C1145" t="s">
        <v>32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Definitions'!$A$12</f>
        <v>Prisoners_males</v>
      </c>
      <c r="C1146" t="s">
        <v>32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Definitions'!$A$13</f>
        <v>Prisoners_females</v>
      </c>
      <c r="C1147" t="s">
        <v>32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9" spans="1:55">
      <c r="A1149" s="1" t="s">
        <v>208</v>
      </c>
      <c r="B1149" s="1" t="s">
        <v>29</v>
      </c>
      <c r="C1149" s="1" t="s">
        <v>30</v>
      </c>
      <c r="D1149" s="1" t="s">
        <v>31</v>
      </c>
      <c r="E1149" s="1">
        <v>2000</v>
      </c>
      <c r="F1149" s="1">
        <v>2001</v>
      </c>
      <c r="G1149" s="1">
        <v>2002</v>
      </c>
      <c r="H1149" s="1">
        <v>2003</v>
      </c>
      <c r="I1149" s="1">
        <v>2004</v>
      </c>
      <c r="J1149" s="1">
        <v>2005</v>
      </c>
      <c r="K1149" s="1">
        <v>2006</v>
      </c>
      <c r="L1149" s="1">
        <v>2007</v>
      </c>
      <c r="M1149" s="1">
        <v>2008</v>
      </c>
      <c r="N1149" s="1">
        <v>2009</v>
      </c>
      <c r="O1149" s="1">
        <v>2010</v>
      </c>
      <c r="P1149" s="1">
        <v>2011</v>
      </c>
      <c r="Q1149" s="1">
        <v>2012</v>
      </c>
      <c r="R1149" s="1">
        <v>2013</v>
      </c>
      <c r="S1149" s="1">
        <v>2014</v>
      </c>
      <c r="T1149" s="1">
        <v>2015</v>
      </c>
      <c r="U1149" s="1">
        <v>2016</v>
      </c>
      <c r="V1149" s="1">
        <v>2017</v>
      </c>
      <c r="W1149" s="1">
        <v>2018</v>
      </c>
      <c r="X1149" s="1">
        <v>2019</v>
      </c>
      <c r="Y1149" s="1">
        <v>2020</v>
      </c>
      <c r="Z1149" s="1">
        <v>2021</v>
      </c>
      <c r="AA1149" s="1">
        <v>2022</v>
      </c>
      <c r="AB1149" s="1">
        <v>2023</v>
      </c>
      <c r="AC1149" s="1">
        <v>2024</v>
      </c>
      <c r="AD1149" s="1">
        <v>2025</v>
      </c>
      <c r="AE1149" s="1">
        <v>2026</v>
      </c>
      <c r="AF1149" s="1">
        <v>2027</v>
      </c>
      <c r="AG1149" s="1">
        <v>2028</v>
      </c>
      <c r="AH1149" s="1">
        <v>2029</v>
      </c>
      <c r="AI1149" s="1">
        <v>2030</v>
      </c>
      <c r="AJ1149" s="1">
        <v>2031</v>
      </c>
      <c r="AK1149" s="1">
        <v>2032</v>
      </c>
      <c r="AL1149" s="1">
        <v>2033</v>
      </c>
      <c r="AM1149" s="1">
        <v>2034</v>
      </c>
      <c r="AN1149" s="1">
        <v>2035</v>
      </c>
      <c r="AO1149" s="1">
        <v>2036</v>
      </c>
      <c r="AP1149" s="1">
        <v>2037</v>
      </c>
      <c r="AQ1149" s="1">
        <v>2038</v>
      </c>
      <c r="AR1149" s="1">
        <v>2039</v>
      </c>
      <c r="AS1149" s="1">
        <v>2040</v>
      </c>
      <c r="AT1149" s="1">
        <v>2041</v>
      </c>
      <c r="AU1149" s="1">
        <v>2042</v>
      </c>
      <c r="AV1149" s="1">
        <v>2043</v>
      </c>
      <c r="AW1149" s="1">
        <v>2044</v>
      </c>
      <c r="AX1149" s="1">
        <v>2045</v>
      </c>
      <c r="AY1149" s="1">
        <v>2046</v>
      </c>
      <c r="AZ1149" s="1">
        <v>2047</v>
      </c>
      <c r="BA1149" s="1">
        <v>2048</v>
      </c>
      <c r="BB1149" s="1">
        <v>2049</v>
      </c>
      <c r="BC1149" s="1">
        <v>2050</v>
      </c>
    </row>
    <row r="1150" spans="1:55">
      <c r="A1150" s="1" t="str">
        <f>'Population Definitions'!$A$2</f>
        <v>PWID_males</v>
      </c>
      <c r="C1150" t="s">
        <v>32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Definitions'!$A$3</f>
        <v>PWID_females</v>
      </c>
      <c r="C1151" t="s">
        <v>32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2" spans="1:55">
      <c r="A1152" s="1" t="str">
        <f>'Population Definitions'!$A$4</f>
        <v>0-9_males</v>
      </c>
      <c r="C1152" t="s">
        <v>32</v>
      </c>
      <c r="D1152" s="3"/>
      <c r="E1152" s="3">
        <v>0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</row>
    <row r="1153" spans="1:55">
      <c r="A1153" s="1" t="str">
        <f>'Population Definitions'!$A$5</f>
        <v>0-9_females</v>
      </c>
      <c r="C1153" t="s">
        <v>32</v>
      </c>
      <c r="D1153" s="3"/>
      <c r="E1153" s="3">
        <v>0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</row>
    <row r="1154" spans="1:55">
      <c r="A1154" s="1" t="str">
        <f>'Population Definitions'!$A$6</f>
        <v>10-17_males</v>
      </c>
      <c r="C1154" t="s">
        <v>32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Definitions'!$A$7</f>
        <v>10-17_females</v>
      </c>
      <c r="C1155" t="s">
        <v>32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Definitions'!$A$8</f>
        <v>18-64_males</v>
      </c>
      <c r="C1156" t="s">
        <v>32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Definitions'!$A$9</f>
        <v>18-64_females</v>
      </c>
      <c r="C1157" t="s">
        <v>32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Definitions'!$A$10</f>
        <v>65+_males</v>
      </c>
      <c r="C1158" t="s">
        <v>32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Definitions'!$A$11</f>
        <v>65+_females</v>
      </c>
      <c r="C1159" t="s">
        <v>32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Definitions'!$A$12</f>
        <v>Prisoners_males</v>
      </c>
      <c r="C1160" t="s">
        <v>32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Definitions'!$A$13</f>
        <v>Prisoners_females</v>
      </c>
      <c r="C1161" t="s">
        <v>32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8">
    <cfRule type="expression" dxfId="0" priority="193">
      <formula>COUNTIF(G128:BE128,"&lt;&gt;" &amp; "")&gt;0</formula>
    </cfRule>
    <cfRule type="expression" dxfId="1" priority="194">
      <formula>AND(COUNTIF(G128:BE128,"&lt;&gt;" &amp; "")&gt;0,NOT(ISBLANK(E128)))</formula>
    </cfRule>
  </conditionalFormatting>
  <conditionalFormatting sqref="E129">
    <cfRule type="expression" dxfId="0" priority="195">
      <formula>COUNTIF(G129:BE129,"&lt;&gt;" &amp; "")&gt;0</formula>
    </cfRule>
    <cfRule type="expression" dxfId="1" priority="196">
      <formula>AND(COUNTIF(G129:BE129,"&lt;&gt;" &amp; "")&gt;0,NOT(ISBLANK(E129)))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2">
    <cfRule type="expression" dxfId="0" priority="217">
      <formula>COUNTIF(G142:BE142,"&lt;&gt;" &amp; "")&gt;0</formula>
    </cfRule>
    <cfRule type="expression" dxfId="1" priority="218">
      <formula>AND(COUNTIF(G142:BE142,"&lt;&gt;" &amp; "")&gt;0,NOT(ISBLANK(E142)))</formula>
    </cfRule>
  </conditionalFormatting>
  <conditionalFormatting sqref="E143">
    <cfRule type="expression" dxfId="0" priority="219">
      <formula>COUNTIF(G143:BE143,"&lt;&gt;" &amp; "")&gt;0</formula>
    </cfRule>
    <cfRule type="expression" dxfId="1" priority="220">
      <formula>AND(COUNTIF(G143:BE143,"&lt;&gt;" &amp; "")&gt;0,NOT(ISBLANK(E143)))</formula>
    </cfRule>
  </conditionalFormatting>
  <conditionalFormatting sqref="E144">
    <cfRule type="expression" dxfId="0" priority="221">
      <formula>COUNTIF(G144:BE144,"&lt;&gt;" &amp; "")&gt;0</formula>
    </cfRule>
    <cfRule type="expression" dxfId="1" priority="222">
      <formula>AND(COUNTIF(G144:BE144,"&lt;&gt;" &amp; "")&gt;0,NOT(ISBLANK(E144)))</formula>
    </cfRule>
  </conditionalFormatting>
  <conditionalFormatting sqref="E145">
    <cfRule type="expression" dxfId="0" priority="223">
      <formula>COUNTIF(G145:BE145,"&lt;&gt;" &amp; "")&gt;0</formula>
    </cfRule>
    <cfRule type="expression" dxfId="1" priority="224">
      <formula>AND(COUNTIF(G145:BE145,"&lt;&gt;" &amp; "")&gt;0,NOT(ISBLANK(E145)))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6">
    <cfRule type="expression" dxfId="0" priority="241">
      <formula>COUNTIF(G156:BE156,"&lt;&gt;" &amp; "")&gt;0</formula>
    </cfRule>
    <cfRule type="expression" dxfId="1" priority="242">
      <formula>AND(COUNTIF(G156:BE156,"&lt;&gt;" &amp; "")&gt;0,NOT(ISBLANK(E156)))</formula>
    </cfRule>
  </conditionalFormatting>
  <conditionalFormatting sqref="E157">
    <cfRule type="expression" dxfId="0" priority="243">
      <formula>COUNTIF(G157:BE157,"&lt;&gt;" &amp; "")&gt;0</formula>
    </cfRule>
    <cfRule type="expression" dxfId="1" priority="244">
      <formula>AND(COUNTIF(G157:BE157,"&lt;&gt;" &amp; "")&gt;0,NOT(ISBLANK(E157)))</formula>
    </cfRule>
  </conditionalFormatting>
  <conditionalFormatting sqref="E158">
    <cfRule type="expression" dxfId="0" priority="245">
      <formula>COUNTIF(G158:BE158,"&lt;&gt;" &amp; "")&gt;0</formula>
    </cfRule>
    <cfRule type="expression" dxfId="1" priority="246">
      <formula>AND(COUNTIF(G158:BE158,"&lt;&gt;" &amp; "")&gt;0,NOT(ISBLANK(E158)))</formula>
    </cfRule>
  </conditionalFormatting>
  <conditionalFormatting sqref="E159">
    <cfRule type="expression" dxfId="0" priority="247">
      <formula>COUNTIF(G159:BE159,"&lt;&gt;" &amp; "")&gt;0</formula>
    </cfRule>
    <cfRule type="expression" dxfId="1" priority="248">
      <formula>AND(COUNTIF(G159:BE159,"&lt;&gt;" &amp; "")&gt;0,NOT(ISBLANK(E159)))</formula>
    </cfRule>
  </conditionalFormatting>
  <conditionalFormatting sqref="E16">
    <cfRule type="expression" dxfId="0" priority="1">
      <formula>COUNTIF(G16:BE16,"&lt;&gt;" &amp; "")&gt;0</formula>
    </cfRule>
    <cfRule type="expression" dxfId="1" priority="2">
      <formula>AND(COUNTIF(G16:BE16,"&lt;&gt;" &amp; "")&gt;0,NOT(ISBLANK(E16)))</formula>
    </cfRule>
  </conditionalFormatting>
  <conditionalFormatting sqref="E160">
    <cfRule type="expression" dxfId="0" priority="249">
      <formula>COUNTIF(G160:BE160,"&lt;&gt;" &amp; "")&gt;0</formula>
    </cfRule>
    <cfRule type="expression" dxfId="1" priority="250">
      <formula>AND(COUNTIF(G160:BE160,"&lt;&gt;" &amp; "")&gt;0,NOT(ISBLANK(E160)))</formula>
    </cfRule>
  </conditionalFormatting>
  <conditionalFormatting sqref="E161">
    <cfRule type="expression" dxfId="0" priority="251">
      <formula>COUNTIF(G161:BE161,"&lt;&gt;" &amp; "")&gt;0</formula>
    </cfRule>
    <cfRule type="expression" dxfId="1" priority="252">
      <formula>AND(COUNTIF(G161:BE161,"&lt;&gt;" &amp; "")&gt;0,NOT(ISBLANK(E161)))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7">
    <cfRule type="expression" dxfId="0" priority="3">
      <formula>COUNTIF(G17:BE17,"&lt;&gt;" &amp; "")&gt;0</formula>
    </cfRule>
    <cfRule type="expression" dxfId="1" priority="4">
      <formula>AND(COUNTIF(G17:BE17,"&lt;&gt;" &amp; "")&gt;0,NOT(ISBLANK(E17)))</formula>
    </cfRule>
  </conditionalFormatting>
  <conditionalFormatting sqref="E170">
    <cfRule type="expression" dxfId="0" priority="265">
      <formula>COUNTIF(G170:BE170,"&lt;&gt;" &amp; "")&gt;0</formula>
    </cfRule>
    <cfRule type="expression" dxfId="1" priority="266">
      <formula>AND(COUNTIF(G170:BE170,"&lt;&gt;" &amp; "")&gt;0,NOT(ISBLANK(E170)))</formula>
    </cfRule>
  </conditionalFormatting>
  <conditionalFormatting sqref="E171">
    <cfRule type="expression" dxfId="0" priority="267">
      <formula>COUNTIF(G171:BE171,"&lt;&gt;" &amp; "")&gt;0</formula>
    </cfRule>
    <cfRule type="expression" dxfId="1" priority="268">
      <formula>AND(COUNTIF(G171:BE171,"&lt;&gt;" &amp; "")&gt;0,NOT(ISBLANK(E171)))</formula>
    </cfRule>
  </conditionalFormatting>
  <conditionalFormatting sqref="E172">
    <cfRule type="expression" dxfId="0" priority="269">
      <formula>COUNTIF(G172:BE172,"&lt;&gt;" &amp; "")&gt;0</formula>
    </cfRule>
    <cfRule type="expression" dxfId="1" priority="270">
      <formula>AND(COUNTIF(G172:BE172,"&lt;&gt;" &amp; "")&gt;0,NOT(ISBLANK(E172)))</formula>
    </cfRule>
  </conditionalFormatting>
  <conditionalFormatting sqref="E173">
    <cfRule type="expression" dxfId="0" priority="271">
      <formula>COUNTIF(G173:BE173,"&lt;&gt;" &amp; "")&gt;0</formula>
    </cfRule>
    <cfRule type="expression" dxfId="1" priority="272">
      <formula>AND(COUNTIF(G173:BE173,"&lt;&gt;" &amp; "")&gt;0,NOT(ISBLANK(E173)))</formula>
    </cfRule>
  </conditionalFormatting>
  <conditionalFormatting sqref="E174">
    <cfRule type="expression" dxfId="0" priority="273">
      <formula>COUNTIF(G174:BE174,"&lt;&gt;" &amp; "")&gt;0</formula>
    </cfRule>
    <cfRule type="expression" dxfId="1" priority="274">
      <formula>AND(COUNTIF(G174:BE174,"&lt;&gt;" &amp; "")&gt;0,NOT(ISBLANK(E174)))</formula>
    </cfRule>
  </conditionalFormatting>
  <conditionalFormatting sqref="E175">
    <cfRule type="expression" dxfId="0" priority="275">
      <formula>COUNTIF(G175:BE175,"&lt;&gt;" &amp; "")&gt;0</formula>
    </cfRule>
    <cfRule type="expression" dxfId="1" priority="276">
      <formula>AND(COUNTIF(G175:BE175,"&lt;&gt;" &amp; "")&gt;0,NOT(ISBLANK(E175)))</formula>
    </cfRule>
  </conditionalFormatting>
  <conditionalFormatting sqref="E176">
    <cfRule type="expression" dxfId="0" priority="277">
      <formula>COUNTIF(G176:BE176,"&lt;&gt;" &amp; "")&gt;0</formula>
    </cfRule>
    <cfRule type="expression" dxfId="1" priority="278">
      <formula>AND(COUNTIF(G176:BE176,"&lt;&gt;" &amp; "")&gt;0,NOT(ISBLANK(E176)))</formula>
    </cfRule>
  </conditionalFormatting>
  <conditionalFormatting sqref="E177">
    <cfRule type="expression" dxfId="0" priority="279">
      <formula>COUNTIF(G177:BE177,"&lt;&gt;" &amp; "")&gt;0</formula>
    </cfRule>
    <cfRule type="expression" dxfId="1" priority="280">
      <formula>AND(COUNTIF(G177:BE177,"&lt;&gt;" &amp; "")&gt;0,NOT(ISBLANK(E177)))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5">
      <formula>COUNTIF(G18:BE18,"&lt;&gt;" &amp; "")&gt;0</formula>
    </cfRule>
    <cfRule type="expression" dxfId="1" priority="6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4">
    <cfRule type="expression" dxfId="0" priority="289">
      <formula>COUNTIF(G184:BE184,"&lt;&gt;" &amp; "")&gt;0</formula>
    </cfRule>
    <cfRule type="expression" dxfId="1" priority="290">
      <formula>AND(COUNTIF(G184:BE184,"&lt;&gt;" &amp; "")&gt;0,NOT(ISBLANK(E184)))</formula>
    </cfRule>
  </conditionalFormatting>
  <conditionalFormatting sqref="E185">
    <cfRule type="expression" dxfId="0" priority="291">
      <formula>COUNTIF(G185:BE185,"&lt;&gt;" &amp; "")&gt;0</formula>
    </cfRule>
    <cfRule type="expression" dxfId="1" priority="292">
      <formula>AND(COUNTIF(G185:BE185,"&lt;&gt;" &amp; "")&gt;0,NOT(ISBLANK(E185)))</formula>
    </cfRule>
  </conditionalFormatting>
  <conditionalFormatting sqref="E186">
    <cfRule type="expression" dxfId="0" priority="293">
      <formula>COUNTIF(G186:BE186,"&lt;&gt;" &amp; "")&gt;0</formula>
    </cfRule>
    <cfRule type="expression" dxfId="1" priority="294">
      <formula>AND(COUNTIF(G186:BE186,"&lt;&gt;" &amp; "")&gt;0,NOT(ISBLANK(E186)))</formula>
    </cfRule>
  </conditionalFormatting>
  <conditionalFormatting sqref="E187">
    <cfRule type="expression" dxfId="0" priority="295">
      <formula>COUNTIF(G187:BE187,"&lt;&gt;" &amp; "")&gt;0</formula>
    </cfRule>
    <cfRule type="expression" dxfId="1" priority="296">
      <formula>AND(COUNTIF(G187:BE187,"&lt;&gt;" &amp; "")&gt;0,NOT(ISBLANK(E187)))</formula>
    </cfRule>
  </conditionalFormatting>
  <conditionalFormatting sqref="E188">
    <cfRule type="expression" dxfId="0" priority="297">
      <formula>COUNTIF(G188:BE188,"&lt;&gt;" &amp; "")&gt;0</formula>
    </cfRule>
    <cfRule type="expression" dxfId="1" priority="298">
      <formula>AND(COUNTIF(G188:BE188,"&lt;&gt;" &amp; "")&gt;0,NOT(ISBLANK(E188)))</formula>
    </cfRule>
  </conditionalFormatting>
  <conditionalFormatting sqref="E189">
    <cfRule type="expression" dxfId="0" priority="299">
      <formula>COUNTIF(G189:BE189,"&lt;&gt;" &amp; "")&gt;0</formula>
    </cfRule>
    <cfRule type="expression" dxfId="1" priority="300">
      <formula>AND(COUNTIF(G189:BE189,"&lt;&gt;" &amp; "")&gt;0,NOT(ISBLANK(E189)))</formula>
    </cfRule>
  </conditionalFormatting>
  <conditionalFormatting sqref="E19">
    <cfRule type="expression" dxfId="0" priority="7">
      <formula>COUNTIF(G19:BE19,"&lt;&gt;" &amp; "")&gt;0</formula>
    </cfRule>
    <cfRule type="expression" dxfId="1" priority="8">
      <formula>AND(COUNTIF(G19:BE19,"&lt;&gt;" &amp; "")&gt;0,NOT(ISBLANK(E19)))</formula>
    </cfRule>
  </conditionalFormatting>
  <conditionalFormatting sqref="E190">
    <cfRule type="expression" dxfId="0" priority="301">
      <formula>COUNTIF(G190:BE190,"&lt;&gt;" &amp; "")&gt;0</formula>
    </cfRule>
    <cfRule type="expression" dxfId="1" priority="302">
      <formula>AND(COUNTIF(G190:BE190,"&lt;&gt;" &amp; "")&gt;0,NOT(ISBLANK(E190)))</formula>
    </cfRule>
  </conditionalFormatting>
  <conditionalFormatting sqref="E191">
    <cfRule type="expression" dxfId="0" priority="303">
      <formula>COUNTIF(G191:BE191,"&lt;&gt;" &amp; "")&gt;0</formula>
    </cfRule>
    <cfRule type="expression" dxfId="1" priority="304">
      <formula>AND(COUNTIF(G191:BE191,"&lt;&gt;" &amp; "")&gt;0,NOT(ISBLANK(E191)))</formula>
    </cfRule>
  </conditionalFormatting>
  <conditionalFormatting sqref="E192">
    <cfRule type="expression" dxfId="0" priority="305">
      <formula>COUNTIF(G192:BE192,"&lt;&gt;" &amp; "")&gt;0</formula>
    </cfRule>
    <cfRule type="expression" dxfId="1" priority="306">
      <formula>AND(COUNTIF(G192:BE192,"&lt;&gt;" &amp; "")&gt;0,NOT(ISBLANK(E192)))</formula>
    </cfRule>
  </conditionalFormatting>
  <conditionalFormatting sqref="E193">
    <cfRule type="expression" dxfId="0" priority="307">
      <formula>COUNTIF(G193:BE193,"&lt;&gt;" &amp; "")&gt;0</formula>
    </cfRule>
    <cfRule type="expression" dxfId="1" priority="308">
      <formula>AND(COUNTIF(G193:BE193,"&lt;&gt;" &amp; "")&gt;0,NOT(ISBLANK(E193)))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8">
    <cfRule type="expression" dxfId="0" priority="313">
      <formula>COUNTIF(G198:BE198,"&lt;&gt;" &amp; "")&gt;0</formula>
    </cfRule>
    <cfRule type="expression" dxfId="1" priority="314">
      <formula>AND(COUNTIF(G198:BE198,"&lt;&gt;" &amp; "")&gt;0,NOT(ISBLANK(E198)))</formula>
    </cfRule>
  </conditionalFormatting>
  <conditionalFormatting sqref="E199">
    <cfRule type="expression" dxfId="0" priority="315">
      <formula>COUNTIF(G199:BE199,"&lt;&gt;" &amp; "")&gt;0</formula>
    </cfRule>
    <cfRule type="expression" dxfId="1" priority="316">
      <formula>AND(COUNTIF(G199:BE199,"&lt;&gt;" &amp; "")&gt;0,NOT(ISBLANK(E199)))</formula>
    </cfRule>
  </conditionalFormatting>
  <conditionalFormatting sqref="E20">
    <cfRule type="expression" dxfId="0" priority="9">
      <formula>COUNTIF(G20:BE20,"&lt;&gt;" &amp; "")&gt;0</formula>
    </cfRule>
    <cfRule type="expression" dxfId="1" priority="10">
      <formula>AND(COUNTIF(G20:BE20,"&lt;&gt;" &amp; "")&gt;0,NOT(ISBLANK(E20)))</formula>
    </cfRule>
  </conditionalFormatting>
  <conditionalFormatting sqref="E200">
    <cfRule type="expression" dxfId="0" priority="317">
      <formula>COUNTIF(G200:BE200,"&lt;&gt;" &amp; "")&gt;0</formula>
    </cfRule>
    <cfRule type="expression" dxfId="1" priority="318">
      <formula>AND(COUNTIF(G200:BE200,"&lt;&gt;" &amp; "")&gt;0,NOT(ISBLANK(E200)))</formula>
    </cfRule>
  </conditionalFormatting>
  <conditionalFormatting sqref="E201">
    <cfRule type="expression" dxfId="0" priority="319">
      <formula>COUNTIF(G201:BE201,"&lt;&gt;" &amp; "")&gt;0</formula>
    </cfRule>
    <cfRule type="expression" dxfId="1" priority="320">
      <formula>AND(COUNTIF(G201:BE201,"&lt;&gt;" &amp; "")&gt;0,NOT(ISBLANK(E201)))</formula>
    </cfRule>
  </conditionalFormatting>
  <conditionalFormatting sqref="E202">
    <cfRule type="expression" dxfId="0" priority="321">
      <formula>COUNTIF(G202:BE202,"&lt;&gt;" &amp; "")&gt;0</formula>
    </cfRule>
    <cfRule type="expression" dxfId="1" priority="322">
      <formula>AND(COUNTIF(G202:BE202,"&lt;&gt;" &amp; "")&gt;0,NOT(ISBLANK(E202)))</formula>
    </cfRule>
  </conditionalFormatting>
  <conditionalFormatting sqref="E203">
    <cfRule type="expression" dxfId="0" priority="323">
      <formula>COUNTIF(G203:BE203,"&lt;&gt;" &amp; "")&gt;0</formula>
    </cfRule>
    <cfRule type="expression" dxfId="1" priority="324">
      <formula>AND(COUNTIF(G203:BE203,"&lt;&gt;" &amp; "")&gt;0,NOT(ISBLANK(E203)))</formula>
    </cfRule>
  </conditionalFormatting>
  <conditionalFormatting sqref="E204">
    <cfRule type="expression" dxfId="0" priority="325">
      <formula>COUNTIF(G204:BE204,"&lt;&gt;" &amp; "")&gt;0</formula>
    </cfRule>
    <cfRule type="expression" dxfId="1" priority="326">
      <formula>AND(COUNTIF(G204:BE204,"&lt;&gt;" &amp; "")&gt;0,NOT(ISBLANK(E204)))</formula>
    </cfRule>
  </conditionalFormatting>
  <conditionalFormatting sqref="E205">
    <cfRule type="expression" dxfId="0" priority="327">
      <formula>COUNTIF(G205:BE205,"&lt;&gt;" &amp; "")&gt;0</formula>
    </cfRule>
    <cfRule type="expression" dxfId="1" priority="328">
      <formula>AND(COUNTIF(G205:BE205,"&lt;&gt;" &amp; "")&gt;0,NOT(ISBLANK(E205)))</formula>
    </cfRule>
  </conditionalFormatting>
  <conditionalFormatting sqref="E206">
    <cfRule type="expression" dxfId="0" priority="329">
      <formula>COUNTIF(G206:BE206,"&lt;&gt;" &amp; "")&gt;0</formula>
    </cfRule>
    <cfRule type="expression" dxfId="1" priority="330">
      <formula>AND(COUNTIF(G206:BE206,"&lt;&gt;" &amp; "")&gt;0,NOT(ISBLANK(E206)))</formula>
    </cfRule>
  </conditionalFormatting>
  <conditionalFormatting sqref="E207">
    <cfRule type="expression" dxfId="0" priority="331">
      <formula>COUNTIF(G207:BE207,"&lt;&gt;" &amp; "")&gt;0</formula>
    </cfRule>
    <cfRule type="expression" dxfId="1" priority="332">
      <formula>AND(COUNTIF(G207:BE207,"&lt;&gt;" &amp; "")&gt;0,NOT(ISBLANK(E207)))</formula>
    </cfRule>
  </conditionalFormatting>
  <conditionalFormatting sqref="E208">
    <cfRule type="expression" dxfId="0" priority="333">
      <formula>COUNTIF(G208:BE208,"&lt;&gt;" &amp; "")&gt;0</formula>
    </cfRule>
    <cfRule type="expression" dxfId="1" priority="334">
      <formula>AND(COUNTIF(G208:BE208,"&lt;&gt;" &amp; "")&gt;0,NOT(ISBLANK(E208)))</formula>
    </cfRule>
  </conditionalFormatting>
  <conditionalFormatting sqref="E209">
    <cfRule type="expression" dxfId="0" priority="335">
      <formula>COUNTIF(G209:BE209,"&lt;&gt;" &amp; "")&gt;0</formula>
    </cfRule>
    <cfRule type="expression" dxfId="1" priority="336">
      <formula>AND(COUNTIF(G209:BE209,"&lt;&gt;" &amp; "")&gt;0,NOT(ISBLANK(E209)))</formula>
    </cfRule>
  </conditionalFormatting>
  <conditionalFormatting sqref="E21">
    <cfRule type="expression" dxfId="0" priority="11">
      <formula>COUNTIF(G21:BE21,"&lt;&gt;" &amp; "")&gt;0</formula>
    </cfRule>
    <cfRule type="expression" dxfId="1" priority="12">
      <formula>AND(COUNTIF(G21:BE21,"&lt;&gt;" &amp; "")&gt;0,NOT(ISBLANK(E21)))</formula>
    </cfRule>
  </conditionalFormatting>
  <conditionalFormatting sqref="E212">
    <cfRule type="expression" dxfId="0" priority="337">
      <formula>COUNTIF(G212:BE212,"&lt;&gt;" &amp; "")&gt;0</formula>
    </cfRule>
    <cfRule type="expression" dxfId="1" priority="338">
      <formula>AND(COUNTIF(G212:BE212,"&lt;&gt;" &amp; "")&gt;0,NOT(ISBLANK(E212)))</formula>
    </cfRule>
  </conditionalFormatting>
  <conditionalFormatting sqref="E213">
    <cfRule type="expression" dxfId="0" priority="339">
      <formula>COUNTIF(G213:BE213,"&lt;&gt;" &amp; "")&gt;0</formula>
    </cfRule>
    <cfRule type="expression" dxfId="1" priority="340">
      <formula>AND(COUNTIF(G213:BE213,"&lt;&gt;" &amp; "")&gt;0,NOT(ISBLANK(E213)))</formula>
    </cfRule>
  </conditionalFormatting>
  <conditionalFormatting sqref="E214">
    <cfRule type="expression" dxfId="0" priority="341">
      <formula>COUNTIF(G214:BE214,"&lt;&gt;" &amp; "")&gt;0</formula>
    </cfRule>
    <cfRule type="expression" dxfId="1" priority="342">
      <formula>AND(COUNTIF(G214:BE214,"&lt;&gt;" &amp; "")&gt;0,NOT(ISBLANK(E214)))</formula>
    </cfRule>
  </conditionalFormatting>
  <conditionalFormatting sqref="E215">
    <cfRule type="expression" dxfId="0" priority="343">
      <formula>COUNTIF(G215:BE215,"&lt;&gt;" &amp; "")&gt;0</formula>
    </cfRule>
    <cfRule type="expression" dxfId="1" priority="344">
      <formula>AND(COUNTIF(G215:BE215,"&lt;&gt;" &amp; "")&gt;0,NOT(ISBLANK(E215)))</formula>
    </cfRule>
  </conditionalFormatting>
  <conditionalFormatting sqref="E216">
    <cfRule type="expression" dxfId="0" priority="345">
      <formula>COUNTIF(G216:BE216,"&lt;&gt;" &amp; "")&gt;0</formula>
    </cfRule>
    <cfRule type="expression" dxfId="1" priority="346">
      <formula>AND(COUNTIF(G216:BE216,"&lt;&gt;" &amp; "")&gt;0,NOT(ISBLANK(E216)))</formula>
    </cfRule>
  </conditionalFormatting>
  <conditionalFormatting sqref="E217">
    <cfRule type="expression" dxfId="0" priority="347">
      <formula>COUNTIF(G217:BE217,"&lt;&gt;" &amp; "")&gt;0</formula>
    </cfRule>
    <cfRule type="expression" dxfId="1" priority="348">
      <formula>AND(COUNTIF(G217:BE217,"&lt;&gt;" &amp; "")&gt;0,NOT(ISBLANK(E217)))</formula>
    </cfRule>
  </conditionalFormatting>
  <conditionalFormatting sqref="E218">
    <cfRule type="expression" dxfId="0" priority="349">
      <formula>COUNTIF(G218:BE218,"&lt;&gt;" &amp; "")&gt;0</formula>
    </cfRule>
    <cfRule type="expression" dxfId="1" priority="350">
      <formula>AND(COUNTIF(G218:BE218,"&lt;&gt;" &amp; "")&gt;0,NOT(ISBLANK(E218)))</formula>
    </cfRule>
  </conditionalFormatting>
  <conditionalFormatting sqref="E219">
    <cfRule type="expression" dxfId="0" priority="351">
      <formula>COUNTIF(G219:BE219,"&lt;&gt;" &amp; "")&gt;0</formula>
    </cfRule>
    <cfRule type="expression" dxfId="1" priority="352">
      <formula>AND(COUNTIF(G219:BE219,"&lt;&gt;" &amp; "")&gt;0,NOT(ISBLANK(E219)))</formula>
    </cfRule>
  </conditionalFormatting>
  <conditionalFormatting sqref="E22">
    <cfRule type="expression" dxfId="0" priority="13">
      <formula>COUNTIF(G22:BE22,"&lt;&gt;" &amp; "")&gt;0</formula>
    </cfRule>
    <cfRule type="expression" dxfId="1" priority="14">
      <formula>AND(COUNTIF(G22:BE22,"&lt;&gt;" &amp; "")&gt;0,NOT(ISBLANK(E22)))</formula>
    </cfRule>
  </conditionalFormatting>
  <conditionalFormatting sqref="E220">
    <cfRule type="expression" dxfId="0" priority="353">
      <formula>COUNTIF(G220:BE220,"&lt;&gt;" &amp; "")&gt;0</formula>
    </cfRule>
    <cfRule type="expression" dxfId="1" priority="354">
      <formula>AND(COUNTIF(G220:BE220,"&lt;&gt;" &amp; "")&gt;0,NOT(ISBLANK(E220)))</formula>
    </cfRule>
  </conditionalFormatting>
  <conditionalFormatting sqref="E221">
    <cfRule type="expression" dxfId="0" priority="355">
      <formula>COUNTIF(G221:BE221,"&lt;&gt;" &amp; "")&gt;0</formula>
    </cfRule>
    <cfRule type="expression" dxfId="1" priority="356">
      <formula>AND(COUNTIF(G221:BE221,"&lt;&gt;" &amp; "")&gt;0,NOT(ISBLANK(E221)))</formula>
    </cfRule>
  </conditionalFormatting>
  <conditionalFormatting sqref="E222">
    <cfRule type="expression" dxfId="0" priority="357">
      <formula>COUNTIF(G222:BE222,"&lt;&gt;" &amp; "")&gt;0</formula>
    </cfRule>
    <cfRule type="expression" dxfId="1" priority="358">
      <formula>AND(COUNTIF(G222:BE222,"&lt;&gt;" &amp; "")&gt;0,NOT(ISBLANK(E222)))</formula>
    </cfRule>
  </conditionalFormatting>
  <conditionalFormatting sqref="E223">
    <cfRule type="expression" dxfId="0" priority="359">
      <formula>COUNTIF(G223:BE223,"&lt;&gt;" &amp; "")&gt;0</formula>
    </cfRule>
    <cfRule type="expression" dxfId="1" priority="360">
      <formula>AND(COUNTIF(G223:BE223,"&lt;&gt;" &amp; "")&gt;0,NOT(ISBLANK(E223)))</formula>
    </cfRule>
  </conditionalFormatting>
  <conditionalFormatting sqref="E226">
    <cfRule type="expression" dxfId="0" priority="361">
      <formula>COUNTIF(G226:BE226,"&lt;&gt;" &amp; "")&gt;0</formula>
    </cfRule>
    <cfRule type="expression" dxfId="1" priority="362">
      <formula>AND(COUNTIF(G226:BE226,"&lt;&gt;" &amp; "")&gt;0,NOT(ISBLANK(E226)))</formula>
    </cfRule>
  </conditionalFormatting>
  <conditionalFormatting sqref="E227">
    <cfRule type="expression" dxfId="0" priority="363">
      <formula>COUNTIF(G227:BE227,"&lt;&gt;" &amp; "")&gt;0</formula>
    </cfRule>
    <cfRule type="expression" dxfId="1" priority="364">
      <formula>AND(COUNTIF(G227:BE227,"&lt;&gt;" &amp; "")&gt;0,NOT(ISBLANK(E227)))</formula>
    </cfRule>
  </conditionalFormatting>
  <conditionalFormatting sqref="E228">
    <cfRule type="expression" dxfId="0" priority="365">
      <formula>COUNTIF(G228:BE228,"&lt;&gt;" &amp; "")&gt;0</formula>
    </cfRule>
    <cfRule type="expression" dxfId="1" priority="366">
      <formula>AND(COUNTIF(G228:BE228,"&lt;&gt;" &amp; "")&gt;0,NOT(ISBLANK(E228)))</formula>
    </cfRule>
  </conditionalFormatting>
  <conditionalFormatting sqref="E229">
    <cfRule type="expression" dxfId="0" priority="367">
      <formula>COUNTIF(G229:BE229,"&lt;&gt;" &amp; "")&gt;0</formula>
    </cfRule>
    <cfRule type="expression" dxfId="1" priority="368">
      <formula>AND(COUNTIF(G229:BE229,"&lt;&gt;" &amp; "")&gt;0,NOT(ISBLANK(E229)))</formula>
    </cfRule>
  </conditionalFormatting>
  <conditionalFormatting sqref="E23">
    <cfRule type="expression" dxfId="0" priority="15">
      <formula>COUNTIF(G23:BE23,"&lt;&gt;" &amp; "")&gt;0</formula>
    </cfRule>
    <cfRule type="expression" dxfId="1" priority="16">
      <formula>AND(COUNTIF(G23:BE23,"&lt;&gt;" &amp; "")&gt;0,NOT(ISBLANK(E23)))</formula>
    </cfRule>
  </conditionalFormatting>
  <conditionalFormatting sqref="E230">
    <cfRule type="expression" dxfId="0" priority="369">
      <formula>COUNTIF(G230:BE230,"&lt;&gt;" &amp; "")&gt;0</formula>
    </cfRule>
    <cfRule type="expression" dxfId="1" priority="370">
      <formula>AND(COUNTIF(G230:BE230,"&lt;&gt;" &amp; "")&gt;0,NOT(ISBLANK(E230)))</formula>
    </cfRule>
  </conditionalFormatting>
  <conditionalFormatting sqref="E231">
    <cfRule type="expression" dxfId="0" priority="371">
      <formula>COUNTIF(G231:BE231,"&lt;&gt;" &amp; "")&gt;0</formula>
    </cfRule>
    <cfRule type="expression" dxfId="1" priority="372">
      <formula>AND(COUNTIF(G231:BE231,"&lt;&gt;" &amp; "")&gt;0,NOT(ISBLANK(E231)))</formula>
    </cfRule>
  </conditionalFormatting>
  <conditionalFormatting sqref="E232">
    <cfRule type="expression" dxfId="0" priority="373">
      <formula>COUNTIF(G232:BE232,"&lt;&gt;" &amp; "")&gt;0</formula>
    </cfRule>
    <cfRule type="expression" dxfId="1" priority="374">
      <formula>AND(COUNTIF(G232:BE232,"&lt;&gt;" &amp; "")&gt;0,NOT(ISBLANK(E232)))</formula>
    </cfRule>
  </conditionalFormatting>
  <conditionalFormatting sqref="E233">
    <cfRule type="expression" dxfId="0" priority="375">
      <formula>COUNTIF(G233:BE233,"&lt;&gt;" &amp; "")&gt;0</formula>
    </cfRule>
    <cfRule type="expression" dxfId="1" priority="376">
      <formula>AND(COUNTIF(G233:BE233,"&lt;&gt;" &amp; "")&gt;0,NOT(ISBLANK(E233)))</formula>
    </cfRule>
  </conditionalFormatting>
  <conditionalFormatting sqref="E234">
    <cfRule type="expression" dxfId="0" priority="377">
      <formula>COUNTIF(G234:BE234,"&lt;&gt;" &amp; "")&gt;0</formula>
    </cfRule>
    <cfRule type="expression" dxfId="1" priority="378">
      <formula>AND(COUNTIF(G234:BE234,"&lt;&gt;" &amp; "")&gt;0,NOT(ISBLANK(E234)))</formula>
    </cfRule>
  </conditionalFormatting>
  <conditionalFormatting sqref="E235">
    <cfRule type="expression" dxfId="0" priority="379">
      <formula>COUNTIF(G235:BE235,"&lt;&gt;" &amp; "")&gt;0</formula>
    </cfRule>
    <cfRule type="expression" dxfId="1" priority="380">
      <formula>AND(COUNTIF(G235:BE235,"&lt;&gt;" &amp; "")&gt;0,NOT(ISBLANK(E235)))</formula>
    </cfRule>
  </conditionalFormatting>
  <conditionalFormatting sqref="E236">
    <cfRule type="expression" dxfId="0" priority="381">
      <formula>COUNTIF(G236:BE236,"&lt;&gt;" &amp; "")&gt;0</formula>
    </cfRule>
    <cfRule type="expression" dxfId="1" priority="382">
      <formula>AND(COUNTIF(G236:BE236,"&lt;&gt;" &amp; "")&gt;0,NOT(ISBLANK(E236)))</formula>
    </cfRule>
  </conditionalFormatting>
  <conditionalFormatting sqref="E237">
    <cfRule type="expression" dxfId="0" priority="383">
      <formula>COUNTIF(G237:BE237,"&lt;&gt;" &amp; "")&gt;0</formula>
    </cfRule>
    <cfRule type="expression" dxfId="1" priority="384">
      <formula>AND(COUNTIF(G237:BE237,"&lt;&gt;" &amp; "")&gt;0,NOT(ISBLANK(E237)))</formula>
    </cfRule>
  </conditionalFormatting>
  <conditionalFormatting sqref="E24">
    <cfRule type="expression" dxfId="0" priority="17">
      <formula>COUNTIF(G24:BE24,"&lt;&gt;" &amp; "")&gt;0</formula>
    </cfRule>
    <cfRule type="expression" dxfId="1" priority="18">
      <formula>AND(COUNTIF(G24:BE24,"&lt;&gt;" &amp; "")&gt;0,NOT(ISBLANK(E24)))</formula>
    </cfRule>
  </conditionalFormatting>
  <conditionalFormatting sqref="E240">
    <cfRule type="expression" dxfId="0" priority="385">
      <formula>COUNTIF(G240:BE240,"&lt;&gt;" &amp; "")&gt;0</formula>
    </cfRule>
    <cfRule type="expression" dxfId="1" priority="386">
      <formula>AND(COUNTIF(G240:BE240,"&lt;&gt;" &amp; "")&gt;0,NOT(ISBLANK(E240)))</formula>
    </cfRule>
  </conditionalFormatting>
  <conditionalFormatting sqref="E241">
    <cfRule type="expression" dxfId="0" priority="387">
      <formula>COUNTIF(G241:BE241,"&lt;&gt;" &amp; "")&gt;0</formula>
    </cfRule>
    <cfRule type="expression" dxfId="1" priority="388">
      <formula>AND(COUNTIF(G241:BE241,"&lt;&gt;" &amp; "")&gt;0,NOT(ISBLANK(E241)))</formula>
    </cfRule>
  </conditionalFormatting>
  <conditionalFormatting sqref="E242">
    <cfRule type="expression" dxfId="0" priority="389">
      <formula>COUNTIF(G242:BE242,"&lt;&gt;" &amp; "")&gt;0</formula>
    </cfRule>
    <cfRule type="expression" dxfId="1" priority="390">
      <formula>AND(COUNTIF(G242:BE242,"&lt;&gt;" &amp; "")&gt;0,NOT(ISBLANK(E242)))</formula>
    </cfRule>
  </conditionalFormatting>
  <conditionalFormatting sqref="E243">
    <cfRule type="expression" dxfId="0" priority="391">
      <formula>COUNTIF(G243:BE243,"&lt;&gt;" &amp; "")&gt;0</formula>
    </cfRule>
    <cfRule type="expression" dxfId="1" priority="392">
      <formula>AND(COUNTIF(G243:BE243,"&lt;&gt;" &amp; "")&gt;0,NOT(ISBLANK(E243)))</formula>
    </cfRule>
  </conditionalFormatting>
  <conditionalFormatting sqref="E244">
    <cfRule type="expression" dxfId="0" priority="393">
      <formula>COUNTIF(G244:BE244,"&lt;&gt;" &amp; "")&gt;0</formula>
    </cfRule>
    <cfRule type="expression" dxfId="1" priority="394">
      <formula>AND(COUNTIF(G244:BE244,"&lt;&gt;" &amp; "")&gt;0,NOT(ISBLANK(E244)))</formula>
    </cfRule>
  </conditionalFormatting>
  <conditionalFormatting sqref="E245">
    <cfRule type="expression" dxfId="0" priority="395">
      <formula>COUNTIF(G245:BE245,"&lt;&gt;" &amp; "")&gt;0</formula>
    </cfRule>
    <cfRule type="expression" dxfId="1" priority="396">
      <formula>AND(COUNTIF(G245:BE245,"&lt;&gt;" &amp; "")&gt;0,NOT(ISBLANK(E245)))</formula>
    </cfRule>
  </conditionalFormatting>
  <conditionalFormatting sqref="E246">
    <cfRule type="expression" dxfId="0" priority="397">
      <formula>COUNTIF(G246:BE246,"&lt;&gt;" &amp; "")&gt;0</formula>
    </cfRule>
    <cfRule type="expression" dxfId="1" priority="398">
      <formula>AND(COUNTIF(G246:BE246,"&lt;&gt;" &amp; "")&gt;0,NOT(ISBLANK(E246)))</formula>
    </cfRule>
  </conditionalFormatting>
  <conditionalFormatting sqref="E247">
    <cfRule type="expression" dxfId="0" priority="399">
      <formula>COUNTIF(G247:BE247,"&lt;&gt;" &amp; "")&gt;0</formula>
    </cfRule>
    <cfRule type="expression" dxfId="1" priority="400">
      <formula>AND(COUNTIF(G247:BE247,"&lt;&gt;" &amp; "")&gt;0,NOT(ISBLANK(E247)))</formula>
    </cfRule>
  </conditionalFormatting>
  <conditionalFormatting sqref="E248">
    <cfRule type="expression" dxfId="0" priority="401">
      <formula>COUNTIF(G248:BE248,"&lt;&gt;" &amp; "")&gt;0</formula>
    </cfRule>
    <cfRule type="expression" dxfId="1" priority="402">
      <formula>AND(COUNTIF(G248:BE248,"&lt;&gt;" &amp; "")&gt;0,NOT(ISBLANK(E248)))</formula>
    </cfRule>
  </conditionalFormatting>
  <conditionalFormatting sqref="E249">
    <cfRule type="expression" dxfId="0" priority="403">
      <formula>COUNTIF(G249:BE249,"&lt;&gt;" &amp; "")&gt;0</formula>
    </cfRule>
    <cfRule type="expression" dxfId="1" priority="404">
      <formula>AND(COUNTIF(G249:BE249,"&lt;&gt;" &amp; "")&gt;0,NOT(ISBLANK(E249)))</formula>
    </cfRule>
  </conditionalFormatting>
  <conditionalFormatting sqref="E25">
    <cfRule type="expression" dxfId="0" priority="19">
      <formula>COUNTIF(G25:BE25,"&lt;&gt;" &amp; "")&gt;0</formula>
    </cfRule>
    <cfRule type="expression" dxfId="1" priority="20">
      <formula>AND(COUNTIF(G25:BE25,"&lt;&gt;" &amp; "")&gt;0,NOT(ISBLANK(E25)))</formula>
    </cfRule>
  </conditionalFormatting>
  <conditionalFormatting sqref="E250">
    <cfRule type="expression" dxfId="0" priority="405">
      <formula>COUNTIF(G250:BE250,"&lt;&gt;" &amp; "")&gt;0</formula>
    </cfRule>
    <cfRule type="expression" dxfId="1" priority="406">
      <formula>AND(COUNTIF(G250:BE250,"&lt;&gt;" &amp; "")&gt;0,NOT(ISBLANK(E250)))</formula>
    </cfRule>
  </conditionalFormatting>
  <conditionalFormatting sqref="E251">
    <cfRule type="expression" dxfId="0" priority="407">
      <formula>COUNTIF(G251:BE251,"&lt;&gt;" &amp; "")&gt;0</formula>
    </cfRule>
    <cfRule type="expression" dxfId="1" priority="408">
      <formula>AND(COUNTIF(G251:BE251,"&lt;&gt;" &amp; "")&gt;0,NOT(ISBLANK(E251)))</formula>
    </cfRule>
  </conditionalFormatting>
  <conditionalFormatting sqref="E26">
    <cfRule type="expression" dxfId="0" priority="21">
      <formula>COUNTIF(G26:BE26,"&lt;&gt;" &amp; "")&gt;0</formula>
    </cfRule>
    <cfRule type="expression" dxfId="1" priority="22">
      <formula>AND(COUNTIF(G26:BE26,"&lt;&gt;" &amp; "")&gt;0,NOT(ISBLANK(E26)))</formula>
    </cfRule>
  </conditionalFormatting>
  <conditionalFormatting sqref="E27">
    <cfRule type="expression" dxfId="0" priority="23">
      <formula>COUNTIF(G27:BE27,"&lt;&gt;" &amp; "")&gt;0</formula>
    </cfRule>
    <cfRule type="expression" dxfId="1" priority="24">
      <formula>AND(COUNTIF(G27:BE27,"&lt;&gt;" &amp; "")&gt;0,NOT(ISBLANK(E27)))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2">
    <cfRule type="expression" dxfId="0" priority="29">
      <formula>COUNTIF(G32:BE32,"&lt;&gt;" &amp; "")&gt;0</formula>
    </cfRule>
    <cfRule type="expression" dxfId="1" priority="30">
      <formula>AND(COUNTIF(G32:BE32,"&lt;&gt;" &amp; "")&gt;0,NOT(ISBLANK(E32)))</formula>
    </cfRule>
  </conditionalFormatting>
  <conditionalFormatting sqref="E33">
    <cfRule type="expression" dxfId="0" priority="31">
      <formula>COUNTIF(G33:BE33,"&lt;&gt;" &amp; "")&gt;0</formula>
    </cfRule>
    <cfRule type="expression" dxfId="1" priority="32">
      <formula>AND(COUNTIF(G33:BE33,"&lt;&gt;" &amp; "")&gt;0,NOT(ISBLANK(E33)))</formula>
    </cfRule>
  </conditionalFormatting>
  <conditionalFormatting sqref="E34">
    <cfRule type="expression" dxfId="0" priority="33">
      <formula>COUNTIF(G34:BE34,"&lt;&gt;" &amp; "")&gt;0</formula>
    </cfRule>
    <cfRule type="expression" dxfId="1" priority="34">
      <formula>AND(COUNTIF(G34:BE34,"&lt;&gt;" &amp; "")&gt;0,NOT(ISBLANK(E34)))</formula>
    </cfRule>
  </conditionalFormatting>
  <conditionalFormatting sqref="E35">
    <cfRule type="expression" dxfId="0" priority="35">
      <formula>COUNTIF(G35:BE35,"&lt;&gt;" &amp; "")&gt;0</formula>
    </cfRule>
    <cfRule type="expression" dxfId="1" priority="36">
      <formula>AND(COUNTIF(G35:BE35,"&lt;&gt;" &amp; "")&gt;0,NOT(ISBLANK(E35)))</formula>
    </cfRule>
  </conditionalFormatting>
  <conditionalFormatting sqref="E36">
    <cfRule type="expression" dxfId="0" priority="37">
      <formula>COUNTIF(G36:BE36,"&lt;&gt;" &amp; "")&gt;0</formula>
    </cfRule>
    <cfRule type="expression" dxfId="1" priority="38">
      <formula>AND(COUNTIF(G36:BE36,"&lt;&gt;" &amp; "")&gt;0,NOT(ISBLANK(E36)))</formula>
    </cfRule>
  </conditionalFormatting>
  <conditionalFormatting sqref="E37">
    <cfRule type="expression" dxfId="0" priority="39">
      <formula>COUNTIF(G37:BE37,"&lt;&gt;" &amp; "")&gt;0</formula>
    </cfRule>
    <cfRule type="expression" dxfId="1" priority="40">
      <formula>AND(COUNTIF(G37:BE37,"&lt;&gt;" &amp; "")&gt;0,NOT(ISBLANK(E37)))</formula>
    </cfRule>
  </conditionalFormatting>
  <conditionalFormatting sqref="E38">
    <cfRule type="expression" dxfId="0" priority="41">
      <formula>COUNTIF(G38:BE38,"&lt;&gt;" &amp; "")&gt;0</formula>
    </cfRule>
    <cfRule type="expression" dxfId="1" priority="42">
      <formula>AND(COUNTIF(G38:BE38,"&lt;&gt;" &amp; "")&gt;0,NOT(ISBLANK(E38)))</formula>
    </cfRule>
  </conditionalFormatting>
  <conditionalFormatting sqref="E39">
    <cfRule type="expression" dxfId="0" priority="43">
      <formula>COUNTIF(G39:BE39,"&lt;&gt;" &amp; "")&gt;0</formula>
    </cfRule>
    <cfRule type="expression" dxfId="1" priority="44">
      <formula>AND(COUNTIF(G39:BE39,"&lt;&gt;" &amp; "")&gt;0,NOT(ISBLANK(E39)))</formula>
    </cfRule>
  </conditionalFormatting>
  <conditionalFormatting sqref="E40">
    <cfRule type="expression" dxfId="0" priority="45">
      <formula>COUNTIF(G40:BE40,"&lt;&gt;" &amp; "")&gt;0</formula>
    </cfRule>
    <cfRule type="expression" dxfId="1" priority="46">
      <formula>AND(COUNTIF(G40:BE40,"&lt;&gt;" &amp; "")&gt;0,NOT(ISBLANK(E40)))</formula>
    </cfRule>
  </conditionalFormatting>
  <conditionalFormatting sqref="E41">
    <cfRule type="expression" dxfId="0" priority="47">
      <formula>COUNTIF(G41:BE41,"&lt;&gt;" &amp; "")&gt;0</formula>
    </cfRule>
    <cfRule type="expression" dxfId="1" priority="48">
      <formula>AND(COUNTIF(G41:BE41,"&lt;&gt;" &amp; "")&gt;0,NOT(ISBLANK(E41)))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48">
    <cfRule type="expression" dxfId="0" priority="57">
      <formula>COUNTIF(G48:BE48,"&lt;&gt;" &amp; "")&gt;0</formula>
    </cfRule>
    <cfRule type="expression" dxfId="1" priority="58">
      <formula>AND(COUNTIF(G48:BE48,"&lt;&gt;" &amp; "")&gt;0,NOT(ISBLANK(E48)))</formula>
    </cfRule>
  </conditionalFormatting>
  <conditionalFormatting sqref="E49">
    <cfRule type="expression" dxfId="0" priority="59">
      <formula>COUNTIF(G49:BE49,"&lt;&gt;" &amp; "")&gt;0</formula>
    </cfRule>
    <cfRule type="expression" dxfId="1" priority="60">
      <formula>AND(COUNTIF(G49:BE49,"&lt;&gt;" &amp; "")&gt;0,NOT(ISBLANK(E49)))</formula>
    </cfRule>
  </conditionalFormatting>
  <conditionalFormatting sqref="E50">
    <cfRule type="expression" dxfId="0" priority="61">
      <formula>COUNTIF(G50:BE50,"&lt;&gt;" &amp; "")&gt;0</formula>
    </cfRule>
    <cfRule type="expression" dxfId="1" priority="62">
      <formula>AND(COUNTIF(G50:BE50,"&lt;&gt;" &amp; "")&gt;0,NOT(ISBLANK(E50)))</formula>
    </cfRule>
  </conditionalFormatting>
  <conditionalFormatting sqref="E51">
    <cfRule type="expression" dxfId="0" priority="63">
      <formula>COUNTIF(G51:BE51,"&lt;&gt;" &amp; "")&gt;0</formula>
    </cfRule>
    <cfRule type="expression" dxfId="1" priority="64">
      <formula>AND(COUNTIF(G51:BE51,"&lt;&gt;" &amp; "")&gt;0,NOT(ISBLANK(E51)))</formula>
    </cfRule>
  </conditionalFormatting>
  <conditionalFormatting sqref="E52">
    <cfRule type="expression" dxfId="0" priority="65">
      <formula>COUNTIF(G52:BE52,"&lt;&gt;" &amp; "")&gt;0</formula>
    </cfRule>
    <cfRule type="expression" dxfId="1" priority="66">
      <formula>AND(COUNTIF(G52:BE52,"&lt;&gt;" &amp; "")&gt;0,NOT(ISBLANK(E52)))</formula>
    </cfRule>
  </conditionalFormatting>
  <conditionalFormatting sqref="E53">
    <cfRule type="expression" dxfId="0" priority="67">
      <formula>COUNTIF(G53:BE53,"&lt;&gt;" &amp; "")&gt;0</formula>
    </cfRule>
    <cfRule type="expression" dxfId="1" priority="68">
      <formula>AND(COUNTIF(G53:BE53,"&lt;&gt;" &amp; "")&gt;0,NOT(ISBLANK(E53)))</formula>
    </cfRule>
  </conditionalFormatting>
  <conditionalFormatting sqref="E54">
    <cfRule type="expression" dxfId="0" priority="69">
      <formula>COUNTIF(G54:BE54,"&lt;&gt;" &amp; "")&gt;0</formula>
    </cfRule>
    <cfRule type="expression" dxfId="1" priority="70">
      <formula>AND(COUNTIF(G54:BE54,"&lt;&gt;" &amp; "")&gt;0,NOT(ISBLANK(E54)))</formula>
    </cfRule>
  </conditionalFormatting>
  <conditionalFormatting sqref="E55">
    <cfRule type="expression" dxfId="0" priority="71">
      <formula>COUNTIF(G55:BE55,"&lt;&gt;" &amp; "")&gt;0</formula>
    </cfRule>
    <cfRule type="expression" dxfId="1" priority="72">
      <formula>AND(COUNTIF(G55:BE55,"&lt;&gt;" &amp; "")&gt;0,NOT(ISBLANK(E55)))</formula>
    </cfRule>
  </conditionalFormatting>
  <conditionalFormatting sqref="E562">
    <cfRule type="expression" dxfId="0" priority="409">
      <formula>COUNTIF(G562:BE562,"&lt;&gt;" &amp; "")&gt;0</formula>
    </cfRule>
    <cfRule type="expression" dxfId="1" priority="410">
      <formula>AND(COUNTIF(G562:BE562,"&lt;&gt;" &amp; "")&gt;0,NOT(ISBLANK(E562)))</formula>
    </cfRule>
  </conditionalFormatting>
  <conditionalFormatting sqref="E563">
    <cfRule type="expression" dxfId="0" priority="411">
      <formula>COUNTIF(G563:BE563,"&lt;&gt;" &amp; "")&gt;0</formula>
    </cfRule>
    <cfRule type="expression" dxfId="1" priority="412">
      <formula>AND(COUNTIF(G563:BE563,"&lt;&gt;" &amp; "")&gt;0,NOT(ISBLANK(E563)))</formula>
    </cfRule>
  </conditionalFormatting>
  <conditionalFormatting sqref="E564">
    <cfRule type="expression" dxfId="0" priority="413">
      <formula>COUNTIF(G564:BE564,"&lt;&gt;" &amp; "")&gt;0</formula>
    </cfRule>
    <cfRule type="expression" dxfId="1" priority="414">
      <formula>AND(COUNTIF(G564:BE564,"&lt;&gt;" &amp; "")&gt;0,NOT(ISBLANK(E564)))</formula>
    </cfRule>
  </conditionalFormatting>
  <conditionalFormatting sqref="E565">
    <cfRule type="expression" dxfId="0" priority="415">
      <formula>COUNTIF(G565:BE565,"&lt;&gt;" &amp; "")&gt;0</formula>
    </cfRule>
    <cfRule type="expression" dxfId="1" priority="416">
      <formula>AND(COUNTIF(G565:BE565,"&lt;&gt;" &amp; "")&gt;0,NOT(ISBLANK(E565)))</formula>
    </cfRule>
  </conditionalFormatting>
  <conditionalFormatting sqref="E566">
    <cfRule type="expression" dxfId="0" priority="417">
      <formula>COUNTIF(G566:BE566,"&lt;&gt;" &amp; "")&gt;0</formula>
    </cfRule>
    <cfRule type="expression" dxfId="1" priority="418">
      <formula>AND(COUNTIF(G566:BE566,"&lt;&gt;" &amp; "")&gt;0,NOT(ISBLANK(E566)))</formula>
    </cfRule>
  </conditionalFormatting>
  <conditionalFormatting sqref="E567">
    <cfRule type="expression" dxfId="0" priority="419">
      <formula>COUNTIF(G567:BE567,"&lt;&gt;" &amp; "")&gt;0</formula>
    </cfRule>
    <cfRule type="expression" dxfId="1" priority="420">
      <formula>AND(COUNTIF(G567:BE567,"&lt;&gt;" &amp; "")&gt;0,NOT(ISBLANK(E567)))</formula>
    </cfRule>
  </conditionalFormatting>
  <conditionalFormatting sqref="E568">
    <cfRule type="expression" dxfId="0" priority="421">
      <formula>COUNTIF(G568:BE568,"&lt;&gt;" &amp; "")&gt;0</formula>
    </cfRule>
    <cfRule type="expression" dxfId="1" priority="422">
      <formula>AND(COUNTIF(G568:BE568,"&lt;&gt;" &amp; "")&gt;0,NOT(ISBLANK(E568)))</formula>
    </cfRule>
  </conditionalFormatting>
  <conditionalFormatting sqref="E569">
    <cfRule type="expression" dxfId="0" priority="423">
      <formula>COUNTIF(G569:BE569,"&lt;&gt;" &amp; "")&gt;0</formula>
    </cfRule>
    <cfRule type="expression" dxfId="1" priority="424">
      <formula>AND(COUNTIF(G569:BE569,"&lt;&gt;" &amp; "")&gt;0,NOT(ISBLANK(E569)))</formula>
    </cfRule>
  </conditionalFormatting>
  <conditionalFormatting sqref="E570">
    <cfRule type="expression" dxfId="0" priority="425">
      <formula>COUNTIF(G570:BE570,"&lt;&gt;" &amp; "")&gt;0</formula>
    </cfRule>
    <cfRule type="expression" dxfId="1" priority="426">
      <formula>AND(COUNTIF(G570:BE570,"&lt;&gt;" &amp; "")&gt;0,NOT(ISBLANK(E570)))</formula>
    </cfRule>
  </conditionalFormatting>
  <conditionalFormatting sqref="E571">
    <cfRule type="expression" dxfId="0" priority="427">
      <formula>COUNTIF(G571:BE571,"&lt;&gt;" &amp; "")&gt;0</formula>
    </cfRule>
    <cfRule type="expression" dxfId="1" priority="428">
      <formula>AND(COUNTIF(G571:BE571,"&lt;&gt;" &amp; "")&gt;0,NOT(ISBLANK(E571)))</formula>
    </cfRule>
  </conditionalFormatting>
  <conditionalFormatting sqref="E572">
    <cfRule type="expression" dxfId="0" priority="429">
      <formula>COUNTIF(G572:BE572,"&lt;&gt;" &amp; "")&gt;0</formula>
    </cfRule>
    <cfRule type="expression" dxfId="1" priority="430">
      <formula>AND(COUNTIF(G572:BE572,"&lt;&gt;" &amp; "")&gt;0,NOT(ISBLANK(E572)))</formula>
    </cfRule>
  </conditionalFormatting>
  <conditionalFormatting sqref="E573">
    <cfRule type="expression" dxfId="0" priority="431">
      <formula>COUNTIF(G573:BE573,"&lt;&gt;" &amp; "")&gt;0</formula>
    </cfRule>
    <cfRule type="expression" dxfId="1" priority="432">
      <formula>AND(COUNTIF(G573:BE573,"&lt;&gt;" &amp; "")&gt;0,NOT(ISBLANK(E573)))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">
    <cfRule type="expression" dxfId="0" priority="85">
      <formula>COUNTIF(G64:BE64,"&lt;&gt;" &amp; "")&gt;0</formula>
    </cfRule>
    <cfRule type="expression" dxfId="1" priority="86">
      <formula>AND(COUNTIF(G64:BE64,"&lt;&gt;" &amp; "")&gt;0,NOT(ISBLANK(E64)))</formula>
    </cfRule>
  </conditionalFormatting>
  <conditionalFormatting sqref="E65">
    <cfRule type="expression" dxfId="0" priority="87">
      <formula>COUNTIF(G65:BE65,"&lt;&gt;" &amp; "")&gt;0</formula>
    </cfRule>
    <cfRule type="expression" dxfId="1" priority="88">
      <formula>AND(COUNTIF(G65:BE65,"&lt;&gt;" &amp; "")&gt;0,NOT(ISBLANK(E65)))</formula>
    </cfRule>
  </conditionalFormatting>
  <conditionalFormatting sqref="E66">
    <cfRule type="expression" dxfId="0" priority="89">
      <formula>COUNTIF(G66:BE66,"&lt;&gt;" &amp; "")&gt;0</formula>
    </cfRule>
    <cfRule type="expression" dxfId="1" priority="90">
      <formula>AND(COUNTIF(G66:BE66,"&lt;&gt;" &amp; "")&gt;0,NOT(ISBLANK(E66)))</formula>
    </cfRule>
  </conditionalFormatting>
  <conditionalFormatting sqref="E67">
    <cfRule type="expression" dxfId="0" priority="91">
      <formula>COUNTIF(G67:BE67,"&lt;&gt;" &amp; "")&gt;0</formula>
    </cfRule>
    <cfRule type="expression" dxfId="1" priority="92">
      <formula>AND(COUNTIF(G67:BE67,"&lt;&gt;" &amp; "")&gt;0,NOT(ISBLANK(E67)))</formula>
    </cfRule>
  </conditionalFormatting>
  <conditionalFormatting sqref="E68">
    <cfRule type="expression" dxfId="0" priority="93">
      <formula>COUNTIF(G68:BE68,"&lt;&gt;" &amp; "")&gt;0</formula>
    </cfRule>
    <cfRule type="expression" dxfId="1" priority="94">
      <formula>AND(COUNTIF(G68:BE68,"&lt;&gt;" &amp; "")&gt;0,NOT(ISBLANK(E68)))</formula>
    </cfRule>
  </conditionalFormatting>
  <conditionalFormatting sqref="E69">
    <cfRule type="expression" dxfId="0" priority="95">
      <formula>COUNTIF(G69:BE69,"&lt;&gt;" &amp; "")&gt;0</formula>
    </cfRule>
    <cfRule type="expression" dxfId="1" priority="96">
      <formula>AND(COUNTIF(G69:BE69,"&lt;&gt;" &amp; "")&gt;0,NOT(ISBLANK(E69)))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0">
    <cfRule type="expression" dxfId="0" priority="113">
      <formula>COUNTIF(G80:BE80,"&lt;&gt;" &amp; "")&gt;0</formula>
    </cfRule>
    <cfRule type="expression" dxfId="1" priority="114">
      <formula>AND(COUNTIF(G80:BE80,"&lt;&gt;" &amp; "")&gt;0,NOT(ISBLANK(E80)))</formula>
    </cfRule>
  </conditionalFormatting>
  <conditionalFormatting sqref="E81">
    <cfRule type="expression" dxfId="0" priority="115">
      <formula>COUNTIF(G81:BE81,"&lt;&gt;" &amp; "")&gt;0</formula>
    </cfRule>
    <cfRule type="expression" dxfId="1" priority="116">
      <formula>AND(COUNTIF(G81:BE81,"&lt;&gt;" &amp; "")&gt;0,NOT(ISBLANK(E81)))</formula>
    </cfRule>
  </conditionalFormatting>
  <conditionalFormatting sqref="E82">
    <cfRule type="expression" dxfId="0" priority="117">
      <formula>COUNTIF(G82:BE82,"&lt;&gt;" &amp; "")&gt;0</formula>
    </cfRule>
    <cfRule type="expression" dxfId="1" priority="118">
      <formula>AND(COUNTIF(G82:BE82,"&lt;&gt;" &amp; "")&gt;0,NOT(ISBLANK(E82)))</formula>
    </cfRule>
  </conditionalFormatting>
  <conditionalFormatting sqref="E83">
    <cfRule type="expression" dxfId="0" priority="119">
      <formula>COUNTIF(G83:BE83,"&lt;&gt;" &amp; "")&gt;0</formula>
    </cfRule>
    <cfRule type="expression" dxfId="1" priority="120">
      <formula>AND(COUNTIF(G83:BE83,"&lt;&gt;" &amp; "")&gt;0,NOT(ISBLANK(E83)))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6">
    <cfRule type="expression" dxfId="0" priority="141">
      <formula>COUNTIF(G96:BE96,"&lt;&gt;" &amp; "")&gt;0</formula>
    </cfRule>
    <cfRule type="expression" dxfId="1" priority="142">
      <formula>AND(COUNTIF(G96:BE96,"&lt;&gt;" &amp; "")&gt;0,NOT(ISBLANK(E96)))</formula>
    </cfRule>
  </conditionalFormatting>
  <conditionalFormatting sqref="E97">
    <cfRule type="expression" dxfId="0" priority="143">
      <formula>COUNTIF(G97:BE97,"&lt;&gt;" &amp; "")&gt;0</formula>
    </cfRule>
    <cfRule type="expression" dxfId="1" priority="144">
      <formula>AND(COUNTIF(G97:BE97,"&lt;&gt;" &amp; "")&gt;0,NOT(ISBLANK(E97)))</formula>
    </cfRule>
  </conditionalFormatting>
  <dataValidations count="99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4">
      <formula1>"Number"</formula1>
    </dataValidation>
    <dataValidation type="list" allowBlank="1" showInputMessage="1" showErrorMessage="1" sqref="C65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08">
      <formula1>"Number"</formula1>
    </dataValidation>
    <dataValidation type="list" allowBlank="1" showInputMessage="1" showErrorMessage="1" sqref="C209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40">
      <formula1>"Number"</formula1>
    </dataValidation>
    <dataValidation type="list" allowBlank="1" showInputMessage="1" showErrorMessage="1" sqref="C241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6">
      <formula1>"Number"</formula1>
    </dataValidation>
    <dataValidation type="list" allowBlank="1" showInputMessage="1" showErrorMessage="1" sqref="C257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2">
      <formula1>"Number"</formula1>
    </dataValidation>
    <dataValidation type="list" allowBlank="1" showInputMessage="1" showErrorMessage="1" sqref="C273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88">
      <formula1>"Number"</formula1>
    </dataValidation>
    <dataValidation type="list" allowBlank="1" showInputMessage="1" showErrorMessage="1" sqref="C289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4">
      <formula1>"Number"</formula1>
    </dataValidation>
    <dataValidation type="list" allowBlank="1" showInputMessage="1" showErrorMessage="1" sqref="C305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0">
      <formula1>"Number"</formula1>
    </dataValidation>
    <dataValidation type="list" allowBlank="1" showInputMessage="1" showErrorMessage="1" sqref="C321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2">
      <formula1>"Number"</formula1>
    </dataValidation>
    <dataValidation type="list" allowBlank="1" showInputMessage="1" showErrorMessage="1" sqref="C353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68">
      <formula1>"Number"</formula1>
    </dataValidation>
    <dataValidation type="list" allowBlank="1" showInputMessage="1" showErrorMessage="1" sqref="C369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4">
      <formula1>"Number"</formula1>
    </dataValidation>
    <dataValidation type="list" allowBlank="1" showInputMessage="1" showErrorMessage="1" sqref="C385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0">
      <formula1>"Number"</formula1>
    </dataValidation>
    <dataValidation type="list" allowBlank="1" showInputMessage="1" showErrorMessage="1" sqref="C401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6">
      <formula1>"Number"</formula1>
    </dataValidation>
    <dataValidation type="list" allowBlank="1" showInputMessage="1" showErrorMessage="1" sqref="C417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2">
      <formula1>"Number"</formula1>
    </dataValidation>
    <dataValidation type="list" allowBlank="1" showInputMessage="1" showErrorMessage="1" sqref="C433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4">
      <formula1>"Number"</formula1>
    </dataValidation>
    <dataValidation type="list" allowBlank="1" showInputMessage="1" showErrorMessage="1" sqref="C465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0">
      <formula1>"Number"</formula1>
    </dataValidation>
    <dataValidation type="list" allowBlank="1" showInputMessage="1" showErrorMessage="1" sqref="C481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6">
      <formula1>"Number"</formula1>
    </dataValidation>
    <dataValidation type="list" allowBlank="1" showInputMessage="1" showErrorMessage="1" sqref="C497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2">
      <formula1>"Number"</formula1>
    </dataValidation>
    <dataValidation type="list" allowBlank="1" showInputMessage="1" showErrorMessage="1" sqref="C513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28">
      <formula1>"Number"</formula1>
    </dataValidation>
    <dataValidation type="list" allowBlank="1" showInputMessage="1" showErrorMessage="1" sqref="C529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4">
      <formula1>"Number"</formula1>
    </dataValidation>
    <dataValidation type="list" allowBlank="1" showInputMessage="1" showErrorMessage="1" sqref="C545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6">
      <formula1>"Number"</formula1>
    </dataValidation>
    <dataValidation type="list" allowBlank="1" showInputMessage="1" showErrorMessage="1" sqref="C577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2">
      <formula1>"Number"</formula1>
    </dataValidation>
    <dataValidation type="list" allowBlank="1" showInputMessage="1" showErrorMessage="1" sqref="C593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08">
      <formula1>"Number"</formula1>
    </dataValidation>
    <dataValidation type="list" allowBlank="1" showInputMessage="1" showErrorMessage="1" sqref="C609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4">
      <formula1>"Number"</formula1>
    </dataValidation>
    <dataValidation type="list" allowBlank="1" showInputMessage="1" showErrorMessage="1" sqref="C625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0">
      <formula1>"Number"</formula1>
    </dataValidation>
    <dataValidation type="list" allowBlank="1" showInputMessage="1" showErrorMessage="1" sqref="C641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6">
      <formula1>"Number"</formula1>
    </dataValidation>
    <dataValidation type="list" allowBlank="1" showInputMessage="1" showErrorMessage="1" sqref="C657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8">
      <formula1>"Number"</formula1>
    </dataValidation>
    <dataValidation type="list" allowBlank="1" showInputMessage="1" showErrorMessage="1" sqref="C689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4">
      <formula1>"Number"</formula1>
    </dataValidation>
    <dataValidation type="list" allowBlank="1" showInputMessage="1" showErrorMessage="1" sqref="C705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0">
      <formula1>"Number"</formula1>
    </dataValidation>
    <dataValidation type="list" allowBlank="1" showInputMessage="1" showErrorMessage="1" sqref="C721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6">
      <formula1>"Number"</formula1>
    </dataValidation>
    <dataValidation type="list" allowBlank="1" showInputMessage="1" showErrorMessage="1" sqref="C737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2">
      <formula1>"Number"</formula1>
    </dataValidation>
    <dataValidation type="list" allowBlank="1" showInputMessage="1" showErrorMessage="1" sqref="C753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68">
      <formula1>"Number"</formula1>
    </dataValidation>
    <dataValidation type="list" allowBlank="1" showInputMessage="1" showErrorMessage="1" sqref="C769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800">
      <formula1>"Number"</formula1>
    </dataValidation>
    <dataValidation type="list" allowBlank="1" showInputMessage="1" showErrorMessage="1" sqref="C801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6">
      <formula1>"Number"</formula1>
    </dataValidation>
    <dataValidation type="list" allowBlank="1" showInputMessage="1" showErrorMessage="1" sqref="C817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2">
      <formula1>"Number"</formula1>
    </dataValidation>
    <dataValidation type="list" allowBlank="1" showInputMessage="1" showErrorMessage="1" sqref="C833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48">
      <formula1>"Number"</formula1>
    </dataValidation>
    <dataValidation type="list" allowBlank="1" showInputMessage="1" showErrorMessage="1" sqref="C849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4">
      <formula1>"Number"</formula1>
    </dataValidation>
    <dataValidation type="list" allowBlank="1" showInputMessage="1" showErrorMessage="1" sqref="C865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0">
      <formula1>"Number"</formula1>
    </dataValidation>
    <dataValidation type="list" allowBlank="1" showInputMessage="1" showErrorMessage="1" sqref="C881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2">
      <formula1>"Number"</formula1>
    </dataValidation>
    <dataValidation type="list" allowBlank="1" showInputMessage="1" showErrorMessage="1" sqref="C913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28">
      <formula1>"Number"</formula1>
    </dataValidation>
    <dataValidation type="list" allowBlank="1" showInputMessage="1" showErrorMessage="1" sqref="C929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4">
      <formula1>"Number"</formula1>
    </dataValidation>
    <dataValidation type="list" allowBlank="1" showInputMessage="1" showErrorMessage="1" sqref="C945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0">
      <formula1>"Number"</formula1>
    </dataValidation>
    <dataValidation type="list" allowBlank="1" showInputMessage="1" showErrorMessage="1" sqref="C961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6">
      <formula1>"Number"</formula1>
    </dataValidation>
    <dataValidation type="list" allowBlank="1" showInputMessage="1" showErrorMessage="1" sqref="C977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2">
      <formula1>"Number"</formula1>
    </dataValidation>
    <dataValidation type="list" allowBlank="1" showInputMessage="1" showErrorMessage="1" sqref="C993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4">
      <formula1>"Number"</formula1>
    </dataValidation>
    <dataValidation type="list" allowBlank="1" showInputMessage="1" showErrorMessage="1" sqref="C1025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0">
      <formula1>"Number"</formula1>
    </dataValidation>
    <dataValidation type="list" allowBlank="1" showInputMessage="1" showErrorMessage="1" sqref="C1041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6">
      <formula1>"Number"</formula1>
    </dataValidation>
    <dataValidation type="list" allowBlank="1" showInputMessage="1" showErrorMessage="1" sqref="C1057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2">
      <formula1>"Number"</formula1>
    </dataValidation>
    <dataValidation type="list" allowBlank="1" showInputMessage="1" showErrorMessage="1" sqref="C1073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88">
      <formula1>"Number"</formula1>
    </dataValidation>
    <dataValidation type="list" allowBlank="1" showInputMessage="1" showErrorMessage="1" sqref="C1089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4">
      <formula1>"Number"</formula1>
    </dataValidation>
    <dataValidation type="list" allowBlank="1" showInputMessage="1" showErrorMessage="1" sqref="C1105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6">
      <formula1>"Number"</formula1>
    </dataValidation>
    <dataValidation type="list" allowBlank="1" showInputMessage="1" showErrorMessage="1" sqref="C1137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2">
      <formula1>"Number"</formula1>
    </dataValidation>
    <dataValidation type="list" allowBlank="1" showInputMessage="1" showErrorMessage="1" sqref="C1153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83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209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61</v>
      </c>
      <c r="C2" t="s">
        <v>56</v>
      </c>
      <c r="D2" s="3"/>
      <c r="E2" s="3">
        <v>1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61</v>
      </c>
      <c r="C3" t="s">
        <v>56</v>
      </c>
      <c r="D3" s="3"/>
      <c r="E3" s="3">
        <v>1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61</v>
      </c>
      <c r="C4" t="s">
        <v>56</v>
      </c>
      <c r="D4" s="3"/>
      <c r="E4" s="3">
        <v>1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61</v>
      </c>
      <c r="C5" t="s">
        <v>56</v>
      </c>
      <c r="D5" s="3"/>
      <c r="E5" s="3">
        <v>1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61</v>
      </c>
      <c r="C6" t="s">
        <v>56</v>
      </c>
      <c r="D6" s="3"/>
      <c r="E6" s="3">
        <v>1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61</v>
      </c>
      <c r="C7" t="s">
        <v>56</v>
      </c>
      <c r="D7" s="3"/>
      <c r="E7" s="3">
        <v>1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61</v>
      </c>
      <c r="C8" t="s">
        <v>56</v>
      </c>
      <c r="D8" s="3"/>
      <c r="E8" s="3">
        <v>1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61</v>
      </c>
      <c r="C9" t="s">
        <v>56</v>
      </c>
      <c r="D9" s="3"/>
      <c r="E9" s="3">
        <v>1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61</v>
      </c>
      <c r="C10" t="s">
        <v>56</v>
      </c>
      <c r="D10" s="3"/>
      <c r="E10" s="3">
        <v>1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61</v>
      </c>
      <c r="C11" t="s">
        <v>56</v>
      </c>
      <c r="D11" s="3"/>
      <c r="E11" s="3">
        <v>1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61</v>
      </c>
      <c r="C12" t="s">
        <v>56</v>
      </c>
      <c r="D12" s="3"/>
      <c r="E12" s="3">
        <v>1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61</v>
      </c>
      <c r="C13" t="s">
        <v>56</v>
      </c>
      <c r="D13" s="3"/>
      <c r="E13" s="3">
        <v>1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210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B16" t="s">
        <v>61</v>
      </c>
      <c r="C16" t="s">
        <v>56</v>
      </c>
      <c r="D16" s="3"/>
      <c r="E16" s="3">
        <v>1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B17" t="s">
        <v>61</v>
      </c>
      <c r="C17" t="s">
        <v>56</v>
      </c>
      <c r="D17" s="3"/>
      <c r="E17" s="3">
        <v>1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B18" t="s">
        <v>61</v>
      </c>
      <c r="C18" t="s">
        <v>56</v>
      </c>
      <c r="D18" s="3"/>
      <c r="E18" s="3">
        <v>1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B19" t="s">
        <v>61</v>
      </c>
      <c r="C19" t="s">
        <v>56</v>
      </c>
      <c r="D19" s="3"/>
      <c r="E19" s="3">
        <v>1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B20" t="s">
        <v>61</v>
      </c>
      <c r="C20" t="s">
        <v>56</v>
      </c>
      <c r="D20" s="3"/>
      <c r="E20" s="3">
        <v>1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B21" t="s">
        <v>61</v>
      </c>
      <c r="C21" t="s">
        <v>56</v>
      </c>
      <c r="D21" s="3"/>
      <c r="E21" s="3">
        <v>1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B22" t="s">
        <v>61</v>
      </c>
      <c r="C22" t="s">
        <v>56</v>
      </c>
      <c r="D22" s="3"/>
      <c r="E22" s="3">
        <v>1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B23" t="s">
        <v>61</v>
      </c>
      <c r="C23" t="s">
        <v>56</v>
      </c>
      <c r="D23" s="3"/>
      <c r="E23" s="3">
        <v>1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B24" t="s">
        <v>61</v>
      </c>
      <c r="C24" t="s">
        <v>56</v>
      </c>
      <c r="D24" s="3"/>
      <c r="E24" s="3">
        <v>1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B25" t="s">
        <v>61</v>
      </c>
      <c r="C25" t="s">
        <v>56</v>
      </c>
      <c r="D25" s="3"/>
      <c r="E25" s="3">
        <v>1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B26" t="s">
        <v>61</v>
      </c>
      <c r="C26" t="s">
        <v>56</v>
      </c>
      <c r="D26" s="3"/>
      <c r="E26" s="3">
        <v>1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B27" t="s">
        <v>61</v>
      </c>
      <c r="C27" t="s">
        <v>56</v>
      </c>
      <c r="D27" s="3"/>
      <c r="E27" s="3">
        <v>1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211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C30" t="s">
        <v>56</v>
      </c>
      <c r="D30" s="3"/>
      <c r="E30" s="3">
        <v>0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C31" t="s">
        <v>56</v>
      </c>
      <c r="D31" s="3"/>
      <c r="E31" s="3">
        <v>0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C32" t="s">
        <v>56</v>
      </c>
      <c r="D32" s="3"/>
      <c r="E32" s="3">
        <v>1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C33" t="s">
        <v>56</v>
      </c>
      <c r="D33" s="3"/>
      <c r="E33" s="3">
        <v>1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C34" t="s">
        <v>56</v>
      </c>
      <c r="D34" s="3"/>
      <c r="E34" s="3">
        <v>1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C35" t="s">
        <v>56</v>
      </c>
      <c r="D35" s="3"/>
      <c r="E35" s="3">
        <v>1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C36" t="s">
        <v>56</v>
      </c>
      <c r="D36" s="3"/>
      <c r="E36" s="3">
        <v>1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C37" t="s">
        <v>56</v>
      </c>
      <c r="D37" s="3"/>
      <c r="E37" s="3">
        <v>1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C38" t="s">
        <v>56</v>
      </c>
      <c r="D38" s="3"/>
      <c r="E38" s="3">
        <v>1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C39" t="s">
        <v>56</v>
      </c>
      <c r="D39" s="3"/>
      <c r="E39" s="3">
        <v>1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C40" t="s">
        <v>56</v>
      </c>
      <c r="D40" s="3"/>
      <c r="E40" s="3">
        <v>0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C41" t="s">
        <v>56</v>
      </c>
      <c r="D41" s="3"/>
      <c r="E41" s="3">
        <v>0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212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C44" t="s">
        <v>56</v>
      </c>
      <c r="D44" s="3"/>
      <c r="E44" s="3">
        <v>1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C45" t="s">
        <v>56</v>
      </c>
      <c r="D45" s="3"/>
      <c r="E45" s="3">
        <v>1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C46" t="s">
        <v>56</v>
      </c>
      <c r="D46" s="3"/>
      <c r="E46" s="3">
        <v>0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C47" t="s">
        <v>56</v>
      </c>
      <c r="D47" s="3"/>
      <c r="E47" s="3">
        <v>0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C48" t="s">
        <v>56</v>
      </c>
      <c r="D48" s="3"/>
      <c r="E48" s="3">
        <v>0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C49" t="s">
        <v>56</v>
      </c>
      <c r="D49" s="3"/>
      <c r="E49" s="3">
        <v>0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C50" t="s">
        <v>56</v>
      </c>
      <c r="D50" s="3"/>
      <c r="E50" s="3">
        <v>0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C51" t="s">
        <v>56</v>
      </c>
      <c r="D51" s="3"/>
      <c r="E51" s="3">
        <v>0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C52" t="s">
        <v>56</v>
      </c>
      <c r="D52" s="3"/>
      <c r="E52" s="3">
        <v>0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C53" t="s">
        <v>56</v>
      </c>
      <c r="D53" s="3"/>
      <c r="E53" s="3">
        <v>0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C54" t="s">
        <v>56</v>
      </c>
      <c r="D54" s="3"/>
      <c r="E54" s="3">
        <v>1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C55" t="s">
        <v>56</v>
      </c>
      <c r="D55" s="3"/>
      <c r="E55" s="3">
        <v>1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213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C58" t="s">
        <v>51</v>
      </c>
      <c r="D58" s="3">
        <v>139.3063159485625</v>
      </c>
      <c r="E58" s="3"/>
      <c r="F58" s="4" t="s">
        <v>37</v>
      </c>
      <c r="G58" s="3">
        <v>10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C59" t="s">
        <v>51</v>
      </c>
      <c r="D59" s="3">
        <v>42.65878747395843</v>
      </c>
      <c r="E59" s="3"/>
      <c r="F59" s="4" t="s">
        <v>37</v>
      </c>
      <c r="G59" s="3">
        <v>10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C60" t="s">
        <v>51</v>
      </c>
      <c r="D60" s="3">
        <v>0</v>
      </c>
      <c r="E60" s="3"/>
      <c r="F60" s="4" t="s">
        <v>37</v>
      </c>
      <c r="G60" s="3">
        <v>10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C61" t="s">
        <v>51</v>
      </c>
      <c r="D61" s="3">
        <v>0</v>
      </c>
      <c r="E61" s="3"/>
      <c r="F61" s="4" t="s">
        <v>37</v>
      </c>
      <c r="G61" s="3">
        <v>10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C62" t="s">
        <v>51</v>
      </c>
      <c r="D62" s="3">
        <v>0</v>
      </c>
      <c r="E62" s="3"/>
      <c r="F62" s="4" t="s">
        <v>37</v>
      </c>
      <c r="G62" s="3">
        <v>10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C63" t="s">
        <v>51</v>
      </c>
      <c r="D63" s="3">
        <v>0</v>
      </c>
      <c r="E63" s="3"/>
      <c r="F63" s="4" t="s">
        <v>37</v>
      </c>
      <c r="G63" s="3">
        <v>10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C64" t="s">
        <v>51</v>
      </c>
      <c r="D64" s="3">
        <v>0</v>
      </c>
      <c r="E64" s="3"/>
      <c r="F64" s="4" t="s">
        <v>37</v>
      </c>
      <c r="G64" s="3">
        <v>10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C65" t="s">
        <v>51</v>
      </c>
      <c r="D65" s="3">
        <v>0</v>
      </c>
      <c r="E65" s="3"/>
      <c r="F65" s="4" t="s">
        <v>37</v>
      </c>
      <c r="G65" s="3">
        <v>10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C66" t="s">
        <v>51</v>
      </c>
      <c r="D66" s="3">
        <v>0</v>
      </c>
      <c r="E66" s="3"/>
      <c r="F66" s="4" t="s">
        <v>37</v>
      </c>
      <c r="G66" s="3">
        <v>10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C67" t="s">
        <v>51</v>
      </c>
      <c r="D67" s="3">
        <v>0</v>
      </c>
      <c r="E67" s="3"/>
      <c r="F67" s="4" t="s">
        <v>37</v>
      </c>
      <c r="G67" s="3">
        <v>10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C68" t="s">
        <v>51</v>
      </c>
      <c r="D68" s="3">
        <v>0</v>
      </c>
      <c r="E68" s="3"/>
      <c r="F68" s="4" t="s">
        <v>37</v>
      </c>
      <c r="G68" s="3">
        <v>10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C69" t="s">
        <v>51</v>
      </c>
      <c r="D69" s="3">
        <v>0</v>
      </c>
      <c r="E69" s="3"/>
      <c r="F69" s="4" t="s">
        <v>37</v>
      </c>
      <c r="G69" s="3">
        <v>10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214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C72" t="s">
        <v>51</v>
      </c>
      <c r="D72" s="3"/>
      <c r="E72" s="3"/>
      <c r="F72" s="4" t="s">
        <v>37</v>
      </c>
      <c r="G72" s="3">
        <v>0.388</v>
      </c>
      <c r="H72" s="3"/>
      <c r="I72" s="3"/>
      <c r="J72" s="3"/>
      <c r="K72" s="3"/>
      <c r="L72" s="3"/>
      <c r="M72" s="3"/>
      <c r="N72" s="3"/>
      <c r="O72" s="3"/>
      <c r="P72" s="3"/>
      <c r="Q72" s="3">
        <v>0.388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C73" t="s">
        <v>51</v>
      </c>
      <c r="D73" s="3"/>
      <c r="E73" s="3"/>
      <c r="F73" s="4" t="s">
        <v>37</v>
      </c>
      <c r="G73" s="3">
        <v>0.388</v>
      </c>
      <c r="H73" s="3"/>
      <c r="I73" s="3"/>
      <c r="J73" s="3"/>
      <c r="K73" s="3"/>
      <c r="L73" s="3"/>
      <c r="M73" s="3"/>
      <c r="N73" s="3"/>
      <c r="O73" s="3"/>
      <c r="P73" s="3"/>
      <c r="Q73" s="3">
        <v>0.388</v>
      </c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C74" t="s">
        <v>51</v>
      </c>
      <c r="D74" s="3"/>
      <c r="E74" s="3"/>
      <c r="F74" s="4" t="s">
        <v>37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>
        <v>0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C75" t="s">
        <v>51</v>
      </c>
      <c r="D75" s="3"/>
      <c r="E75" s="3"/>
      <c r="F75" s="4" t="s">
        <v>37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>
        <v>0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C76" t="s">
        <v>51</v>
      </c>
      <c r="D76" s="3"/>
      <c r="E76" s="3"/>
      <c r="F76" s="4" t="s">
        <v>37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>
        <v>0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C77" t="s">
        <v>51</v>
      </c>
      <c r="D77" s="3"/>
      <c r="E77" s="3"/>
      <c r="F77" s="4" t="s">
        <v>37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>
        <v>0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C78" t="s">
        <v>51</v>
      </c>
      <c r="D78" s="3"/>
      <c r="E78" s="3"/>
      <c r="F78" s="4" t="s">
        <v>37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>
        <v>0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C79" t="s">
        <v>51</v>
      </c>
      <c r="D79" s="3"/>
      <c r="E79" s="3"/>
      <c r="F79" s="4" t="s">
        <v>37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>
        <v>0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C80" t="s">
        <v>51</v>
      </c>
      <c r="D80" s="3"/>
      <c r="E80" s="3"/>
      <c r="F80" s="4" t="s">
        <v>37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>
        <v>0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C81" t="s">
        <v>51</v>
      </c>
      <c r="D81" s="3"/>
      <c r="E81" s="3"/>
      <c r="F81" s="4" t="s">
        <v>37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>
        <v>0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C82" t="s">
        <v>51</v>
      </c>
      <c r="D82" s="3"/>
      <c r="E82" s="3"/>
      <c r="F82" s="4" t="s">
        <v>37</v>
      </c>
      <c r="G82" s="3">
        <v>0.458</v>
      </c>
      <c r="H82" s="3"/>
      <c r="I82" s="3"/>
      <c r="J82" s="3"/>
      <c r="K82" s="3"/>
      <c r="L82" s="3">
        <v>0.458</v>
      </c>
      <c r="M82" s="3"/>
      <c r="N82" s="3"/>
      <c r="O82" s="3"/>
      <c r="P82" s="3"/>
      <c r="Q82" s="3">
        <v>0.458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C83" t="s">
        <v>51</v>
      </c>
      <c r="D83" s="3"/>
      <c r="E83" s="3"/>
      <c r="F83" s="4" t="s">
        <v>37</v>
      </c>
      <c r="G83" s="3">
        <v>0.458</v>
      </c>
      <c r="H83" s="3"/>
      <c r="I83" s="3"/>
      <c r="J83" s="3"/>
      <c r="K83" s="3"/>
      <c r="L83" s="3">
        <v>0.458</v>
      </c>
      <c r="M83" s="3"/>
      <c r="N83" s="3"/>
      <c r="O83" s="3"/>
      <c r="P83" s="3"/>
      <c r="Q83" s="3">
        <v>0.458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8">
    <cfRule type="expression" dxfId="0" priority="97">
      <formula>COUNTIF(G58:BE58,"&lt;&gt;" &amp; "")&gt;0</formula>
    </cfRule>
    <cfRule type="expression" dxfId="1" priority="98">
      <formula>AND(COUNTIF(G58:BE58,"&lt;&gt;" &amp; "")&gt;0,NOT(ISBLANK(E58)))</formula>
    </cfRule>
  </conditionalFormatting>
  <conditionalFormatting sqref="E59">
    <cfRule type="expression" dxfId="0" priority="99">
      <formula>COUNTIF(G59:BE59,"&lt;&gt;" &amp; "")&gt;0</formula>
    </cfRule>
    <cfRule type="expression" dxfId="1" priority="100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1">
      <formula>COUNTIF(G60:BE60,"&lt;&gt;" &amp; "")&gt;0</formula>
    </cfRule>
    <cfRule type="expression" dxfId="1" priority="102">
      <formula>AND(COUNTIF(G60:BE60,"&lt;&gt;" &amp; "")&gt;0,NOT(ISBLANK(E60)))</formula>
    </cfRule>
  </conditionalFormatting>
  <conditionalFormatting sqref="E61">
    <cfRule type="expression" dxfId="0" priority="103">
      <formula>COUNTIF(G61:BE61,"&lt;&gt;" &amp; "")&gt;0</formula>
    </cfRule>
    <cfRule type="expression" dxfId="1" priority="104">
      <formula>AND(COUNTIF(G61:BE61,"&lt;&gt;" &amp; "")&gt;0,NOT(ISBLANK(E61)))</formula>
    </cfRule>
  </conditionalFormatting>
  <conditionalFormatting sqref="E62">
    <cfRule type="expression" dxfId="0" priority="105">
      <formula>COUNTIF(G62:BE62,"&lt;&gt;" &amp; "")&gt;0</formula>
    </cfRule>
    <cfRule type="expression" dxfId="1" priority="106">
      <formula>AND(COUNTIF(G62:BE62,"&lt;&gt;" &amp; "")&gt;0,NOT(ISBLANK(E62)))</formula>
    </cfRule>
  </conditionalFormatting>
  <conditionalFormatting sqref="E63">
    <cfRule type="expression" dxfId="0" priority="107">
      <formula>COUNTIF(G63:BE63,"&lt;&gt;" &amp; "")&gt;0</formula>
    </cfRule>
    <cfRule type="expression" dxfId="1" priority="108">
      <formula>AND(COUNTIF(G63:BE63,"&lt;&gt;" &amp; "")&gt;0,NOT(ISBLANK(E63)))</formula>
    </cfRule>
  </conditionalFormatting>
  <conditionalFormatting sqref="E64">
    <cfRule type="expression" dxfId="0" priority="109">
      <formula>COUNTIF(G64:BE64,"&lt;&gt;" &amp; "")&gt;0</formula>
    </cfRule>
    <cfRule type="expression" dxfId="1" priority="110">
      <formula>AND(COUNTIF(G64:BE64,"&lt;&gt;" &amp; "")&gt;0,NOT(ISBLANK(E64)))</formula>
    </cfRule>
  </conditionalFormatting>
  <conditionalFormatting sqref="E65">
    <cfRule type="expression" dxfId="0" priority="111">
      <formula>COUNTIF(G65:BE65,"&lt;&gt;" &amp; "")&gt;0</formula>
    </cfRule>
    <cfRule type="expression" dxfId="1" priority="112">
      <formula>AND(COUNTIF(G65:BE65,"&lt;&gt;" &amp; "")&gt;0,NOT(ISBLANK(E65)))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2">
    <cfRule type="expression" dxfId="0" priority="121">
      <formula>COUNTIF(G72:BE72,"&lt;&gt;" &amp; "")&gt;0</formula>
    </cfRule>
    <cfRule type="expression" dxfId="1" priority="122">
      <formula>AND(COUNTIF(G72:BE72,"&lt;&gt;" &amp; "")&gt;0,NOT(ISBLANK(E72)))</formula>
    </cfRule>
  </conditionalFormatting>
  <conditionalFormatting sqref="E73">
    <cfRule type="expression" dxfId="0" priority="123">
      <formula>COUNTIF(G73:BE73,"&lt;&gt;" &amp; "")&gt;0</formula>
    </cfRule>
    <cfRule type="expression" dxfId="1" priority="124">
      <formula>AND(COUNTIF(G73:BE73,"&lt;&gt;" &amp; "")&gt;0,NOT(ISBLANK(E73)))</formula>
    </cfRule>
  </conditionalFormatting>
  <conditionalFormatting sqref="E74">
    <cfRule type="expression" dxfId="0" priority="125">
      <formula>COUNTIF(G74:BE74,"&lt;&gt;" &amp; "")&gt;0</formula>
    </cfRule>
    <cfRule type="expression" dxfId="1" priority="126">
      <formula>AND(COUNTIF(G74:BE74,"&lt;&gt;" &amp; "")&gt;0,NOT(ISBLANK(E74)))</formula>
    </cfRule>
  </conditionalFormatting>
  <conditionalFormatting sqref="E75">
    <cfRule type="expression" dxfId="0" priority="127">
      <formula>COUNTIF(G75:BE75,"&lt;&gt;" &amp; "")&gt;0</formula>
    </cfRule>
    <cfRule type="expression" dxfId="1" priority="128">
      <formula>AND(COUNTIF(G75:BE75,"&lt;&gt;" &amp; "")&gt;0,NOT(ISBLANK(E75)))</formula>
    </cfRule>
  </conditionalFormatting>
  <conditionalFormatting sqref="E76">
    <cfRule type="expression" dxfId="0" priority="129">
      <formula>COUNTIF(G76:BE76,"&lt;&gt;" &amp; "")&gt;0</formula>
    </cfRule>
    <cfRule type="expression" dxfId="1" priority="130">
      <formula>AND(COUNTIF(G76:BE76,"&lt;&gt;" &amp; "")&gt;0,NOT(ISBLANK(E76)))</formula>
    </cfRule>
  </conditionalFormatting>
  <conditionalFormatting sqref="E77">
    <cfRule type="expression" dxfId="0" priority="131">
      <formula>COUNTIF(G77:BE77,"&lt;&gt;" &amp; "")&gt;0</formula>
    </cfRule>
    <cfRule type="expression" dxfId="1" priority="132">
      <formula>AND(COUNTIF(G77:BE77,"&lt;&gt;" &amp; "")&gt;0,NOT(ISBLANK(E77)))</formula>
    </cfRule>
  </conditionalFormatting>
  <conditionalFormatting sqref="E78">
    <cfRule type="expression" dxfId="0" priority="133">
      <formula>COUNTIF(G78:BE78,"&lt;&gt;" &amp; "")&gt;0</formula>
    </cfRule>
    <cfRule type="expression" dxfId="1" priority="134">
      <formula>AND(COUNTIF(G78:BE78,"&lt;&gt;" &amp; "")&gt;0,NOT(ISBLANK(E78)))</formula>
    </cfRule>
  </conditionalFormatting>
  <conditionalFormatting sqref="E79">
    <cfRule type="expression" dxfId="0" priority="135">
      <formula>COUNTIF(G79:BE79,"&lt;&gt;" &amp; "")&gt;0</formula>
    </cfRule>
    <cfRule type="expression" dxfId="1" priority="136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0">
    <cfRule type="expression" dxfId="0" priority="137">
      <formula>COUNTIF(G80:BE80,"&lt;&gt;" &amp; "")&gt;0</formula>
    </cfRule>
    <cfRule type="expression" dxfId="1" priority="138">
      <formula>AND(COUNTIF(G80:BE80,"&lt;&gt;" &amp; "")&gt;0,NOT(ISBLANK(E80)))</formula>
    </cfRule>
  </conditionalFormatting>
  <conditionalFormatting sqref="E81">
    <cfRule type="expression" dxfId="0" priority="139">
      <formula>COUNTIF(G81:BE81,"&lt;&gt;" &amp; "")&gt;0</formula>
    </cfRule>
    <cfRule type="expression" dxfId="1" priority="140">
      <formula>AND(COUNTIF(G81:BE81,"&lt;&gt;" &amp; "")&gt;0,NOT(ISBLANK(E81)))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72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83"/>
  <sheetViews>
    <sheetView workbookViewId="0"/>
  </sheetViews>
  <sheetFormatPr defaultRowHeight="15"/>
  <cols>
    <col min="1" max="1" width="67.710937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215</v>
      </c>
      <c r="B1" s="1" t="s">
        <v>29</v>
      </c>
      <c r="C1" s="1" t="s">
        <v>30</v>
      </c>
      <c r="D1" s="1" t="s">
        <v>31</v>
      </c>
      <c r="E1" s="1" t="s">
        <v>36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61</v>
      </c>
      <c r="C2" t="s">
        <v>58</v>
      </c>
      <c r="D2" s="3"/>
      <c r="E2" s="3">
        <v>0</v>
      </c>
      <c r="F2" s="4" t="s">
        <v>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61</v>
      </c>
      <c r="C3" t="s">
        <v>58</v>
      </c>
      <c r="D3" s="3"/>
      <c r="E3" s="3">
        <v>0</v>
      </c>
      <c r="F3" s="4" t="s">
        <v>37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61</v>
      </c>
      <c r="C4" t="s">
        <v>58</v>
      </c>
      <c r="D4" s="3"/>
      <c r="E4" s="3">
        <v>0</v>
      </c>
      <c r="F4" s="4" t="s">
        <v>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61</v>
      </c>
      <c r="C5" t="s">
        <v>58</v>
      </c>
      <c r="D5" s="3"/>
      <c r="E5" s="3">
        <v>0</v>
      </c>
      <c r="F5" s="4" t="s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61</v>
      </c>
      <c r="C6" t="s">
        <v>58</v>
      </c>
      <c r="D6" s="3"/>
      <c r="E6" s="3">
        <v>0</v>
      </c>
      <c r="F6" s="4" t="s">
        <v>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61</v>
      </c>
      <c r="C7" t="s">
        <v>58</v>
      </c>
      <c r="D7" s="3"/>
      <c r="E7" s="3">
        <v>0</v>
      </c>
      <c r="F7" s="4" t="s">
        <v>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61</v>
      </c>
      <c r="C8" t="s">
        <v>58</v>
      </c>
      <c r="D8" s="3"/>
      <c r="E8" s="3">
        <v>0</v>
      </c>
      <c r="F8" s="4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61</v>
      </c>
      <c r="C9" t="s">
        <v>58</v>
      </c>
      <c r="D9" s="3"/>
      <c r="E9" s="3">
        <v>0</v>
      </c>
      <c r="F9" s="4" t="s">
        <v>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61</v>
      </c>
      <c r="C10" t="s">
        <v>58</v>
      </c>
      <c r="D10" s="3"/>
      <c r="E10" s="3">
        <v>0</v>
      </c>
      <c r="F10" s="4" t="s">
        <v>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61</v>
      </c>
      <c r="C11" t="s">
        <v>58</v>
      </c>
      <c r="D11" s="3"/>
      <c r="E11" s="3">
        <v>0</v>
      </c>
      <c r="F11" s="4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61</v>
      </c>
      <c r="C12" t="s">
        <v>58</v>
      </c>
      <c r="D12" s="3"/>
      <c r="E12" s="3">
        <v>0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61</v>
      </c>
      <c r="C13" t="s">
        <v>58</v>
      </c>
      <c r="D13" s="3"/>
      <c r="E13" s="3">
        <v>0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5" spans="1:57">
      <c r="A15" s="1" t="s">
        <v>216</v>
      </c>
      <c r="B15" s="1" t="s">
        <v>29</v>
      </c>
      <c r="C15" s="1" t="s">
        <v>30</v>
      </c>
      <c r="D15" s="1" t="s">
        <v>31</v>
      </c>
      <c r="E15" s="1" t="s">
        <v>36</v>
      </c>
      <c r="F15" s="1"/>
      <c r="G15" s="1">
        <v>2000</v>
      </c>
      <c r="H15" s="1">
        <v>2001</v>
      </c>
      <c r="I15" s="1">
        <v>2002</v>
      </c>
      <c r="J15" s="1">
        <v>2003</v>
      </c>
      <c r="K15" s="1">
        <v>2004</v>
      </c>
      <c r="L15" s="1">
        <v>2005</v>
      </c>
      <c r="M15" s="1">
        <v>2006</v>
      </c>
      <c r="N15" s="1">
        <v>2007</v>
      </c>
      <c r="O15" s="1">
        <v>2008</v>
      </c>
      <c r="P15" s="1">
        <v>2009</v>
      </c>
      <c r="Q15" s="1">
        <v>2010</v>
      </c>
      <c r="R15" s="1">
        <v>2011</v>
      </c>
      <c r="S15" s="1">
        <v>2012</v>
      </c>
      <c r="T15" s="1">
        <v>2013</v>
      </c>
      <c r="U15" s="1">
        <v>2014</v>
      </c>
      <c r="V15" s="1">
        <v>2015</v>
      </c>
      <c r="W15" s="1">
        <v>2016</v>
      </c>
      <c r="X15" s="1">
        <v>2017</v>
      </c>
      <c r="Y15" s="1">
        <v>2018</v>
      </c>
      <c r="Z15" s="1">
        <v>2019</v>
      </c>
      <c r="AA15" s="1">
        <v>2020</v>
      </c>
      <c r="AB15" s="1">
        <v>2021</v>
      </c>
      <c r="AC15" s="1">
        <v>2022</v>
      </c>
      <c r="AD15" s="1">
        <v>2023</v>
      </c>
      <c r="AE15" s="1">
        <v>2024</v>
      </c>
      <c r="AF15" s="1">
        <v>2025</v>
      </c>
      <c r="AG15" s="1">
        <v>2026</v>
      </c>
      <c r="AH15" s="1">
        <v>2027</v>
      </c>
      <c r="AI15" s="1">
        <v>2028</v>
      </c>
      <c r="AJ15" s="1">
        <v>2029</v>
      </c>
      <c r="AK15" s="1">
        <v>2030</v>
      </c>
      <c r="AL15" s="1">
        <v>2031</v>
      </c>
      <c r="AM15" s="1">
        <v>2032</v>
      </c>
      <c r="AN15" s="1">
        <v>2033</v>
      </c>
      <c r="AO15" s="1">
        <v>2034</v>
      </c>
      <c r="AP15" s="1">
        <v>2035</v>
      </c>
      <c r="AQ15" s="1">
        <v>2036</v>
      </c>
      <c r="AR15" s="1">
        <v>2037</v>
      </c>
      <c r="AS15" s="1">
        <v>2038</v>
      </c>
      <c r="AT15" s="1">
        <v>2039</v>
      </c>
      <c r="AU15" s="1">
        <v>2040</v>
      </c>
      <c r="AV15" s="1">
        <v>2041</v>
      </c>
      <c r="AW15" s="1">
        <v>2042</v>
      </c>
      <c r="AX15" s="1">
        <v>2043</v>
      </c>
      <c r="AY15" s="1">
        <v>2044</v>
      </c>
      <c r="AZ15" s="1">
        <v>2045</v>
      </c>
      <c r="BA15" s="1">
        <v>2046</v>
      </c>
      <c r="BB15" s="1">
        <v>2047</v>
      </c>
      <c r="BC15" s="1">
        <v>2048</v>
      </c>
      <c r="BD15" s="1">
        <v>2049</v>
      </c>
      <c r="BE15" s="1">
        <v>2050</v>
      </c>
    </row>
    <row r="16" spans="1:57">
      <c r="A16" s="1" t="str">
        <f>'Population Definitions'!$A$2</f>
        <v>PWID_males</v>
      </c>
      <c r="B16" t="s">
        <v>61</v>
      </c>
      <c r="C16" t="s">
        <v>62</v>
      </c>
      <c r="D16" s="3"/>
      <c r="E16" s="3">
        <v>5</v>
      </c>
      <c r="F16" s="4" t="s">
        <v>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1" t="str">
        <f>'Population Definitions'!$A$3</f>
        <v>PWID_females</v>
      </c>
      <c r="B17" t="s">
        <v>61</v>
      </c>
      <c r="C17" t="s">
        <v>62</v>
      </c>
      <c r="D17" s="3"/>
      <c r="E17" s="3">
        <v>5</v>
      </c>
      <c r="F17" s="4" t="s">
        <v>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1" t="str">
        <f>'Population Definitions'!$A$4</f>
        <v>0-9_males</v>
      </c>
      <c r="B18" t="s">
        <v>61</v>
      </c>
      <c r="C18" t="s">
        <v>62</v>
      </c>
      <c r="D18" s="3"/>
      <c r="E18" s="3">
        <v>5</v>
      </c>
      <c r="F18" s="4" t="s">
        <v>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Definitions'!$A$5</f>
        <v>0-9_females</v>
      </c>
      <c r="B19" t="s">
        <v>61</v>
      </c>
      <c r="C19" t="s">
        <v>62</v>
      </c>
      <c r="D19" s="3"/>
      <c r="E19" s="3">
        <v>5</v>
      </c>
      <c r="F19" s="4" t="s">
        <v>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Definitions'!$A$6</f>
        <v>10-17_males</v>
      </c>
      <c r="B20" t="s">
        <v>61</v>
      </c>
      <c r="C20" t="s">
        <v>62</v>
      </c>
      <c r="D20" s="3"/>
      <c r="E20" s="3">
        <v>5</v>
      </c>
      <c r="F20" s="4" t="s">
        <v>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Definitions'!$A$7</f>
        <v>10-17_females</v>
      </c>
      <c r="B21" t="s">
        <v>61</v>
      </c>
      <c r="C21" t="s">
        <v>62</v>
      </c>
      <c r="D21" s="3"/>
      <c r="E21" s="3">
        <v>5</v>
      </c>
      <c r="F21" s="4" t="s">
        <v>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Definitions'!$A$8</f>
        <v>18-64_males</v>
      </c>
      <c r="B22" t="s">
        <v>61</v>
      </c>
      <c r="C22" t="s">
        <v>62</v>
      </c>
      <c r="D22" s="3"/>
      <c r="E22" s="3">
        <v>5</v>
      </c>
      <c r="F22" s="4" t="s">
        <v>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Definitions'!$A$9</f>
        <v>18-64_females</v>
      </c>
      <c r="B23" t="s">
        <v>61</v>
      </c>
      <c r="C23" t="s">
        <v>62</v>
      </c>
      <c r="D23" s="3"/>
      <c r="E23" s="3">
        <v>5</v>
      </c>
      <c r="F23" s="4" t="s">
        <v>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Definitions'!$A$10</f>
        <v>65+_males</v>
      </c>
      <c r="B24" t="s">
        <v>61</v>
      </c>
      <c r="C24" t="s">
        <v>62</v>
      </c>
      <c r="D24" s="3"/>
      <c r="E24" s="3">
        <v>5</v>
      </c>
      <c r="F24" s="4" t="s">
        <v>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Definitions'!$A$11</f>
        <v>65+_females</v>
      </c>
      <c r="B25" t="s">
        <v>61</v>
      </c>
      <c r="C25" t="s">
        <v>62</v>
      </c>
      <c r="D25" s="3"/>
      <c r="E25" s="3">
        <v>5</v>
      </c>
      <c r="F25" s="4" t="s">
        <v>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Definitions'!$A$12</f>
        <v>Prisoners_males</v>
      </c>
      <c r="B26" t="s">
        <v>61</v>
      </c>
      <c r="C26" t="s">
        <v>62</v>
      </c>
      <c r="D26" s="3"/>
      <c r="E26" s="3">
        <v>5</v>
      </c>
      <c r="F26" s="4" t="s">
        <v>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Definitions'!$A$13</f>
        <v>Prisoners_females</v>
      </c>
      <c r="B27" t="s">
        <v>61</v>
      </c>
      <c r="C27" t="s">
        <v>62</v>
      </c>
      <c r="D27" s="3"/>
      <c r="E27" s="3">
        <v>5</v>
      </c>
      <c r="F27" s="4" t="s">
        <v>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9" spans="1:57">
      <c r="A29" s="1" t="s">
        <v>217</v>
      </c>
      <c r="B29" s="1" t="s">
        <v>29</v>
      </c>
      <c r="C29" s="1" t="s">
        <v>30</v>
      </c>
      <c r="D29" s="1" t="s">
        <v>31</v>
      </c>
      <c r="E29" s="1" t="s">
        <v>36</v>
      </c>
      <c r="F29" s="1"/>
      <c r="G29" s="1">
        <v>2000</v>
      </c>
      <c r="H29" s="1">
        <v>2001</v>
      </c>
      <c r="I29" s="1">
        <v>2002</v>
      </c>
      <c r="J29" s="1">
        <v>2003</v>
      </c>
      <c r="K29" s="1">
        <v>2004</v>
      </c>
      <c r="L29" s="1">
        <v>2005</v>
      </c>
      <c r="M29" s="1">
        <v>2006</v>
      </c>
      <c r="N29" s="1">
        <v>2007</v>
      </c>
      <c r="O29" s="1">
        <v>2008</v>
      </c>
      <c r="P29" s="1">
        <v>2009</v>
      </c>
      <c r="Q29" s="1">
        <v>2010</v>
      </c>
      <c r="R29" s="1">
        <v>2011</v>
      </c>
      <c r="S29" s="1">
        <v>2012</v>
      </c>
      <c r="T29" s="1">
        <v>2013</v>
      </c>
      <c r="U29" s="1">
        <v>2014</v>
      </c>
      <c r="V29" s="1">
        <v>2015</v>
      </c>
      <c r="W29" s="1">
        <v>2016</v>
      </c>
      <c r="X29" s="1">
        <v>2017</v>
      </c>
      <c r="Y29" s="1">
        <v>2018</v>
      </c>
      <c r="Z29" s="1">
        <v>2019</v>
      </c>
      <c r="AA29" s="1">
        <v>2020</v>
      </c>
      <c r="AB29" s="1">
        <v>2021</v>
      </c>
      <c r="AC29" s="1">
        <v>2022</v>
      </c>
      <c r="AD29" s="1">
        <v>2023</v>
      </c>
      <c r="AE29" s="1">
        <v>2024</v>
      </c>
      <c r="AF29" s="1">
        <v>2025</v>
      </c>
      <c r="AG29" s="1">
        <v>2026</v>
      </c>
      <c r="AH29" s="1">
        <v>2027</v>
      </c>
      <c r="AI29" s="1">
        <v>2028</v>
      </c>
      <c r="AJ29" s="1">
        <v>2029</v>
      </c>
      <c r="AK29" s="1">
        <v>2030</v>
      </c>
      <c r="AL29" s="1">
        <v>2031</v>
      </c>
      <c r="AM29" s="1">
        <v>2032</v>
      </c>
      <c r="AN29" s="1">
        <v>2033</v>
      </c>
      <c r="AO29" s="1">
        <v>2034</v>
      </c>
      <c r="AP29" s="1">
        <v>2035</v>
      </c>
      <c r="AQ29" s="1">
        <v>2036</v>
      </c>
      <c r="AR29" s="1">
        <v>2037</v>
      </c>
      <c r="AS29" s="1">
        <v>2038</v>
      </c>
      <c r="AT29" s="1">
        <v>2039</v>
      </c>
      <c r="AU29" s="1">
        <v>2040</v>
      </c>
      <c r="AV29" s="1">
        <v>2041</v>
      </c>
      <c r="AW29" s="1">
        <v>2042</v>
      </c>
      <c r="AX29" s="1">
        <v>2043</v>
      </c>
      <c r="AY29" s="1">
        <v>2044</v>
      </c>
      <c r="AZ29" s="1">
        <v>2045</v>
      </c>
      <c r="BA29" s="1">
        <v>2046</v>
      </c>
      <c r="BB29" s="1">
        <v>2047</v>
      </c>
      <c r="BC29" s="1">
        <v>2048</v>
      </c>
      <c r="BD29" s="1">
        <v>2049</v>
      </c>
      <c r="BE29" s="1">
        <v>2050</v>
      </c>
    </row>
    <row r="30" spans="1:57">
      <c r="A30" s="1" t="str">
        <f>'Population Definitions'!$A$2</f>
        <v>PWID_males</v>
      </c>
      <c r="B30" t="s">
        <v>61</v>
      </c>
      <c r="C30" t="s">
        <v>48</v>
      </c>
      <c r="D30" s="3"/>
      <c r="E30" s="3">
        <v>0.8</v>
      </c>
      <c r="F30" s="4" t="s">
        <v>37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Definitions'!$A$3</f>
        <v>PWID_females</v>
      </c>
      <c r="B31" t="s">
        <v>61</v>
      </c>
      <c r="C31" t="s">
        <v>48</v>
      </c>
      <c r="D31" s="3"/>
      <c r="E31" s="3">
        <v>0.8</v>
      </c>
      <c r="F31" s="4" t="s">
        <v>37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Definitions'!$A$4</f>
        <v>0-9_males</v>
      </c>
      <c r="B32" t="s">
        <v>61</v>
      </c>
      <c r="C32" t="s">
        <v>48</v>
      </c>
      <c r="D32" s="3"/>
      <c r="E32" s="3">
        <v>0.8</v>
      </c>
      <c r="F32" s="4" t="s">
        <v>37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tr">
        <f>'Population Definitions'!$A$5</f>
        <v>0-9_females</v>
      </c>
      <c r="B33" t="s">
        <v>61</v>
      </c>
      <c r="C33" t="s">
        <v>48</v>
      </c>
      <c r="D33" s="3"/>
      <c r="E33" s="3">
        <v>0.8</v>
      </c>
      <c r="F33" s="4" t="s">
        <v>37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1" t="str">
        <f>'Population Definitions'!$A$6</f>
        <v>10-17_males</v>
      </c>
      <c r="B34" t="s">
        <v>61</v>
      </c>
      <c r="C34" t="s">
        <v>48</v>
      </c>
      <c r="D34" s="3"/>
      <c r="E34" s="3">
        <v>0.8</v>
      </c>
      <c r="F34" s="4" t="s">
        <v>37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Definitions'!$A$7</f>
        <v>10-17_females</v>
      </c>
      <c r="B35" t="s">
        <v>61</v>
      </c>
      <c r="C35" t="s">
        <v>48</v>
      </c>
      <c r="D35" s="3"/>
      <c r="E35" s="3">
        <v>0.8</v>
      </c>
      <c r="F35" s="4" t="s">
        <v>37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Definitions'!$A$8</f>
        <v>18-64_males</v>
      </c>
      <c r="B36" t="s">
        <v>61</v>
      </c>
      <c r="C36" t="s">
        <v>48</v>
      </c>
      <c r="D36" s="3"/>
      <c r="E36" s="3">
        <v>0.8</v>
      </c>
      <c r="F36" s="4" t="s">
        <v>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Definitions'!$A$9</f>
        <v>18-64_females</v>
      </c>
      <c r="B37" t="s">
        <v>61</v>
      </c>
      <c r="C37" t="s">
        <v>48</v>
      </c>
      <c r="D37" s="3"/>
      <c r="E37" s="3">
        <v>0.8</v>
      </c>
      <c r="F37" s="4" t="s">
        <v>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Definitions'!$A$10</f>
        <v>65+_males</v>
      </c>
      <c r="B38" t="s">
        <v>61</v>
      </c>
      <c r="C38" t="s">
        <v>48</v>
      </c>
      <c r="D38" s="3"/>
      <c r="E38" s="3">
        <v>0.8</v>
      </c>
      <c r="F38" s="4" t="s">
        <v>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Definitions'!$A$11</f>
        <v>65+_females</v>
      </c>
      <c r="B39" t="s">
        <v>61</v>
      </c>
      <c r="C39" t="s">
        <v>48</v>
      </c>
      <c r="D39" s="3"/>
      <c r="E39" s="3">
        <v>0.8</v>
      </c>
      <c r="F39" s="4" t="s">
        <v>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Definitions'!$A$12</f>
        <v>Prisoners_males</v>
      </c>
      <c r="B40" t="s">
        <v>61</v>
      </c>
      <c r="C40" t="s">
        <v>48</v>
      </c>
      <c r="D40" s="3"/>
      <c r="E40" s="3">
        <v>0.8</v>
      </c>
      <c r="F40" s="4" t="s">
        <v>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Definitions'!$A$13</f>
        <v>Prisoners_females</v>
      </c>
      <c r="B41" t="s">
        <v>61</v>
      </c>
      <c r="C41" t="s">
        <v>48</v>
      </c>
      <c r="D41" s="3"/>
      <c r="E41" s="3">
        <v>0.8</v>
      </c>
      <c r="F41" s="4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3" spans="1:57">
      <c r="A43" s="1" t="s">
        <v>218</v>
      </c>
      <c r="B43" s="1" t="s">
        <v>29</v>
      </c>
      <c r="C43" s="1" t="s">
        <v>30</v>
      </c>
      <c r="D43" s="1" t="s">
        <v>31</v>
      </c>
      <c r="E43" s="1" t="s">
        <v>36</v>
      </c>
      <c r="F43" s="1"/>
      <c r="G43" s="1">
        <v>2000</v>
      </c>
      <c r="H43" s="1">
        <v>2001</v>
      </c>
      <c r="I43" s="1">
        <v>2002</v>
      </c>
      <c r="J43" s="1">
        <v>2003</v>
      </c>
      <c r="K43" s="1">
        <v>2004</v>
      </c>
      <c r="L43" s="1">
        <v>2005</v>
      </c>
      <c r="M43" s="1">
        <v>2006</v>
      </c>
      <c r="N43" s="1">
        <v>2007</v>
      </c>
      <c r="O43" s="1">
        <v>2008</v>
      </c>
      <c r="P43" s="1">
        <v>2009</v>
      </c>
      <c r="Q43" s="1">
        <v>2010</v>
      </c>
      <c r="R43" s="1">
        <v>2011</v>
      </c>
      <c r="S43" s="1">
        <v>2012</v>
      </c>
      <c r="T43" s="1">
        <v>2013</v>
      </c>
      <c r="U43" s="1">
        <v>2014</v>
      </c>
      <c r="V43" s="1">
        <v>2015</v>
      </c>
      <c r="W43" s="1">
        <v>2016</v>
      </c>
      <c r="X43" s="1">
        <v>2017</v>
      </c>
      <c r="Y43" s="1">
        <v>2018</v>
      </c>
      <c r="Z43" s="1">
        <v>2019</v>
      </c>
      <c r="AA43" s="1">
        <v>2020</v>
      </c>
      <c r="AB43" s="1">
        <v>2021</v>
      </c>
      <c r="AC43" s="1">
        <v>2022</v>
      </c>
      <c r="AD43" s="1">
        <v>2023</v>
      </c>
      <c r="AE43" s="1">
        <v>2024</v>
      </c>
      <c r="AF43" s="1">
        <v>2025</v>
      </c>
      <c r="AG43" s="1">
        <v>2026</v>
      </c>
      <c r="AH43" s="1">
        <v>2027</v>
      </c>
      <c r="AI43" s="1">
        <v>2028</v>
      </c>
      <c r="AJ43" s="1">
        <v>2029</v>
      </c>
      <c r="AK43" s="1">
        <v>2030</v>
      </c>
      <c r="AL43" s="1">
        <v>2031</v>
      </c>
      <c r="AM43" s="1">
        <v>2032</v>
      </c>
      <c r="AN43" s="1">
        <v>2033</v>
      </c>
      <c r="AO43" s="1">
        <v>2034</v>
      </c>
      <c r="AP43" s="1">
        <v>2035</v>
      </c>
      <c r="AQ43" s="1">
        <v>2036</v>
      </c>
      <c r="AR43" s="1">
        <v>2037</v>
      </c>
      <c r="AS43" s="1">
        <v>2038</v>
      </c>
      <c r="AT43" s="1">
        <v>2039</v>
      </c>
      <c r="AU43" s="1">
        <v>2040</v>
      </c>
      <c r="AV43" s="1">
        <v>2041</v>
      </c>
      <c r="AW43" s="1">
        <v>2042</v>
      </c>
      <c r="AX43" s="1">
        <v>2043</v>
      </c>
      <c r="AY43" s="1">
        <v>2044</v>
      </c>
      <c r="AZ43" s="1">
        <v>2045</v>
      </c>
      <c r="BA43" s="1">
        <v>2046</v>
      </c>
      <c r="BB43" s="1">
        <v>2047</v>
      </c>
      <c r="BC43" s="1">
        <v>2048</v>
      </c>
      <c r="BD43" s="1">
        <v>2049</v>
      </c>
      <c r="BE43" s="1">
        <v>2050</v>
      </c>
    </row>
    <row r="44" spans="1:57">
      <c r="A44" s="1" t="str">
        <f>'Population Definitions'!$A$2</f>
        <v>PWID_males</v>
      </c>
      <c r="B44" t="s">
        <v>61</v>
      </c>
      <c r="C44" t="s">
        <v>62</v>
      </c>
      <c r="D44" s="3"/>
      <c r="E44" s="3">
        <v>1</v>
      </c>
      <c r="F44" s="4" t="s">
        <v>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Definitions'!$A$3</f>
        <v>PWID_females</v>
      </c>
      <c r="B45" t="s">
        <v>61</v>
      </c>
      <c r="C45" t="s">
        <v>62</v>
      </c>
      <c r="D45" s="3"/>
      <c r="E45" s="3">
        <v>1</v>
      </c>
      <c r="F45" s="4" t="s">
        <v>37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Definitions'!$A$4</f>
        <v>0-9_males</v>
      </c>
      <c r="B46" t="s">
        <v>61</v>
      </c>
      <c r="C46" t="s">
        <v>62</v>
      </c>
      <c r="D46" s="3"/>
      <c r="E46" s="3">
        <v>1</v>
      </c>
      <c r="F46" s="4" t="s">
        <v>37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Definitions'!$A$5</f>
        <v>0-9_females</v>
      </c>
      <c r="B47" t="s">
        <v>61</v>
      </c>
      <c r="C47" t="s">
        <v>62</v>
      </c>
      <c r="D47" s="3"/>
      <c r="E47" s="3">
        <v>1</v>
      </c>
      <c r="F47" s="4" t="s">
        <v>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Definitions'!$A$6</f>
        <v>10-17_males</v>
      </c>
      <c r="B48" t="s">
        <v>61</v>
      </c>
      <c r="C48" t="s">
        <v>62</v>
      </c>
      <c r="D48" s="3"/>
      <c r="E48" s="3">
        <v>1</v>
      </c>
      <c r="F48" s="4" t="s">
        <v>37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Definitions'!$A$7</f>
        <v>10-17_females</v>
      </c>
      <c r="B49" t="s">
        <v>61</v>
      </c>
      <c r="C49" t="s">
        <v>62</v>
      </c>
      <c r="D49" s="3"/>
      <c r="E49" s="3">
        <v>1</v>
      </c>
      <c r="F49" s="4" t="s">
        <v>37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tr">
        <f>'Population Definitions'!$A$8</f>
        <v>18-64_males</v>
      </c>
      <c r="B50" t="s">
        <v>61</v>
      </c>
      <c r="C50" t="s">
        <v>62</v>
      </c>
      <c r="D50" s="3"/>
      <c r="E50" s="3">
        <v>1</v>
      </c>
      <c r="F50" s="4" t="s">
        <v>37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Definitions'!$A$9</f>
        <v>18-64_females</v>
      </c>
      <c r="B51" t="s">
        <v>61</v>
      </c>
      <c r="C51" t="s">
        <v>62</v>
      </c>
      <c r="D51" s="3"/>
      <c r="E51" s="3">
        <v>1</v>
      </c>
      <c r="F51" s="4" t="s">
        <v>37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Definitions'!$A$10</f>
        <v>65+_males</v>
      </c>
      <c r="B52" t="s">
        <v>61</v>
      </c>
      <c r="C52" t="s">
        <v>62</v>
      </c>
      <c r="D52" s="3"/>
      <c r="E52" s="3">
        <v>1</v>
      </c>
      <c r="F52" s="4" t="s">
        <v>37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Definitions'!$A$11</f>
        <v>65+_females</v>
      </c>
      <c r="B53" t="s">
        <v>61</v>
      </c>
      <c r="C53" t="s">
        <v>62</v>
      </c>
      <c r="D53" s="3"/>
      <c r="E53" s="3">
        <v>1</v>
      </c>
      <c r="F53" s="4" t="s">
        <v>37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Definitions'!$A$12</f>
        <v>Prisoners_males</v>
      </c>
      <c r="B54" t="s">
        <v>61</v>
      </c>
      <c r="C54" t="s">
        <v>62</v>
      </c>
      <c r="D54" s="3"/>
      <c r="E54" s="3">
        <v>1</v>
      </c>
      <c r="F54" s="4" t="s">
        <v>37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Definitions'!$A$13</f>
        <v>Prisoners_females</v>
      </c>
      <c r="B55" t="s">
        <v>61</v>
      </c>
      <c r="C55" t="s">
        <v>62</v>
      </c>
      <c r="D55" s="3"/>
      <c r="E55" s="3">
        <v>1</v>
      </c>
      <c r="F55" s="4" t="s">
        <v>37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7" spans="1:57">
      <c r="A57" s="1" t="s">
        <v>219</v>
      </c>
      <c r="B57" s="1" t="s">
        <v>29</v>
      </c>
      <c r="C57" s="1" t="s">
        <v>30</v>
      </c>
      <c r="D57" s="1" t="s">
        <v>31</v>
      </c>
      <c r="E57" s="1" t="s">
        <v>36</v>
      </c>
      <c r="F57" s="1"/>
      <c r="G57" s="1">
        <v>2000</v>
      </c>
      <c r="H57" s="1">
        <v>2001</v>
      </c>
      <c r="I57" s="1">
        <v>2002</v>
      </c>
      <c r="J57" s="1">
        <v>2003</v>
      </c>
      <c r="K57" s="1">
        <v>2004</v>
      </c>
      <c r="L57" s="1">
        <v>2005</v>
      </c>
      <c r="M57" s="1">
        <v>2006</v>
      </c>
      <c r="N57" s="1">
        <v>2007</v>
      </c>
      <c r="O57" s="1">
        <v>2008</v>
      </c>
      <c r="P57" s="1">
        <v>2009</v>
      </c>
      <c r="Q57" s="1">
        <v>2010</v>
      </c>
      <c r="R57" s="1">
        <v>2011</v>
      </c>
      <c r="S57" s="1">
        <v>2012</v>
      </c>
      <c r="T57" s="1">
        <v>2013</v>
      </c>
      <c r="U57" s="1">
        <v>2014</v>
      </c>
      <c r="V57" s="1">
        <v>2015</v>
      </c>
      <c r="W57" s="1">
        <v>2016</v>
      </c>
      <c r="X57" s="1">
        <v>2017</v>
      </c>
      <c r="Y57" s="1">
        <v>2018</v>
      </c>
      <c r="Z57" s="1">
        <v>2019</v>
      </c>
      <c r="AA57" s="1">
        <v>2020</v>
      </c>
      <c r="AB57" s="1">
        <v>2021</v>
      </c>
      <c r="AC57" s="1">
        <v>2022</v>
      </c>
      <c r="AD57" s="1">
        <v>2023</v>
      </c>
      <c r="AE57" s="1">
        <v>2024</v>
      </c>
      <c r="AF57" s="1">
        <v>2025</v>
      </c>
      <c r="AG57" s="1">
        <v>2026</v>
      </c>
      <c r="AH57" s="1">
        <v>2027</v>
      </c>
      <c r="AI57" s="1">
        <v>2028</v>
      </c>
      <c r="AJ57" s="1">
        <v>2029</v>
      </c>
      <c r="AK57" s="1">
        <v>2030</v>
      </c>
      <c r="AL57" s="1">
        <v>2031</v>
      </c>
      <c r="AM57" s="1">
        <v>2032</v>
      </c>
      <c r="AN57" s="1">
        <v>2033</v>
      </c>
      <c r="AO57" s="1">
        <v>2034</v>
      </c>
      <c r="AP57" s="1">
        <v>2035</v>
      </c>
      <c r="AQ57" s="1">
        <v>2036</v>
      </c>
      <c r="AR57" s="1">
        <v>2037</v>
      </c>
      <c r="AS57" s="1">
        <v>2038</v>
      </c>
      <c r="AT57" s="1">
        <v>2039</v>
      </c>
      <c r="AU57" s="1">
        <v>2040</v>
      </c>
      <c r="AV57" s="1">
        <v>2041</v>
      </c>
      <c r="AW57" s="1">
        <v>2042</v>
      </c>
      <c r="AX57" s="1">
        <v>2043</v>
      </c>
      <c r="AY57" s="1">
        <v>2044</v>
      </c>
      <c r="AZ57" s="1">
        <v>2045</v>
      </c>
      <c r="BA57" s="1">
        <v>2046</v>
      </c>
      <c r="BB57" s="1">
        <v>2047</v>
      </c>
      <c r="BC57" s="1">
        <v>2048</v>
      </c>
      <c r="BD57" s="1">
        <v>2049</v>
      </c>
      <c r="BE57" s="1">
        <v>2050</v>
      </c>
    </row>
    <row r="58" spans="1:57">
      <c r="A58" s="1" t="str">
        <f>'Population Definitions'!$A$2</f>
        <v>PWID_males</v>
      </c>
      <c r="B58" t="s">
        <v>61</v>
      </c>
      <c r="C58" t="s">
        <v>56</v>
      </c>
      <c r="D58" s="3"/>
      <c r="E58" s="3">
        <v>1</v>
      </c>
      <c r="F58" s="4" t="s">
        <v>37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Definitions'!$A$3</f>
        <v>PWID_females</v>
      </c>
      <c r="B59" t="s">
        <v>61</v>
      </c>
      <c r="C59" t="s">
        <v>56</v>
      </c>
      <c r="D59" s="3"/>
      <c r="E59" s="3">
        <v>1</v>
      </c>
      <c r="F59" s="4" t="s">
        <v>37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Definitions'!$A$4</f>
        <v>0-9_males</v>
      </c>
      <c r="B60" t="s">
        <v>61</v>
      </c>
      <c r="C60" t="s">
        <v>56</v>
      </c>
      <c r="D60" s="3"/>
      <c r="E60" s="3">
        <v>1</v>
      </c>
      <c r="F60" s="4" t="s">
        <v>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Definitions'!$A$5</f>
        <v>0-9_females</v>
      </c>
      <c r="B61" t="s">
        <v>61</v>
      </c>
      <c r="C61" t="s">
        <v>56</v>
      </c>
      <c r="D61" s="3"/>
      <c r="E61" s="3">
        <v>1</v>
      </c>
      <c r="F61" s="4" t="s">
        <v>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Definitions'!$A$6</f>
        <v>10-17_males</v>
      </c>
      <c r="B62" t="s">
        <v>61</v>
      </c>
      <c r="C62" t="s">
        <v>56</v>
      </c>
      <c r="D62" s="3"/>
      <c r="E62" s="3">
        <v>1</v>
      </c>
      <c r="F62" s="4" t="s">
        <v>37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Definitions'!$A$7</f>
        <v>10-17_females</v>
      </c>
      <c r="B63" t="s">
        <v>61</v>
      </c>
      <c r="C63" t="s">
        <v>56</v>
      </c>
      <c r="D63" s="3"/>
      <c r="E63" s="3">
        <v>1</v>
      </c>
      <c r="F63" s="4" t="s">
        <v>37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Definitions'!$A$8</f>
        <v>18-64_males</v>
      </c>
      <c r="B64" t="s">
        <v>61</v>
      </c>
      <c r="C64" t="s">
        <v>56</v>
      </c>
      <c r="D64" s="3"/>
      <c r="E64" s="3">
        <v>1</v>
      </c>
      <c r="F64" s="4" t="s">
        <v>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Definitions'!$A$9</f>
        <v>18-64_females</v>
      </c>
      <c r="B65" t="s">
        <v>61</v>
      </c>
      <c r="C65" t="s">
        <v>56</v>
      </c>
      <c r="D65" s="3"/>
      <c r="E65" s="3">
        <v>1</v>
      </c>
      <c r="F65" s="4" t="s">
        <v>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Definitions'!$A$10</f>
        <v>65+_males</v>
      </c>
      <c r="B66" t="s">
        <v>61</v>
      </c>
      <c r="C66" t="s">
        <v>56</v>
      </c>
      <c r="D66" s="3"/>
      <c r="E66" s="3">
        <v>1</v>
      </c>
      <c r="F66" s="4" t="s">
        <v>37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Definitions'!$A$11</f>
        <v>65+_females</v>
      </c>
      <c r="B67" t="s">
        <v>61</v>
      </c>
      <c r="C67" t="s">
        <v>56</v>
      </c>
      <c r="D67" s="3"/>
      <c r="E67" s="3">
        <v>1</v>
      </c>
      <c r="F67" s="4" t="s">
        <v>37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Definitions'!$A$12</f>
        <v>Prisoners_males</v>
      </c>
      <c r="B68" t="s">
        <v>61</v>
      </c>
      <c r="C68" t="s">
        <v>56</v>
      </c>
      <c r="D68" s="3"/>
      <c r="E68" s="3">
        <v>1</v>
      </c>
      <c r="F68" s="4" t="s">
        <v>37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Definitions'!$A$13</f>
        <v>Prisoners_females</v>
      </c>
      <c r="B69" t="s">
        <v>61</v>
      </c>
      <c r="C69" t="s">
        <v>56</v>
      </c>
      <c r="D69" s="3"/>
      <c r="E69" s="3">
        <v>1</v>
      </c>
      <c r="F69" s="4" t="s">
        <v>37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1" spans="1:57">
      <c r="A71" s="1" t="s">
        <v>220</v>
      </c>
      <c r="B71" s="1" t="s">
        <v>29</v>
      </c>
      <c r="C71" s="1" t="s">
        <v>30</v>
      </c>
      <c r="D71" s="1" t="s">
        <v>31</v>
      </c>
      <c r="E71" s="1" t="s">
        <v>36</v>
      </c>
      <c r="F71" s="1"/>
      <c r="G71" s="1">
        <v>2000</v>
      </c>
      <c r="H71" s="1">
        <v>2001</v>
      </c>
      <c r="I71" s="1">
        <v>2002</v>
      </c>
      <c r="J71" s="1">
        <v>2003</v>
      </c>
      <c r="K71" s="1">
        <v>2004</v>
      </c>
      <c r="L71" s="1">
        <v>2005</v>
      </c>
      <c r="M71" s="1">
        <v>2006</v>
      </c>
      <c r="N71" s="1">
        <v>2007</v>
      </c>
      <c r="O71" s="1">
        <v>2008</v>
      </c>
      <c r="P71" s="1">
        <v>2009</v>
      </c>
      <c r="Q71" s="1">
        <v>2010</v>
      </c>
      <c r="R71" s="1">
        <v>2011</v>
      </c>
      <c r="S71" s="1">
        <v>2012</v>
      </c>
      <c r="T71" s="1">
        <v>2013</v>
      </c>
      <c r="U71" s="1">
        <v>2014</v>
      </c>
      <c r="V71" s="1">
        <v>2015</v>
      </c>
      <c r="W71" s="1">
        <v>2016</v>
      </c>
      <c r="X71" s="1">
        <v>2017</v>
      </c>
      <c r="Y71" s="1">
        <v>2018</v>
      </c>
      <c r="Z71" s="1">
        <v>2019</v>
      </c>
      <c r="AA71" s="1">
        <v>2020</v>
      </c>
      <c r="AB71" s="1">
        <v>2021</v>
      </c>
      <c r="AC71" s="1">
        <v>2022</v>
      </c>
      <c r="AD71" s="1">
        <v>2023</v>
      </c>
      <c r="AE71" s="1">
        <v>2024</v>
      </c>
      <c r="AF71" s="1">
        <v>2025</v>
      </c>
      <c r="AG71" s="1">
        <v>2026</v>
      </c>
      <c r="AH71" s="1">
        <v>2027</v>
      </c>
      <c r="AI71" s="1">
        <v>2028</v>
      </c>
      <c r="AJ71" s="1">
        <v>2029</v>
      </c>
      <c r="AK71" s="1">
        <v>2030</v>
      </c>
      <c r="AL71" s="1">
        <v>2031</v>
      </c>
      <c r="AM71" s="1">
        <v>2032</v>
      </c>
      <c r="AN71" s="1">
        <v>2033</v>
      </c>
      <c r="AO71" s="1">
        <v>2034</v>
      </c>
      <c r="AP71" s="1">
        <v>2035</v>
      </c>
      <c r="AQ71" s="1">
        <v>2036</v>
      </c>
      <c r="AR71" s="1">
        <v>2037</v>
      </c>
      <c r="AS71" s="1">
        <v>2038</v>
      </c>
      <c r="AT71" s="1">
        <v>2039</v>
      </c>
      <c r="AU71" s="1">
        <v>2040</v>
      </c>
      <c r="AV71" s="1">
        <v>2041</v>
      </c>
      <c r="AW71" s="1">
        <v>2042</v>
      </c>
      <c r="AX71" s="1">
        <v>2043</v>
      </c>
      <c r="AY71" s="1">
        <v>2044</v>
      </c>
      <c r="AZ71" s="1">
        <v>2045</v>
      </c>
      <c r="BA71" s="1">
        <v>2046</v>
      </c>
      <c r="BB71" s="1">
        <v>2047</v>
      </c>
      <c r="BC71" s="1">
        <v>2048</v>
      </c>
      <c r="BD71" s="1">
        <v>2049</v>
      </c>
      <c r="BE71" s="1">
        <v>2050</v>
      </c>
    </row>
    <row r="72" spans="1:57">
      <c r="A72" s="1" t="str">
        <f>'Population Definitions'!$A$2</f>
        <v>PWID_males</v>
      </c>
      <c r="B72" t="s">
        <v>61</v>
      </c>
      <c r="C72" t="s">
        <v>56</v>
      </c>
      <c r="D72" s="3"/>
      <c r="E72" s="3">
        <v>1</v>
      </c>
      <c r="F72" s="4" t="s">
        <v>37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Definitions'!$A$3</f>
        <v>PWID_females</v>
      </c>
      <c r="B73" t="s">
        <v>61</v>
      </c>
      <c r="C73" t="s">
        <v>56</v>
      </c>
      <c r="D73" s="3"/>
      <c r="E73" s="3">
        <v>1</v>
      </c>
      <c r="F73" s="4" t="s">
        <v>37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Definitions'!$A$4</f>
        <v>0-9_males</v>
      </c>
      <c r="B74" t="s">
        <v>61</v>
      </c>
      <c r="C74" t="s">
        <v>56</v>
      </c>
      <c r="D74" s="3"/>
      <c r="E74" s="3">
        <v>1</v>
      </c>
      <c r="F74" s="4" t="s">
        <v>37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Definitions'!$A$5</f>
        <v>0-9_females</v>
      </c>
      <c r="B75" t="s">
        <v>61</v>
      </c>
      <c r="C75" t="s">
        <v>56</v>
      </c>
      <c r="D75" s="3"/>
      <c r="E75" s="3">
        <v>1</v>
      </c>
      <c r="F75" s="4" t="s">
        <v>37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Definitions'!$A$6</f>
        <v>10-17_males</v>
      </c>
      <c r="B76" t="s">
        <v>61</v>
      </c>
      <c r="C76" t="s">
        <v>56</v>
      </c>
      <c r="D76" s="3"/>
      <c r="E76" s="3">
        <v>1</v>
      </c>
      <c r="F76" s="4" t="s">
        <v>37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Definitions'!$A$7</f>
        <v>10-17_females</v>
      </c>
      <c r="B77" t="s">
        <v>61</v>
      </c>
      <c r="C77" t="s">
        <v>56</v>
      </c>
      <c r="D77" s="3"/>
      <c r="E77" s="3">
        <v>1</v>
      </c>
      <c r="F77" s="4" t="s">
        <v>37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Definitions'!$A$8</f>
        <v>18-64_males</v>
      </c>
      <c r="B78" t="s">
        <v>61</v>
      </c>
      <c r="C78" t="s">
        <v>56</v>
      </c>
      <c r="D78" s="3"/>
      <c r="E78" s="3">
        <v>1</v>
      </c>
      <c r="F78" s="4" t="s">
        <v>37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Definitions'!$A$9</f>
        <v>18-64_females</v>
      </c>
      <c r="B79" t="s">
        <v>61</v>
      </c>
      <c r="C79" t="s">
        <v>56</v>
      </c>
      <c r="D79" s="3"/>
      <c r="E79" s="3">
        <v>1</v>
      </c>
      <c r="F79" s="4" t="s">
        <v>37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Definitions'!$A$10</f>
        <v>65+_males</v>
      </c>
      <c r="B80" t="s">
        <v>61</v>
      </c>
      <c r="C80" t="s">
        <v>56</v>
      </c>
      <c r="D80" s="3"/>
      <c r="E80" s="3">
        <v>1</v>
      </c>
      <c r="F80" s="4" t="s">
        <v>37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Definitions'!$A$11</f>
        <v>65+_females</v>
      </c>
      <c r="B81" t="s">
        <v>61</v>
      </c>
      <c r="C81" t="s">
        <v>56</v>
      </c>
      <c r="D81" s="3"/>
      <c r="E81" s="3">
        <v>1</v>
      </c>
      <c r="F81" s="4" t="s">
        <v>37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Definitions'!$A$12</f>
        <v>Prisoners_males</v>
      </c>
      <c r="B82" t="s">
        <v>61</v>
      </c>
      <c r="C82" t="s">
        <v>56</v>
      </c>
      <c r="D82" s="3"/>
      <c r="E82" s="3">
        <v>1</v>
      </c>
      <c r="F82" s="4" t="s">
        <v>37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Definitions'!$A$13</f>
        <v>Prisoners_females</v>
      </c>
      <c r="B83" t="s">
        <v>61</v>
      </c>
      <c r="C83" t="s">
        <v>56</v>
      </c>
      <c r="D83" s="3"/>
      <c r="E83" s="3">
        <v>1</v>
      </c>
      <c r="F83" s="4" t="s">
        <v>37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6">
    <cfRule type="expression" dxfId="0" priority="25">
      <formula>COUNTIF(G16:BE16,"&lt;&gt;" &amp; "")&gt;0</formula>
    </cfRule>
    <cfRule type="expression" dxfId="1" priority="26">
      <formula>AND(COUNTIF(G16:BE16,"&lt;&gt;" &amp; "")&gt;0,NOT(ISBLANK(E16)))</formula>
    </cfRule>
  </conditionalFormatting>
  <conditionalFormatting sqref="E17">
    <cfRule type="expression" dxfId="0" priority="27">
      <formula>COUNTIF(G17:BE17,"&lt;&gt;" &amp; "")&gt;0</formula>
    </cfRule>
    <cfRule type="expression" dxfId="1" priority="28">
      <formula>AND(COUNTIF(G17:BE17,"&lt;&gt;" &amp; "")&gt;0,NOT(ISBLANK(E17)))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49">
      <formula>COUNTIF(G30:BE30,"&lt;&gt;" &amp; "")&gt;0</formula>
    </cfRule>
    <cfRule type="expression" dxfId="1" priority="50">
      <formula>AND(COUNTIF(G30:BE30,"&lt;&gt;" &amp; "")&gt;0,NOT(ISBLANK(E30)))</formula>
    </cfRule>
  </conditionalFormatting>
  <conditionalFormatting sqref="E31">
    <cfRule type="expression" dxfId="0" priority="51">
      <formula>COUNTIF(G31:BE31,"&lt;&gt;" &amp; "")&gt;0</formula>
    </cfRule>
    <cfRule type="expression" dxfId="1" priority="52">
      <formula>AND(COUNTIF(G31:BE31,"&lt;&gt;" &amp; "")&gt;0,NOT(ISBLANK(E31)))</formula>
    </cfRule>
  </conditionalFormatting>
  <conditionalFormatting sqref="E32">
    <cfRule type="expression" dxfId="0" priority="53">
      <formula>COUNTIF(G32:BE32,"&lt;&gt;" &amp; "")&gt;0</formula>
    </cfRule>
    <cfRule type="expression" dxfId="1" priority="54">
      <formula>AND(COUNTIF(G32:BE32,"&lt;&gt;" &amp; "")&gt;0,NOT(ISBLANK(E32)))</formula>
    </cfRule>
  </conditionalFormatting>
  <conditionalFormatting sqref="E33">
    <cfRule type="expression" dxfId="0" priority="55">
      <formula>COUNTIF(G33:BE33,"&lt;&gt;" &amp; "")&gt;0</formula>
    </cfRule>
    <cfRule type="expression" dxfId="1" priority="56">
      <formula>AND(COUNTIF(G33:BE33,"&lt;&gt;" &amp; "")&gt;0,NOT(ISBLANK(E33)))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4">
    <cfRule type="expression" dxfId="0" priority="73">
      <formula>COUNTIF(G44:BE44,"&lt;&gt;" &amp; "")&gt;0</formula>
    </cfRule>
    <cfRule type="expression" dxfId="1" priority="74">
      <formula>AND(COUNTIF(G44:BE44,"&lt;&gt;" &amp; "")&gt;0,NOT(ISBLANK(E44)))</formula>
    </cfRule>
  </conditionalFormatting>
  <conditionalFormatting sqref="E45">
    <cfRule type="expression" dxfId="0" priority="75">
      <formula>COUNTIF(G45:BE45,"&lt;&gt;" &amp; "")&gt;0</formula>
    </cfRule>
    <cfRule type="expression" dxfId="1" priority="76">
      <formula>AND(COUNTIF(G45:BE45,"&lt;&gt;" &amp; "")&gt;0,NOT(ISBLANK(E45)))</formula>
    </cfRule>
  </conditionalFormatting>
  <conditionalFormatting sqref="E46">
    <cfRule type="expression" dxfId="0" priority="77">
      <formula>COUNTIF(G46:BE46,"&lt;&gt;" &amp; "")&gt;0</formula>
    </cfRule>
    <cfRule type="expression" dxfId="1" priority="78">
      <formula>AND(COUNTIF(G46:BE46,"&lt;&gt;" &amp; "")&gt;0,NOT(ISBLANK(E46)))</formula>
    </cfRule>
  </conditionalFormatting>
  <conditionalFormatting sqref="E47">
    <cfRule type="expression" dxfId="0" priority="79">
      <formula>COUNTIF(G47:BE47,"&lt;&gt;" &amp; "")&gt;0</formula>
    </cfRule>
    <cfRule type="expression" dxfId="1" priority="80">
      <formula>AND(COUNTIF(G47:BE47,"&lt;&gt;" &amp; "")&gt;0,NOT(ISBLANK(E47)))</formula>
    </cfRule>
  </conditionalFormatting>
  <conditionalFormatting sqref="E48">
    <cfRule type="expression" dxfId="0" priority="81">
      <formula>COUNTIF(G48:BE48,"&lt;&gt;" &amp; "")&gt;0</formula>
    </cfRule>
    <cfRule type="expression" dxfId="1" priority="82">
      <formula>AND(COUNTIF(G48:BE48,"&lt;&gt;" &amp; "")&gt;0,NOT(ISBLANK(E48)))</formula>
    </cfRule>
  </conditionalFormatting>
  <conditionalFormatting sqref="E49">
    <cfRule type="expression" dxfId="0" priority="83">
      <formula>COUNTIF(G49:BE49,"&lt;&gt;" &amp; "")&gt;0</formula>
    </cfRule>
    <cfRule type="expression" dxfId="1" priority="84">
      <formula>AND(COUNTIF(G49:BE49,"&lt;&gt;" &amp; "")&gt;0,NOT(ISBLANK(E49)))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8">
    <cfRule type="expression" dxfId="0" priority="97">
      <formula>COUNTIF(G58:BE58,"&lt;&gt;" &amp; "")&gt;0</formula>
    </cfRule>
    <cfRule type="expression" dxfId="1" priority="98">
      <formula>AND(COUNTIF(G58:BE58,"&lt;&gt;" &amp; "")&gt;0,NOT(ISBLANK(E58)))</formula>
    </cfRule>
  </conditionalFormatting>
  <conditionalFormatting sqref="E59">
    <cfRule type="expression" dxfId="0" priority="99">
      <formula>COUNTIF(G59:BE59,"&lt;&gt;" &amp; "")&gt;0</formula>
    </cfRule>
    <cfRule type="expression" dxfId="1" priority="100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1">
      <formula>COUNTIF(G60:BE60,"&lt;&gt;" &amp; "")&gt;0</formula>
    </cfRule>
    <cfRule type="expression" dxfId="1" priority="102">
      <formula>AND(COUNTIF(G60:BE60,"&lt;&gt;" &amp; "")&gt;0,NOT(ISBLANK(E60)))</formula>
    </cfRule>
  </conditionalFormatting>
  <conditionalFormatting sqref="E61">
    <cfRule type="expression" dxfId="0" priority="103">
      <formula>COUNTIF(G61:BE61,"&lt;&gt;" &amp; "")&gt;0</formula>
    </cfRule>
    <cfRule type="expression" dxfId="1" priority="104">
      <formula>AND(COUNTIF(G61:BE61,"&lt;&gt;" &amp; "")&gt;0,NOT(ISBLANK(E61)))</formula>
    </cfRule>
  </conditionalFormatting>
  <conditionalFormatting sqref="E62">
    <cfRule type="expression" dxfId="0" priority="105">
      <formula>COUNTIF(G62:BE62,"&lt;&gt;" &amp; "")&gt;0</formula>
    </cfRule>
    <cfRule type="expression" dxfId="1" priority="106">
      <formula>AND(COUNTIF(G62:BE62,"&lt;&gt;" &amp; "")&gt;0,NOT(ISBLANK(E62)))</formula>
    </cfRule>
  </conditionalFormatting>
  <conditionalFormatting sqref="E63">
    <cfRule type="expression" dxfId="0" priority="107">
      <formula>COUNTIF(G63:BE63,"&lt;&gt;" &amp; "")&gt;0</formula>
    </cfRule>
    <cfRule type="expression" dxfId="1" priority="108">
      <formula>AND(COUNTIF(G63:BE63,"&lt;&gt;" &amp; "")&gt;0,NOT(ISBLANK(E63)))</formula>
    </cfRule>
  </conditionalFormatting>
  <conditionalFormatting sqref="E64">
    <cfRule type="expression" dxfId="0" priority="109">
      <formula>COUNTIF(G64:BE64,"&lt;&gt;" &amp; "")&gt;0</formula>
    </cfRule>
    <cfRule type="expression" dxfId="1" priority="110">
      <formula>AND(COUNTIF(G64:BE64,"&lt;&gt;" &amp; "")&gt;0,NOT(ISBLANK(E64)))</formula>
    </cfRule>
  </conditionalFormatting>
  <conditionalFormatting sqref="E65">
    <cfRule type="expression" dxfId="0" priority="111">
      <formula>COUNTIF(G65:BE65,"&lt;&gt;" &amp; "")&gt;0</formula>
    </cfRule>
    <cfRule type="expression" dxfId="1" priority="112">
      <formula>AND(COUNTIF(G65:BE65,"&lt;&gt;" &amp; "")&gt;0,NOT(ISBLANK(E65)))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2">
    <cfRule type="expression" dxfId="0" priority="121">
      <formula>COUNTIF(G72:BE72,"&lt;&gt;" &amp; "")&gt;0</formula>
    </cfRule>
    <cfRule type="expression" dxfId="1" priority="122">
      <formula>AND(COUNTIF(G72:BE72,"&lt;&gt;" &amp; "")&gt;0,NOT(ISBLANK(E72)))</formula>
    </cfRule>
  </conditionalFormatting>
  <conditionalFormatting sqref="E73">
    <cfRule type="expression" dxfId="0" priority="123">
      <formula>COUNTIF(G73:BE73,"&lt;&gt;" &amp; "")&gt;0</formula>
    </cfRule>
    <cfRule type="expression" dxfId="1" priority="124">
      <formula>AND(COUNTIF(G73:BE73,"&lt;&gt;" &amp; "")&gt;0,NOT(ISBLANK(E73)))</formula>
    </cfRule>
  </conditionalFormatting>
  <conditionalFormatting sqref="E74">
    <cfRule type="expression" dxfId="0" priority="125">
      <formula>COUNTIF(G74:BE74,"&lt;&gt;" &amp; "")&gt;0</formula>
    </cfRule>
    <cfRule type="expression" dxfId="1" priority="126">
      <formula>AND(COUNTIF(G74:BE74,"&lt;&gt;" &amp; "")&gt;0,NOT(ISBLANK(E74)))</formula>
    </cfRule>
  </conditionalFormatting>
  <conditionalFormatting sqref="E75">
    <cfRule type="expression" dxfId="0" priority="127">
      <formula>COUNTIF(G75:BE75,"&lt;&gt;" &amp; "")&gt;0</formula>
    </cfRule>
    <cfRule type="expression" dxfId="1" priority="128">
      <formula>AND(COUNTIF(G75:BE75,"&lt;&gt;" &amp; "")&gt;0,NOT(ISBLANK(E75)))</formula>
    </cfRule>
  </conditionalFormatting>
  <conditionalFormatting sqref="E76">
    <cfRule type="expression" dxfId="0" priority="129">
      <formula>COUNTIF(G76:BE76,"&lt;&gt;" &amp; "")&gt;0</formula>
    </cfRule>
    <cfRule type="expression" dxfId="1" priority="130">
      <formula>AND(COUNTIF(G76:BE76,"&lt;&gt;" &amp; "")&gt;0,NOT(ISBLANK(E76)))</formula>
    </cfRule>
  </conditionalFormatting>
  <conditionalFormatting sqref="E77">
    <cfRule type="expression" dxfId="0" priority="131">
      <formula>COUNTIF(G77:BE77,"&lt;&gt;" &amp; "")&gt;0</formula>
    </cfRule>
    <cfRule type="expression" dxfId="1" priority="132">
      <formula>AND(COUNTIF(G77:BE77,"&lt;&gt;" &amp; "")&gt;0,NOT(ISBLANK(E77)))</formula>
    </cfRule>
  </conditionalFormatting>
  <conditionalFormatting sqref="E78">
    <cfRule type="expression" dxfId="0" priority="133">
      <formula>COUNTIF(G78:BE78,"&lt;&gt;" &amp; "")&gt;0</formula>
    </cfRule>
    <cfRule type="expression" dxfId="1" priority="134">
      <formula>AND(COUNTIF(G78:BE78,"&lt;&gt;" &amp; "")&gt;0,NOT(ISBLANK(E78)))</formula>
    </cfRule>
  </conditionalFormatting>
  <conditionalFormatting sqref="E79">
    <cfRule type="expression" dxfId="0" priority="135">
      <formula>COUNTIF(G79:BE79,"&lt;&gt;" &amp; "")&gt;0</formula>
    </cfRule>
    <cfRule type="expression" dxfId="1" priority="136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0">
    <cfRule type="expression" dxfId="0" priority="137">
      <formula>COUNTIF(G80:BE80,"&lt;&gt;" &amp; "")&gt;0</formula>
    </cfRule>
    <cfRule type="expression" dxfId="1" priority="138">
      <formula>AND(COUNTIF(G80:BE80,"&lt;&gt;" &amp; "")&gt;0,NOT(ISBLANK(E80)))</formula>
    </cfRule>
  </conditionalFormatting>
  <conditionalFormatting sqref="E81">
    <cfRule type="expression" dxfId="0" priority="139">
      <formula>COUNTIF(G81:BE81,"&lt;&gt;" &amp; "")&gt;0</formula>
    </cfRule>
    <cfRule type="expression" dxfId="1" priority="140">
      <formula>AND(COUNTIF(G81:BE81,"&lt;&gt;" &amp; "")&gt;0,NOT(ISBLANK(E81)))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72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6">
      <formula1>"Duration (years)"</formula1>
    </dataValidation>
    <dataValidation type="list" allowBlank="1" showInputMessage="1" showErrorMessage="1" sqref="C17">
      <formula1>"Duration (years)"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48">
      <formula1>"Duration (years)"</formula1>
    </dataValidation>
    <dataValidation type="list" allowBlank="1" showInputMessage="1" showErrorMessage="1" sqref="C49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78">
      <formula1>"N.A."</formula1>
    </dataValidation>
    <dataValidation type="list" allowBlank="1" showInputMessage="1" showErrorMessage="1" sqref="C79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162"/>
  <sheetViews>
    <sheetView workbookViewId="0"/>
  </sheetViews>
  <sheetFormatPr defaultRowHeight="15"/>
  <cols>
    <col min="1" max="1" width="20.42578125" customWidth="1"/>
    <col min="2" max="2" width="35.85546875" customWidth="1"/>
    <col min="3" max="3" width="23.71093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59" width="9.42578125" customWidth="1"/>
  </cols>
  <sheetData>
    <row r="1" spans="1:13">
      <c r="A1" s="1" t="s">
        <v>0</v>
      </c>
      <c r="B1" s="1" t="s">
        <v>1</v>
      </c>
      <c r="C1" s="1" t="s">
        <v>223</v>
      </c>
      <c r="D1" s="1" t="s">
        <v>224</v>
      </c>
    </row>
    <row r="2" spans="1:13">
      <c r="A2" t="s">
        <v>221</v>
      </c>
      <c r="B2" t="s">
        <v>222</v>
      </c>
      <c r="C2" t="s">
        <v>5</v>
      </c>
      <c r="D2" t="s">
        <v>5</v>
      </c>
    </row>
    <row r="4" spans="1:13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</row>
    <row r="5" spans="1:13">
      <c r="A5" s="1" t="str">
        <f>'Population Definitions'!$A$2</f>
        <v>PWID_males</v>
      </c>
      <c r="B5" s="5" t="s">
        <v>225</v>
      </c>
      <c r="C5" s="5" t="s">
        <v>225</v>
      </c>
      <c r="D5" s="5" t="s">
        <v>226</v>
      </c>
      <c r="E5" s="5" t="s">
        <v>226</v>
      </c>
      <c r="F5" s="5" t="s">
        <v>226</v>
      </c>
      <c r="G5" s="5" t="s">
        <v>226</v>
      </c>
      <c r="H5" s="5" t="s">
        <v>226</v>
      </c>
      <c r="I5" s="5" t="s">
        <v>226</v>
      </c>
      <c r="J5" s="5" t="s">
        <v>226</v>
      </c>
      <c r="K5" s="5" t="s">
        <v>226</v>
      </c>
      <c r="L5" s="5" t="s">
        <v>226</v>
      </c>
      <c r="M5" s="5" t="s">
        <v>226</v>
      </c>
    </row>
    <row r="6" spans="1:13">
      <c r="A6" s="1" t="str">
        <f>'Population Definitions'!$A$3</f>
        <v>PWID_females</v>
      </c>
      <c r="B6" s="5" t="s">
        <v>225</v>
      </c>
      <c r="C6" s="5" t="s">
        <v>225</v>
      </c>
      <c r="D6" s="5" t="s">
        <v>226</v>
      </c>
      <c r="E6" s="5" t="s">
        <v>226</v>
      </c>
      <c r="F6" s="5" t="s">
        <v>226</v>
      </c>
      <c r="G6" s="5" t="s">
        <v>226</v>
      </c>
      <c r="H6" s="5" t="s">
        <v>226</v>
      </c>
      <c r="I6" s="5" t="s">
        <v>226</v>
      </c>
      <c r="J6" s="5" t="s">
        <v>226</v>
      </c>
      <c r="K6" s="5" t="s">
        <v>226</v>
      </c>
      <c r="L6" s="5" t="s">
        <v>226</v>
      </c>
      <c r="M6" s="5" t="s">
        <v>226</v>
      </c>
    </row>
    <row r="7" spans="1:13">
      <c r="A7" s="1" t="str">
        <f>'Population Definitions'!$A$4</f>
        <v>0-9_males</v>
      </c>
      <c r="B7" s="5" t="s">
        <v>226</v>
      </c>
      <c r="C7" s="5" t="s">
        <v>226</v>
      </c>
      <c r="D7" s="5" t="s">
        <v>226</v>
      </c>
      <c r="E7" s="5" t="s">
        <v>226</v>
      </c>
      <c r="F7" s="5" t="s">
        <v>226</v>
      </c>
      <c r="G7" s="5" t="s">
        <v>226</v>
      </c>
      <c r="H7" s="5" t="s">
        <v>226</v>
      </c>
      <c r="I7" s="5" t="s">
        <v>226</v>
      </c>
      <c r="J7" s="5" t="s">
        <v>226</v>
      </c>
      <c r="K7" s="5" t="s">
        <v>226</v>
      </c>
      <c r="L7" s="5" t="s">
        <v>226</v>
      </c>
      <c r="M7" s="5" t="s">
        <v>226</v>
      </c>
    </row>
    <row r="8" spans="1:13">
      <c r="A8" s="1" t="str">
        <f>'Population Definitions'!$A$5</f>
        <v>0-9_females</v>
      </c>
      <c r="B8" s="5" t="s">
        <v>226</v>
      </c>
      <c r="C8" s="5" t="s">
        <v>226</v>
      </c>
      <c r="D8" s="5" t="s">
        <v>226</v>
      </c>
      <c r="E8" s="5" t="s">
        <v>226</v>
      </c>
      <c r="F8" s="5" t="s">
        <v>226</v>
      </c>
      <c r="G8" s="5" t="s">
        <v>226</v>
      </c>
      <c r="H8" s="5" t="s">
        <v>226</v>
      </c>
      <c r="I8" s="5" t="s">
        <v>226</v>
      </c>
      <c r="J8" s="5" t="s">
        <v>226</v>
      </c>
      <c r="K8" s="5" t="s">
        <v>226</v>
      </c>
      <c r="L8" s="5" t="s">
        <v>226</v>
      </c>
      <c r="M8" s="5" t="s">
        <v>226</v>
      </c>
    </row>
    <row r="9" spans="1:13">
      <c r="A9" s="1" t="str">
        <f>'Population Definitions'!$A$6</f>
        <v>10-17_males</v>
      </c>
      <c r="B9" s="5" t="s">
        <v>226</v>
      </c>
      <c r="C9" s="5" t="s">
        <v>226</v>
      </c>
      <c r="D9" s="5" t="s">
        <v>226</v>
      </c>
      <c r="E9" s="5" t="s">
        <v>226</v>
      </c>
      <c r="F9" s="5" t="s">
        <v>226</v>
      </c>
      <c r="G9" s="5" t="s">
        <v>226</v>
      </c>
      <c r="H9" s="5" t="s">
        <v>226</v>
      </c>
      <c r="I9" s="5" t="s">
        <v>226</v>
      </c>
      <c r="J9" s="5" t="s">
        <v>226</v>
      </c>
      <c r="K9" s="5" t="s">
        <v>226</v>
      </c>
      <c r="L9" s="5" t="s">
        <v>226</v>
      </c>
      <c r="M9" s="5" t="s">
        <v>226</v>
      </c>
    </row>
    <row r="10" spans="1:13">
      <c r="A10" s="1" t="str">
        <f>'Population Definitions'!$A$7</f>
        <v>10-17_females</v>
      </c>
      <c r="B10" s="5" t="s">
        <v>226</v>
      </c>
      <c r="C10" s="5" t="s">
        <v>226</v>
      </c>
      <c r="D10" s="5" t="s">
        <v>226</v>
      </c>
      <c r="E10" s="5" t="s">
        <v>226</v>
      </c>
      <c r="F10" s="5" t="s">
        <v>226</v>
      </c>
      <c r="G10" s="5" t="s">
        <v>226</v>
      </c>
      <c r="H10" s="5" t="s">
        <v>226</v>
      </c>
      <c r="I10" s="5" t="s">
        <v>226</v>
      </c>
      <c r="J10" s="5" t="s">
        <v>226</v>
      </c>
      <c r="K10" s="5" t="s">
        <v>226</v>
      </c>
      <c r="L10" s="5" t="s">
        <v>226</v>
      </c>
      <c r="M10" s="5" t="s">
        <v>226</v>
      </c>
    </row>
    <row r="11" spans="1:13">
      <c r="A11" s="1" t="str">
        <f>'Population Definitions'!$A$8</f>
        <v>18-64_males</v>
      </c>
      <c r="B11" s="5" t="s">
        <v>226</v>
      </c>
      <c r="C11" s="5" t="s">
        <v>226</v>
      </c>
      <c r="D11" s="5" t="s">
        <v>226</v>
      </c>
      <c r="E11" s="5" t="s">
        <v>226</v>
      </c>
      <c r="F11" s="5" t="s">
        <v>226</v>
      </c>
      <c r="G11" s="5" t="s">
        <v>226</v>
      </c>
      <c r="H11" s="5" t="s">
        <v>226</v>
      </c>
      <c r="I11" s="5" t="s">
        <v>226</v>
      </c>
      <c r="J11" s="5" t="s">
        <v>226</v>
      </c>
      <c r="K11" s="5" t="s">
        <v>226</v>
      </c>
      <c r="L11" s="5" t="s">
        <v>226</v>
      </c>
      <c r="M11" s="5" t="s">
        <v>226</v>
      </c>
    </row>
    <row r="12" spans="1:13">
      <c r="A12" s="1" t="str">
        <f>'Population Definitions'!$A$9</f>
        <v>18-64_females</v>
      </c>
      <c r="B12" s="5" t="s">
        <v>226</v>
      </c>
      <c r="C12" s="5" t="s">
        <v>226</v>
      </c>
      <c r="D12" s="5" t="s">
        <v>226</v>
      </c>
      <c r="E12" s="5" t="s">
        <v>226</v>
      </c>
      <c r="F12" s="5" t="s">
        <v>226</v>
      </c>
      <c r="G12" s="5" t="s">
        <v>226</v>
      </c>
      <c r="H12" s="5" t="s">
        <v>226</v>
      </c>
      <c r="I12" s="5" t="s">
        <v>226</v>
      </c>
      <c r="J12" s="5" t="s">
        <v>226</v>
      </c>
      <c r="K12" s="5" t="s">
        <v>226</v>
      </c>
      <c r="L12" s="5" t="s">
        <v>226</v>
      </c>
      <c r="M12" s="5" t="s">
        <v>226</v>
      </c>
    </row>
    <row r="13" spans="1:13">
      <c r="A13" s="1" t="str">
        <f>'Population Definitions'!$A$10</f>
        <v>65+_males</v>
      </c>
      <c r="B13" s="5" t="s">
        <v>226</v>
      </c>
      <c r="C13" s="5" t="s">
        <v>226</v>
      </c>
      <c r="D13" s="5" t="s">
        <v>226</v>
      </c>
      <c r="E13" s="5" t="s">
        <v>226</v>
      </c>
      <c r="F13" s="5" t="s">
        <v>226</v>
      </c>
      <c r="G13" s="5" t="s">
        <v>226</v>
      </c>
      <c r="H13" s="5" t="s">
        <v>226</v>
      </c>
      <c r="I13" s="5" t="s">
        <v>226</v>
      </c>
      <c r="J13" s="5" t="s">
        <v>226</v>
      </c>
      <c r="K13" s="5" t="s">
        <v>226</v>
      </c>
      <c r="L13" s="5" t="s">
        <v>226</v>
      </c>
      <c r="M13" s="5" t="s">
        <v>226</v>
      </c>
    </row>
    <row r="14" spans="1:13">
      <c r="A14" s="1" t="str">
        <f>'Population Definitions'!$A$11</f>
        <v>65+_females</v>
      </c>
      <c r="B14" s="5" t="s">
        <v>226</v>
      </c>
      <c r="C14" s="5" t="s">
        <v>226</v>
      </c>
      <c r="D14" s="5" t="s">
        <v>226</v>
      </c>
      <c r="E14" s="5" t="s">
        <v>226</v>
      </c>
      <c r="F14" s="5" t="s">
        <v>226</v>
      </c>
      <c r="G14" s="5" t="s">
        <v>226</v>
      </c>
      <c r="H14" s="5" t="s">
        <v>226</v>
      </c>
      <c r="I14" s="5" t="s">
        <v>226</v>
      </c>
      <c r="J14" s="5" t="s">
        <v>226</v>
      </c>
      <c r="K14" s="5" t="s">
        <v>226</v>
      </c>
      <c r="L14" s="5" t="s">
        <v>226</v>
      </c>
      <c r="M14" s="5" t="s">
        <v>226</v>
      </c>
    </row>
    <row r="15" spans="1:13">
      <c r="A15" s="1" t="str">
        <f>'Population Definitions'!$A$12</f>
        <v>Prisoners_males</v>
      </c>
      <c r="B15" s="5" t="s">
        <v>226</v>
      </c>
      <c r="C15" s="5" t="s">
        <v>226</v>
      </c>
      <c r="D15" s="5" t="s">
        <v>226</v>
      </c>
      <c r="E15" s="5" t="s">
        <v>226</v>
      </c>
      <c r="F15" s="5" t="s">
        <v>226</v>
      </c>
      <c r="G15" s="5" t="s">
        <v>226</v>
      </c>
      <c r="H15" s="5" t="s">
        <v>226</v>
      </c>
      <c r="I15" s="5" t="s">
        <v>226</v>
      </c>
      <c r="J15" s="5" t="s">
        <v>226</v>
      </c>
      <c r="K15" s="5" t="s">
        <v>226</v>
      </c>
      <c r="L15" s="5" t="s">
        <v>225</v>
      </c>
      <c r="M15" s="5" t="s">
        <v>226</v>
      </c>
    </row>
    <row r="16" spans="1:13">
      <c r="A16" s="1" t="str">
        <f>'Population Definitions'!$A$13</f>
        <v>Prisoners_females</v>
      </c>
      <c r="B16" s="5" t="s">
        <v>226</v>
      </c>
      <c r="C16" s="5" t="s">
        <v>226</v>
      </c>
      <c r="D16" s="5" t="s">
        <v>226</v>
      </c>
      <c r="E16" s="5" t="s">
        <v>226</v>
      </c>
      <c r="F16" s="5" t="s">
        <v>226</v>
      </c>
      <c r="G16" s="5" t="s">
        <v>226</v>
      </c>
      <c r="H16" s="5" t="s">
        <v>226</v>
      </c>
      <c r="I16" s="5" t="s">
        <v>226</v>
      </c>
      <c r="J16" s="5" t="s">
        <v>226</v>
      </c>
      <c r="K16" s="5" t="s">
        <v>226</v>
      </c>
      <c r="L16" s="5" t="s">
        <v>226</v>
      </c>
      <c r="M16" s="5" t="s">
        <v>225</v>
      </c>
    </row>
    <row r="18" spans="1:59">
      <c r="A18" s="1" t="s">
        <v>227</v>
      </c>
      <c r="B18" s="1"/>
      <c r="C18" s="1" t="s">
        <v>228</v>
      </c>
      <c r="D18" s="1" t="s">
        <v>29</v>
      </c>
      <c r="E18" s="1" t="s">
        <v>30</v>
      </c>
      <c r="F18" s="1" t="s">
        <v>31</v>
      </c>
      <c r="G18" s="1" t="s">
        <v>36</v>
      </c>
      <c r="H18" s="1"/>
      <c r="I18" s="1">
        <v>2000</v>
      </c>
      <c r="J18" s="1">
        <v>2001</v>
      </c>
      <c r="K18" s="1">
        <v>2002</v>
      </c>
      <c r="L18" s="1">
        <v>2003</v>
      </c>
      <c r="M18" s="1">
        <v>2004</v>
      </c>
      <c r="N18" s="1">
        <v>2005</v>
      </c>
      <c r="O18" s="1">
        <v>2006</v>
      </c>
      <c r="P18" s="1">
        <v>2007</v>
      </c>
      <c r="Q18" s="1">
        <v>2008</v>
      </c>
      <c r="R18" s="1">
        <v>2009</v>
      </c>
      <c r="S18" s="1">
        <v>2010</v>
      </c>
      <c r="T18" s="1">
        <v>2011</v>
      </c>
      <c r="U18" s="1">
        <v>2012</v>
      </c>
      <c r="V18" s="1">
        <v>2013</v>
      </c>
      <c r="W18" s="1">
        <v>2014</v>
      </c>
      <c r="X18" s="1">
        <v>2015</v>
      </c>
      <c r="Y18" s="1">
        <v>2016</v>
      </c>
      <c r="Z18" s="1">
        <v>2017</v>
      </c>
      <c r="AA18" s="1">
        <v>2018</v>
      </c>
      <c r="AB18" s="1">
        <v>2019</v>
      </c>
      <c r="AC18" s="1">
        <v>2020</v>
      </c>
      <c r="AD18" s="1">
        <v>2021</v>
      </c>
      <c r="AE18" s="1">
        <v>2022</v>
      </c>
      <c r="AF18" s="1">
        <v>2023</v>
      </c>
      <c r="AG18" s="1">
        <v>2024</v>
      </c>
      <c r="AH18" s="1">
        <v>2025</v>
      </c>
      <c r="AI18" s="1">
        <v>2026</v>
      </c>
      <c r="AJ18" s="1">
        <v>2027</v>
      </c>
      <c r="AK18" s="1">
        <v>2028</v>
      </c>
      <c r="AL18" s="1">
        <v>2029</v>
      </c>
      <c r="AM18" s="1">
        <v>2030</v>
      </c>
      <c r="AN18" s="1">
        <v>2031</v>
      </c>
      <c r="AO18" s="1">
        <v>2032</v>
      </c>
      <c r="AP18" s="1">
        <v>2033</v>
      </c>
      <c r="AQ18" s="1">
        <v>2034</v>
      </c>
      <c r="AR18" s="1">
        <v>2035</v>
      </c>
      <c r="AS18" s="1">
        <v>2036</v>
      </c>
      <c r="AT18" s="1">
        <v>2037</v>
      </c>
      <c r="AU18" s="1">
        <v>2038</v>
      </c>
      <c r="AV18" s="1">
        <v>2039</v>
      </c>
      <c r="AW18" s="1">
        <v>2040</v>
      </c>
      <c r="AX18" s="1">
        <v>2041</v>
      </c>
      <c r="AY18" s="1">
        <v>2042</v>
      </c>
      <c r="AZ18" s="1">
        <v>2043</v>
      </c>
      <c r="BA18" s="1">
        <v>2044</v>
      </c>
      <c r="BB18" s="1">
        <v>2045</v>
      </c>
      <c r="BC18" s="1">
        <v>2046</v>
      </c>
      <c r="BD18" s="1">
        <v>2047</v>
      </c>
      <c r="BE18" s="1">
        <v>2048</v>
      </c>
      <c r="BF18" s="1">
        <v>2049</v>
      </c>
      <c r="BG18" s="1">
        <v>2050</v>
      </c>
    </row>
    <row r="19" spans="1:59">
      <c r="A19" s="1" t="str">
        <f>IF($B$5="Y",'Population Definitions'!$A$2,"...")</f>
        <v>PWID_males</v>
      </c>
      <c r="B19" s="4" t="str">
        <f>IF($B$5="Y","---&gt;","...")</f>
        <v>---&gt;</v>
      </c>
      <c r="C19" s="1" t="str">
        <f>IF($B$5="Y",'Population Definitions'!$A$2,"...")</f>
        <v>PWID_males</v>
      </c>
      <c r="D19" t="s">
        <v>61</v>
      </c>
      <c r="E19" s="3" t="s">
        <v>56</v>
      </c>
      <c r="F19" s="3"/>
      <c r="G19" s="3">
        <v>1</v>
      </c>
      <c r="H19" s="4" t="str">
        <f>IF($B$5="Y","OR","...")</f>
        <v>OR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</row>
    <row r="20" spans="1:59">
      <c r="A20" s="1" t="str">
        <f>IF($C$5="Y",'Population Definitions'!$A$2,"...")</f>
        <v>PWID_males</v>
      </c>
      <c r="B20" s="4" t="str">
        <f>IF($C$5="Y","---&gt;","...")</f>
        <v>---&gt;</v>
      </c>
      <c r="C20" s="1" t="str">
        <f>IF($C$5="Y",'Population Definitions'!$A$3,"...")</f>
        <v>PWID_females</v>
      </c>
      <c r="D20" t="s">
        <v>61</v>
      </c>
      <c r="E20" s="3" t="s">
        <v>56</v>
      </c>
      <c r="F20" s="3"/>
      <c r="G20" s="3">
        <v>1</v>
      </c>
      <c r="H20" s="4" t="str">
        <f>IF($C$5="Y","OR","...")</f>
        <v>OR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</row>
    <row r="21" spans="1:59">
      <c r="A21" s="1" t="str">
        <f>IF($D$5="Y",'Population Definitions'!$A$2,"...")</f>
        <v>...</v>
      </c>
      <c r="B21" s="4" t="str">
        <f>IF($D$5="Y","---&gt;","...")</f>
        <v>...</v>
      </c>
      <c r="C21" s="1" t="str">
        <f>IF($D$5="Y",'Population Definitions'!$A$4,"...")</f>
        <v>...</v>
      </c>
      <c r="E21" s="2"/>
      <c r="F21" s="3"/>
      <c r="G21" s="2"/>
      <c r="H21" s="4" t="str">
        <f>IF($D$5="Y","OR","...")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IF($E$5="Y",'Population Definitions'!$A$2,"...")</f>
        <v>...</v>
      </c>
      <c r="B22" s="4" t="str">
        <f>IF($E$5="Y","---&gt;","...")</f>
        <v>...</v>
      </c>
      <c r="C22" s="1" t="str">
        <f>IF($E$5="Y",'Population Definitions'!$A$5,"...")</f>
        <v>...</v>
      </c>
      <c r="E22" s="2"/>
      <c r="F22" s="3"/>
      <c r="G22" s="2"/>
      <c r="H22" s="4" t="str">
        <f>IF($E$5="Y","OR","...")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IF($F$5="Y",'Population Definitions'!$A$2,"...")</f>
        <v>...</v>
      </c>
      <c r="B23" s="4" t="str">
        <f>IF($F$5="Y","---&gt;","...")</f>
        <v>...</v>
      </c>
      <c r="C23" s="1" t="str">
        <f>IF($F$5="Y",'Population Definitions'!$A$6,"...")</f>
        <v>...</v>
      </c>
      <c r="E23" s="2"/>
      <c r="F23" s="3"/>
      <c r="G23" s="2"/>
      <c r="H23" s="4" t="str">
        <f>IF($F$5="Y","OR","...")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IF($G$5="Y",'Population Definitions'!$A$2,"...")</f>
        <v>...</v>
      </c>
      <c r="B24" s="4" t="str">
        <f>IF($G$5="Y","---&gt;","...")</f>
        <v>...</v>
      </c>
      <c r="C24" s="1" t="str">
        <f>IF($G$5="Y",'Population Definitions'!$A$7,"...")</f>
        <v>...</v>
      </c>
      <c r="E24" s="2"/>
      <c r="F24" s="3"/>
      <c r="G24" s="2"/>
      <c r="H24" s="4" t="str">
        <f>IF($G$5="Y","OR","...")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IF($H$5="Y",'Population Definitions'!$A$2,"...")</f>
        <v>...</v>
      </c>
      <c r="B25" s="4" t="str">
        <f>IF($H$5="Y","---&gt;","...")</f>
        <v>...</v>
      </c>
      <c r="C25" s="1" t="str">
        <f>IF($H$5="Y",'Population Definitions'!$A$8,"...")</f>
        <v>...</v>
      </c>
      <c r="E25" s="2"/>
      <c r="F25" s="3"/>
      <c r="G25" s="2"/>
      <c r="H25" s="4" t="str">
        <f>IF($H$5="Y","OR","...")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IF($I$5="Y",'Population Definitions'!$A$2,"...")</f>
        <v>...</v>
      </c>
      <c r="B26" s="4" t="str">
        <f>IF($I$5="Y","---&gt;","...")</f>
        <v>...</v>
      </c>
      <c r="C26" s="1" t="str">
        <f>IF($I$5="Y",'Population Definitions'!$A$9,"...")</f>
        <v>...</v>
      </c>
      <c r="E26" s="2"/>
      <c r="F26" s="3"/>
      <c r="G26" s="2"/>
      <c r="H26" s="4" t="str">
        <f>IF($I$5="Y","OR","...")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IF($J$5="Y",'Population Definitions'!$A$2,"...")</f>
        <v>...</v>
      </c>
      <c r="B27" s="4" t="str">
        <f>IF($J$5="Y","---&gt;","...")</f>
        <v>...</v>
      </c>
      <c r="C27" s="1" t="str">
        <f>IF($J$5="Y",'Population Definitions'!$A$10,"...")</f>
        <v>...</v>
      </c>
      <c r="E27" s="2"/>
      <c r="F27" s="3"/>
      <c r="G27" s="2"/>
      <c r="H27" s="4" t="str">
        <f>IF($J$5="Y","OR","...")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IF($K$5="Y",'Population Definitions'!$A$2,"...")</f>
        <v>...</v>
      </c>
      <c r="B28" s="4" t="str">
        <f>IF($K$5="Y","---&gt;","...")</f>
        <v>...</v>
      </c>
      <c r="C28" s="1" t="str">
        <f>IF($K$5="Y",'Population Definitions'!$A$11,"...")</f>
        <v>...</v>
      </c>
      <c r="E28" s="2"/>
      <c r="F28" s="3"/>
      <c r="G28" s="2"/>
      <c r="H28" s="4" t="str">
        <f>IF($K$5="Y","OR","...")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IF($L$5="Y",'Population Definitions'!$A$2,"...")</f>
        <v>...</v>
      </c>
      <c r="B29" s="4" t="str">
        <f>IF($L$5="Y","---&gt;","...")</f>
        <v>...</v>
      </c>
      <c r="C29" s="1" t="str">
        <f>IF($L$5="Y",'Population Definitions'!$A$12,"...")</f>
        <v>...</v>
      </c>
      <c r="E29" s="2"/>
      <c r="F29" s="3"/>
      <c r="G29" s="2"/>
      <c r="H29" s="4" t="str">
        <f>IF($L$5="Y","OR","...")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IF($M$5="Y",'Population Definitions'!$A$2,"...")</f>
        <v>...</v>
      </c>
      <c r="B30" s="4" t="str">
        <f>IF($M$5="Y","---&gt;","...")</f>
        <v>...</v>
      </c>
      <c r="C30" s="1" t="str">
        <f>IF($M$5="Y",'Population Definitions'!$A$13,"...")</f>
        <v>...</v>
      </c>
      <c r="E30" s="2"/>
      <c r="F30" s="3"/>
      <c r="G30" s="2"/>
      <c r="H30" s="4" t="str">
        <f>IF($M$5="Y","OR","...")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IF($B$6="Y",'Population Definitions'!$A$3,"...")</f>
        <v>PWID_females</v>
      </c>
      <c r="B31" s="4" t="str">
        <f>IF($B$6="Y","---&gt;","...")</f>
        <v>---&gt;</v>
      </c>
      <c r="C31" s="1" t="str">
        <f>IF($B$6="Y",'Population Definitions'!$A$2,"...")</f>
        <v>PWID_males</v>
      </c>
      <c r="D31" t="s">
        <v>61</v>
      </c>
      <c r="E31" s="3" t="s">
        <v>56</v>
      </c>
      <c r="F31" s="3"/>
      <c r="G31" s="3">
        <v>1</v>
      </c>
      <c r="H31" s="4" t="str">
        <f>IF($B$6="Y","OR","...")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</row>
    <row r="32" spans="1:59">
      <c r="A32" s="1" t="str">
        <f>IF($C$6="Y",'Population Definitions'!$A$3,"...")</f>
        <v>PWID_females</v>
      </c>
      <c r="B32" s="4" t="str">
        <f>IF($C$6="Y","---&gt;","...")</f>
        <v>---&gt;</v>
      </c>
      <c r="C32" s="1" t="str">
        <f>IF($C$6="Y",'Population Definitions'!$A$3,"...")</f>
        <v>PWID_females</v>
      </c>
      <c r="D32" t="s">
        <v>61</v>
      </c>
      <c r="E32" s="3" t="s">
        <v>56</v>
      </c>
      <c r="F32" s="3"/>
      <c r="G32" s="3">
        <v>1</v>
      </c>
      <c r="H32" s="4" t="str">
        <f>IF($C$6="Y","OR","...")</f>
        <v>OR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</row>
    <row r="33" spans="1:59">
      <c r="A33" s="1" t="str">
        <f>IF($D$6="Y",'Population Definitions'!$A$3,"...")</f>
        <v>...</v>
      </c>
      <c r="B33" s="4" t="str">
        <f>IF($D$6="Y","---&gt;","...")</f>
        <v>...</v>
      </c>
      <c r="C33" s="1" t="str">
        <f>IF($D$6="Y",'Population Definitions'!$A$4,"...")</f>
        <v>...</v>
      </c>
      <c r="E33" s="2"/>
      <c r="F33" s="3"/>
      <c r="G33" s="2"/>
      <c r="H33" s="4" t="str">
        <f>IF($D$6="Y","OR","...")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IF($E$6="Y",'Population Definitions'!$A$3,"...")</f>
        <v>...</v>
      </c>
      <c r="B34" s="4" t="str">
        <f>IF($E$6="Y","---&gt;","...")</f>
        <v>...</v>
      </c>
      <c r="C34" s="1" t="str">
        <f>IF($E$6="Y",'Population Definitions'!$A$5,"...")</f>
        <v>...</v>
      </c>
      <c r="E34" s="2"/>
      <c r="F34" s="3"/>
      <c r="G34" s="2"/>
      <c r="H34" s="4" t="str">
        <f>IF($E$6="Y","OR","...")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IF($F$6="Y",'Population Definitions'!$A$3,"...")</f>
        <v>...</v>
      </c>
      <c r="B35" s="4" t="str">
        <f>IF($F$6="Y","---&gt;","...")</f>
        <v>...</v>
      </c>
      <c r="C35" s="1" t="str">
        <f>IF($F$6="Y",'Population Definitions'!$A$6,"...")</f>
        <v>...</v>
      </c>
      <c r="E35" s="2"/>
      <c r="F35" s="3"/>
      <c r="G35" s="2"/>
      <c r="H35" s="4" t="str">
        <f>IF($F$6="Y","OR","...")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IF($G$6="Y",'Population Definitions'!$A$3,"...")</f>
        <v>...</v>
      </c>
      <c r="B36" s="4" t="str">
        <f>IF($G$6="Y","---&gt;","...")</f>
        <v>...</v>
      </c>
      <c r="C36" s="1" t="str">
        <f>IF($G$6="Y",'Population Definitions'!$A$7,"...")</f>
        <v>...</v>
      </c>
      <c r="E36" s="2"/>
      <c r="F36" s="3"/>
      <c r="G36" s="2"/>
      <c r="H36" s="4" t="str">
        <f>IF($G$6="Y","OR","...")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IF($H$6="Y",'Population Definitions'!$A$3,"...")</f>
        <v>...</v>
      </c>
      <c r="B37" s="4" t="str">
        <f>IF($H$6="Y","---&gt;","...")</f>
        <v>...</v>
      </c>
      <c r="C37" s="1" t="str">
        <f>IF($H$6="Y",'Population Definitions'!$A$8,"...")</f>
        <v>...</v>
      </c>
      <c r="E37" s="2"/>
      <c r="F37" s="3"/>
      <c r="G37" s="2"/>
      <c r="H37" s="4" t="str">
        <f>IF($H$6="Y","OR","...")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IF($I$6="Y",'Population Definitions'!$A$3,"...")</f>
        <v>...</v>
      </c>
      <c r="B38" s="4" t="str">
        <f>IF($I$6="Y","---&gt;","...")</f>
        <v>...</v>
      </c>
      <c r="C38" s="1" t="str">
        <f>IF($I$6="Y",'Population Definitions'!$A$9,"...")</f>
        <v>...</v>
      </c>
      <c r="E38" s="2"/>
      <c r="F38" s="3"/>
      <c r="G38" s="2"/>
      <c r="H38" s="4" t="str">
        <f>IF($I$6="Y","OR","...")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IF($J$6="Y",'Population Definitions'!$A$3,"...")</f>
        <v>...</v>
      </c>
      <c r="B39" s="4" t="str">
        <f>IF($J$6="Y","---&gt;","...")</f>
        <v>...</v>
      </c>
      <c r="C39" s="1" t="str">
        <f>IF($J$6="Y",'Population Definitions'!$A$10,"...")</f>
        <v>...</v>
      </c>
      <c r="E39" s="2"/>
      <c r="F39" s="3"/>
      <c r="G39" s="2"/>
      <c r="H39" s="4" t="str">
        <f>IF($J$6="Y","OR","...")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IF($K$6="Y",'Population Definitions'!$A$3,"...")</f>
        <v>...</v>
      </c>
      <c r="B40" s="4" t="str">
        <f>IF($K$6="Y","---&gt;","...")</f>
        <v>...</v>
      </c>
      <c r="C40" s="1" t="str">
        <f>IF($K$6="Y",'Population Definitions'!$A$11,"...")</f>
        <v>...</v>
      </c>
      <c r="E40" s="2"/>
      <c r="F40" s="3"/>
      <c r="G40" s="2"/>
      <c r="H40" s="4" t="str">
        <f>IF($K$6="Y","OR","...")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IF($L$6="Y",'Population Definitions'!$A$3,"...")</f>
        <v>...</v>
      </c>
      <c r="B41" s="4" t="str">
        <f>IF($L$6="Y","---&gt;","...")</f>
        <v>...</v>
      </c>
      <c r="C41" s="1" t="str">
        <f>IF($L$6="Y",'Population Definitions'!$A$12,"...")</f>
        <v>...</v>
      </c>
      <c r="E41" s="2"/>
      <c r="F41" s="3"/>
      <c r="G41" s="2"/>
      <c r="H41" s="4" t="str">
        <f>IF($L$6="Y","OR","...")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IF($M$6="Y",'Population Definitions'!$A$3,"...")</f>
        <v>...</v>
      </c>
      <c r="B42" s="4" t="str">
        <f>IF($M$6="Y","---&gt;","...")</f>
        <v>...</v>
      </c>
      <c r="C42" s="1" t="str">
        <f>IF($M$6="Y",'Population Definitions'!$A$13,"...")</f>
        <v>...</v>
      </c>
      <c r="E42" s="2"/>
      <c r="F42" s="3"/>
      <c r="G42" s="2"/>
      <c r="H42" s="4" t="str">
        <f>IF($M$6="Y","OR","...")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IF($B$7="Y",'Population Definitions'!$A$4,"...")</f>
        <v>...</v>
      </c>
      <c r="B43" s="4" t="str">
        <f>IF($B$7="Y","---&gt;","...")</f>
        <v>...</v>
      </c>
      <c r="C43" s="1" t="str">
        <f>IF($B$7="Y",'Population Definitions'!$A$2,"...")</f>
        <v>...</v>
      </c>
      <c r="E43" s="2"/>
      <c r="F43" s="3"/>
      <c r="G43" s="2"/>
      <c r="H43" s="4" t="str">
        <f>IF($B$7="Y","OR","...")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IF($C$7="Y",'Population Definitions'!$A$4,"...")</f>
        <v>...</v>
      </c>
      <c r="B44" s="4" t="str">
        <f>IF($C$7="Y","---&gt;","...")</f>
        <v>...</v>
      </c>
      <c r="C44" s="1" t="str">
        <f>IF($C$7="Y",'Population Definitions'!$A$3,"...")</f>
        <v>...</v>
      </c>
      <c r="E44" s="2"/>
      <c r="F44" s="3"/>
      <c r="G44" s="2"/>
      <c r="H44" s="4" t="str">
        <f>IF($C$7="Y","OR","...")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IF($D$7="Y",'Population Definitions'!$A$4,"...")</f>
        <v>...</v>
      </c>
      <c r="B45" s="4" t="str">
        <f>IF($D$7="Y","---&gt;","...")</f>
        <v>...</v>
      </c>
      <c r="C45" s="1" t="str">
        <f>IF($D$7="Y",'Population Definitions'!$A$4,"...")</f>
        <v>...</v>
      </c>
      <c r="E45" s="2"/>
      <c r="F45" s="3"/>
      <c r="G45" s="2"/>
      <c r="H45" s="4" t="str">
        <f>IF($D$7="Y","OR","...")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IF($E$7="Y",'Population Definitions'!$A$4,"...")</f>
        <v>...</v>
      </c>
      <c r="B46" s="4" t="str">
        <f>IF($E$7="Y","---&gt;","...")</f>
        <v>...</v>
      </c>
      <c r="C46" s="1" t="str">
        <f>IF($E$7="Y",'Population Definitions'!$A$5,"...")</f>
        <v>...</v>
      </c>
      <c r="E46" s="2"/>
      <c r="F46" s="3"/>
      <c r="G46" s="2"/>
      <c r="H46" s="4" t="str">
        <f>IF($E$7="Y","OR","...")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IF($F$7="Y",'Population Definitions'!$A$4,"...")</f>
        <v>...</v>
      </c>
      <c r="B47" s="4" t="str">
        <f>IF($F$7="Y","---&gt;","...")</f>
        <v>...</v>
      </c>
      <c r="C47" s="1" t="str">
        <f>IF($F$7="Y",'Population Definitions'!$A$6,"...")</f>
        <v>...</v>
      </c>
      <c r="E47" s="2"/>
      <c r="F47" s="3"/>
      <c r="G47" s="2"/>
      <c r="H47" s="4" t="str">
        <f>IF($F$7="Y","OR","...")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IF($G$7="Y",'Population Definitions'!$A$4,"...")</f>
        <v>...</v>
      </c>
      <c r="B48" s="4" t="str">
        <f>IF($G$7="Y","---&gt;","...")</f>
        <v>...</v>
      </c>
      <c r="C48" s="1" t="str">
        <f>IF($G$7="Y",'Population Definitions'!$A$7,"...")</f>
        <v>...</v>
      </c>
      <c r="E48" s="2"/>
      <c r="F48" s="3"/>
      <c r="G48" s="2"/>
      <c r="H48" s="4" t="str">
        <f>IF($G$7="Y","OR","...")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IF($H$7="Y",'Population Definitions'!$A$4,"...")</f>
        <v>...</v>
      </c>
      <c r="B49" s="4" t="str">
        <f>IF($H$7="Y","---&gt;","...")</f>
        <v>...</v>
      </c>
      <c r="C49" s="1" t="str">
        <f>IF($H$7="Y",'Population Definitions'!$A$8,"...")</f>
        <v>...</v>
      </c>
      <c r="E49" s="2"/>
      <c r="F49" s="3"/>
      <c r="G49" s="2"/>
      <c r="H49" s="4" t="str">
        <f>IF($H$7="Y","OR","...")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IF($I$7="Y",'Population Definitions'!$A$4,"...")</f>
        <v>...</v>
      </c>
      <c r="B50" s="4" t="str">
        <f>IF($I$7="Y","---&gt;","...")</f>
        <v>...</v>
      </c>
      <c r="C50" s="1" t="str">
        <f>IF($I$7="Y",'Population Definitions'!$A$9,"...")</f>
        <v>...</v>
      </c>
      <c r="E50" s="2"/>
      <c r="F50" s="3"/>
      <c r="G50" s="2"/>
      <c r="H50" s="4" t="str">
        <f>IF($I$7="Y","OR","...")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IF($J$7="Y",'Population Definitions'!$A$4,"...")</f>
        <v>...</v>
      </c>
      <c r="B51" s="4" t="str">
        <f>IF($J$7="Y","---&gt;","...")</f>
        <v>...</v>
      </c>
      <c r="C51" s="1" t="str">
        <f>IF($J$7="Y",'Population Definitions'!$A$10,"...")</f>
        <v>...</v>
      </c>
      <c r="E51" s="2"/>
      <c r="F51" s="3"/>
      <c r="G51" s="2"/>
      <c r="H51" s="4" t="str">
        <f>IF($J$7="Y","OR","...")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IF($K$7="Y",'Population Definitions'!$A$4,"...")</f>
        <v>...</v>
      </c>
      <c r="B52" s="4" t="str">
        <f>IF($K$7="Y","---&gt;","...")</f>
        <v>...</v>
      </c>
      <c r="C52" s="1" t="str">
        <f>IF($K$7="Y",'Population Definitions'!$A$11,"...")</f>
        <v>...</v>
      </c>
      <c r="E52" s="2"/>
      <c r="F52" s="3"/>
      <c r="G52" s="2"/>
      <c r="H52" s="4" t="str">
        <f>IF($K$7="Y","OR","...")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IF($L$7="Y",'Population Definitions'!$A$4,"...")</f>
        <v>...</v>
      </c>
      <c r="B53" s="4" t="str">
        <f>IF($L$7="Y","---&gt;","...")</f>
        <v>...</v>
      </c>
      <c r="C53" s="1" t="str">
        <f>IF($L$7="Y",'Population Definitions'!$A$12,"...")</f>
        <v>...</v>
      </c>
      <c r="E53" s="2"/>
      <c r="F53" s="3"/>
      <c r="G53" s="2"/>
      <c r="H53" s="4" t="str">
        <f>IF($L$7="Y","OR","...")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IF($M$7="Y",'Population Definitions'!$A$4,"...")</f>
        <v>...</v>
      </c>
      <c r="B54" s="4" t="str">
        <f>IF($M$7="Y","---&gt;","...")</f>
        <v>...</v>
      </c>
      <c r="C54" s="1" t="str">
        <f>IF($M$7="Y",'Population Definitions'!$A$13,"...")</f>
        <v>...</v>
      </c>
      <c r="E54" s="2"/>
      <c r="F54" s="3"/>
      <c r="G54" s="2"/>
      <c r="H54" s="4" t="str">
        <f>IF($M$7="Y","OR","...")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IF($B$8="Y",'Population Definitions'!$A$5,"...")</f>
        <v>...</v>
      </c>
      <c r="B55" s="4" t="str">
        <f>IF($B$8="Y","---&gt;","...")</f>
        <v>...</v>
      </c>
      <c r="C55" s="1" t="str">
        <f>IF($B$8="Y",'Population Definitions'!$A$2,"...")</f>
        <v>...</v>
      </c>
      <c r="E55" s="2"/>
      <c r="F55" s="3"/>
      <c r="G55" s="2"/>
      <c r="H55" s="4" t="str">
        <f>IF($B$8="Y","OR","...")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IF($C$8="Y",'Population Definitions'!$A$5,"...")</f>
        <v>...</v>
      </c>
      <c r="B56" s="4" t="str">
        <f>IF($C$8="Y","---&gt;","...")</f>
        <v>...</v>
      </c>
      <c r="C56" s="1" t="str">
        <f>IF($C$8="Y",'Population Definitions'!$A$3,"...")</f>
        <v>...</v>
      </c>
      <c r="E56" s="2"/>
      <c r="F56" s="3"/>
      <c r="G56" s="2"/>
      <c r="H56" s="4" t="str">
        <f>IF($C$8="Y","OR","...")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IF($D$8="Y",'Population Definitions'!$A$5,"...")</f>
        <v>...</v>
      </c>
      <c r="B57" s="4" t="str">
        <f>IF($D$8="Y","---&gt;","...")</f>
        <v>...</v>
      </c>
      <c r="C57" s="1" t="str">
        <f>IF($D$8="Y",'Population Definitions'!$A$4,"...")</f>
        <v>...</v>
      </c>
      <c r="E57" s="2"/>
      <c r="F57" s="3"/>
      <c r="G57" s="2"/>
      <c r="H57" s="4" t="str">
        <f>IF($D$8="Y","OR","...")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IF($E$8="Y",'Population Definitions'!$A$5,"...")</f>
        <v>...</v>
      </c>
      <c r="B58" s="4" t="str">
        <f>IF($E$8="Y","---&gt;","...")</f>
        <v>...</v>
      </c>
      <c r="C58" s="1" t="str">
        <f>IF($E$8="Y",'Population Definitions'!$A$5,"...")</f>
        <v>...</v>
      </c>
      <c r="E58" s="2"/>
      <c r="F58" s="3"/>
      <c r="G58" s="2"/>
      <c r="H58" s="4" t="str">
        <f>IF($E$8="Y","OR","...")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IF($F$8="Y",'Population Definitions'!$A$5,"...")</f>
        <v>...</v>
      </c>
      <c r="B59" s="4" t="str">
        <f>IF($F$8="Y","---&gt;","...")</f>
        <v>...</v>
      </c>
      <c r="C59" s="1" t="str">
        <f>IF($F$8="Y",'Population Definitions'!$A$6,"...")</f>
        <v>...</v>
      </c>
      <c r="E59" s="2"/>
      <c r="F59" s="3"/>
      <c r="G59" s="2"/>
      <c r="H59" s="4" t="str">
        <f>IF($F$8="Y","OR","...")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IF($G$8="Y",'Population Definitions'!$A$5,"...")</f>
        <v>...</v>
      </c>
      <c r="B60" s="4" t="str">
        <f>IF($G$8="Y","---&gt;","...")</f>
        <v>...</v>
      </c>
      <c r="C60" s="1" t="str">
        <f>IF($G$8="Y",'Population Definitions'!$A$7,"...")</f>
        <v>...</v>
      </c>
      <c r="E60" s="2"/>
      <c r="F60" s="3"/>
      <c r="G60" s="2"/>
      <c r="H60" s="4" t="str">
        <f>IF($G$8="Y","OR","...")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IF($H$8="Y",'Population Definitions'!$A$5,"...")</f>
        <v>...</v>
      </c>
      <c r="B61" s="4" t="str">
        <f>IF($H$8="Y","---&gt;","...")</f>
        <v>...</v>
      </c>
      <c r="C61" s="1" t="str">
        <f>IF($H$8="Y",'Population Definitions'!$A$8,"...")</f>
        <v>...</v>
      </c>
      <c r="E61" s="2"/>
      <c r="F61" s="3"/>
      <c r="G61" s="2"/>
      <c r="H61" s="4" t="str">
        <f>IF($H$8="Y","OR","...")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IF($I$8="Y",'Population Definitions'!$A$5,"...")</f>
        <v>...</v>
      </c>
      <c r="B62" s="4" t="str">
        <f>IF($I$8="Y","---&gt;","...")</f>
        <v>...</v>
      </c>
      <c r="C62" s="1" t="str">
        <f>IF($I$8="Y",'Population Definitions'!$A$9,"...")</f>
        <v>...</v>
      </c>
      <c r="E62" s="2"/>
      <c r="F62" s="3"/>
      <c r="G62" s="2"/>
      <c r="H62" s="4" t="str">
        <f>IF($I$8="Y","OR","...")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IF($J$8="Y",'Population Definitions'!$A$5,"...")</f>
        <v>...</v>
      </c>
      <c r="B63" s="4" t="str">
        <f>IF($J$8="Y","---&gt;","...")</f>
        <v>...</v>
      </c>
      <c r="C63" s="1" t="str">
        <f>IF($J$8="Y",'Population Definitions'!$A$10,"...")</f>
        <v>...</v>
      </c>
      <c r="E63" s="2"/>
      <c r="F63" s="3"/>
      <c r="G63" s="2"/>
      <c r="H63" s="4" t="str">
        <f>IF($J$8="Y","OR","...")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IF($K$8="Y",'Population Definitions'!$A$5,"...")</f>
        <v>...</v>
      </c>
      <c r="B64" s="4" t="str">
        <f>IF($K$8="Y","---&gt;","...")</f>
        <v>...</v>
      </c>
      <c r="C64" s="1" t="str">
        <f>IF($K$8="Y",'Population Definitions'!$A$11,"...")</f>
        <v>...</v>
      </c>
      <c r="E64" s="2"/>
      <c r="F64" s="3"/>
      <c r="G64" s="2"/>
      <c r="H64" s="4" t="str">
        <f>IF($K$8="Y","OR","...")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IF($L$8="Y",'Population Definitions'!$A$5,"...")</f>
        <v>...</v>
      </c>
      <c r="B65" s="4" t="str">
        <f>IF($L$8="Y","---&gt;","...")</f>
        <v>...</v>
      </c>
      <c r="C65" s="1" t="str">
        <f>IF($L$8="Y",'Population Definitions'!$A$12,"...")</f>
        <v>...</v>
      </c>
      <c r="E65" s="2"/>
      <c r="F65" s="3"/>
      <c r="G65" s="2"/>
      <c r="H65" s="4" t="str">
        <f>IF($L$8="Y","OR","...")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IF($M$8="Y",'Population Definitions'!$A$5,"...")</f>
        <v>...</v>
      </c>
      <c r="B66" s="4" t="str">
        <f>IF($M$8="Y","---&gt;","...")</f>
        <v>...</v>
      </c>
      <c r="C66" s="1" t="str">
        <f>IF($M$8="Y",'Population Definitions'!$A$13,"...")</f>
        <v>...</v>
      </c>
      <c r="E66" s="2"/>
      <c r="F66" s="3"/>
      <c r="G66" s="2"/>
      <c r="H66" s="4" t="str">
        <f>IF($M$8="Y","OR","...")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IF($B$9="Y",'Population Definitions'!$A$6,"...")</f>
        <v>...</v>
      </c>
      <c r="B67" s="4" t="str">
        <f>IF($B$9="Y","---&gt;","...")</f>
        <v>...</v>
      </c>
      <c r="C67" s="1" t="str">
        <f>IF($B$9="Y",'Population Definitions'!$A$2,"...")</f>
        <v>...</v>
      </c>
      <c r="E67" s="2"/>
      <c r="F67" s="3"/>
      <c r="G67" s="2"/>
      <c r="H67" s="4" t="str">
        <f>IF($B$9="Y","OR","...")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IF($C$9="Y",'Population Definitions'!$A$6,"...")</f>
        <v>...</v>
      </c>
      <c r="B68" s="4" t="str">
        <f>IF($C$9="Y","---&gt;","...")</f>
        <v>...</v>
      </c>
      <c r="C68" s="1" t="str">
        <f>IF($C$9="Y",'Population Definitions'!$A$3,"...")</f>
        <v>...</v>
      </c>
      <c r="E68" s="2"/>
      <c r="F68" s="3"/>
      <c r="G68" s="2"/>
      <c r="H68" s="4" t="str">
        <f>IF($C$9="Y","OR","...")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IF($D$9="Y",'Population Definitions'!$A$6,"...")</f>
        <v>...</v>
      </c>
      <c r="B69" s="4" t="str">
        <f>IF($D$9="Y","---&gt;","...")</f>
        <v>...</v>
      </c>
      <c r="C69" s="1" t="str">
        <f>IF($D$9="Y",'Population Definitions'!$A$4,"...")</f>
        <v>...</v>
      </c>
      <c r="E69" s="2"/>
      <c r="F69" s="3"/>
      <c r="G69" s="2"/>
      <c r="H69" s="4" t="str">
        <f>IF($D$9="Y","OR","...")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IF($E$9="Y",'Population Definitions'!$A$6,"...")</f>
        <v>...</v>
      </c>
      <c r="B70" s="4" t="str">
        <f>IF($E$9="Y","---&gt;","...")</f>
        <v>...</v>
      </c>
      <c r="C70" s="1" t="str">
        <f>IF($E$9="Y",'Population Definitions'!$A$5,"...")</f>
        <v>...</v>
      </c>
      <c r="E70" s="2"/>
      <c r="F70" s="3"/>
      <c r="G70" s="2"/>
      <c r="H70" s="4" t="str">
        <f>IF($E$9="Y","OR","...")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IF($F$9="Y",'Population Definitions'!$A$6,"...")</f>
        <v>...</v>
      </c>
      <c r="B71" s="4" t="str">
        <f>IF($F$9="Y","---&gt;","...")</f>
        <v>...</v>
      </c>
      <c r="C71" s="1" t="str">
        <f>IF($F$9="Y",'Population Definitions'!$A$6,"...")</f>
        <v>...</v>
      </c>
      <c r="E71" s="2"/>
      <c r="F71" s="3"/>
      <c r="G71" s="2"/>
      <c r="H71" s="4" t="str">
        <f>IF($F$9="Y","OR","...")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IF($G$9="Y",'Population Definitions'!$A$6,"...")</f>
        <v>...</v>
      </c>
      <c r="B72" s="4" t="str">
        <f>IF($G$9="Y","---&gt;","...")</f>
        <v>...</v>
      </c>
      <c r="C72" s="1" t="str">
        <f>IF($G$9="Y",'Population Definitions'!$A$7,"...")</f>
        <v>...</v>
      </c>
      <c r="E72" s="2"/>
      <c r="F72" s="3"/>
      <c r="G72" s="2"/>
      <c r="H72" s="4" t="str">
        <f>IF($G$9="Y","OR","...")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IF($H$9="Y",'Population Definitions'!$A$6,"...")</f>
        <v>...</v>
      </c>
      <c r="B73" s="4" t="str">
        <f>IF($H$9="Y","---&gt;","...")</f>
        <v>...</v>
      </c>
      <c r="C73" s="1" t="str">
        <f>IF($H$9="Y",'Population Definitions'!$A$8,"...")</f>
        <v>...</v>
      </c>
      <c r="E73" s="2"/>
      <c r="F73" s="3"/>
      <c r="G73" s="2"/>
      <c r="H73" s="4" t="str">
        <f>IF($H$9="Y","OR","...")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IF($I$9="Y",'Population Definitions'!$A$6,"...")</f>
        <v>...</v>
      </c>
      <c r="B74" s="4" t="str">
        <f>IF($I$9="Y","---&gt;","...")</f>
        <v>...</v>
      </c>
      <c r="C74" s="1" t="str">
        <f>IF($I$9="Y",'Population Definitions'!$A$9,"...")</f>
        <v>...</v>
      </c>
      <c r="E74" s="2"/>
      <c r="F74" s="3"/>
      <c r="G74" s="2"/>
      <c r="H74" s="4" t="str">
        <f>IF($I$9="Y","OR","...")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IF($J$9="Y",'Population Definitions'!$A$6,"...")</f>
        <v>...</v>
      </c>
      <c r="B75" s="4" t="str">
        <f>IF($J$9="Y","---&gt;","...")</f>
        <v>...</v>
      </c>
      <c r="C75" s="1" t="str">
        <f>IF($J$9="Y",'Population Definitions'!$A$10,"...")</f>
        <v>...</v>
      </c>
      <c r="E75" s="2"/>
      <c r="F75" s="3"/>
      <c r="G75" s="2"/>
      <c r="H75" s="4" t="str">
        <f>IF($J$9="Y","OR","...")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IF($K$9="Y",'Population Definitions'!$A$6,"...")</f>
        <v>...</v>
      </c>
      <c r="B76" s="4" t="str">
        <f>IF($K$9="Y","---&gt;","...")</f>
        <v>...</v>
      </c>
      <c r="C76" s="1" t="str">
        <f>IF($K$9="Y",'Population Definitions'!$A$11,"...")</f>
        <v>...</v>
      </c>
      <c r="E76" s="2"/>
      <c r="F76" s="3"/>
      <c r="G76" s="2"/>
      <c r="H76" s="4" t="str">
        <f>IF($K$9="Y","OR","...")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IF($L$9="Y",'Population Definitions'!$A$6,"...")</f>
        <v>...</v>
      </c>
      <c r="B77" s="4" t="str">
        <f>IF($L$9="Y","---&gt;","...")</f>
        <v>...</v>
      </c>
      <c r="C77" s="1" t="str">
        <f>IF($L$9="Y",'Population Definitions'!$A$12,"...")</f>
        <v>...</v>
      </c>
      <c r="E77" s="2"/>
      <c r="F77" s="3"/>
      <c r="G77" s="2"/>
      <c r="H77" s="4" t="str">
        <f>IF($L$9="Y","OR","...")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IF($M$9="Y",'Population Definitions'!$A$6,"...")</f>
        <v>...</v>
      </c>
      <c r="B78" s="4" t="str">
        <f>IF($M$9="Y","---&gt;","...")</f>
        <v>...</v>
      </c>
      <c r="C78" s="1" t="str">
        <f>IF($M$9="Y",'Population Definitions'!$A$13,"...")</f>
        <v>...</v>
      </c>
      <c r="E78" s="2"/>
      <c r="F78" s="3"/>
      <c r="G78" s="2"/>
      <c r="H78" s="4" t="str">
        <f>IF($M$9="Y","OR","...")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IF($B$10="Y",'Population Definitions'!$A$7,"...")</f>
        <v>...</v>
      </c>
      <c r="B79" s="4" t="str">
        <f>IF($B$10="Y","---&gt;","...")</f>
        <v>...</v>
      </c>
      <c r="C79" s="1" t="str">
        <f>IF($B$10="Y",'Population Definitions'!$A$2,"...")</f>
        <v>...</v>
      </c>
      <c r="E79" s="2"/>
      <c r="F79" s="3"/>
      <c r="G79" s="2"/>
      <c r="H79" s="4" t="str">
        <f>IF($B$10="Y","OR","...")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IF($C$10="Y",'Population Definitions'!$A$7,"...")</f>
        <v>...</v>
      </c>
      <c r="B80" s="4" t="str">
        <f>IF($C$10="Y","---&gt;","...")</f>
        <v>...</v>
      </c>
      <c r="C80" s="1" t="str">
        <f>IF($C$10="Y",'Population Definitions'!$A$3,"...")</f>
        <v>...</v>
      </c>
      <c r="E80" s="2"/>
      <c r="F80" s="3"/>
      <c r="G80" s="2"/>
      <c r="H80" s="4" t="str">
        <f>IF($C$10="Y","OR","...")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IF($D$10="Y",'Population Definitions'!$A$7,"...")</f>
        <v>...</v>
      </c>
      <c r="B81" s="4" t="str">
        <f>IF($D$10="Y","---&gt;","...")</f>
        <v>...</v>
      </c>
      <c r="C81" s="1" t="str">
        <f>IF($D$10="Y",'Population Definitions'!$A$4,"...")</f>
        <v>...</v>
      </c>
      <c r="E81" s="2"/>
      <c r="F81" s="3"/>
      <c r="G81" s="2"/>
      <c r="H81" s="4" t="str">
        <f>IF($D$10="Y","OR","...")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IF($E$10="Y",'Population Definitions'!$A$7,"...")</f>
        <v>...</v>
      </c>
      <c r="B82" s="4" t="str">
        <f>IF($E$10="Y","---&gt;","...")</f>
        <v>...</v>
      </c>
      <c r="C82" s="1" t="str">
        <f>IF($E$10="Y",'Population Definitions'!$A$5,"...")</f>
        <v>...</v>
      </c>
      <c r="E82" s="2"/>
      <c r="F82" s="3"/>
      <c r="G82" s="2"/>
      <c r="H82" s="4" t="str">
        <f>IF($E$10="Y","OR","...")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IF($F$10="Y",'Population Definitions'!$A$7,"...")</f>
        <v>...</v>
      </c>
      <c r="B83" s="4" t="str">
        <f>IF($F$10="Y","---&gt;","...")</f>
        <v>...</v>
      </c>
      <c r="C83" s="1" t="str">
        <f>IF($F$10="Y",'Population Definitions'!$A$6,"...")</f>
        <v>...</v>
      </c>
      <c r="E83" s="2"/>
      <c r="F83" s="3"/>
      <c r="G83" s="2"/>
      <c r="H83" s="4" t="str">
        <f>IF($F$10="Y","OR","...")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IF($G$10="Y",'Population Definitions'!$A$7,"...")</f>
        <v>...</v>
      </c>
      <c r="B84" s="4" t="str">
        <f>IF($G$10="Y","---&gt;","...")</f>
        <v>...</v>
      </c>
      <c r="C84" s="1" t="str">
        <f>IF($G$10="Y",'Population Definitions'!$A$7,"...")</f>
        <v>...</v>
      </c>
      <c r="E84" s="2"/>
      <c r="F84" s="3"/>
      <c r="G84" s="2"/>
      <c r="H84" s="4" t="str">
        <f>IF($G$10="Y","OR","...")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IF($H$10="Y",'Population Definitions'!$A$7,"...")</f>
        <v>...</v>
      </c>
      <c r="B85" s="4" t="str">
        <f>IF($H$10="Y","---&gt;","...")</f>
        <v>...</v>
      </c>
      <c r="C85" s="1" t="str">
        <f>IF($H$10="Y",'Population Definitions'!$A$8,"...")</f>
        <v>...</v>
      </c>
      <c r="E85" s="2"/>
      <c r="F85" s="3"/>
      <c r="G85" s="2"/>
      <c r="H85" s="4" t="str">
        <f>IF($H$10="Y","OR","...")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IF($I$10="Y",'Population Definitions'!$A$7,"...")</f>
        <v>...</v>
      </c>
      <c r="B86" s="4" t="str">
        <f>IF($I$10="Y","---&gt;","...")</f>
        <v>...</v>
      </c>
      <c r="C86" s="1" t="str">
        <f>IF($I$10="Y",'Population Definitions'!$A$9,"...")</f>
        <v>...</v>
      </c>
      <c r="E86" s="2"/>
      <c r="F86" s="3"/>
      <c r="G86" s="2"/>
      <c r="H86" s="4" t="str">
        <f>IF($I$10="Y","OR","...")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IF($J$10="Y",'Population Definitions'!$A$7,"...")</f>
        <v>...</v>
      </c>
      <c r="B87" s="4" t="str">
        <f>IF($J$10="Y","---&gt;","...")</f>
        <v>...</v>
      </c>
      <c r="C87" s="1" t="str">
        <f>IF($J$10="Y",'Population Definitions'!$A$10,"...")</f>
        <v>...</v>
      </c>
      <c r="E87" s="2"/>
      <c r="F87" s="3"/>
      <c r="G87" s="2"/>
      <c r="H87" s="4" t="str">
        <f>IF($J$10="Y","OR","...")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IF($K$10="Y",'Population Definitions'!$A$7,"...")</f>
        <v>...</v>
      </c>
      <c r="B88" s="4" t="str">
        <f>IF($K$10="Y","---&gt;","...")</f>
        <v>...</v>
      </c>
      <c r="C88" s="1" t="str">
        <f>IF($K$10="Y",'Population Definitions'!$A$11,"...")</f>
        <v>...</v>
      </c>
      <c r="E88" s="2"/>
      <c r="F88" s="3"/>
      <c r="G88" s="2"/>
      <c r="H88" s="4" t="str">
        <f>IF($K$10="Y","OR","...")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IF($L$10="Y",'Population Definitions'!$A$7,"...")</f>
        <v>...</v>
      </c>
      <c r="B89" s="4" t="str">
        <f>IF($L$10="Y","---&gt;","...")</f>
        <v>...</v>
      </c>
      <c r="C89" s="1" t="str">
        <f>IF($L$10="Y",'Population Definitions'!$A$12,"...")</f>
        <v>...</v>
      </c>
      <c r="E89" s="2"/>
      <c r="F89" s="3"/>
      <c r="G89" s="2"/>
      <c r="H89" s="4" t="str">
        <f>IF($L$10="Y","OR","...")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IF($M$10="Y",'Population Definitions'!$A$7,"...")</f>
        <v>...</v>
      </c>
      <c r="B90" s="4" t="str">
        <f>IF($M$10="Y","---&gt;","...")</f>
        <v>...</v>
      </c>
      <c r="C90" s="1" t="str">
        <f>IF($M$10="Y",'Population Definitions'!$A$13,"...")</f>
        <v>...</v>
      </c>
      <c r="E90" s="2"/>
      <c r="F90" s="3"/>
      <c r="G90" s="2"/>
      <c r="H90" s="4" t="str">
        <f>IF($M$10="Y","OR","...")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IF($B$11="Y",'Population Definitions'!$A$8,"...")</f>
        <v>...</v>
      </c>
      <c r="B91" s="4" t="str">
        <f>IF($B$11="Y","---&gt;","...")</f>
        <v>...</v>
      </c>
      <c r="C91" s="1" t="str">
        <f>IF($B$11="Y",'Population Definitions'!$A$2,"...")</f>
        <v>...</v>
      </c>
      <c r="E91" s="2"/>
      <c r="F91" s="3"/>
      <c r="G91" s="2"/>
      <c r="H91" s="4" t="str">
        <f>IF($B$11="Y","OR","...")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IF($C$11="Y",'Population Definitions'!$A$8,"...")</f>
        <v>...</v>
      </c>
      <c r="B92" s="4" t="str">
        <f>IF($C$11="Y","---&gt;","...")</f>
        <v>...</v>
      </c>
      <c r="C92" s="1" t="str">
        <f>IF($C$11="Y",'Population Definitions'!$A$3,"...")</f>
        <v>...</v>
      </c>
      <c r="E92" s="2"/>
      <c r="F92" s="3"/>
      <c r="G92" s="2"/>
      <c r="H92" s="4" t="str">
        <f>IF($C$11="Y","OR","...")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IF($D$11="Y",'Population Definitions'!$A$8,"...")</f>
        <v>...</v>
      </c>
      <c r="B93" s="4" t="str">
        <f>IF($D$11="Y","---&gt;","...")</f>
        <v>...</v>
      </c>
      <c r="C93" s="1" t="str">
        <f>IF($D$11="Y",'Population Definitions'!$A$4,"...")</f>
        <v>...</v>
      </c>
      <c r="E93" s="2"/>
      <c r="F93" s="3"/>
      <c r="G93" s="2"/>
      <c r="H93" s="4" t="str">
        <f>IF($D$11="Y","OR","...")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IF($E$11="Y",'Population Definitions'!$A$8,"...")</f>
        <v>...</v>
      </c>
      <c r="B94" s="4" t="str">
        <f>IF($E$11="Y","---&gt;","...")</f>
        <v>...</v>
      </c>
      <c r="C94" s="1" t="str">
        <f>IF($E$11="Y",'Population Definitions'!$A$5,"...")</f>
        <v>...</v>
      </c>
      <c r="E94" s="2"/>
      <c r="F94" s="3"/>
      <c r="G94" s="2"/>
      <c r="H94" s="4" t="str">
        <f>IF($E$11="Y","OR","...")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IF($F$11="Y",'Population Definitions'!$A$8,"...")</f>
        <v>...</v>
      </c>
      <c r="B95" s="4" t="str">
        <f>IF($F$11="Y","---&gt;","...")</f>
        <v>...</v>
      </c>
      <c r="C95" s="1" t="str">
        <f>IF($F$11="Y",'Population Definitions'!$A$6,"...")</f>
        <v>...</v>
      </c>
      <c r="E95" s="2"/>
      <c r="F95" s="3"/>
      <c r="G95" s="2"/>
      <c r="H95" s="4" t="str">
        <f>IF($F$11="Y","OR","...")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IF($G$11="Y",'Population Definitions'!$A$8,"...")</f>
        <v>...</v>
      </c>
      <c r="B96" s="4" t="str">
        <f>IF($G$11="Y","---&gt;","...")</f>
        <v>...</v>
      </c>
      <c r="C96" s="1" t="str">
        <f>IF($G$11="Y",'Population Definitions'!$A$7,"...")</f>
        <v>...</v>
      </c>
      <c r="E96" s="2"/>
      <c r="F96" s="3"/>
      <c r="G96" s="2"/>
      <c r="H96" s="4" t="str">
        <f>IF($G$11="Y","OR","...")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IF($H$11="Y",'Population Definitions'!$A$8,"...")</f>
        <v>...</v>
      </c>
      <c r="B97" s="4" t="str">
        <f>IF($H$11="Y","---&gt;","...")</f>
        <v>...</v>
      </c>
      <c r="C97" s="1" t="str">
        <f>IF($H$11="Y",'Population Definitions'!$A$8,"...")</f>
        <v>...</v>
      </c>
      <c r="E97" s="2"/>
      <c r="F97" s="3"/>
      <c r="G97" s="2"/>
      <c r="H97" s="4" t="str">
        <f>IF($H$11="Y","OR","...")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IF($I$11="Y",'Population Definitions'!$A$8,"...")</f>
        <v>...</v>
      </c>
      <c r="B98" s="4" t="str">
        <f>IF($I$11="Y","---&gt;","...")</f>
        <v>...</v>
      </c>
      <c r="C98" s="1" t="str">
        <f>IF($I$11="Y",'Population Definitions'!$A$9,"...")</f>
        <v>...</v>
      </c>
      <c r="E98" s="2"/>
      <c r="F98" s="3"/>
      <c r="G98" s="2"/>
      <c r="H98" s="4" t="str">
        <f>IF($I$11="Y","OR","...")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IF($J$11="Y",'Population Definitions'!$A$8,"...")</f>
        <v>...</v>
      </c>
      <c r="B99" s="4" t="str">
        <f>IF($J$11="Y","---&gt;","...")</f>
        <v>...</v>
      </c>
      <c r="C99" s="1" t="str">
        <f>IF($J$11="Y",'Population Definitions'!$A$10,"...")</f>
        <v>...</v>
      </c>
      <c r="E99" s="2"/>
      <c r="F99" s="3"/>
      <c r="G99" s="2"/>
      <c r="H99" s="4" t="str">
        <f>IF($J$11="Y","OR","...")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IF($K$11="Y",'Population Definitions'!$A$8,"...")</f>
        <v>...</v>
      </c>
      <c r="B100" s="4" t="str">
        <f>IF($K$11="Y","---&gt;","...")</f>
        <v>...</v>
      </c>
      <c r="C100" s="1" t="str">
        <f>IF($K$11="Y",'Population Definitions'!$A$11,"...")</f>
        <v>...</v>
      </c>
      <c r="E100" s="2"/>
      <c r="F100" s="3"/>
      <c r="G100" s="2"/>
      <c r="H100" s="4" t="str">
        <f>IF($K$11="Y","OR","...")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IF($L$11="Y",'Population Definitions'!$A$8,"...")</f>
        <v>...</v>
      </c>
      <c r="B101" s="4" t="str">
        <f>IF($L$11="Y","---&gt;","...")</f>
        <v>...</v>
      </c>
      <c r="C101" s="1" t="str">
        <f>IF($L$11="Y",'Population Definitions'!$A$12,"...")</f>
        <v>...</v>
      </c>
      <c r="E101" s="2"/>
      <c r="F101" s="3"/>
      <c r="G101" s="2"/>
      <c r="H101" s="4" t="str">
        <f>IF($L$11="Y","OR","...")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IF($M$11="Y",'Population Definitions'!$A$8,"...")</f>
        <v>...</v>
      </c>
      <c r="B102" s="4" t="str">
        <f>IF($M$11="Y","---&gt;","...")</f>
        <v>...</v>
      </c>
      <c r="C102" s="1" t="str">
        <f>IF($M$11="Y",'Population Definitions'!$A$13,"...")</f>
        <v>...</v>
      </c>
      <c r="E102" s="2"/>
      <c r="F102" s="3"/>
      <c r="G102" s="2"/>
      <c r="H102" s="4" t="str">
        <f>IF($M$11="Y","OR","...")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IF($B$12="Y",'Population Definitions'!$A$9,"...")</f>
        <v>...</v>
      </c>
      <c r="B103" s="4" t="str">
        <f>IF($B$12="Y","---&gt;","...")</f>
        <v>...</v>
      </c>
      <c r="C103" s="1" t="str">
        <f>IF($B$12="Y",'Population Definitions'!$A$2,"...")</f>
        <v>...</v>
      </c>
      <c r="E103" s="2"/>
      <c r="F103" s="3"/>
      <c r="G103" s="2"/>
      <c r="H103" s="4" t="str">
        <f>IF($B$12="Y","OR","...")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IF($C$12="Y",'Population Definitions'!$A$9,"...")</f>
        <v>...</v>
      </c>
      <c r="B104" s="4" t="str">
        <f>IF($C$12="Y","---&gt;","...")</f>
        <v>...</v>
      </c>
      <c r="C104" s="1" t="str">
        <f>IF($C$12="Y",'Population Definitions'!$A$3,"...")</f>
        <v>...</v>
      </c>
      <c r="E104" s="2"/>
      <c r="F104" s="3"/>
      <c r="G104" s="2"/>
      <c r="H104" s="4" t="str">
        <f>IF($C$12="Y","OR","...")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IF($D$12="Y",'Population Definitions'!$A$9,"...")</f>
        <v>...</v>
      </c>
      <c r="B105" s="4" t="str">
        <f>IF($D$12="Y","---&gt;","...")</f>
        <v>...</v>
      </c>
      <c r="C105" s="1" t="str">
        <f>IF($D$12="Y",'Population Definitions'!$A$4,"...")</f>
        <v>...</v>
      </c>
      <c r="E105" s="2"/>
      <c r="F105" s="3"/>
      <c r="G105" s="2"/>
      <c r="H105" s="4" t="str">
        <f>IF($D$12="Y","OR","...")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IF($E$12="Y",'Population Definitions'!$A$9,"...")</f>
        <v>...</v>
      </c>
      <c r="B106" s="4" t="str">
        <f>IF($E$12="Y","---&gt;","...")</f>
        <v>...</v>
      </c>
      <c r="C106" s="1" t="str">
        <f>IF($E$12="Y",'Population Definitions'!$A$5,"...")</f>
        <v>...</v>
      </c>
      <c r="E106" s="2"/>
      <c r="F106" s="3"/>
      <c r="G106" s="2"/>
      <c r="H106" s="4" t="str">
        <f>IF($E$12="Y","OR","...")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IF($F$12="Y",'Population Definitions'!$A$9,"...")</f>
        <v>...</v>
      </c>
      <c r="B107" s="4" t="str">
        <f>IF($F$12="Y","---&gt;","...")</f>
        <v>...</v>
      </c>
      <c r="C107" s="1" t="str">
        <f>IF($F$12="Y",'Population Definitions'!$A$6,"...")</f>
        <v>...</v>
      </c>
      <c r="E107" s="2"/>
      <c r="F107" s="3"/>
      <c r="G107" s="2"/>
      <c r="H107" s="4" t="str">
        <f>IF($F$12="Y","OR","...")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IF($G$12="Y",'Population Definitions'!$A$9,"...")</f>
        <v>...</v>
      </c>
      <c r="B108" s="4" t="str">
        <f>IF($G$12="Y","---&gt;","...")</f>
        <v>...</v>
      </c>
      <c r="C108" s="1" t="str">
        <f>IF($G$12="Y",'Population Definitions'!$A$7,"...")</f>
        <v>...</v>
      </c>
      <c r="E108" s="2"/>
      <c r="F108" s="3"/>
      <c r="G108" s="2"/>
      <c r="H108" s="4" t="str">
        <f>IF($G$12="Y","OR","...")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IF($H$12="Y",'Population Definitions'!$A$9,"...")</f>
        <v>...</v>
      </c>
      <c r="B109" s="4" t="str">
        <f>IF($H$12="Y","---&gt;","...")</f>
        <v>...</v>
      </c>
      <c r="C109" s="1" t="str">
        <f>IF($H$12="Y",'Population Definitions'!$A$8,"...")</f>
        <v>...</v>
      </c>
      <c r="E109" s="2"/>
      <c r="F109" s="3"/>
      <c r="G109" s="2"/>
      <c r="H109" s="4" t="str">
        <f>IF($H$12="Y","OR","...")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IF($I$12="Y",'Population Definitions'!$A$9,"...")</f>
        <v>...</v>
      </c>
      <c r="B110" s="4" t="str">
        <f>IF($I$12="Y","---&gt;","...")</f>
        <v>...</v>
      </c>
      <c r="C110" s="1" t="str">
        <f>IF($I$12="Y",'Population Definitions'!$A$9,"...")</f>
        <v>...</v>
      </c>
      <c r="E110" s="2"/>
      <c r="F110" s="3"/>
      <c r="G110" s="2"/>
      <c r="H110" s="4" t="str">
        <f>IF($I$12="Y","OR","...")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IF($J$12="Y",'Population Definitions'!$A$9,"...")</f>
        <v>...</v>
      </c>
      <c r="B111" s="4" t="str">
        <f>IF($J$12="Y","---&gt;","...")</f>
        <v>...</v>
      </c>
      <c r="C111" s="1" t="str">
        <f>IF($J$12="Y",'Population Definitions'!$A$10,"...")</f>
        <v>...</v>
      </c>
      <c r="E111" s="2"/>
      <c r="F111" s="3"/>
      <c r="G111" s="2"/>
      <c r="H111" s="4" t="str">
        <f>IF($J$12="Y","OR","...")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IF($K$12="Y",'Population Definitions'!$A$9,"...")</f>
        <v>...</v>
      </c>
      <c r="B112" s="4" t="str">
        <f>IF($K$12="Y","---&gt;","...")</f>
        <v>...</v>
      </c>
      <c r="C112" s="1" t="str">
        <f>IF($K$12="Y",'Population Definitions'!$A$11,"...")</f>
        <v>...</v>
      </c>
      <c r="E112" s="2"/>
      <c r="F112" s="3"/>
      <c r="G112" s="2"/>
      <c r="H112" s="4" t="str">
        <f>IF($K$12="Y","OR","...")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IF($L$12="Y",'Population Definitions'!$A$9,"...")</f>
        <v>...</v>
      </c>
      <c r="B113" s="4" t="str">
        <f>IF($L$12="Y","---&gt;","...")</f>
        <v>...</v>
      </c>
      <c r="C113" s="1" t="str">
        <f>IF($L$12="Y",'Population Definitions'!$A$12,"...")</f>
        <v>...</v>
      </c>
      <c r="E113" s="2"/>
      <c r="F113" s="3"/>
      <c r="G113" s="2"/>
      <c r="H113" s="4" t="str">
        <f>IF($L$12="Y","OR","...")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IF($M$12="Y",'Population Definitions'!$A$9,"...")</f>
        <v>...</v>
      </c>
      <c r="B114" s="4" t="str">
        <f>IF($M$12="Y","---&gt;","...")</f>
        <v>...</v>
      </c>
      <c r="C114" s="1" t="str">
        <f>IF($M$12="Y",'Population Definitions'!$A$13,"...")</f>
        <v>...</v>
      </c>
      <c r="E114" s="2"/>
      <c r="F114" s="3"/>
      <c r="G114" s="2"/>
      <c r="H114" s="4" t="str">
        <f>IF($M$12="Y","OR","...")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IF($B$13="Y",'Population Definitions'!$A$10,"...")</f>
        <v>...</v>
      </c>
      <c r="B115" s="4" t="str">
        <f>IF($B$13="Y","---&gt;","...")</f>
        <v>...</v>
      </c>
      <c r="C115" s="1" t="str">
        <f>IF($B$13="Y",'Population Definitions'!$A$2,"...")</f>
        <v>...</v>
      </c>
      <c r="E115" s="2"/>
      <c r="F115" s="3"/>
      <c r="G115" s="2"/>
      <c r="H115" s="4" t="str">
        <f>IF($B$13="Y","OR","...")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IF($C$13="Y",'Population Definitions'!$A$10,"...")</f>
        <v>...</v>
      </c>
      <c r="B116" s="4" t="str">
        <f>IF($C$13="Y","---&gt;","...")</f>
        <v>...</v>
      </c>
      <c r="C116" s="1" t="str">
        <f>IF($C$13="Y",'Population Definitions'!$A$3,"...")</f>
        <v>...</v>
      </c>
      <c r="E116" s="2"/>
      <c r="F116" s="3"/>
      <c r="G116" s="2"/>
      <c r="H116" s="4" t="str">
        <f>IF($C$13="Y","OR","...")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IF($D$13="Y",'Population Definitions'!$A$10,"...")</f>
        <v>...</v>
      </c>
      <c r="B117" s="4" t="str">
        <f>IF($D$13="Y","---&gt;","...")</f>
        <v>...</v>
      </c>
      <c r="C117" s="1" t="str">
        <f>IF($D$13="Y",'Population Definitions'!$A$4,"...")</f>
        <v>...</v>
      </c>
      <c r="E117" s="2"/>
      <c r="F117" s="3"/>
      <c r="G117" s="2"/>
      <c r="H117" s="4" t="str">
        <f>IF($D$13="Y","OR","...")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IF($E$13="Y",'Population Definitions'!$A$10,"...")</f>
        <v>...</v>
      </c>
      <c r="B118" s="4" t="str">
        <f>IF($E$13="Y","---&gt;","...")</f>
        <v>...</v>
      </c>
      <c r="C118" s="1" t="str">
        <f>IF($E$13="Y",'Population Definitions'!$A$5,"...")</f>
        <v>...</v>
      </c>
      <c r="E118" s="2"/>
      <c r="F118" s="3"/>
      <c r="G118" s="2"/>
      <c r="H118" s="4" t="str">
        <f>IF($E$13="Y","OR","...")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IF($F$13="Y",'Population Definitions'!$A$10,"...")</f>
        <v>...</v>
      </c>
      <c r="B119" s="4" t="str">
        <f>IF($F$13="Y","---&gt;","...")</f>
        <v>...</v>
      </c>
      <c r="C119" s="1" t="str">
        <f>IF($F$13="Y",'Population Definitions'!$A$6,"...")</f>
        <v>...</v>
      </c>
      <c r="E119" s="2"/>
      <c r="F119" s="3"/>
      <c r="G119" s="2"/>
      <c r="H119" s="4" t="str">
        <f>IF($F$13="Y","OR","...")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IF($G$13="Y",'Population Definitions'!$A$10,"...")</f>
        <v>...</v>
      </c>
      <c r="B120" s="4" t="str">
        <f>IF($G$13="Y","---&gt;","...")</f>
        <v>...</v>
      </c>
      <c r="C120" s="1" t="str">
        <f>IF($G$13="Y",'Population Definitions'!$A$7,"...")</f>
        <v>...</v>
      </c>
      <c r="E120" s="2"/>
      <c r="F120" s="3"/>
      <c r="G120" s="2"/>
      <c r="H120" s="4" t="str">
        <f>IF($G$13="Y","OR","...")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IF($H$13="Y",'Population Definitions'!$A$10,"...")</f>
        <v>...</v>
      </c>
      <c r="B121" s="4" t="str">
        <f>IF($H$13="Y","---&gt;","...")</f>
        <v>...</v>
      </c>
      <c r="C121" s="1" t="str">
        <f>IF($H$13="Y",'Population Definitions'!$A$8,"...")</f>
        <v>...</v>
      </c>
      <c r="E121" s="2"/>
      <c r="F121" s="3"/>
      <c r="G121" s="2"/>
      <c r="H121" s="4" t="str">
        <f>IF($H$13="Y","OR","...")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IF($I$13="Y",'Population Definitions'!$A$10,"...")</f>
        <v>...</v>
      </c>
      <c r="B122" s="4" t="str">
        <f>IF($I$13="Y","---&gt;","...")</f>
        <v>...</v>
      </c>
      <c r="C122" s="1" t="str">
        <f>IF($I$13="Y",'Population Definitions'!$A$9,"...")</f>
        <v>...</v>
      </c>
      <c r="E122" s="2"/>
      <c r="F122" s="3"/>
      <c r="G122" s="2"/>
      <c r="H122" s="4" t="str">
        <f>IF($I$13="Y","OR","...")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IF($J$13="Y",'Population Definitions'!$A$10,"...")</f>
        <v>...</v>
      </c>
      <c r="B123" s="4" t="str">
        <f>IF($J$13="Y","---&gt;","...")</f>
        <v>...</v>
      </c>
      <c r="C123" s="1" t="str">
        <f>IF($J$13="Y",'Population Definitions'!$A$10,"...")</f>
        <v>...</v>
      </c>
      <c r="E123" s="2"/>
      <c r="F123" s="3"/>
      <c r="G123" s="2"/>
      <c r="H123" s="4" t="str">
        <f>IF($J$13="Y","OR","...")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IF($K$13="Y",'Population Definitions'!$A$10,"...")</f>
        <v>...</v>
      </c>
      <c r="B124" s="4" t="str">
        <f>IF($K$13="Y","---&gt;","...")</f>
        <v>...</v>
      </c>
      <c r="C124" s="1" t="str">
        <f>IF($K$13="Y",'Population Definitions'!$A$11,"...")</f>
        <v>...</v>
      </c>
      <c r="E124" s="2"/>
      <c r="F124" s="3"/>
      <c r="G124" s="2"/>
      <c r="H124" s="4" t="str">
        <f>IF($K$13="Y","OR","...")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IF($L$13="Y",'Population Definitions'!$A$10,"...")</f>
        <v>...</v>
      </c>
      <c r="B125" s="4" t="str">
        <f>IF($L$13="Y","---&gt;","...")</f>
        <v>...</v>
      </c>
      <c r="C125" s="1" t="str">
        <f>IF($L$13="Y",'Population Definitions'!$A$12,"...")</f>
        <v>...</v>
      </c>
      <c r="E125" s="2"/>
      <c r="F125" s="3"/>
      <c r="G125" s="2"/>
      <c r="H125" s="4" t="str">
        <f>IF($L$13="Y","OR","...")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IF($M$13="Y",'Population Definitions'!$A$10,"...")</f>
        <v>...</v>
      </c>
      <c r="B126" s="4" t="str">
        <f>IF($M$13="Y","---&gt;","...")</f>
        <v>...</v>
      </c>
      <c r="C126" s="1" t="str">
        <f>IF($M$13="Y",'Population Definitions'!$A$13,"...")</f>
        <v>...</v>
      </c>
      <c r="E126" s="2"/>
      <c r="F126" s="3"/>
      <c r="G126" s="2"/>
      <c r="H126" s="4" t="str">
        <f>IF($M$13="Y","OR","...")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IF($B$14="Y",'Population Definitions'!$A$11,"...")</f>
        <v>...</v>
      </c>
      <c r="B127" s="4" t="str">
        <f>IF($B$14="Y","---&gt;","...")</f>
        <v>...</v>
      </c>
      <c r="C127" s="1" t="str">
        <f>IF($B$14="Y",'Population Definitions'!$A$2,"...")</f>
        <v>...</v>
      </c>
      <c r="E127" s="2"/>
      <c r="F127" s="3"/>
      <c r="G127" s="2"/>
      <c r="H127" s="4" t="str">
        <f>IF($B$14="Y","OR","...")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IF($C$14="Y",'Population Definitions'!$A$11,"...")</f>
        <v>...</v>
      </c>
      <c r="B128" s="4" t="str">
        <f>IF($C$14="Y","---&gt;","...")</f>
        <v>...</v>
      </c>
      <c r="C128" s="1" t="str">
        <f>IF($C$14="Y",'Population Definitions'!$A$3,"...")</f>
        <v>...</v>
      </c>
      <c r="E128" s="2"/>
      <c r="F128" s="3"/>
      <c r="G128" s="2"/>
      <c r="H128" s="4" t="str">
        <f>IF($C$14="Y","OR","...")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IF($D$14="Y",'Population Definitions'!$A$11,"...")</f>
        <v>...</v>
      </c>
      <c r="B129" s="4" t="str">
        <f>IF($D$14="Y","---&gt;","...")</f>
        <v>...</v>
      </c>
      <c r="C129" s="1" t="str">
        <f>IF($D$14="Y",'Population Definitions'!$A$4,"...")</f>
        <v>...</v>
      </c>
      <c r="E129" s="2"/>
      <c r="F129" s="3"/>
      <c r="G129" s="2"/>
      <c r="H129" s="4" t="str">
        <f>IF($D$14="Y","OR","...")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IF($E$14="Y",'Population Definitions'!$A$11,"...")</f>
        <v>...</v>
      </c>
      <c r="B130" s="4" t="str">
        <f>IF($E$14="Y","---&gt;","...")</f>
        <v>...</v>
      </c>
      <c r="C130" s="1" t="str">
        <f>IF($E$14="Y",'Population Definitions'!$A$5,"...")</f>
        <v>...</v>
      </c>
      <c r="E130" s="2"/>
      <c r="F130" s="3"/>
      <c r="G130" s="2"/>
      <c r="H130" s="4" t="str">
        <f>IF($E$14="Y","OR","...")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IF($F$14="Y",'Population Definitions'!$A$11,"...")</f>
        <v>...</v>
      </c>
      <c r="B131" s="4" t="str">
        <f>IF($F$14="Y","---&gt;","...")</f>
        <v>...</v>
      </c>
      <c r="C131" s="1" t="str">
        <f>IF($F$14="Y",'Population Definitions'!$A$6,"...")</f>
        <v>...</v>
      </c>
      <c r="E131" s="2"/>
      <c r="F131" s="3"/>
      <c r="G131" s="2"/>
      <c r="H131" s="4" t="str">
        <f>IF($F$14="Y","OR","...")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IF($G$14="Y",'Population Definitions'!$A$11,"...")</f>
        <v>...</v>
      </c>
      <c r="B132" s="4" t="str">
        <f>IF($G$14="Y","---&gt;","...")</f>
        <v>...</v>
      </c>
      <c r="C132" s="1" t="str">
        <f>IF($G$14="Y",'Population Definitions'!$A$7,"...")</f>
        <v>...</v>
      </c>
      <c r="E132" s="2"/>
      <c r="F132" s="3"/>
      <c r="G132" s="2"/>
      <c r="H132" s="4" t="str">
        <f>IF($G$14="Y","OR","...")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IF($H$14="Y",'Population Definitions'!$A$11,"...")</f>
        <v>...</v>
      </c>
      <c r="B133" s="4" t="str">
        <f>IF($H$14="Y","---&gt;","...")</f>
        <v>...</v>
      </c>
      <c r="C133" s="1" t="str">
        <f>IF($H$14="Y",'Population Definitions'!$A$8,"...")</f>
        <v>...</v>
      </c>
      <c r="E133" s="2"/>
      <c r="F133" s="3"/>
      <c r="G133" s="2"/>
      <c r="H133" s="4" t="str">
        <f>IF($H$14="Y","OR","...")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IF($I$14="Y",'Population Definitions'!$A$11,"...")</f>
        <v>...</v>
      </c>
      <c r="B134" s="4" t="str">
        <f>IF($I$14="Y","---&gt;","...")</f>
        <v>...</v>
      </c>
      <c r="C134" s="1" t="str">
        <f>IF($I$14="Y",'Population Definitions'!$A$9,"...")</f>
        <v>...</v>
      </c>
      <c r="E134" s="2"/>
      <c r="F134" s="3"/>
      <c r="G134" s="2"/>
      <c r="H134" s="4" t="str">
        <f>IF($I$14="Y","OR","...")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IF($J$14="Y",'Population Definitions'!$A$11,"...")</f>
        <v>...</v>
      </c>
      <c r="B135" s="4" t="str">
        <f>IF($J$14="Y","---&gt;","...")</f>
        <v>...</v>
      </c>
      <c r="C135" s="1" t="str">
        <f>IF($J$14="Y",'Population Definitions'!$A$10,"...")</f>
        <v>...</v>
      </c>
      <c r="E135" s="2"/>
      <c r="F135" s="3"/>
      <c r="G135" s="2"/>
      <c r="H135" s="4" t="str">
        <f>IF($J$14="Y","OR","...")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IF($K$14="Y",'Population Definitions'!$A$11,"...")</f>
        <v>...</v>
      </c>
      <c r="B136" s="4" t="str">
        <f>IF($K$14="Y","---&gt;","...")</f>
        <v>...</v>
      </c>
      <c r="C136" s="1" t="str">
        <f>IF($K$14="Y",'Population Definitions'!$A$11,"...")</f>
        <v>...</v>
      </c>
      <c r="E136" s="2"/>
      <c r="F136" s="3"/>
      <c r="G136" s="2"/>
      <c r="H136" s="4" t="str">
        <f>IF($K$14="Y","OR","...")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IF($L$14="Y",'Population Definitions'!$A$11,"...")</f>
        <v>...</v>
      </c>
      <c r="B137" s="4" t="str">
        <f>IF($L$14="Y","---&gt;","...")</f>
        <v>...</v>
      </c>
      <c r="C137" s="1" t="str">
        <f>IF($L$14="Y",'Population Definitions'!$A$12,"...")</f>
        <v>...</v>
      </c>
      <c r="E137" s="2"/>
      <c r="F137" s="3"/>
      <c r="G137" s="2"/>
      <c r="H137" s="4" t="str">
        <f>IF($L$14="Y","OR","...")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IF($M$14="Y",'Population Definitions'!$A$11,"...")</f>
        <v>...</v>
      </c>
      <c r="B138" s="4" t="str">
        <f>IF($M$14="Y","---&gt;","...")</f>
        <v>...</v>
      </c>
      <c r="C138" s="1" t="str">
        <f>IF($M$14="Y",'Population Definitions'!$A$13,"...")</f>
        <v>...</v>
      </c>
      <c r="E138" s="2"/>
      <c r="F138" s="3"/>
      <c r="G138" s="2"/>
      <c r="H138" s="4" t="str">
        <f>IF($M$14="Y","OR","...")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IF($B$15="Y",'Population Definitions'!$A$12,"...")</f>
        <v>...</v>
      </c>
      <c r="B139" s="4" t="str">
        <f>IF($B$15="Y","---&gt;","...")</f>
        <v>...</v>
      </c>
      <c r="C139" s="1" t="str">
        <f>IF($B$15="Y",'Population Definitions'!$A$2,"...")</f>
        <v>...</v>
      </c>
      <c r="E139" s="2"/>
      <c r="F139" s="3"/>
      <c r="G139" s="2"/>
      <c r="H139" s="4" t="str">
        <f>IF($B$15="Y","OR","...")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IF($C$15="Y",'Population Definitions'!$A$12,"...")</f>
        <v>...</v>
      </c>
      <c r="B140" s="4" t="str">
        <f>IF($C$15="Y","---&gt;","...")</f>
        <v>...</v>
      </c>
      <c r="C140" s="1" t="str">
        <f>IF($C$15="Y",'Population Definitions'!$A$3,"...")</f>
        <v>...</v>
      </c>
      <c r="E140" s="2"/>
      <c r="F140" s="3"/>
      <c r="G140" s="2"/>
      <c r="H140" s="4" t="str">
        <f>IF($C$15="Y","OR","...")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IF($D$15="Y",'Population Definitions'!$A$12,"...")</f>
        <v>...</v>
      </c>
      <c r="B141" s="4" t="str">
        <f>IF($D$15="Y","---&gt;","...")</f>
        <v>...</v>
      </c>
      <c r="C141" s="1" t="str">
        <f>IF($D$15="Y",'Population Definitions'!$A$4,"...")</f>
        <v>...</v>
      </c>
      <c r="E141" s="2"/>
      <c r="F141" s="3"/>
      <c r="G141" s="2"/>
      <c r="H141" s="4" t="str">
        <f>IF($D$15="Y","OR","...")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IF($E$15="Y",'Population Definitions'!$A$12,"...")</f>
        <v>...</v>
      </c>
      <c r="B142" s="4" t="str">
        <f>IF($E$15="Y","---&gt;","...")</f>
        <v>...</v>
      </c>
      <c r="C142" s="1" t="str">
        <f>IF($E$15="Y",'Population Definitions'!$A$5,"...")</f>
        <v>...</v>
      </c>
      <c r="E142" s="2"/>
      <c r="F142" s="3"/>
      <c r="G142" s="2"/>
      <c r="H142" s="4" t="str">
        <f>IF($E$15="Y","OR","...")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IF($F$15="Y",'Population Definitions'!$A$12,"...")</f>
        <v>...</v>
      </c>
      <c r="B143" s="4" t="str">
        <f>IF($F$15="Y","---&gt;","...")</f>
        <v>...</v>
      </c>
      <c r="C143" s="1" t="str">
        <f>IF($F$15="Y",'Population Definitions'!$A$6,"...")</f>
        <v>...</v>
      </c>
      <c r="E143" s="2"/>
      <c r="F143" s="3"/>
      <c r="G143" s="2"/>
      <c r="H143" s="4" t="str">
        <f>IF($F$15="Y","OR","...")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IF($G$15="Y",'Population Definitions'!$A$12,"...")</f>
        <v>...</v>
      </c>
      <c r="B144" s="4" t="str">
        <f>IF($G$15="Y","---&gt;","...")</f>
        <v>...</v>
      </c>
      <c r="C144" s="1" t="str">
        <f>IF($G$15="Y",'Population Definitions'!$A$7,"...")</f>
        <v>...</v>
      </c>
      <c r="E144" s="2"/>
      <c r="F144" s="3"/>
      <c r="G144" s="2"/>
      <c r="H144" s="4" t="str">
        <f>IF($G$15="Y","OR","...")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IF($H$15="Y",'Population Definitions'!$A$12,"...")</f>
        <v>...</v>
      </c>
      <c r="B145" s="4" t="str">
        <f>IF($H$15="Y","---&gt;","...")</f>
        <v>...</v>
      </c>
      <c r="C145" s="1" t="str">
        <f>IF($H$15="Y",'Population Definitions'!$A$8,"...")</f>
        <v>...</v>
      </c>
      <c r="E145" s="2"/>
      <c r="F145" s="3"/>
      <c r="G145" s="2"/>
      <c r="H145" s="4" t="str">
        <f>IF($H$15="Y","OR","...")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IF($I$15="Y",'Population Definitions'!$A$12,"...")</f>
        <v>...</v>
      </c>
      <c r="B146" s="4" t="str">
        <f>IF($I$15="Y","---&gt;","...")</f>
        <v>...</v>
      </c>
      <c r="C146" s="1" t="str">
        <f>IF($I$15="Y",'Population Definitions'!$A$9,"...")</f>
        <v>...</v>
      </c>
      <c r="E146" s="2"/>
      <c r="F146" s="3"/>
      <c r="G146" s="2"/>
      <c r="H146" s="4" t="str">
        <f>IF($I$15="Y","OR","...")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IF($J$15="Y",'Population Definitions'!$A$12,"...")</f>
        <v>...</v>
      </c>
      <c r="B147" s="4" t="str">
        <f>IF($J$15="Y","---&gt;","...")</f>
        <v>...</v>
      </c>
      <c r="C147" s="1" t="str">
        <f>IF($J$15="Y",'Population Definitions'!$A$10,"...")</f>
        <v>...</v>
      </c>
      <c r="E147" s="2"/>
      <c r="F147" s="3"/>
      <c r="G147" s="2"/>
      <c r="H147" s="4" t="str">
        <f>IF($J$15="Y","OR","...")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IF($K$15="Y",'Population Definitions'!$A$12,"...")</f>
        <v>...</v>
      </c>
      <c r="B148" s="4" t="str">
        <f>IF($K$15="Y","---&gt;","...")</f>
        <v>...</v>
      </c>
      <c r="C148" s="1" t="str">
        <f>IF($K$15="Y",'Population Definitions'!$A$11,"...")</f>
        <v>...</v>
      </c>
      <c r="E148" s="2"/>
      <c r="F148" s="3"/>
      <c r="G148" s="2"/>
      <c r="H148" s="4" t="str">
        <f>IF($K$15="Y","OR","...")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IF($L$15="Y",'Population Definitions'!$A$12,"...")</f>
        <v>Prisoners_males</v>
      </c>
      <c r="B149" s="4" t="str">
        <f>IF($L$15="Y","---&gt;","...")</f>
        <v>---&gt;</v>
      </c>
      <c r="C149" s="1" t="str">
        <f>IF($L$15="Y",'Population Definitions'!$A$12,"...")</f>
        <v>Prisoners_males</v>
      </c>
      <c r="D149" t="s">
        <v>61</v>
      </c>
      <c r="E149" s="3" t="s">
        <v>56</v>
      </c>
      <c r="F149" s="3"/>
      <c r="G149" s="3">
        <v>1</v>
      </c>
      <c r="H149" s="4" t="str">
        <f>IF($L$15="Y","OR","...")</f>
        <v>OR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</row>
    <row r="150" spans="1:59">
      <c r="A150" s="1" t="str">
        <f>IF($M$15="Y",'Population Definitions'!$A$12,"...")</f>
        <v>...</v>
      </c>
      <c r="B150" s="4" t="str">
        <f>IF($M$15="Y","---&gt;","...")</f>
        <v>...</v>
      </c>
      <c r="C150" s="1" t="str">
        <f>IF($M$15="Y",'Population Definitions'!$A$13,"...")</f>
        <v>...</v>
      </c>
      <c r="E150" s="2"/>
      <c r="F150" s="3"/>
      <c r="G150" s="2"/>
      <c r="H150" s="4" t="str">
        <f>IF($M$15="Y","OR","...")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IF($B$16="Y",'Population Definitions'!$A$13,"...")</f>
        <v>...</v>
      </c>
      <c r="B151" s="4" t="str">
        <f>IF($B$16="Y","---&gt;","...")</f>
        <v>...</v>
      </c>
      <c r="C151" s="1" t="str">
        <f>IF($B$16="Y",'Population Definitions'!$A$2,"...")</f>
        <v>...</v>
      </c>
      <c r="E151" s="2"/>
      <c r="F151" s="3"/>
      <c r="G151" s="2"/>
      <c r="H151" s="4" t="str">
        <f>IF($B$16="Y","OR","...")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IF($C$16="Y",'Population Definitions'!$A$13,"...")</f>
        <v>...</v>
      </c>
      <c r="B152" s="4" t="str">
        <f>IF($C$16="Y","---&gt;","...")</f>
        <v>...</v>
      </c>
      <c r="C152" s="1" t="str">
        <f>IF($C$16="Y",'Population Definitions'!$A$3,"...")</f>
        <v>...</v>
      </c>
      <c r="E152" s="2"/>
      <c r="F152" s="3"/>
      <c r="G152" s="2"/>
      <c r="H152" s="4" t="str">
        <f>IF($C$16="Y","OR","...")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IF($D$16="Y",'Population Definitions'!$A$13,"...")</f>
        <v>...</v>
      </c>
      <c r="B153" s="4" t="str">
        <f>IF($D$16="Y","---&gt;","...")</f>
        <v>...</v>
      </c>
      <c r="C153" s="1" t="str">
        <f>IF($D$16="Y",'Population Definitions'!$A$4,"...")</f>
        <v>...</v>
      </c>
      <c r="E153" s="2"/>
      <c r="F153" s="3"/>
      <c r="G153" s="2"/>
      <c r="H153" s="4" t="str">
        <f>IF($D$16="Y","OR","...")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IF($E$16="Y",'Population Definitions'!$A$13,"...")</f>
        <v>...</v>
      </c>
      <c r="B154" s="4" t="str">
        <f>IF($E$16="Y","---&gt;","...")</f>
        <v>...</v>
      </c>
      <c r="C154" s="1" t="str">
        <f>IF($E$16="Y",'Population Definitions'!$A$5,"...")</f>
        <v>...</v>
      </c>
      <c r="E154" s="2"/>
      <c r="F154" s="3"/>
      <c r="G154" s="2"/>
      <c r="H154" s="4" t="str">
        <f>IF($E$16="Y","OR","...")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IF($F$16="Y",'Population Definitions'!$A$13,"...")</f>
        <v>...</v>
      </c>
      <c r="B155" s="4" t="str">
        <f>IF($F$16="Y","---&gt;","...")</f>
        <v>...</v>
      </c>
      <c r="C155" s="1" t="str">
        <f>IF($F$16="Y",'Population Definitions'!$A$6,"...")</f>
        <v>...</v>
      </c>
      <c r="E155" s="2"/>
      <c r="F155" s="3"/>
      <c r="G155" s="2"/>
      <c r="H155" s="4" t="str">
        <f>IF($F$16="Y","OR","...")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IF($G$16="Y",'Population Definitions'!$A$13,"...")</f>
        <v>...</v>
      </c>
      <c r="B156" s="4" t="str">
        <f>IF($G$16="Y","---&gt;","...")</f>
        <v>...</v>
      </c>
      <c r="C156" s="1" t="str">
        <f>IF($G$16="Y",'Population Definitions'!$A$7,"...")</f>
        <v>...</v>
      </c>
      <c r="E156" s="2"/>
      <c r="F156" s="3"/>
      <c r="G156" s="2"/>
      <c r="H156" s="4" t="str">
        <f>IF($G$16="Y","OR","...")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IF($H$16="Y",'Population Definitions'!$A$13,"...")</f>
        <v>...</v>
      </c>
      <c r="B157" s="4" t="str">
        <f>IF($H$16="Y","---&gt;","...")</f>
        <v>...</v>
      </c>
      <c r="C157" s="1" t="str">
        <f>IF($H$16="Y",'Population Definitions'!$A$8,"...")</f>
        <v>...</v>
      </c>
      <c r="E157" s="2"/>
      <c r="F157" s="3"/>
      <c r="G157" s="2"/>
      <c r="H157" s="4" t="str">
        <f>IF($H$16="Y","OR","...")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IF($I$16="Y",'Population Definitions'!$A$13,"...")</f>
        <v>...</v>
      </c>
      <c r="B158" s="4" t="str">
        <f>IF($I$16="Y","---&gt;","...")</f>
        <v>...</v>
      </c>
      <c r="C158" s="1" t="str">
        <f>IF($I$16="Y",'Population Definitions'!$A$9,"...")</f>
        <v>...</v>
      </c>
      <c r="E158" s="2"/>
      <c r="F158" s="3"/>
      <c r="G158" s="2"/>
      <c r="H158" s="4" t="str">
        <f>IF($I$16="Y","OR","...")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IF($J$16="Y",'Population Definitions'!$A$13,"...")</f>
        <v>...</v>
      </c>
      <c r="B159" s="4" t="str">
        <f>IF($J$16="Y","---&gt;","...")</f>
        <v>...</v>
      </c>
      <c r="C159" s="1" t="str">
        <f>IF($J$16="Y",'Population Definitions'!$A$10,"...")</f>
        <v>...</v>
      </c>
      <c r="E159" s="2"/>
      <c r="F159" s="3"/>
      <c r="G159" s="2"/>
      <c r="H159" s="4" t="str">
        <f>IF($J$16="Y","OR","...")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IF($K$16="Y",'Population Definitions'!$A$13,"...")</f>
        <v>...</v>
      </c>
      <c r="B160" s="4" t="str">
        <f>IF($K$16="Y","---&gt;","...")</f>
        <v>...</v>
      </c>
      <c r="C160" s="1" t="str">
        <f>IF($K$16="Y",'Population Definitions'!$A$11,"...")</f>
        <v>...</v>
      </c>
      <c r="E160" s="2"/>
      <c r="F160" s="3"/>
      <c r="G160" s="2"/>
      <c r="H160" s="4" t="str">
        <f>IF($K$16="Y","OR","...")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IF($L$16="Y",'Population Definitions'!$A$13,"...")</f>
        <v>...</v>
      </c>
      <c r="B161" s="4" t="str">
        <f>IF($L$16="Y","---&gt;","...")</f>
        <v>...</v>
      </c>
      <c r="C161" s="1" t="str">
        <f>IF($L$16="Y",'Population Definitions'!$A$12,"...")</f>
        <v>...</v>
      </c>
      <c r="E161" s="2"/>
      <c r="F161" s="3"/>
      <c r="G161" s="2"/>
      <c r="H161" s="4" t="str">
        <f>IF($L$16="Y","OR","...")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IF($M$16="Y",'Population Definitions'!$A$13,"...")</f>
        <v>Prisoners_females</v>
      </c>
      <c r="B162" s="4" t="str">
        <f>IF($M$16="Y","---&gt;","...")</f>
        <v>---&gt;</v>
      </c>
      <c r="C162" s="1" t="str">
        <f>IF($M$16="Y",'Population Definitions'!$A$13,"...")</f>
        <v>Prisoners_females</v>
      </c>
      <c r="D162" t="s">
        <v>61</v>
      </c>
      <c r="E162" s="3" t="s">
        <v>56</v>
      </c>
      <c r="F162" s="3"/>
      <c r="G162" s="3">
        <v>1</v>
      </c>
      <c r="H162" s="4" t="str">
        <f>IF($M$16="Y","OR","...")</f>
        <v>OR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</row>
  </sheetData>
  <conditionalFormatting sqref="B10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B11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12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3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B14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B15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6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B7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8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B9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C10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C11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12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3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C14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C15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6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C7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8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C9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D10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D100:BG100">
    <cfRule type="expression" dxfId="4" priority="534">
      <formula>$K$11&lt;&gt;"Y"</formula>
    </cfRule>
  </conditionalFormatting>
  <conditionalFormatting sqref="D101:BG101">
    <cfRule type="expression" dxfId="4" priority="537">
      <formula>$L$11&lt;&gt;"Y"</formula>
    </cfRule>
  </conditionalFormatting>
  <conditionalFormatting sqref="D102:BG102">
    <cfRule type="expression" dxfId="4" priority="540">
      <formula>$M$11&lt;&gt;"Y"</formula>
    </cfRule>
  </conditionalFormatting>
  <conditionalFormatting sqref="D103:BG103">
    <cfRule type="expression" dxfId="4" priority="543">
      <formula>$B$12&lt;&gt;"Y"</formula>
    </cfRule>
  </conditionalFormatting>
  <conditionalFormatting sqref="D104:BG104">
    <cfRule type="expression" dxfId="4" priority="546">
      <formula>$C$12&lt;&gt;"Y"</formula>
    </cfRule>
  </conditionalFormatting>
  <conditionalFormatting sqref="D105:BG105">
    <cfRule type="expression" dxfId="4" priority="549">
      <formula>$D$12&lt;&gt;"Y"</formula>
    </cfRule>
  </conditionalFormatting>
  <conditionalFormatting sqref="D106:BG106">
    <cfRule type="expression" dxfId="4" priority="552">
      <formula>$E$12&lt;&gt;"Y"</formula>
    </cfRule>
  </conditionalFormatting>
  <conditionalFormatting sqref="D107:BG107">
    <cfRule type="expression" dxfId="4" priority="555">
      <formula>$F$12&lt;&gt;"Y"</formula>
    </cfRule>
  </conditionalFormatting>
  <conditionalFormatting sqref="D108:BG108">
    <cfRule type="expression" dxfId="4" priority="558">
      <formula>$G$12&lt;&gt;"Y"</formula>
    </cfRule>
  </conditionalFormatting>
  <conditionalFormatting sqref="D109:BG109">
    <cfRule type="expression" dxfId="4" priority="561">
      <formula>$H$12&lt;&gt;"Y"</formula>
    </cfRule>
  </conditionalFormatting>
  <conditionalFormatting sqref="D11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110:BG110">
    <cfRule type="expression" dxfId="4" priority="564">
      <formula>$I$12&lt;&gt;"Y"</formula>
    </cfRule>
  </conditionalFormatting>
  <conditionalFormatting sqref="D111:BG111">
    <cfRule type="expression" dxfId="4" priority="567">
      <formula>$J$12&lt;&gt;"Y"</formula>
    </cfRule>
  </conditionalFormatting>
  <conditionalFormatting sqref="D112:BG112">
    <cfRule type="expression" dxfId="4" priority="570">
      <formula>$K$12&lt;&gt;"Y"</formula>
    </cfRule>
  </conditionalFormatting>
  <conditionalFormatting sqref="D113:BG113">
    <cfRule type="expression" dxfId="4" priority="573">
      <formula>$L$12&lt;&gt;"Y"</formula>
    </cfRule>
  </conditionalFormatting>
  <conditionalFormatting sqref="D114:BG114">
    <cfRule type="expression" dxfId="4" priority="576">
      <formula>$M$12&lt;&gt;"Y"</formula>
    </cfRule>
  </conditionalFormatting>
  <conditionalFormatting sqref="D115:BG115">
    <cfRule type="expression" dxfId="4" priority="579">
      <formula>$B$13&lt;&gt;"Y"</formula>
    </cfRule>
  </conditionalFormatting>
  <conditionalFormatting sqref="D116:BG116">
    <cfRule type="expression" dxfId="4" priority="582">
      <formula>$C$13&lt;&gt;"Y"</formula>
    </cfRule>
  </conditionalFormatting>
  <conditionalFormatting sqref="D117:BG117">
    <cfRule type="expression" dxfId="4" priority="585">
      <formula>$D$13&lt;&gt;"Y"</formula>
    </cfRule>
  </conditionalFormatting>
  <conditionalFormatting sqref="D118:BG118">
    <cfRule type="expression" dxfId="4" priority="588">
      <formula>$E$13&lt;&gt;"Y"</formula>
    </cfRule>
  </conditionalFormatting>
  <conditionalFormatting sqref="D119:BG119">
    <cfRule type="expression" dxfId="4" priority="591">
      <formula>$F$13&lt;&gt;"Y"</formula>
    </cfRule>
  </conditionalFormatting>
  <conditionalFormatting sqref="D12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20:BG120">
    <cfRule type="expression" dxfId="4" priority="594">
      <formula>$G$13&lt;&gt;"Y"</formula>
    </cfRule>
  </conditionalFormatting>
  <conditionalFormatting sqref="D121:BG121">
    <cfRule type="expression" dxfId="4" priority="597">
      <formula>$H$13&lt;&gt;"Y"</formula>
    </cfRule>
  </conditionalFormatting>
  <conditionalFormatting sqref="D122:BG122">
    <cfRule type="expression" dxfId="4" priority="600">
      <formula>$I$13&lt;&gt;"Y"</formula>
    </cfRule>
  </conditionalFormatting>
  <conditionalFormatting sqref="D123:BG123">
    <cfRule type="expression" dxfId="4" priority="603">
      <formula>$J$13&lt;&gt;"Y"</formula>
    </cfRule>
  </conditionalFormatting>
  <conditionalFormatting sqref="D124:BG124">
    <cfRule type="expression" dxfId="4" priority="606">
      <formula>$K$13&lt;&gt;"Y"</formula>
    </cfRule>
  </conditionalFormatting>
  <conditionalFormatting sqref="D125:BG125">
    <cfRule type="expression" dxfId="4" priority="609">
      <formula>$L$13&lt;&gt;"Y"</formula>
    </cfRule>
  </conditionalFormatting>
  <conditionalFormatting sqref="D126:BG126">
    <cfRule type="expression" dxfId="4" priority="612">
      <formula>$M$13&lt;&gt;"Y"</formula>
    </cfRule>
  </conditionalFormatting>
  <conditionalFormatting sqref="D127:BG127">
    <cfRule type="expression" dxfId="4" priority="615">
      <formula>$B$14&lt;&gt;"Y"</formula>
    </cfRule>
  </conditionalFormatting>
  <conditionalFormatting sqref="D128:BG128">
    <cfRule type="expression" dxfId="4" priority="618">
      <formula>$C$14&lt;&gt;"Y"</formula>
    </cfRule>
  </conditionalFormatting>
  <conditionalFormatting sqref="D129:BG129">
    <cfRule type="expression" dxfId="4" priority="621">
      <formula>$D$14&lt;&gt;"Y"</formula>
    </cfRule>
  </conditionalFormatting>
  <conditionalFormatting sqref="D13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130:BG130">
    <cfRule type="expression" dxfId="4" priority="624">
      <formula>$E$14&lt;&gt;"Y"</formula>
    </cfRule>
  </conditionalFormatting>
  <conditionalFormatting sqref="D131:BG131">
    <cfRule type="expression" dxfId="4" priority="627">
      <formula>$F$14&lt;&gt;"Y"</formula>
    </cfRule>
  </conditionalFormatting>
  <conditionalFormatting sqref="D132:BG132">
    <cfRule type="expression" dxfId="4" priority="630">
      <formula>$G$14&lt;&gt;"Y"</formula>
    </cfRule>
  </conditionalFormatting>
  <conditionalFormatting sqref="D133:BG133">
    <cfRule type="expression" dxfId="4" priority="633">
      <formula>$H$14&lt;&gt;"Y"</formula>
    </cfRule>
  </conditionalFormatting>
  <conditionalFormatting sqref="D134:BG134">
    <cfRule type="expression" dxfId="4" priority="636">
      <formula>$I$14&lt;&gt;"Y"</formula>
    </cfRule>
  </conditionalFormatting>
  <conditionalFormatting sqref="D135:BG135">
    <cfRule type="expression" dxfId="4" priority="639">
      <formula>$J$14&lt;&gt;"Y"</formula>
    </cfRule>
  </conditionalFormatting>
  <conditionalFormatting sqref="D136:BG136">
    <cfRule type="expression" dxfId="4" priority="642">
      <formula>$K$14&lt;&gt;"Y"</formula>
    </cfRule>
  </conditionalFormatting>
  <conditionalFormatting sqref="D137:BG137">
    <cfRule type="expression" dxfId="4" priority="645">
      <formula>$L$14&lt;&gt;"Y"</formula>
    </cfRule>
  </conditionalFormatting>
  <conditionalFormatting sqref="D138:BG138">
    <cfRule type="expression" dxfId="4" priority="648">
      <formula>$M$14&lt;&gt;"Y"</formula>
    </cfRule>
  </conditionalFormatting>
  <conditionalFormatting sqref="D139:BG139">
    <cfRule type="expression" dxfId="4" priority="651">
      <formula>$B$15&lt;&gt;"Y"</formula>
    </cfRule>
  </conditionalFormatting>
  <conditionalFormatting sqref="D14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D140:BG140">
    <cfRule type="expression" dxfId="4" priority="654">
      <formula>$C$15&lt;&gt;"Y"</formula>
    </cfRule>
  </conditionalFormatting>
  <conditionalFormatting sqref="D141:BG141">
    <cfRule type="expression" dxfId="4" priority="657">
      <formula>$D$15&lt;&gt;"Y"</formula>
    </cfRule>
  </conditionalFormatting>
  <conditionalFormatting sqref="D142:BG142">
    <cfRule type="expression" dxfId="4" priority="660">
      <formula>$E$15&lt;&gt;"Y"</formula>
    </cfRule>
  </conditionalFormatting>
  <conditionalFormatting sqref="D143:BG143">
    <cfRule type="expression" dxfId="4" priority="663">
      <formula>$F$15&lt;&gt;"Y"</formula>
    </cfRule>
  </conditionalFormatting>
  <conditionalFormatting sqref="D144:BG144">
    <cfRule type="expression" dxfId="4" priority="666">
      <formula>$G$15&lt;&gt;"Y"</formula>
    </cfRule>
  </conditionalFormatting>
  <conditionalFormatting sqref="D145:BG145">
    <cfRule type="expression" dxfId="4" priority="669">
      <formula>$H$15&lt;&gt;"Y"</formula>
    </cfRule>
  </conditionalFormatting>
  <conditionalFormatting sqref="D146:BG146">
    <cfRule type="expression" dxfId="4" priority="672">
      <formula>$I$15&lt;&gt;"Y"</formula>
    </cfRule>
  </conditionalFormatting>
  <conditionalFormatting sqref="D147:BG147">
    <cfRule type="expression" dxfId="4" priority="675">
      <formula>$J$15&lt;&gt;"Y"</formula>
    </cfRule>
  </conditionalFormatting>
  <conditionalFormatting sqref="D148:BG148">
    <cfRule type="expression" dxfId="4" priority="678">
      <formula>$K$15&lt;&gt;"Y"</formula>
    </cfRule>
  </conditionalFormatting>
  <conditionalFormatting sqref="D149:BG149">
    <cfRule type="expression" dxfId="4" priority="681">
      <formula>$L$15&lt;&gt;"Y"</formula>
    </cfRule>
  </conditionalFormatting>
  <conditionalFormatting sqref="D15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50:BG150">
    <cfRule type="expression" dxfId="4" priority="684">
      <formula>$M$15&lt;&gt;"Y"</formula>
    </cfRule>
  </conditionalFormatting>
  <conditionalFormatting sqref="D151:BG151">
    <cfRule type="expression" dxfId="4" priority="687">
      <formula>$B$16&lt;&gt;"Y"</formula>
    </cfRule>
  </conditionalFormatting>
  <conditionalFormatting sqref="D152:BG152">
    <cfRule type="expression" dxfId="4" priority="690">
      <formula>$C$16&lt;&gt;"Y"</formula>
    </cfRule>
  </conditionalFormatting>
  <conditionalFormatting sqref="D153:BG153">
    <cfRule type="expression" dxfId="4" priority="693">
      <formula>$D$16&lt;&gt;"Y"</formula>
    </cfRule>
  </conditionalFormatting>
  <conditionalFormatting sqref="D154:BG154">
    <cfRule type="expression" dxfId="4" priority="696">
      <formula>$E$16&lt;&gt;"Y"</formula>
    </cfRule>
  </conditionalFormatting>
  <conditionalFormatting sqref="D155:BG155">
    <cfRule type="expression" dxfId="4" priority="699">
      <formula>$F$16&lt;&gt;"Y"</formula>
    </cfRule>
  </conditionalFormatting>
  <conditionalFormatting sqref="D156:BG156">
    <cfRule type="expression" dxfId="4" priority="702">
      <formula>$G$16&lt;&gt;"Y"</formula>
    </cfRule>
  </conditionalFormatting>
  <conditionalFormatting sqref="D157:BG157">
    <cfRule type="expression" dxfId="4" priority="705">
      <formula>$H$16&lt;&gt;"Y"</formula>
    </cfRule>
  </conditionalFormatting>
  <conditionalFormatting sqref="D158:BG158">
    <cfRule type="expression" dxfId="4" priority="708">
      <formula>$I$16&lt;&gt;"Y"</formula>
    </cfRule>
  </conditionalFormatting>
  <conditionalFormatting sqref="D159:BG159">
    <cfRule type="expression" dxfId="4" priority="711">
      <formula>$J$16&lt;&gt;"Y"</formula>
    </cfRule>
  </conditionalFormatting>
  <conditionalFormatting sqref="D16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D160:BG160">
    <cfRule type="expression" dxfId="4" priority="714">
      <formula>$K$16&lt;&gt;"Y"</formula>
    </cfRule>
  </conditionalFormatting>
  <conditionalFormatting sqref="D161:BG161">
    <cfRule type="expression" dxfId="4" priority="717">
      <formula>$L$16&lt;&gt;"Y"</formula>
    </cfRule>
  </conditionalFormatting>
  <conditionalFormatting sqref="D162:BG162">
    <cfRule type="expression" dxfId="4" priority="720">
      <formula>$M$16&lt;&gt;"Y"</formula>
    </cfRule>
  </conditionalFormatting>
  <conditionalFormatting sqref="D19:BG19">
    <cfRule type="expression" dxfId="4" priority="291">
      <formula>$B$5&lt;&gt;"Y"</formula>
    </cfRule>
  </conditionalFormatting>
  <conditionalFormatting sqref="D20:BG20">
    <cfRule type="expression" dxfId="4" priority="294">
      <formula>$C$5&lt;&gt;"Y"</formula>
    </cfRule>
  </conditionalFormatting>
  <conditionalFormatting sqref="D21:BG21">
    <cfRule type="expression" dxfId="4" priority="297">
      <formula>$D$5&lt;&gt;"Y"</formula>
    </cfRule>
  </conditionalFormatting>
  <conditionalFormatting sqref="D22:BG22">
    <cfRule type="expression" dxfId="4" priority="300">
      <formula>$E$5&lt;&gt;"Y"</formula>
    </cfRule>
  </conditionalFormatting>
  <conditionalFormatting sqref="D23:BG23">
    <cfRule type="expression" dxfId="4" priority="303">
      <formula>$F$5&lt;&gt;"Y"</formula>
    </cfRule>
  </conditionalFormatting>
  <conditionalFormatting sqref="D24:BG24">
    <cfRule type="expression" dxfId="4" priority="306">
      <formula>$G$5&lt;&gt;"Y"</formula>
    </cfRule>
  </conditionalFormatting>
  <conditionalFormatting sqref="D25:BG25">
    <cfRule type="expression" dxfId="4" priority="309">
      <formula>$H$5&lt;&gt;"Y"</formula>
    </cfRule>
  </conditionalFormatting>
  <conditionalFormatting sqref="D26:BG26">
    <cfRule type="expression" dxfId="4" priority="312">
      <formula>$I$5&lt;&gt;"Y"</formula>
    </cfRule>
  </conditionalFormatting>
  <conditionalFormatting sqref="D27:BG27">
    <cfRule type="expression" dxfId="4" priority="315">
      <formula>$J$5&lt;&gt;"Y"</formula>
    </cfRule>
  </conditionalFormatting>
  <conditionalFormatting sqref="D28:BG28">
    <cfRule type="expression" dxfId="4" priority="318">
      <formula>$K$5&lt;&gt;"Y"</formula>
    </cfRule>
  </conditionalFormatting>
  <conditionalFormatting sqref="D29:BG29">
    <cfRule type="expression" dxfId="4" priority="321">
      <formula>$L$5&lt;&gt;"Y"</formula>
    </cfRule>
  </conditionalFormatting>
  <conditionalFormatting sqref="D30:BG30">
    <cfRule type="expression" dxfId="4" priority="324">
      <formula>$M$5&lt;&gt;"Y"</formula>
    </cfRule>
  </conditionalFormatting>
  <conditionalFormatting sqref="D31:BG31">
    <cfRule type="expression" dxfId="4" priority="327">
      <formula>$B$6&lt;&gt;"Y"</formula>
    </cfRule>
  </conditionalFormatting>
  <conditionalFormatting sqref="D32:BG32">
    <cfRule type="expression" dxfId="4" priority="330">
      <formula>$C$6&lt;&gt;"Y"</formula>
    </cfRule>
  </conditionalFormatting>
  <conditionalFormatting sqref="D33:BG33">
    <cfRule type="expression" dxfId="4" priority="333">
      <formula>$D$6&lt;&gt;"Y"</formula>
    </cfRule>
  </conditionalFormatting>
  <conditionalFormatting sqref="D34:BG34">
    <cfRule type="expression" dxfId="4" priority="336">
      <formula>$E$6&lt;&gt;"Y"</formula>
    </cfRule>
  </conditionalFormatting>
  <conditionalFormatting sqref="D35:BG35">
    <cfRule type="expression" dxfId="4" priority="339">
      <formula>$F$6&lt;&gt;"Y"</formula>
    </cfRule>
  </conditionalFormatting>
  <conditionalFormatting sqref="D36:BG36">
    <cfRule type="expression" dxfId="4" priority="342">
      <formula>$G$6&lt;&gt;"Y"</formula>
    </cfRule>
  </conditionalFormatting>
  <conditionalFormatting sqref="D37:BG37">
    <cfRule type="expression" dxfId="4" priority="345">
      <formula>$H$6&lt;&gt;"Y"</formula>
    </cfRule>
  </conditionalFormatting>
  <conditionalFormatting sqref="D38:BG38">
    <cfRule type="expression" dxfId="4" priority="348">
      <formula>$I$6&lt;&gt;"Y"</formula>
    </cfRule>
  </conditionalFormatting>
  <conditionalFormatting sqref="D39:BG39">
    <cfRule type="expression" dxfId="4" priority="351">
      <formula>$J$6&lt;&gt;"Y"</formula>
    </cfRule>
  </conditionalFormatting>
  <conditionalFormatting sqref="D40:BG40">
    <cfRule type="expression" dxfId="4" priority="354">
      <formula>$K$6&lt;&gt;"Y"</formula>
    </cfRule>
  </conditionalFormatting>
  <conditionalFormatting sqref="D41:BG41">
    <cfRule type="expression" dxfId="4" priority="357">
      <formula>$L$6&lt;&gt;"Y"</formula>
    </cfRule>
  </conditionalFormatting>
  <conditionalFormatting sqref="D42:BG42">
    <cfRule type="expression" dxfId="4" priority="360">
      <formula>$M$6&lt;&gt;"Y"</formula>
    </cfRule>
  </conditionalFormatting>
  <conditionalFormatting sqref="D43:BG43">
    <cfRule type="expression" dxfId="4" priority="363">
      <formula>$B$7&lt;&gt;"Y"</formula>
    </cfRule>
  </conditionalFormatting>
  <conditionalFormatting sqref="D44:BG44">
    <cfRule type="expression" dxfId="4" priority="366">
      <formula>$C$7&lt;&gt;"Y"</formula>
    </cfRule>
  </conditionalFormatting>
  <conditionalFormatting sqref="D45:BG45">
    <cfRule type="expression" dxfId="4" priority="369">
      <formula>$D$7&lt;&gt;"Y"</formula>
    </cfRule>
  </conditionalFormatting>
  <conditionalFormatting sqref="D46:BG46">
    <cfRule type="expression" dxfId="4" priority="372">
      <formula>$E$7&lt;&gt;"Y"</formula>
    </cfRule>
  </conditionalFormatting>
  <conditionalFormatting sqref="D47:BG47">
    <cfRule type="expression" dxfId="4" priority="375">
      <formula>$F$7&lt;&gt;"Y"</formula>
    </cfRule>
  </conditionalFormatting>
  <conditionalFormatting sqref="D48:BG48">
    <cfRule type="expression" dxfId="4" priority="378">
      <formula>$G$7&lt;&gt;"Y"</formula>
    </cfRule>
  </conditionalFormatting>
  <conditionalFormatting sqref="D49:BG49">
    <cfRule type="expression" dxfId="4" priority="381">
      <formula>$H$7&lt;&gt;"Y"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384">
      <formula>$I$7&lt;&gt;"Y"</formula>
    </cfRule>
  </conditionalFormatting>
  <conditionalFormatting sqref="D51:BG51">
    <cfRule type="expression" dxfId="4" priority="387">
      <formula>$J$7&lt;&gt;"Y"</formula>
    </cfRule>
  </conditionalFormatting>
  <conditionalFormatting sqref="D52:BG52">
    <cfRule type="expression" dxfId="4" priority="390">
      <formula>$K$7&lt;&gt;"Y"</formula>
    </cfRule>
  </conditionalFormatting>
  <conditionalFormatting sqref="D53:BG53">
    <cfRule type="expression" dxfId="4" priority="393">
      <formula>$L$7&lt;&gt;"Y"</formula>
    </cfRule>
  </conditionalFormatting>
  <conditionalFormatting sqref="D54:BG54">
    <cfRule type="expression" dxfId="4" priority="396">
      <formula>$M$7&lt;&gt;"Y"</formula>
    </cfRule>
  </conditionalFormatting>
  <conditionalFormatting sqref="D55:BG55">
    <cfRule type="expression" dxfId="4" priority="399">
      <formula>$B$8&lt;&gt;"Y"</formula>
    </cfRule>
  </conditionalFormatting>
  <conditionalFormatting sqref="D56:BG56">
    <cfRule type="expression" dxfId="4" priority="402">
      <formula>$C$8&lt;&gt;"Y"</formula>
    </cfRule>
  </conditionalFormatting>
  <conditionalFormatting sqref="D57:BG57">
    <cfRule type="expression" dxfId="4" priority="405">
      <formula>$D$8&lt;&gt;"Y"</formula>
    </cfRule>
  </conditionalFormatting>
  <conditionalFormatting sqref="D58:BG58">
    <cfRule type="expression" dxfId="4" priority="408">
      <formula>$E$8&lt;&gt;"Y"</formula>
    </cfRule>
  </conditionalFormatting>
  <conditionalFormatting sqref="D59:BG59">
    <cfRule type="expression" dxfId="4" priority="411">
      <formula>$F$8&lt;&gt;"Y"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:BG60">
    <cfRule type="expression" dxfId="4" priority="414">
      <formula>$G$8&lt;&gt;"Y"</formula>
    </cfRule>
  </conditionalFormatting>
  <conditionalFormatting sqref="D61:BG61">
    <cfRule type="expression" dxfId="4" priority="417">
      <formula>$H$8&lt;&gt;"Y"</formula>
    </cfRule>
  </conditionalFormatting>
  <conditionalFormatting sqref="D62:BG62">
    <cfRule type="expression" dxfId="4" priority="420">
      <formula>$I$8&lt;&gt;"Y"</formula>
    </cfRule>
  </conditionalFormatting>
  <conditionalFormatting sqref="D63:BG63">
    <cfRule type="expression" dxfId="4" priority="423">
      <formula>$J$8&lt;&gt;"Y"</formula>
    </cfRule>
  </conditionalFormatting>
  <conditionalFormatting sqref="D64:BG64">
    <cfRule type="expression" dxfId="4" priority="426">
      <formula>$K$8&lt;&gt;"Y"</formula>
    </cfRule>
  </conditionalFormatting>
  <conditionalFormatting sqref="D65:BG65">
    <cfRule type="expression" dxfId="4" priority="429">
      <formula>$L$8&lt;&gt;"Y"</formula>
    </cfRule>
  </conditionalFormatting>
  <conditionalFormatting sqref="D66:BG66">
    <cfRule type="expression" dxfId="4" priority="432">
      <formula>$M$8&lt;&gt;"Y"</formula>
    </cfRule>
  </conditionalFormatting>
  <conditionalFormatting sqref="D67:BG67">
    <cfRule type="expression" dxfId="4" priority="435">
      <formula>$B$9&lt;&gt;"Y"</formula>
    </cfRule>
  </conditionalFormatting>
  <conditionalFormatting sqref="D68:BG68">
    <cfRule type="expression" dxfId="4" priority="438">
      <formula>$C$9&lt;&gt;"Y"</formula>
    </cfRule>
  </conditionalFormatting>
  <conditionalFormatting sqref="D69:BG69">
    <cfRule type="expression" dxfId="4" priority="441">
      <formula>$D$9&lt;&gt;"Y"</formula>
    </cfRule>
  </conditionalFormatting>
  <conditionalFormatting sqref="D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70:BG70">
    <cfRule type="expression" dxfId="4" priority="444">
      <formula>$E$9&lt;&gt;"Y"</formula>
    </cfRule>
  </conditionalFormatting>
  <conditionalFormatting sqref="D71:BG71">
    <cfRule type="expression" dxfId="4" priority="447">
      <formula>$F$9&lt;&gt;"Y"</formula>
    </cfRule>
  </conditionalFormatting>
  <conditionalFormatting sqref="D72:BG72">
    <cfRule type="expression" dxfId="4" priority="450">
      <formula>$G$9&lt;&gt;"Y"</formula>
    </cfRule>
  </conditionalFormatting>
  <conditionalFormatting sqref="D73:BG73">
    <cfRule type="expression" dxfId="4" priority="453">
      <formula>$H$9&lt;&gt;"Y"</formula>
    </cfRule>
  </conditionalFormatting>
  <conditionalFormatting sqref="D74:BG74">
    <cfRule type="expression" dxfId="4" priority="456">
      <formula>$I$9&lt;&gt;"Y"</formula>
    </cfRule>
  </conditionalFormatting>
  <conditionalFormatting sqref="D75:BG75">
    <cfRule type="expression" dxfId="4" priority="459">
      <formula>$J$9&lt;&gt;"Y"</formula>
    </cfRule>
  </conditionalFormatting>
  <conditionalFormatting sqref="D76:BG76">
    <cfRule type="expression" dxfId="4" priority="462">
      <formula>$K$9&lt;&gt;"Y"</formula>
    </cfRule>
  </conditionalFormatting>
  <conditionalFormatting sqref="D77:BG77">
    <cfRule type="expression" dxfId="4" priority="465">
      <formula>$L$9&lt;&gt;"Y"</formula>
    </cfRule>
  </conditionalFormatting>
  <conditionalFormatting sqref="D78:BG78">
    <cfRule type="expression" dxfId="4" priority="468">
      <formula>$M$9&lt;&gt;"Y"</formula>
    </cfRule>
  </conditionalFormatting>
  <conditionalFormatting sqref="D79:BG79">
    <cfRule type="expression" dxfId="4" priority="471">
      <formula>$B$10&lt;&gt;"Y"</formula>
    </cfRule>
  </conditionalFormatting>
  <conditionalFormatting sqref="D8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D80:BG80">
    <cfRule type="expression" dxfId="4" priority="474">
      <formula>$C$10&lt;&gt;"Y"</formula>
    </cfRule>
  </conditionalFormatting>
  <conditionalFormatting sqref="D81:BG81">
    <cfRule type="expression" dxfId="4" priority="477">
      <formula>$D$10&lt;&gt;"Y"</formula>
    </cfRule>
  </conditionalFormatting>
  <conditionalFormatting sqref="D82:BG82">
    <cfRule type="expression" dxfId="4" priority="480">
      <formula>$E$10&lt;&gt;"Y"</formula>
    </cfRule>
  </conditionalFormatting>
  <conditionalFormatting sqref="D83:BG83">
    <cfRule type="expression" dxfId="4" priority="483">
      <formula>$F$10&lt;&gt;"Y"</formula>
    </cfRule>
  </conditionalFormatting>
  <conditionalFormatting sqref="D84:BG84">
    <cfRule type="expression" dxfId="4" priority="486">
      <formula>$G$10&lt;&gt;"Y"</formula>
    </cfRule>
  </conditionalFormatting>
  <conditionalFormatting sqref="D85:BG85">
    <cfRule type="expression" dxfId="4" priority="489">
      <formula>$H$10&lt;&gt;"Y"</formula>
    </cfRule>
  </conditionalFormatting>
  <conditionalFormatting sqref="D86:BG86">
    <cfRule type="expression" dxfId="4" priority="492">
      <formula>$I$10&lt;&gt;"Y"</formula>
    </cfRule>
  </conditionalFormatting>
  <conditionalFormatting sqref="D87:BG87">
    <cfRule type="expression" dxfId="4" priority="495">
      <formula>$J$10&lt;&gt;"Y"</formula>
    </cfRule>
  </conditionalFormatting>
  <conditionalFormatting sqref="D88:BG88">
    <cfRule type="expression" dxfId="4" priority="498">
      <formula>$K$10&lt;&gt;"Y"</formula>
    </cfRule>
  </conditionalFormatting>
  <conditionalFormatting sqref="D89:BG89">
    <cfRule type="expression" dxfId="4" priority="501">
      <formula>$L$10&lt;&gt;"Y"</formula>
    </cfRule>
  </conditionalFormatting>
  <conditionalFormatting sqref="D9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90:BG90">
    <cfRule type="expression" dxfId="4" priority="504">
      <formula>$M$10&lt;&gt;"Y"</formula>
    </cfRule>
  </conditionalFormatting>
  <conditionalFormatting sqref="D91:BG91">
    <cfRule type="expression" dxfId="4" priority="507">
      <formula>$B$11&lt;&gt;"Y"</formula>
    </cfRule>
  </conditionalFormatting>
  <conditionalFormatting sqref="D92:BG92">
    <cfRule type="expression" dxfId="4" priority="510">
      <formula>$C$11&lt;&gt;"Y"</formula>
    </cfRule>
  </conditionalFormatting>
  <conditionalFormatting sqref="D93:BG93">
    <cfRule type="expression" dxfId="4" priority="513">
      <formula>$D$11&lt;&gt;"Y"</formula>
    </cfRule>
  </conditionalFormatting>
  <conditionalFormatting sqref="D94:BG94">
    <cfRule type="expression" dxfId="4" priority="516">
      <formula>$E$11&lt;&gt;"Y"</formula>
    </cfRule>
  </conditionalFormatting>
  <conditionalFormatting sqref="D95:BG95">
    <cfRule type="expression" dxfId="4" priority="519">
      <formula>$F$11&lt;&gt;"Y"</formula>
    </cfRule>
  </conditionalFormatting>
  <conditionalFormatting sqref="D96:BG96">
    <cfRule type="expression" dxfId="4" priority="522">
      <formula>$G$11&lt;&gt;"Y"</formula>
    </cfRule>
  </conditionalFormatting>
  <conditionalFormatting sqref="D97:BG97">
    <cfRule type="expression" dxfId="4" priority="525">
      <formula>$H$11&lt;&gt;"Y"</formula>
    </cfRule>
  </conditionalFormatting>
  <conditionalFormatting sqref="D98:BG98">
    <cfRule type="expression" dxfId="4" priority="528">
      <formula>$I$11&lt;&gt;"Y"</formula>
    </cfRule>
  </conditionalFormatting>
  <conditionalFormatting sqref="D99:BG99">
    <cfRule type="expression" dxfId="4" priority="531">
      <formula>$J$11&lt;&gt;"Y"</formula>
    </cfRule>
  </conditionalFormatting>
  <conditionalFormatting sqref="E10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E11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12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3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E14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E15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6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E9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F10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F11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12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3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F14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F15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6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F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G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G100">
    <cfRule type="expression" dxfId="0" priority="532">
      <formula>COUNTIF(I100:BG100,"&lt;&gt;" &amp; "")&gt;0</formula>
    </cfRule>
    <cfRule type="expression" dxfId="1" priority="533">
      <formula>AND(COUNTIF(I100:BG100,"&lt;&gt;" &amp; "")&gt;0,NOT(ISBLANK(G100)))</formula>
    </cfRule>
  </conditionalFormatting>
  <conditionalFormatting sqref="G101">
    <cfRule type="expression" dxfId="0" priority="535">
      <formula>COUNTIF(I101:BG101,"&lt;&gt;" &amp; "")&gt;0</formula>
    </cfRule>
    <cfRule type="expression" dxfId="1" priority="536">
      <formula>AND(COUNTIF(I101:BG101,"&lt;&gt;" &amp; "")&gt;0,NOT(ISBLANK(G101)))</formula>
    </cfRule>
  </conditionalFormatting>
  <conditionalFormatting sqref="G102">
    <cfRule type="expression" dxfId="0" priority="538">
      <formula>COUNTIF(I102:BG102,"&lt;&gt;" &amp; "")&gt;0</formula>
    </cfRule>
    <cfRule type="expression" dxfId="1" priority="539">
      <formula>AND(COUNTIF(I102:BG102,"&lt;&gt;" &amp; "")&gt;0,NOT(ISBLANK(G102)))</formula>
    </cfRule>
  </conditionalFormatting>
  <conditionalFormatting sqref="G103">
    <cfRule type="expression" dxfId="0" priority="541">
      <formula>COUNTIF(I103:BG103,"&lt;&gt;" &amp; "")&gt;0</formula>
    </cfRule>
    <cfRule type="expression" dxfId="1" priority="542">
      <formula>AND(COUNTIF(I103:BG103,"&lt;&gt;" &amp; "")&gt;0,NOT(ISBLANK(G103)))</formula>
    </cfRule>
  </conditionalFormatting>
  <conditionalFormatting sqref="G104">
    <cfRule type="expression" dxfId="0" priority="544">
      <formula>COUNTIF(I104:BG104,"&lt;&gt;" &amp; "")&gt;0</formula>
    </cfRule>
    <cfRule type="expression" dxfId="1" priority="545">
      <formula>AND(COUNTIF(I104:BG104,"&lt;&gt;" &amp; "")&gt;0,NOT(ISBLANK(G104)))</formula>
    </cfRule>
  </conditionalFormatting>
  <conditionalFormatting sqref="G105">
    <cfRule type="expression" dxfId="0" priority="547">
      <formula>COUNTIF(I105:BG105,"&lt;&gt;" &amp; "")&gt;0</formula>
    </cfRule>
    <cfRule type="expression" dxfId="1" priority="548">
      <formula>AND(COUNTIF(I105:BG105,"&lt;&gt;" &amp; "")&gt;0,NOT(ISBLANK(G105)))</formula>
    </cfRule>
  </conditionalFormatting>
  <conditionalFormatting sqref="G106">
    <cfRule type="expression" dxfId="0" priority="550">
      <formula>COUNTIF(I106:BG106,"&lt;&gt;" &amp; "")&gt;0</formula>
    </cfRule>
    <cfRule type="expression" dxfId="1" priority="551">
      <formula>AND(COUNTIF(I106:BG106,"&lt;&gt;" &amp; "")&gt;0,NOT(ISBLANK(G106)))</formula>
    </cfRule>
  </conditionalFormatting>
  <conditionalFormatting sqref="G107">
    <cfRule type="expression" dxfId="0" priority="553">
      <formula>COUNTIF(I107:BG107,"&lt;&gt;" &amp; "")&gt;0</formula>
    </cfRule>
    <cfRule type="expression" dxfId="1" priority="554">
      <formula>AND(COUNTIF(I107:BG107,"&lt;&gt;" &amp; "")&gt;0,NOT(ISBLANK(G107)))</formula>
    </cfRule>
  </conditionalFormatting>
  <conditionalFormatting sqref="G108">
    <cfRule type="expression" dxfId="0" priority="556">
      <formula>COUNTIF(I108:BG108,"&lt;&gt;" &amp; "")&gt;0</formula>
    </cfRule>
    <cfRule type="expression" dxfId="1" priority="557">
      <formula>AND(COUNTIF(I108:BG108,"&lt;&gt;" &amp; "")&gt;0,NOT(ISBLANK(G108)))</formula>
    </cfRule>
  </conditionalFormatting>
  <conditionalFormatting sqref="G109">
    <cfRule type="expression" dxfId="0" priority="559">
      <formula>COUNTIF(I109:BG109,"&lt;&gt;" &amp; "")&gt;0</formula>
    </cfRule>
    <cfRule type="expression" dxfId="1" priority="560">
      <formula>AND(COUNTIF(I109:BG109,"&lt;&gt;" &amp; "")&gt;0,NOT(ISBLANK(G109)))</formula>
    </cfRule>
  </conditionalFormatting>
  <conditionalFormatting sqref="G11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110">
    <cfRule type="expression" dxfId="0" priority="562">
      <formula>COUNTIF(I110:BG110,"&lt;&gt;" &amp; "")&gt;0</formula>
    </cfRule>
    <cfRule type="expression" dxfId="1" priority="563">
      <formula>AND(COUNTIF(I110:BG110,"&lt;&gt;" &amp; "")&gt;0,NOT(ISBLANK(G110)))</formula>
    </cfRule>
  </conditionalFormatting>
  <conditionalFormatting sqref="G111">
    <cfRule type="expression" dxfId="0" priority="565">
      <formula>COUNTIF(I111:BG111,"&lt;&gt;" &amp; "")&gt;0</formula>
    </cfRule>
    <cfRule type="expression" dxfId="1" priority="566">
      <formula>AND(COUNTIF(I111:BG111,"&lt;&gt;" &amp; "")&gt;0,NOT(ISBLANK(G111)))</formula>
    </cfRule>
  </conditionalFormatting>
  <conditionalFormatting sqref="G112">
    <cfRule type="expression" dxfId="0" priority="568">
      <formula>COUNTIF(I112:BG112,"&lt;&gt;" &amp; "")&gt;0</formula>
    </cfRule>
    <cfRule type="expression" dxfId="1" priority="569">
      <formula>AND(COUNTIF(I112:BG112,"&lt;&gt;" &amp; "")&gt;0,NOT(ISBLANK(G112)))</formula>
    </cfRule>
  </conditionalFormatting>
  <conditionalFormatting sqref="G113">
    <cfRule type="expression" dxfId="0" priority="571">
      <formula>COUNTIF(I113:BG113,"&lt;&gt;" &amp; "")&gt;0</formula>
    </cfRule>
    <cfRule type="expression" dxfId="1" priority="572">
      <formula>AND(COUNTIF(I113:BG113,"&lt;&gt;" &amp; "")&gt;0,NOT(ISBLANK(G113)))</formula>
    </cfRule>
  </conditionalFormatting>
  <conditionalFormatting sqref="G114">
    <cfRule type="expression" dxfId="0" priority="574">
      <formula>COUNTIF(I114:BG114,"&lt;&gt;" &amp; "")&gt;0</formula>
    </cfRule>
    <cfRule type="expression" dxfId="1" priority="575">
      <formula>AND(COUNTIF(I114:BG114,"&lt;&gt;" &amp; "")&gt;0,NOT(ISBLANK(G114)))</formula>
    </cfRule>
  </conditionalFormatting>
  <conditionalFormatting sqref="G115">
    <cfRule type="expression" dxfId="0" priority="577">
      <formula>COUNTIF(I115:BG115,"&lt;&gt;" &amp; "")&gt;0</formula>
    </cfRule>
    <cfRule type="expression" dxfId="1" priority="578">
      <formula>AND(COUNTIF(I115:BG115,"&lt;&gt;" &amp; "")&gt;0,NOT(ISBLANK(G115)))</formula>
    </cfRule>
  </conditionalFormatting>
  <conditionalFormatting sqref="G116">
    <cfRule type="expression" dxfId="0" priority="580">
      <formula>COUNTIF(I116:BG116,"&lt;&gt;" &amp; "")&gt;0</formula>
    </cfRule>
    <cfRule type="expression" dxfId="1" priority="581">
      <formula>AND(COUNTIF(I116:BG116,"&lt;&gt;" &amp; "")&gt;0,NOT(ISBLANK(G116)))</formula>
    </cfRule>
  </conditionalFormatting>
  <conditionalFormatting sqref="G117">
    <cfRule type="expression" dxfId="0" priority="583">
      <formula>COUNTIF(I117:BG117,"&lt;&gt;" &amp; "")&gt;0</formula>
    </cfRule>
    <cfRule type="expression" dxfId="1" priority="584">
      <formula>AND(COUNTIF(I117:BG117,"&lt;&gt;" &amp; "")&gt;0,NOT(ISBLANK(G117)))</formula>
    </cfRule>
  </conditionalFormatting>
  <conditionalFormatting sqref="G118">
    <cfRule type="expression" dxfId="0" priority="586">
      <formula>COUNTIF(I118:BG118,"&lt;&gt;" &amp; "")&gt;0</formula>
    </cfRule>
    <cfRule type="expression" dxfId="1" priority="587">
      <formula>AND(COUNTIF(I118:BG118,"&lt;&gt;" &amp; "")&gt;0,NOT(ISBLANK(G118)))</formula>
    </cfRule>
  </conditionalFormatting>
  <conditionalFormatting sqref="G119">
    <cfRule type="expression" dxfId="0" priority="589">
      <formula>COUNTIF(I119:BG119,"&lt;&gt;" &amp; "")&gt;0</formula>
    </cfRule>
    <cfRule type="expression" dxfId="1" priority="590">
      <formula>AND(COUNTIF(I119:BG119,"&lt;&gt;" &amp; "")&gt;0,NOT(ISBLANK(G119)))</formula>
    </cfRule>
  </conditionalFormatting>
  <conditionalFormatting sqref="G12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20">
    <cfRule type="expression" dxfId="0" priority="592">
      <formula>COUNTIF(I120:BG120,"&lt;&gt;" &amp; "")&gt;0</formula>
    </cfRule>
    <cfRule type="expression" dxfId="1" priority="593">
      <formula>AND(COUNTIF(I120:BG120,"&lt;&gt;" &amp; "")&gt;0,NOT(ISBLANK(G120)))</formula>
    </cfRule>
  </conditionalFormatting>
  <conditionalFormatting sqref="G121">
    <cfRule type="expression" dxfId="0" priority="595">
      <formula>COUNTIF(I121:BG121,"&lt;&gt;" &amp; "")&gt;0</formula>
    </cfRule>
    <cfRule type="expression" dxfId="1" priority="596">
      <formula>AND(COUNTIF(I121:BG121,"&lt;&gt;" &amp; "")&gt;0,NOT(ISBLANK(G121)))</formula>
    </cfRule>
  </conditionalFormatting>
  <conditionalFormatting sqref="G122">
    <cfRule type="expression" dxfId="0" priority="598">
      <formula>COUNTIF(I122:BG122,"&lt;&gt;" &amp; "")&gt;0</formula>
    </cfRule>
    <cfRule type="expression" dxfId="1" priority="599">
      <formula>AND(COUNTIF(I122:BG122,"&lt;&gt;" &amp; "")&gt;0,NOT(ISBLANK(G122)))</formula>
    </cfRule>
  </conditionalFormatting>
  <conditionalFormatting sqref="G123">
    <cfRule type="expression" dxfId="0" priority="601">
      <formula>COUNTIF(I123:BG123,"&lt;&gt;" &amp; "")&gt;0</formula>
    </cfRule>
    <cfRule type="expression" dxfId="1" priority="602">
      <formula>AND(COUNTIF(I123:BG123,"&lt;&gt;" &amp; "")&gt;0,NOT(ISBLANK(G123)))</formula>
    </cfRule>
  </conditionalFormatting>
  <conditionalFormatting sqref="G124">
    <cfRule type="expression" dxfId="0" priority="604">
      <formula>COUNTIF(I124:BG124,"&lt;&gt;" &amp; "")&gt;0</formula>
    </cfRule>
    <cfRule type="expression" dxfId="1" priority="605">
      <formula>AND(COUNTIF(I124:BG124,"&lt;&gt;" &amp; "")&gt;0,NOT(ISBLANK(G124)))</formula>
    </cfRule>
  </conditionalFormatting>
  <conditionalFormatting sqref="G125">
    <cfRule type="expression" dxfId="0" priority="607">
      <formula>COUNTIF(I125:BG125,"&lt;&gt;" &amp; "")&gt;0</formula>
    </cfRule>
    <cfRule type="expression" dxfId="1" priority="608">
      <formula>AND(COUNTIF(I125:BG125,"&lt;&gt;" &amp; "")&gt;0,NOT(ISBLANK(G125)))</formula>
    </cfRule>
  </conditionalFormatting>
  <conditionalFormatting sqref="G126">
    <cfRule type="expression" dxfId="0" priority="610">
      <formula>COUNTIF(I126:BG126,"&lt;&gt;" &amp; "")&gt;0</formula>
    </cfRule>
    <cfRule type="expression" dxfId="1" priority="611">
      <formula>AND(COUNTIF(I126:BG126,"&lt;&gt;" &amp; "")&gt;0,NOT(ISBLANK(G126)))</formula>
    </cfRule>
  </conditionalFormatting>
  <conditionalFormatting sqref="G127">
    <cfRule type="expression" dxfId="0" priority="613">
      <formula>COUNTIF(I127:BG127,"&lt;&gt;" &amp; "")&gt;0</formula>
    </cfRule>
    <cfRule type="expression" dxfId="1" priority="614">
      <formula>AND(COUNTIF(I127:BG127,"&lt;&gt;" &amp; "")&gt;0,NOT(ISBLANK(G127)))</formula>
    </cfRule>
  </conditionalFormatting>
  <conditionalFormatting sqref="G128">
    <cfRule type="expression" dxfId="0" priority="616">
      <formula>COUNTIF(I128:BG128,"&lt;&gt;" &amp; "")&gt;0</formula>
    </cfRule>
    <cfRule type="expression" dxfId="1" priority="617">
      <formula>AND(COUNTIF(I128:BG128,"&lt;&gt;" &amp; "")&gt;0,NOT(ISBLANK(G128)))</formula>
    </cfRule>
  </conditionalFormatting>
  <conditionalFormatting sqref="G129">
    <cfRule type="expression" dxfId="0" priority="619">
      <formula>COUNTIF(I129:BG129,"&lt;&gt;" &amp; "")&gt;0</formula>
    </cfRule>
    <cfRule type="expression" dxfId="1" priority="620">
      <formula>AND(COUNTIF(I129:BG129,"&lt;&gt;" &amp; "")&gt;0,NOT(ISBLANK(G129)))</formula>
    </cfRule>
  </conditionalFormatting>
  <conditionalFormatting sqref="G13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130">
    <cfRule type="expression" dxfId="0" priority="622">
      <formula>COUNTIF(I130:BG130,"&lt;&gt;" &amp; "")&gt;0</formula>
    </cfRule>
    <cfRule type="expression" dxfId="1" priority="623">
      <formula>AND(COUNTIF(I130:BG130,"&lt;&gt;" &amp; "")&gt;0,NOT(ISBLANK(G130)))</formula>
    </cfRule>
  </conditionalFormatting>
  <conditionalFormatting sqref="G131">
    <cfRule type="expression" dxfId="0" priority="625">
      <formula>COUNTIF(I131:BG131,"&lt;&gt;" &amp; "")&gt;0</formula>
    </cfRule>
    <cfRule type="expression" dxfId="1" priority="626">
      <formula>AND(COUNTIF(I131:BG131,"&lt;&gt;" &amp; "")&gt;0,NOT(ISBLANK(G131)))</formula>
    </cfRule>
  </conditionalFormatting>
  <conditionalFormatting sqref="G132">
    <cfRule type="expression" dxfId="0" priority="628">
      <formula>COUNTIF(I132:BG132,"&lt;&gt;" &amp; "")&gt;0</formula>
    </cfRule>
    <cfRule type="expression" dxfId="1" priority="629">
      <formula>AND(COUNTIF(I132:BG132,"&lt;&gt;" &amp; "")&gt;0,NOT(ISBLANK(G132)))</formula>
    </cfRule>
  </conditionalFormatting>
  <conditionalFormatting sqref="G133">
    <cfRule type="expression" dxfId="0" priority="631">
      <formula>COUNTIF(I133:BG133,"&lt;&gt;" &amp; "")&gt;0</formula>
    </cfRule>
    <cfRule type="expression" dxfId="1" priority="632">
      <formula>AND(COUNTIF(I133:BG133,"&lt;&gt;" &amp; "")&gt;0,NOT(ISBLANK(G133)))</formula>
    </cfRule>
  </conditionalFormatting>
  <conditionalFormatting sqref="G134">
    <cfRule type="expression" dxfId="0" priority="634">
      <formula>COUNTIF(I134:BG134,"&lt;&gt;" &amp; "")&gt;0</formula>
    </cfRule>
    <cfRule type="expression" dxfId="1" priority="635">
      <formula>AND(COUNTIF(I134:BG134,"&lt;&gt;" &amp; "")&gt;0,NOT(ISBLANK(G134)))</formula>
    </cfRule>
  </conditionalFormatting>
  <conditionalFormatting sqref="G135">
    <cfRule type="expression" dxfId="0" priority="637">
      <formula>COUNTIF(I135:BG135,"&lt;&gt;" &amp; "")&gt;0</formula>
    </cfRule>
    <cfRule type="expression" dxfId="1" priority="638">
      <formula>AND(COUNTIF(I135:BG135,"&lt;&gt;" &amp; "")&gt;0,NOT(ISBLANK(G135)))</formula>
    </cfRule>
  </conditionalFormatting>
  <conditionalFormatting sqref="G136">
    <cfRule type="expression" dxfId="0" priority="640">
      <formula>COUNTIF(I136:BG136,"&lt;&gt;" &amp; "")&gt;0</formula>
    </cfRule>
    <cfRule type="expression" dxfId="1" priority="641">
      <formula>AND(COUNTIF(I136:BG136,"&lt;&gt;" &amp; "")&gt;0,NOT(ISBLANK(G136)))</formula>
    </cfRule>
  </conditionalFormatting>
  <conditionalFormatting sqref="G137">
    <cfRule type="expression" dxfId="0" priority="643">
      <formula>COUNTIF(I137:BG137,"&lt;&gt;" &amp; "")&gt;0</formula>
    </cfRule>
    <cfRule type="expression" dxfId="1" priority="644">
      <formula>AND(COUNTIF(I137:BG137,"&lt;&gt;" &amp; "")&gt;0,NOT(ISBLANK(G137)))</formula>
    </cfRule>
  </conditionalFormatting>
  <conditionalFormatting sqref="G138">
    <cfRule type="expression" dxfId="0" priority="646">
      <formula>COUNTIF(I138:BG138,"&lt;&gt;" &amp; "")&gt;0</formula>
    </cfRule>
    <cfRule type="expression" dxfId="1" priority="647">
      <formula>AND(COUNTIF(I138:BG138,"&lt;&gt;" &amp; "")&gt;0,NOT(ISBLANK(G138)))</formula>
    </cfRule>
  </conditionalFormatting>
  <conditionalFormatting sqref="G139">
    <cfRule type="expression" dxfId="0" priority="649">
      <formula>COUNTIF(I139:BG139,"&lt;&gt;" &amp; "")&gt;0</formula>
    </cfRule>
    <cfRule type="expression" dxfId="1" priority="650">
      <formula>AND(COUNTIF(I139:BG139,"&lt;&gt;" &amp; "")&gt;0,NOT(ISBLANK(G139)))</formula>
    </cfRule>
  </conditionalFormatting>
  <conditionalFormatting sqref="G14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G140">
    <cfRule type="expression" dxfId="0" priority="652">
      <formula>COUNTIF(I140:BG140,"&lt;&gt;" &amp; "")&gt;0</formula>
    </cfRule>
    <cfRule type="expression" dxfId="1" priority="653">
      <formula>AND(COUNTIF(I140:BG140,"&lt;&gt;" &amp; "")&gt;0,NOT(ISBLANK(G140)))</formula>
    </cfRule>
  </conditionalFormatting>
  <conditionalFormatting sqref="G141">
    <cfRule type="expression" dxfId="0" priority="655">
      <formula>COUNTIF(I141:BG141,"&lt;&gt;" &amp; "")&gt;0</formula>
    </cfRule>
    <cfRule type="expression" dxfId="1" priority="656">
      <formula>AND(COUNTIF(I141:BG141,"&lt;&gt;" &amp; "")&gt;0,NOT(ISBLANK(G141)))</formula>
    </cfRule>
  </conditionalFormatting>
  <conditionalFormatting sqref="G142">
    <cfRule type="expression" dxfId="0" priority="658">
      <formula>COUNTIF(I142:BG142,"&lt;&gt;" &amp; "")&gt;0</formula>
    </cfRule>
    <cfRule type="expression" dxfId="1" priority="659">
      <formula>AND(COUNTIF(I142:BG142,"&lt;&gt;" &amp; "")&gt;0,NOT(ISBLANK(G142)))</formula>
    </cfRule>
  </conditionalFormatting>
  <conditionalFormatting sqref="G143">
    <cfRule type="expression" dxfId="0" priority="661">
      <formula>COUNTIF(I143:BG143,"&lt;&gt;" &amp; "")&gt;0</formula>
    </cfRule>
    <cfRule type="expression" dxfId="1" priority="662">
      <formula>AND(COUNTIF(I143:BG143,"&lt;&gt;" &amp; "")&gt;0,NOT(ISBLANK(G143)))</formula>
    </cfRule>
  </conditionalFormatting>
  <conditionalFormatting sqref="G144">
    <cfRule type="expression" dxfId="0" priority="664">
      <formula>COUNTIF(I144:BG144,"&lt;&gt;" &amp; "")&gt;0</formula>
    </cfRule>
    <cfRule type="expression" dxfId="1" priority="665">
      <formula>AND(COUNTIF(I144:BG144,"&lt;&gt;" &amp; "")&gt;0,NOT(ISBLANK(G144)))</formula>
    </cfRule>
  </conditionalFormatting>
  <conditionalFormatting sqref="G145">
    <cfRule type="expression" dxfId="0" priority="667">
      <formula>COUNTIF(I145:BG145,"&lt;&gt;" &amp; "")&gt;0</formula>
    </cfRule>
    <cfRule type="expression" dxfId="1" priority="668">
      <formula>AND(COUNTIF(I145:BG145,"&lt;&gt;" &amp; "")&gt;0,NOT(ISBLANK(G145)))</formula>
    </cfRule>
  </conditionalFormatting>
  <conditionalFormatting sqref="G146">
    <cfRule type="expression" dxfId="0" priority="670">
      <formula>COUNTIF(I146:BG146,"&lt;&gt;" &amp; "")&gt;0</formula>
    </cfRule>
    <cfRule type="expression" dxfId="1" priority="671">
      <formula>AND(COUNTIF(I146:BG146,"&lt;&gt;" &amp; "")&gt;0,NOT(ISBLANK(G146)))</formula>
    </cfRule>
  </conditionalFormatting>
  <conditionalFormatting sqref="G147">
    <cfRule type="expression" dxfId="0" priority="673">
      <formula>COUNTIF(I147:BG147,"&lt;&gt;" &amp; "")&gt;0</formula>
    </cfRule>
    <cfRule type="expression" dxfId="1" priority="674">
      <formula>AND(COUNTIF(I147:BG147,"&lt;&gt;" &amp; "")&gt;0,NOT(ISBLANK(G147)))</formula>
    </cfRule>
  </conditionalFormatting>
  <conditionalFormatting sqref="G148">
    <cfRule type="expression" dxfId="0" priority="676">
      <formula>COUNTIF(I148:BG148,"&lt;&gt;" &amp; "")&gt;0</formula>
    </cfRule>
    <cfRule type="expression" dxfId="1" priority="677">
      <formula>AND(COUNTIF(I148:BG148,"&lt;&gt;" &amp; "")&gt;0,NOT(ISBLANK(G148)))</formula>
    </cfRule>
  </conditionalFormatting>
  <conditionalFormatting sqref="G149">
    <cfRule type="expression" dxfId="0" priority="679">
      <formula>COUNTIF(I149:BG149,"&lt;&gt;" &amp; "")&gt;0</formula>
    </cfRule>
    <cfRule type="expression" dxfId="1" priority="680">
      <formula>AND(COUNTIF(I149:BG149,"&lt;&gt;" &amp; "")&gt;0,NOT(ISBLANK(G149)))</formula>
    </cfRule>
  </conditionalFormatting>
  <conditionalFormatting sqref="G15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50">
    <cfRule type="expression" dxfId="0" priority="682">
      <formula>COUNTIF(I150:BG150,"&lt;&gt;" &amp; "")&gt;0</formula>
    </cfRule>
    <cfRule type="expression" dxfId="1" priority="683">
      <formula>AND(COUNTIF(I150:BG150,"&lt;&gt;" &amp; "")&gt;0,NOT(ISBLANK(G150)))</formula>
    </cfRule>
  </conditionalFormatting>
  <conditionalFormatting sqref="G151">
    <cfRule type="expression" dxfId="0" priority="685">
      <formula>COUNTIF(I151:BG151,"&lt;&gt;" &amp; "")&gt;0</formula>
    </cfRule>
    <cfRule type="expression" dxfId="1" priority="686">
      <formula>AND(COUNTIF(I151:BG151,"&lt;&gt;" &amp; "")&gt;0,NOT(ISBLANK(G151)))</formula>
    </cfRule>
  </conditionalFormatting>
  <conditionalFormatting sqref="G152">
    <cfRule type="expression" dxfId="0" priority="688">
      <formula>COUNTIF(I152:BG152,"&lt;&gt;" &amp; "")&gt;0</formula>
    </cfRule>
    <cfRule type="expression" dxfId="1" priority="689">
      <formula>AND(COUNTIF(I152:BG152,"&lt;&gt;" &amp; "")&gt;0,NOT(ISBLANK(G152)))</formula>
    </cfRule>
  </conditionalFormatting>
  <conditionalFormatting sqref="G153">
    <cfRule type="expression" dxfId="0" priority="691">
      <formula>COUNTIF(I153:BG153,"&lt;&gt;" &amp; "")&gt;0</formula>
    </cfRule>
    <cfRule type="expression" dxfId="1" priority="692">
      <formula>AND(COUNTIF(I153:BG153,"&lt;&gt;" &amp; "")&gt;0,NOT(ISBLANK(G153)))</formula>
    </cfRule>
  </conditionalFormatting>
  <conditionalFormatting sqref="G154">
    <cfRule type="expression" dxfId="0" priority="694">
      <formula>COUNTIF(I154:BG154,"&lt;&gt;" &amp; "")&gt;0</formula>
    </cfRule>
    <cfRule type="expression" dxfId="1" priority="695">
      <formula>AND(COUNTIF(I154:BG154,"&lt;&gt;" &amp; "")&gt;0,NOT(ISBLANK(G154)))</formula>
    </cfRule>
  </conditionalFormatting>
  <conditionalFormatting sqref="G155">
    <cfRule type="expression" dxfId="0" priority="697">
      <formula>COUNTIF(I155:BG155,"&lt;&gt;" &amp; "")&gt;0</formula>
    </cfRule>
    <cfRule type="expression" dxfId="1" priority="698">
      <formula>AND(COUNTIF(I155:BG155,"&lt;&gt;" &amp; "")&gt;0,NOT(ISBLANK(G155)))</formula>
    </cfRule>
  </conditionalFormatting>
  <conditionalFormatting sqref="G156">
    <cfRule type="expression" dxfId="0" priority="700">
      <formula>COUNTIF(I156:BG156,"&lt;&gt;" &amp; "")&gt;0</formula>
    </cfRule>
    <cfRule type="expression" dxfId="1" priority="701">
      <formula>AND(COUNTIF(I156:BG156,"&lt;&gt;" &amp; "")&gt;0,NOT(ISBLANK(G156)))</formula>
    </cfRule>
  </conditionalFormatting>
  <conditionalFormatting sqref="G157">
    <cfRule type="expression" dxfId="0" priority="703">
      <formula>COUNTIF(I157:BG157,"&lt;&gt;" &amp; "")&gt;0</formula>
    </cfRule>
    <cfRule type="expression" dxfId="1" priority="704">
      <formula>AND(COUNTIF(I157:BG157,"&lt;&gt;" &amp; "")&gt;0,NOT(ISBLANK(G157)))</formula>
    </cfRule>
  </conditionalFormatting>
  <conditionalFormatting sqref="G158">
    <cfRule type="expression" dxfId="0" priority="706">
      <formula>COUNTIF(I158:BG158,"&lt;&gt;" &amp; "")&gt;0</formula>
    </cfRule>
    <cfRule type="expression" dxfId="1" priority="707">
      <formula>AND(COUNTIF(I158:BG158,"&lt;&gt;" &amp; "")&gt;0,NOT(ISBLANK(G158)))</formula>
    </cfRule>
  </conditionalFormatting>
  <conditionalFormatting sqref="G159">
    <cfRule type="expression" dxfId="0" priority="709">
      <formula>COUNTIF(I159:BG159,"&lt;&gt;" &amp; "")&gt;0</formula>
    </cfRule>
    <cfRule type="expression" dxfId="1" priority="710">
      <formula>AND(COUNTIF(I159:BG159,"&lt;&gt;" &amp; "")&gt;0,NOT(ISBLANK(G159)))</formula>
    </cfRule>
  </conditionalFormatting>
  <conditionalFormatting sqref="G16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G160">
    <cfRule type="expression" dxfId="0" priority="712">
      <formula>COUNTIF(I160:BG160,"&lt;&gt;" &amp; "")&gt;0</formula>
    </cfRule>
    <cfRule type="expression" dxfId="1" priority="713">
      <formula>AND(COUNTIF(I160:BG160,"&lt;&gt;" &amp; "")&gt;0,NOT(ISBLANK(G160)))</formula>
    </cfRule>
  </conditionalFormatting>
  <conditionalFormatting sqref="G161">
    <cfRule type="expression" dxfId="0" priority="715">
      <formula>COUNTIF(I161:BG161,"&lt;&gt;" &amp; "")&gt;0</formula>
    </cfRule>
    <cfRule type="expression" dxfId="1" priority="716">
      <formula>AND(COUNTIF(I161:BG161,"&lt;&gt;" &amp; "")&gt;0,NOT(ISBLANK(G161)))</formula>
    </cfRule>
  </conditionalFormatting>
  <conditionalFormatting sqref="G162">
    <cfRule type="expression" dxfId="0" priority="718">
      <formula>COUNTIF(I162:BG162,"&lt;&gt;" &amp; "")&gt;0</formula>
    </cfRule>
    <cfRule type="expression" dxfId="1" priority="719">
      <formula>AND(COUNTIF(I162:BG162,"&lt;&gt;" &amp; "")&gt;0,NOT(ISBLANK(G162)))</formula>
    </cfRule>
  </conditionalFormatting>
  <conditionalFormatting sqref="G19">
    <cfRule type="expression" dxfId="0" priority="289">
      <formula>COUNTIF(I19:BG19,"&lt;&gt;" &amp; "")&gt;0</formula>
    </cfRule>
    <cfRule type="expression" dxfId="1" priority="290">
      <formula>AND(COUNTIF(I19:BG19,"&lt;&gt;" &amp; "")&gt;0,NOT(ISBLANK(G19)))</formula>
    </cfRule>
  </conditionalFormatting>
  <conditionalFormatting sqref="G20">
    <cfRule type="expression" dxfId="0" priority="292">
      <formula>COUNTIF(I20:BG20,"&lt;&gt;" &amp; "")&gt;0</formula>
    </cfRule>
    <cfRule type="expression" dxfId="1" priority="293">
      <formula>AND(COUNTIF(I20:BG20,"&lt;&gt;" &amp; "")&gt;0,NOT(ISBLANK(G20)))</formula>
    </cfRule>
  </conditionalFormatting>
  <conditionalFormatting sqref="G21">
    <cfRule type="expression" dxfId="0" priority="295">
      <formula>COUNTIF(I21:BG21,"&lt;&gt;" &amp; "")&gt;0</formula>
    </cfRule>
    <cfRule type="expression" dxfId="1" priority="296">
      <formula>AND(COUNTIF(I21:BG21,"&lt;&gt;" &amp; "")&gt;0,NOT(ISBLANK(G21)))</formula>
    </cfRule>
  </conditionalFormatting>
  <conditionalFormatting sqref="G22">
    <cfRule type="expression" dxfId="0" priority="298">
      <formula>COUNTIF(I22:BG22,"&lt;&gt;" &amp; "")&gt;0</formula>
    </cfRule>
    <cfRule type="expression" dxfId="1" priority="299">
      <formula>AND(COUNTIF(I22:BG22,"&lt;&gt;" &amp; "")&gt;0,NOT(ISBLANK(G22)))</formula>
    </cfRule>
  </conditionalFormatting>
  <conditionalFormatting sqref="G23">
    <cfRule type="expression" dxfId="0" priority="301">
      <formula>COUNTIF(I23:BG23,"&lt;&gt;" &amp; "")&gt;0</formula>
    </cfRule>
    <cfRule type="expression" dxfId="1" priority="302">
      <formula>AND(COUNTIF(I23:BG23,"&lt;&gt;" &amp; "")&gt;0,NOT(ISBLANK(G23)))</formula>
    </cfRule>
  </conditionalFormatting>
  <conditionalFormatting sqref="G24">
    <cfRule type="expression" dxfId="0" priority="304">
      <formula>COUNTIF(I24:BG24,"&lt;&gt;" &amp; "")&gt;0</formula>
    </cfRule>
    <cfRule type="expression" dxfId="1" priority="305">
      <formula>AND(COUNTIF(I24:BG24,"&lt;&gt;" &amp; "")&gt;0,NOT(ISBLANK(G24)))</formula>
    </cfRule>
  </conditionalFormatting>
  <conditionalFormatting sqref="G25">
    <cfRule type="expression" dxfId="0" priority="307">
      <formula>COUNTIF(I25:BG25,"&lt;&gt;" &amp; "")&gt;0</formula>
    </cfRule>
    <cfRule type="expression" dxfId="1" priority="308">
      <formula>AND(COUNTIF(I25:BG25,"&lt;&gt;" &amp; "")&gt;0,NOT(ISBLANK(G25)))</formula>
    </cfRule>
  </conditionalFormatting>
  <conditionalFormatting sqref="G26">
    <cfRule type="expression" dxfId="0" priority="310">
      <formula>COUNTIF(I26:BG26,"&lt;&gt;" &amp; "")&gt;0</formula>
    </cfRule>
    <cfRule type="expression" dxfId="1" priority="311">
      <formula>AND(COUNTIF(I26:BG26,"&lt;&gt;" &amp; "")&gt;0,NOT(ISBLANK(G26)))</formula>
    </cfRule>
  </conditionalFormatting>
  <conditionalFormatting sqref="G27">
    <cfRule type="expression" dxfId="0" priority="313">
      <formula>COUNTIF(I27:BG27,"&lt;&gt;" &amp; "")&gt;0</formula>
    </cfRule>
    <cfRule type="expression" dxfId="1" priority="314">
      <formula>AND(COUNTIF(I27:BG27,"&lt;&gt;" &amp; "")&gt;0,NOT(ISBLANK(G27)))</formula>
    </cfRule>
  </conditionalFormatting>
  <conditionalFormatting sqref="G28">
    <cfRule type="expression" dxfId="0" priority="316">
      <formula>COUNTIF(I28:BG28,"&lt;&gt;" &amp; "")&gt;0</formula>
    </cfRule>
    <cfRule type="expression" dxfId="1" priority="317">
      <formula>AND(COUNTIF(I28:BG28,"&lt;&gt;" &amp; "")&gt;0,NOT(ISBLANK(G28)))</formula>
    </cfRule>
  </conditionalFormatting>
  <conditionalFormatting sqref="G29">
    <cfRule type="expression" dxfId="0" priority="319">
      <formula>COUNTIF(I29:BG29,"&lt;&gt;" &amp; "")&gt;0</formula>
    </cfRule>
    <cfRule type="expression" dxfId="1" priority="320">
      <formula>AND(COUNTIF(I29:BG29,"&lt;&gt;" &amp; "")&gt;0,NOT(ISBLANK(G29)))</formula>
    </cfRule>
  </conditionalFormatting>
  <conditionalFormatting sqref="G30">
    <cfRule type="expression" dxfId="0" priority="322">
      <formula>COUNTIF(I30:BG30,"&lt;&gt;" &amp; "")&gt;0</formula>
    </cfRule>
    <cfRule type="expression" dxfId="1" priority="323">
      <formula>AND(COUNTIF(I30:BG30,"&lt;&gt;" &amp; "")&gt;0,NOT(ISBLANK(G30)))</formula>
    </cfRule>
  </conditionalFormatting>
  <conditionalFormatting sqref="G31">
    <cfRule type="expression" dxfId="0" priority="325">
      <formula>COUNTIF(I31:BG31,"&lt;&gt;" &amp; "")&gt;0</formula>
    </cfRule>
    <cfRule type="expression" dxfId="1" priority="326">
      <formula>AND(COUNTIF(I31:BG31,"&lt;&gt;" &amp; "")&gt;0,NOT(ISBLANK(G31)))</formula>
    </cfRule>
  </conditionalFormatting>
  <conditionalFormatting sqref="G32">
    <cfRule type="expression" dxfId="0" priority="328">
      <formula>COUNTIF(I32:BG32,"&lt;&gt;" &amp; "")&gt;0</formula>
    </cfRule>
    <cfRule type="expression" dxfId="1" priority="329">
      <formula>AND(COUNTIF(I32:BG32,"&lt;&gt;" &amp; "")&gt;0,NOT(ISBLANK(G32)))</formula>
    </cfRule>
  </conditionalFormatting>
  <conditionalFormatting sqref="G33">
    <cfRule type="expression" dxfId="0" priority="331">
      <formula>COUNTIF(I33:BG33,"&lt;&gt;" &amp; "")&gt;0</formula>
    </cfRule>
    <cfRule type="expression" dxfId="1" priority="332">
      <formula>AND(COUNTIF(I33:BG33,"&lt;&gt;" &amp; "")&gt;0,NOT(ISBLANK(G33)))</formula>
    </cfRule>
  </conditionalFormatting>
  <conditionalFormatting sqref="G34">
    <cfRule type="expression" dxfId="0" priority="334">
      <formula>COUNTIF(I34:BG34,"&lt;&gt;" &amp; "")&gt;0</formula>
    </cfRule>
    <cfRule type="expression" dxfId="1" priority="335">
      <formula>AND(COUNTIF(I34:BG34,"&lt;&gt;" &amp; "")&gt;0,NOT(ISBLANK(G34)))</formula>
    </cfRule>
  </conditionalFormatting>
  <conditionalFormatting sqref="G35">
    <cfRule type="expression" dxfId="0" priority="337">
      <formula>COUNTIF(I35:BG35,"&lt;&gt;" &amp; "")&gt;0</formula>
    </cfRule>
    <cfRule type="expression" dxfId="1" priority="338">
      <formula>AND(COUNTIF(I35:BG35,"&lt;&gt;" &amp; "")&gt;0,NOT(ISBLANK(G35)))</formula>
    </cfRule>
  </conditionalFormatting>
  <conditionalFormatting sqref="G36">
    <cfRule type="expression" dxfId="0" priority="340">
      <formula>COUNTIF(I36:BG36,"&lt;&gt;" &amp; "")&gt;0</formula>
    </cfRule>
    <cfRule type="expression" dxfId="1" priority="341">
      <formula>AND(COUNTIF(I36:BG36,"&lt;&gt;" &amp; "")&gt;0,NOT(ISBLANK(G36)))</formula>
    </cfRule>
  </conditionalFormatting>
  <conditionalFormatting sqref="G37">
    <cfRule type="expression" dxfId="0" priority="343">
      <formula>COUNTIF(I37:BG37,"&lt;&gt;" &amp; "")&gt;0</formula>
    </cfRule>
    <cfRule type="expression" dxfId="1" priority="344">
      <formula>AND(COUNTIF(I37:BG37,"&lt;&gt;" &amp; "")&gt;0,NOT(ISBLANK(G37)))</formula>
    </cfRule>
  </conditionalFormatting>
  <conditionalFormatting sqref="G38">
    <cfRule type="expression" dxfId="0" priority="346">
      <formula>COUNTIF(I38:BG38,"&lt;&gt;" &amp; "")&gt;0</formula>
    </cfRule>
    <cfRule type="expression" dxfId="1" priority="347">
      <formula>AND(COUNTIF(I38:BG38,"&lt;&gt;" &amp; "")&gt;0,NOT(ISBLANK(G38)))</formula>
    </cfRule>
  </conditionalFormatting>
  <conditionalFormatting sqref="G39">
    <cfRule type="expression" dxfId="0" priority="349">
      <formula>COUNTIF(I39:BG39,"&lt;&gt;" &amp; "")&gt;0</formula>
    </cfRule>
    <cfRule type="expression" dxfId="1" priority="350">
      <formula>AND(COUNTIF(I39:BG39,"&lt;&gt;" &amp; "")&gt;0,NOT(ISBLANK(G39)))</formula>
    </cfRule>
  </conditionalFormatting>
  <conditionalFormatting sqref="G40">
    <cfRule type="expression" dxfId="0" priority="352">
      <formula>COUNTIF(I40:BG40,"&lt;&gt;" &amp; "")&gt;0</formula>
    </cfRule>
    <cfRule type="expression" dxfId="1" priority="353">
      <formula>AND(COUNTIF(I40:BG40,"&lt;&gt;" &amp; "")&gt;0,NOT(ISBLANK(G40)))</formula>
    </cfRule>
  </conditionalFormatting>
  <conditionalFormatting sqref="G41">
    <cfRule type="expression" dxfId="0" priority="355">
      <formula>COUNTIF(I41:BG41,"&lt;&gt;" &amp; "")&gt;0</formula>
    </cfRule>
    <cfRule type="expression" dxfId="1" priority="356">
      <formula>AND(COUNTIF(I41:BG41,"&lt;&gt;" &amp; "")&gt;0,NOT(ISBLANK(G41)))</formula>
    </cfRule>
  </conditionalFormatting>
  <conditionalFormatting sqref="G42">
    <cfRule type="expression" dxfId="0" priority="358">
      <formula>COUNTIF(I42:BG42,"&lt;&gt;" &amp; "")&gt;0</formula>
    </cfRule>
    <cfRule type="expression" dxfId="1" priority="359">
      <formula>AND(COUNTIF(I42:BG42,"&lt;&gt;" &amp; "")&gt;0,NOT(ISBLANK(G42)))</formula>
    </cfRule>
  </conditionalFormatting>
  <conditionalFormatting sqref="G43">
    <cfRule type="expression" dxfId="0" priority="361">
      <formula>COUNTIF(I43:BG43,"&lt;&gt;" &amp; "")&gt;0</formula>
    </cfRule>
    <cfRule type="expression" dxfId="1" priority="362">
      <formula>AND(COUNTIF(I43:BG43,"&lt;&gt;" &amp; "")&gt;0,NOT(ISBLANK(G43)))</formula>
    </cfRule>
  </conditionalFormatting>
  <conditionalFormatting sqref="G44">
    <cfRule type="expression" dxfId="0" priority="364">
      <formula>COUNTIF(I44:BG44,"&lt;&gt;" &amp; "")&gt;0</formula>
    </cfRule>
    <cfRule type="expression" dxfId="1" priority="365">
      <formula>AND(COUNTIF(I44:BG44,"&lt;&gt;" &amp; "")&gt;0,NOT(ISBLANK(G44)))</formula>
    </cfRule>
  </conditionalFormatting>
  <conditionalFormatting sqref="G45">
    <cfRule type="expression" dxfId="0" priority="367">
      <formula>COUNTIF(I45:BG45,"&lt;&gt;" &amp; "")&gt;0</formula>
    </cfRule>
    <cfRule type="expression" dxfId="1" priority="368">
      <formula>AND(COUNTIF(I45:BG45,"&lt;&gt;" &amp; "")&gt;0,NOT(ISBLANK(G45)))</formula>
    </cfRule>
  </conditionalFormatting>
  <conditionalFormatting sqref="G46">
    <cfRule type="expression" dxfId="0" priority="370">
      <formula>COUNTIF(I46:BG46,"&lt;&gt;" &amp; "")&gt;0</formula>
    </cfRule>
    <cfRule type="expression" dxfId="1" priority="371">
      <formula>AND(COUNTIF(I46:BG46,"&lt;&gt;" &amp; "")&gt;0,NOT(ISBLANK(G46)))</formula>
    </cfRule>
  </conditionalFormatting>
  <conditionalFormatting sqref="G47">
    <cfRule type="expression" dxfId="0" priority="373">
      <formula>COUNTIF(I47:BG47,"&lt;&gt;" &amp; "")&gt;0</formula>
    </cfRule>
    <cfRule type="expression" dxfId="1" priority="374">
      <formula>AND(COUNTIF(I47:BG47,"&lt;&gt;" &amp; "")&gt;0,NOT(ISBLANK(G47)))</formula>
    </cfRule>
  </conditionalFormatting>
  <conditionalFormatting sqref="G48">
    <cfRule type="expression" dxfId="0" priority="376">
      <formula>COUNTIF(I48:BG48,"&lt;&gt;" &amp; "")&gt;0</formula>
    </cfRule>
    <cfRule type="expression" dxfId="1" priority="377">
      <formula>AND(COUNTIF(I48:BG48,"&lt;&gt;" &amp; "")&gt;0,NOT(ISBLANK(G48)))</formula>
    </cfRule>
  </conditionalFormatting>
  <conditionalFormatting sqref="G49">
    <cfRule type="expression" dxfId="0" priority="379">
      <formula>COUNTIF(I49:BG49,"&lt;&gt;" &amp; "")&gt;0</formula>
    </cfRule>
    <cfRule type="expression" dxfId="1" priority="380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382">
      <formula>COUNTIF(I50:BG50,"&lt;&gt;" &amp; "")&gt;0</formula>
    </cfRule>
    <cfRule type="expression" dxfId="1" priority="383">
      <formula>AND(COUNTIF(I50:BG50,"&lt;&gt;" &amp; "")&gt;0,NOT(ISBLANK(G50)))</formula>
    </cfRule>
  </conditionalFormatting>
  <conditionalFormatting sqref="G51">
    <cfRule type="expression" dxfId="0" priority="385">
      <formula>COUNTIF(I51:BG51,"&lt;&gt;" &amp; "")&gt;0</formula>
    </cfRule>
    <cfRule type="expression" dxfId="1" priority="386">
      <formula>AND(COUNTIF(I51:BG51,"&lt;&gt;" &amp; "")&gt;0,NOT(ISBLANK(G51)))</formula>
    </cfRule>
  </conditionalFormatting>
  <conditionalFormatting sqref="G52">
    <cfRule type="expression" dxfId="0" priority="388">
      <formula>COUNTIF(I52:BG52,"&lt;&gt;" &amp; "")&gt;0</formula>
    </cfRule>
    <cfRule type="expression" dxfId="1" priority="389">
      <formula>AND(COUNTIF(I52:BG52,"&lt;&gt;" &amp; "")&gt;0,NOT(ISBLANK(G52)))</formula>
    </cfRule>
  </conditionalFormatting>
  <conditionalFormatting sqref="G53">
    <cfRule type="expression" dxfId="0" priority="391">
      <formula>COUNTIF(I53:BG53,"&lt;&gt;" &amp; "")&gt;0</formula>
    </cfRule>
    <cfRule type="expression" dxfId="1" priority="392">
      <formula>AND(COUNTIF(I53:BG53,"&lt;&gt;" &amp; "")&gt;0,NOT(ISBLANK(G53)))</formula>
    </cfRule>
  </conditionalFormatting>
  <conditionalFormatting sqref="G54">
    <cfRule type="expression" dxfId="0" priority="394">
      <formula>COUNTIF(I54:BG54,"&lt;&gt;" &amp; "")&gt;0</formula>
    </cfRule>
    <cfRule type="expression" dxfId="1" priority="395">
      <formula>AND(COUNTIF(I54:BG54,"&lt;&gt;" &amp; "")&gt;0,NOT(ISBLANK(G54)))</formula>
    </cfRule>
  </conditionalFormatting>
  <conditionalFormatting sqref="G55">
    <cfRule type="expression" dxfId="0" priority="397">
      <formula>COUNTIF(I55:BG55,"&lt;&gt;" &amp; "")&gt;0</formula>
    </cfRule>
    <cfRule type="expression" dxfId="1" priority="398">
      <formula>AND(COUNTIF(I55:BG55,"&lt;&gt;" &amp; "")&gt;0,NOT(ISBLANK(G55)))</formula>
    </cfRule>
  </conditionalFormatting>
  <conditionalFormatting sqref="G56">
    <cfRule type="expression" dxfId="0" priority="400">
      <formula>COUNTIF(I56:BG56,"&lt;&gt;" &amp; "")&gt;0</formula>
    </cfRule>
    <cfRule type="expression" dxfId="1" priority="401">
      <formula>AND(COUNTIF(I56:BG56,"&lt;&gt;" &amp; "")&gt;0,NOT(ISBLANK(G56)))</formula>
    </cfRule>
  </conditionalFormatting>
  <conditionalFormatting sqref="G57">
    <cfRule type="expression" dxfId="0" priority="403">
      <formula>COUNTIF(I57:BG57,"&lt;&gt;" &amp; "")&gt;0</formula>
    </cfRule>
    <cfRule type="expression" dxfId="1" priority="404">
      <formula>AND(COUNTIF(I57:BG57,"&lt;&gt;" &amp; "")&gt;0,NOT(ISBLANK(G57)))</formula>
    </cfRule>
  </conditionalFormatting>
  <conditionalFormatting sqref="G58">
    <cfRule type="expression" dxfId="0" priority="406">
      <formula>COUNTIF(I58:BG58,"&lt;&gt;" &amp; "")&gt;0</formula>
    </cfRule>
    <cfRule type="expression" dxfId="1" priority="407">
      <formula>AND(COUNTIF(I58:BG58,"&lt;&gt;" &amp; "")&gt;0,NOT(ISBLANK(G58)))</formula>
    </cfRule>
  </conditionalFormatting>
  <conditionalFormatting sqref="G59">
    <cfRule type="expression" dxfId="0" priority="409">
      <formula>COUNTIF(I59:BG59,"&lt;&gt;" &amp; "")&gt;0</formula>
    </cfRule>
    <cfRule type="expression" dxfId="1" priority="410">
      <formula>AND(COUNTIF(I59:BG59,"&lt;&gt;" &amp; "")&gt;0,NOT(ISBLANK(G59)))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12">
      <formula>COUNTIF(I60:BG60,"&lt;&gt;" &amp; "")&gt;0</formula>
    </cfRule>
    <cfRule type="expression" dxfId="1" priority="413">
      <formula>AND(COUNTIF(I60:BG60,"&lt;&gt;" &amp; "")&gt;0,NOT(ISBLANK(G60)))</formula>
    </cfRule>
  </conditionalFormatting>
  <conditionalFormatting sqref="G61">
    <cfRule type="expression" dxfId="0" priority="415">
      <formula>COUNTIF(I61:BG61,"&lt;&gt;" &amp; "")&gt;0</formula>
    </cfRule>
    <cfRule type="expression" dxfId="1" priority="416">
      <formula>AND(COUNTIF(I61:BG61,"&lt;&gt;" &amp; "")&gt;0,NOT(ISBLANK(G61)))</formula>
    </cfRule>
  </conditionalFormatting>
  <conditionalFormatting sqref="G62">
    <cfRule type="expression" dxfId="0" priority="418">
      <formula>COUNTIF(I62:BG62,"&lt;&gt;" &amp; "")&gt;0</formula>
    </cfRule>
    <cfRule type="expression" dxfId="1" priority="419">
      <formula>AND(COUNTIF(I62:BG62,"&lt;&gt;" &amp; "")&gt;0,NOT(ISBLANK(G62)))</formula>
    </cfRule>
  </conditionalFormatting>
  <conditionalFormatting sqref="G63">
    <cfRule type="expression" dxfId="0" priority="421">
      <formula>COUNTIF(I63:BG63,"&lt;&gt;" &amp; "")&gt;0</formula>
    </cfRule>
    <cfRule type="expression" dxfId="1" priority="422">
      <formula>AND(COUNTIF(I63:BG63,"&lt;&gt;" &amp; "")&gt;0,NOT(ISBLANK(G63)))</formula>
    </cfRule>
  </conditionalFormatting>
  <conditionalFormatting sqref="G64">
    <cfRule type="expression" dxfId="0" priority="424">
      <formula>COUNTIF(I64:BG64,"&lt;&gt;" &amp; "")&gt;0</formula>
    </cfRule>
    <cfRule type="expression" dxfId="1" priority="425">
      <formula>AND(COUNTIF(I64:BG64,"&lt;&gt;" &amp; "")&gt;0,NOT(ISBLANK(G64)))</formula>
    </cfRule>
  </conditionalFormatting>
  <conditionalFormatting sqref="G65">
    <cfRule type="expression" dxfId="0" priority="427">
      <formula>COUNTIF(I65:BG65,"&lt;&gt;" &amp; "")&gt;0</formula>
    </cfRule>
    <cfRule type="expression" dxfId="1" priority="428">
      <formula>AND(COUNTIF(I65:BG65,"&lt;&gt;" &amp; "")&gt;0,NOT(ISBLANK(G65)))</formula>
    </cfRule>
  </conditionalFormatting>
  <conditionalFormatting sqref="G66">
    <cfRule type="expression" dxfId="0" priority="430">
      <formula>COUNTIF(I66:BG66,"&lt;&gt;" &amp; "")&gt;0</formula>
    </cfRule>
    <cfRule type="expression" dxfId="1" priority="431">
      <formula>AND(COUNTIF(I66:BG66,"&lt;&gt;" &amp; "")&gt;0,NOT(ISBLANK(G66)))</formula>
    </cfRule>
  </conditionalFormatting>
  <conditionalFormatting sqref="G67">
    <cfRule type="expression" dxfId="0" priority="433">
      <formula>COUNTIF(I67:BG67,"&lt;&gt;" &amp; "")&gt;0</formula>
    </cfRule>
    <cfRule type="expression" dxfId="1" priority="434">
      <formula>AND(COUNTIF(I67:BG67,"&lt;&gt;" &amp; "")&gt;0,NOT(ISBLANK(G67)))</formula>
    </cfRule>
  </conditionalFormatting>
  <conditionalFormatting sqref="G68">
    <cfRule type="expression" dxfId="0" priority="436">
      <formula>COUNTIF(I68:BG68,"&lt;&gt;" &amp; "")&gt;0</formula>
    </cfRule>
    <cfRule type="expression" dxfId="1" priority="437">
      <formula>AND(COUNTIF(I68:BG68,"&lt;&gt;" &amp; "")&gt;0,NOT(ISBLANK(G68)))</formula>
    </cfRule>
  </conditionalFormatting>
  <conditionalFormatting sqref="G69">
    <cfRule type="expression" dxfId="0" priority="439">
      <formula>COUNTIF(I69:BG69,"&lt;&gt;" &amp; "")&gt;0</formula>
    </cfRule>
    <cfRule type="expression" dxfId="1" priority="440">
      <formula>AND(COUNTIF(I69:BG69,"&lt;&gt;" &amp; "")&gt;0,NOT(ISBLANK(G69)))</formula>
    </cfRule>
  </conditionalFormatting>
  <conditionalFormatting sqref="G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70">
    <cfRule type="expression" dxfId="0" priority="442">
      <formula>COUNTIF(I70:BG70,"&lt;&gt;" &amp; "")&gt;0</formula>
    </cfRule>
    <cfRule type="expression" dxfId="1" priority="443">
      <formula>AND(COUNTIF(I70:BG70,"&lt;&gt;" &amp; "")&gt;0,NOT(ISBLANK(G70)))</formula>
    </cfRule>
  </conditionalFormatting>
  <conditionalFormatting sqref="G71">
    <cfRule type="expression" dxfId="0" priority="445">
      <formula>COUNTIF(I71:BG71,"&lt;&gt;" &amp; "")&gt;0</formula>
    </cfRule>
    <cfRule type="expression" dxfId="1" priority="446">
      <formula>AND(COUNTIF(I71:BG71,"&lt;&gt;" &amp; "")&gt;0,NOT(ISBLANK(G71)))</formula>
    </cfRule>
  </conditionalFormatting>
  <conditionalFormatting sqref="G72">
    <cfRule type="expression" dxfId="0" priority="448">
      <formula>COUNTIF(I72:BG72,"&lt;&gt;" &amp; "")&gt;0</formula>
    </cfRule>
    <cfRule type="expression" dxfId="1" priority="449">
      <formula>AND(COUNTIF(I72:BG72,"&lt;&gt;" &amp; "")&gt;0,NOT(ISBLANK(G72)))</formula>
    </cfRule>
  </conditionalFormatting>
  <conditionalFormatting sqref="G73">
    <cfRule type="expression" dxfId="0" priority="451">
      <formula>COUNTIF(I73:BG73,"&lt;&gt;" &amp; "")&gt;0</formula>
    </cfRule>
    <cfRule type="expression" dxfId="1" priority="452">
      <formula>AND(COUNTIF(I73:BG73,"&lt;&gt;" &amp; "")&gt;0,NOT(ISBLANK(G73)))</formula>
    </cfRule>
  </conditionalFormatting>
  <conditionalFormatting sqref="G74">
    <cfRule type="expression" dxfId="0" priority="454">
      <formula>COUNTIF(I74:BG74,"&lt;&gt;" &amp; "")&gt;0</formula>
    </cfRule>
    <cfRule type="expression" dxfId="1" priority="455">
      <formula>AND(COUNTIF(I74:BG74,"&lt;&gt;" &amp; "")&gt;0,NOT(ISBLANK(G74)))</formula>
    </cfRule>
  </conditionalFormatting>
  <conditionalFormatting sqref="G75">
    <cfRule type="expression" dxfId="0" priority="457">
      <formula>COUNTIF(I75:BG75,"&lt;&gt;" &amp; "")&gt;0</formula>
    </cfRule>
    <cfRule type="expression" dxfId="1" priority="458">
      <formula>AND(COUNTIF(I75:BG75,"&lt;&gt;" &amp; "")&gt;0,NOT(ISBLANK(G75)))</formula>
    </cfRule>
  </conditionalFormatting>
  <conditionalFormatting sqref="G76">
    <cfRule type="expression" dxfId="0" priority="460">
      <formula>COUNTIF(I76:BG76,"&lt;&gt;" &amp; "")&gt;0</formula>
    </cfRule>
    <cfRule type="expression" dxfId="1" priority="461">
      <formula>AND(COUNTIF(I76:BG76,"&lt;&gt;" &amp; "")&gt;0,NOT(ISBLANK(G76)))</formula>
    </cfRule>
  </conditionalFormatting>
  <conditionalFormatting sqref="G77">
    <cfRule type="expression" dxfId="0" priority="463">
      <formula>COUNTIF(I77:BG77,"&lt;&gt;" &amp; "")&gt;0</formula>
    </cfRule>
    <cfRule type="expression" dxfId="1" priority="464">
      <formula>AND(COUNTIF(I77:BG77,"&lt;&gt;" &amp; "")&gt;0,NOT(ISBLANK(G77)))</formula>
    </cfRule>
  </conditionalFormatting>
  <conditionalFormatting sqref="G78">
    <cfRule type="expression" dxfId="0" priority="466">
      <formula>COUNTIF(I78:BG78,"&lt;&gt;" &amp; "")&gt;0</formula>
    </cfRule>
    <cfRule type="expression" dxfId="1" priority="467">
      <formula>AND(COUNTIF(I78:BG78,"&lt;&gt;" &amp; "")&gt;0,NOT(ISBLANK(G78)))</formula>
    </cfRule>
  </conditionalFormatting>
  <conditionalFormatting sqref="G79">
    <cfRule type="expression" dxfId="0" priority="469">
      <formula>COUNTIF(I79:BG79,"&lt;&gt;" &amp; "")&gt;0</formula>
    </cfRule>
    <cfRule type="expression" dxfId="1" priority="470">
      <formula>AND(COUNTIF(I79:BG79,"&lt;&gt;" &amp; "")&gt;0,NOT(ISBLANK(G79)))</formula>
    </cfRule>
  </conditionalFormatting>
  <conditionalFormatting sqref="G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G80">
    <cfRule type="expression" dxfId="0" priority="472">
      <formula>COUNTIF(I80:BG80,"&lt;&gt;" &amp; "")&gt;0</formula>
    </cfRule>
    <cfRule type="expression" dxfId="1" priority="473">
      <formula>AND(COUNTIF(I80:BG80,"&lt;&gt;" &amp; "")&gt;0,NOT(ISBLANK(G80)))</formula>
    </cfRule>
  </conditionalFormatting>
  <conditionalFormatting sqref="G81">
    <cfRule type="expression" dxfId="0" priority="475">
      <formula>COUNTIF(I81:BG81,"&lt;&gt;" &amp; "")&gt;0</formula>
    </cfRule>
    <cfRule type="expression" dxfId="1" priority="476">
      <formula>AND(COUNTIF(I81:BG81,"&lt;&gt;" &amp; "")&gt;0,NOT(ISBLANK(G81)))</formula>
    </cfRule>
  </conditionalFormatting>
  <conditionalFormatting sqref="G82">
    <cfRule type="expression" dxfId="0" priority="478">
      <formula>COUNTIF(I82:BG82,"&lt;&gt;" &amp; "")&gt;0</formula>
    </cfRule>
    <cfRule type="expression" dxfId="1" priority="479">
      <formula>AND(COUNTIF(I82:BG82,"&lt;&gt;" &amp; "")&gt;0,NOT(ISBLANK(G82)))</formula>
    </cfRule>
  </conditionalFormatting>
  <conditionalFormatting sqref="G83">
    <cfRule type="expression" dxfId="0" priority="481">
      <formula>COUNTIF(I83:BG83,"&lt;&gt;" &amp; "")&gt;0</formula>
    </cfRule>
    <cfRule type="expression" dxfId="1" priority="482">
      <formula>AND(COUNTIF(I83:BG83,"&lt;&gt;" &amp; "")&gt;0,NOT(ISBLANK(G83)))</formula>
    </cfRule>
  </conditionalFormatting>
  <conditionalFormatting sqref="G84">
    <cfRule type="expression" dxfId="0" priority="484">
      <formula>COUNTIF(I84:BG84,"&lt;&gt;" &amp; "")&gt;0</formula>
    </cfRule>
    <cfRule type="expression" dxfId="1" priority="485">
      <formula>AND(COUNTIF(I84:BG84,"&lt;&gt;" &amp; "")&gt;0,NOT(ISBLANK(G84)))</formula>
    </cfRule>
  </conditionalFormatting>
  <conditionalFormatting sqref="G85">
    <cfRule type="expression" dxfId="0" priority="487">
      <formula>COUNTIF(I85:BG85,"&lt;&gt;" &amp; "")&gt;0</formula>
    </cfRule>
    <cfRule type="expression" dxfId="1" priority="488">
      <formula>AND(COUNTIF(I85:BG85,"&lt;&gt;" &amp; "")&gt;0,NOT(ISBLANK(G85)))</formula>
    </cfRule>
  </conditionalFormatting>
  <conditionalFormatting sqref="G86">
    <cfRule type="expression" dxfId="0" priority="490">
      <formula>COUNTIF(I86:BG86,"&lt;&gt;" &amp; "")&gt;0</formula>
    </cfRule>
    <cfRule type="expression" dxfId="1" priority="491">
      <formula>AND(COUNTIF(I86:BG86,"&lt;&gt;" &amp; "")&gt;0,NOT(ISBLANK(G86)))</formula>
    </cfRule>
  </conditionalFormatting>
  <conditionalFormatting sqref="G87">
    <cfRule type="expression" dxfId="0" priority="493">
      <formula>COUNTIF(I87:BG87,"&lt;&gt;" &amp; "")&gt;0</formula>
    </cfRule>
    <cfRule type="expression" dxfId="1" priority="494">
      <formula>AND(COUNTIF(I87:BG87,"&lt;&gt;" &amp; "")&gt;0,NOT(ISBLANK(G87)))</formula>
    </cfRule>
  </conditionalFormatting>
  <conditionalFormatting sqref="G88">
    <cfRule type="expression" dxfId="0" priority="496">
      <formula>COUNTIF(I88:BG88,"&lt;&gt;" &amp; "")&gt;0</formula>
    </cfRule>
    <cfRule type="expression" dxfId="1" priority="497">
      <formula>AND(COUNTIF(I88:BG88,"&lt;&gt;" &amp; "")&gt;0,NOT(ISBLANK(G88)))</formula>
    </cfRule>
  </conditionalFormatting>
  <conditionalFormatting sqref="G89">
    <cfRule type="expression" dxfId="0" priority="499">
      <formula>COUNTIF(I89:BG89,"&lt;&gt;" &amp; "")&gt;0</formula>
    </cfRule>
    <cfRule type="expression" dxfId="1" priority="500">
      <formula>AND(COUNTIF(I89:BG89,"&lt;&gt;" &amp; "")&gt;0,NOT(ISBLANK(G89)))</formula>
    </cfRule>
  </conditionalFormatting>
  <conditionalFormatting sqref="G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90">
    <cfRule type="expression" dxfId="0" priority="502">
      <formula>COUNTIF(I90:BG90,"&lt;&gt;" &amp; "")&gt;0</formula>
    </cfRule>
    <cfRule type="expression" dxfId="1" priority="503">
      <formula>AND(COUNTIF(I90:BG90,"&lt;&gt;" &amp; "")&gt;0,NOT(ISBLANK(G90)))</formula>
    </cfRule>
  </conditionalFormatting>
  <conditionalFormatting sqref="G91">
    <cfRule type="expression" dxfId="0" priority="505">
      <formula>COUNTIF(I91:BG91,"&lt;&gt;" &amp; "")&gt;0</formula>
    </cfRule>
    <cfRule type="expression" dxfId="1" priority="506">
      <formula>AND(COUNTIF(I91:BG91,"&lt;&gt;" &amp; "")&gt;0,NOT(ISBLANK(G91)))</formula>
    </cfRule>
  </conditionalFormatting>
  <conditionalFormatting sqref="G92">
    <cfRule type="expression" dxfId="0" priority="508">
      <formula>COUNTIF(I92:BG92,"&lt;&gt;" &amp; "")&gt;0</formula>
    </cfRule>
    <cfRule type="expression" dxfId="1" priority="509">
      <formula>AND(COUNTIF(I92:BG92,"&lt;&gt;" &amp; "")&gt;0,NOT(ISBLANK(G92)))</formula>
    </cfRule>
  </conditionalFormatting>
  <conditionalFormatting sqref="G93">
    <cfRule type="expression" dxfId="0" priority="511">
      <formula>COUNTIF(I93:BG93,"&lt;&gt;" &amp; "")&gt;0</formula>
    </cfRule>
    <cfRule type="expression" dxfId="1" priority="512">
      <formula>AND(COUNTIF(I93:BG93,"&lt;&gt;" &amp; "")&gt;0,NOT(ISBLANK(G93)))</formula>
    </cfRule>
  </conditionalFormatting>
  <conditionalFormatting sqref="G94">
    <cfRule type="expression" dxfId="0" priority="514">
      <formula>COUNTIF(I94:BG94,"&lt;&gt;" &amp; "")&gt;0</formula>
    </cfRule>
    <cfRule type="expression" dxfId="1" priority="515">
      <formula>AND(COUNTIF(I94:BG94,"&lt;&gt;" &amp; "")&gt;0,NOT(ISBLANK(G94)))</formula>
    </cfRule>
  </conditionalFormatting>
  <conditionalFormatting sqref="G95">
    <cfRule type="expression" dxfId="0" priority="517">
      <formula>COUNTIF(I95:BG95,"&lt;&gt;" &amp; "")&gt;0</formula>
    </cfRule>
    <cfRule type="expression" dxfId="1" priority="518">
      <formula>AND(COUNTIF(I95:BG95,"&lt;&gt;" &amp; "")&gt;0,NOT(ISBLANK(G95)))</formula>
    </cfRule>
  </conditionalFormatting>
  <conditionalFormatting sqref="G96">
    <cfRule type="expression" dxfId="0" priority="520">
      <formula>COUNTIF(I96:BG96,"&lt;&gt;" &amp; "")&gt;0</formula>
    </cfRule>
    <cfRule type="expression" dxfId="1" priority="521">
      <formula>AND(COUNTIF(I96:BG96,"&lt;&gt;" &amp; "")&gt;0,NOT(ISBLANK(G96)))</formula>
    </cfRule>
  </conditionalFormatting>
  <conditionalFormatting sqref="G97">
    <cfRule type="expression" dxfId="0" priority="523">
      <formula>COUNTIF(I97:BG97,"&lt;&gt;" &amp; "")&gt;0</formula>
    </cfRule>
    <cfRule type="expression" dxfId="1" priority="524">
      <formula>AND(COUNTIF(I97:BG97,"&lt;&gt;" &amp; "")&gt;0,NOT(ISBLANK(G97)))</formula>
    </cfRule>
  </conditionalFormatting>
  <conditionalFormatting sqref="G98">
    <cfRule type="expression" dxfId="0" priority="526">
      <formula>COUNTIF(I98:BG98,"&lt;&gt;" &amp; "")&gt;0</formula>
    </cfRule>
    <cfRule type="expression" dxfId="1" priority="527">
      <formula>AND(COUNTIF(I98:BG98,"&lt;&gt;" &amp; "")&gt;0,NOT(ISBLANK(G98)))</formula>
    </cfRule>
  </conditionalFormatting>
  <conditionalFormatting sqref="G99">
    <cfRule type="expression" dxfId="0" priority="529">
      <formula>COUNTIF(I99:BG99,"&lt;&gt;" &amp; "")&gt;0</formula>
    </cfRule>
    <cfRule type="expression" dxfId="1" priority="530">
      <formula>AND(COUNTIF(I99:BG99,"&lt;&gt;" &amp; "")&gt;0,NOT(ISBLANK(G99)))</formula>
    </cfRule>
  </conditionalFormatting>
  <conditionalFormatting sqref="H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H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12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3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H14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H15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6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H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I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I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3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I14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I15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6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I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J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J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J14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J15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6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J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K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K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K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K15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6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K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L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L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L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L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6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L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M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M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M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M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M9">
    <cfRule type="cellIs" dxfId="2" priority="119" operator="equal">
      <formula>"Y"</formula>
    </cfRule>
    <cfRule type="cellIs" dxfId="3" priority="120" operator="equal">
      <formula>"N"</formula>
    </cfRule>
  </conditionalFormatting>
  <dataValidations count="288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E19">
      <formula1>"N.A."</formula1>
    </dataValidation>
    <dataValidation type="list" allowBlank="1" showInputMessage="1" showErrorMessage="1" sqref="E20">
      <formula1>"N.A."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</dataValidations>
  <hyperlinks>
    <hyperlink ref="B5" location="Interactions!B19" display="Y"/>
    <hyperlink ref="C5" location="Interactions!B20" display="Y"/>
    <hyperlink ref="D5" location="Interactions!B21" display="N"/>
    <hyperlink ref="E5" location="Interactions!B22" display="N"/>
    <hyperlink ref="F5" location="Interactions!B23" display="N"/>
    <hyperlink ref="G5" location="Interactions!B24" display="N"/>
    <hyperlink ref="H5" location="Interactions!B25" display="N"/>
    <hyperlink ref="I5" location="Interactions!B26" display="N"/>
    <hyperlink ref="J5" location="Interactions!B27" display="N"/>
    <hyperlink ref="K5" location="Interactions!B28" display="N"/>
    <hyperlink ref="L5" location="Interactions!B29" display="N"/>
    <hyperlink ref="M5" location="Interactions!B30" display="N"/>
    <hyperlink ref="B6" location="Interactions!B31" display="Y"/>
    <hyperlink ref="C6" location="Interactions!B32" display="Y"/>
    <hyperlink ref="D6" location="Interactions!B33" display="N"/>
    <hyperlink ref="E6" location="Interactions!B34" display="N"/>
    <hyperlink ref="F6" location="Interactions!B35" display="N"/>
    <hyperlink ref="G6" location="Interactions!B36" display="N"/>
    <hyperlink ref="H6" location="Interactions!B37" display="N"/>
    <hyperlink ref="I6" location="Interactions!B38" display="N"/>
    <hyperlink ref="J6" location="Interactions!B39" display="N"/>
    <hyperlink ref="K6" location="Interactions!B40" display="N"/>
    <hyperlink ref="L6" location="Interactions!B41" display="N"/>
    <hyperlink ref="M6" location="Interactions!B42" display="N"/>
    <hyperlink ref="B7" location="Interactions!B43" display="N"/>
    <hyperlink ref="C7" location="Interactions!B44" display="N"/>
    <hyperlink ref="D7" location="Interactions!B45" display="N"/>
    <hyperlink ref="E7" location="Interactions!B46" display="N"/>
    <hyperlink ref="F7" location="Interactions!B47" display="N"/>
    <hyperlink ref="G7" location="Interactions!B48" display="N"/>
    <hyperlink ref="H7" location="Interactions!B49" display="N"/>
    <hyperlink ref="I7" location="Interactions!B50" display="N"/>
    <hyperlink ref="J7" location="Interactions!B51" display="N"/>
    <hyperlink ref="K7" location="Interactions!B52" display="N"/>
    <hyperlink ref="L7" location="Interactions!B53" display="N"/>
    <hyperlink ref="M7" location="Interactions!B54" display="N"/>
    <hyperlink ref="B8" location="Interactions!B55" display="N"/>
    <hyperlink ref="C8" location="Interactions!B56" display="N"/>
    <hyperlink ref="D8" location="Interactions!B57" display="N"/>
    <hyperlink ref="E8" location="Interactions!B58" display="N"/>
    <hyperlink ref="F8" location="Interactions!B59" display="N"/>
    <hyperlink ref="G8" location="Interactions!B60" display="N"/>
    <hyperlink ref="H8" location="Interactions!B61" display="N"/>
    <hyperlink ref="I8" location="Interactions!B62" display="N"/>
    <hyperlink ref="J8" location="Interactions!B63" display="N"/>
    <hyperlink ref="K8" location="Interactions!B64" display="N"/>
    <hyperlink ref="L8" location="Interactions!B65" display="N"/>
    <hyperlink ref="M8" location="Interactions!B66" display="N"/>
    <hyperlink ref="B9" location="Interactions!B67" display="N"/>
    <hyperlink ref="C9" location="Interactions!B68" display="N"/>
    <hyperlink ref="D9" location="Interactions!B69" display="N"/>
    <hyperlink ref="E9" location="Interactions!B70" display="N"/>
    <hyperlink ref="F9" location="Interactions!B71" display="N"/>
    <hyperlink ref="G9" location="Interactions!B72" display="N"/>
    <hyperlink ref="H9" location="Interactions!B73" display="N"/>
    <hyperlink ref="I9" location="Interactions!B74" display="N"/>
    <hyperlink ref="J9" location="Interactions!B75" display="N"/>
    <hyperlink ref="K9" location="Interactions!B76" display="N"/>
    <hyperlink ref="L9" location="Interactions!B77" display="N"/>
    <hyperlink ref="M9" location="Interactions!B78" display="N"/>
    <hyperlink ref="B10" location="Interactions!B79" display="N"/>
    <hyperlink ref="C10" location="Interactions!B80" display="N"/>
    <hyperlink ref="D10" location="Interactions!B81" display="N"/>
    <hyperlink ref="E10" location="Interactions!B82" display="N"/>
    <hyperlink ref="F10" location="Interactions!B83" display="N"/>
    <hyperlink ref="G10" location="Interactions!B84" display="N"/>
    <hyperlink ref="H10" location="Interactions!B85" display="N"/>
    <hyperlink ref="I10" location="Interactions!B86" display="N"/>
    <hyperlink ref="J10" location="Interactions!B87" display="N"/>
    <hyperlink ref="K10" location="Interactions!B88" display="N"/>
    <hyperlink ref="L10" location="Interactions!B89" display="N"/>
    <hyperlink ref="M10" location="Interactions!B90" display="N"/>
    <hyperlink ref="B11" location="Interactions!B91" display="N"/>
    <hyperlink ref="C11" location="Interactions!B92" display="N"/>
    <hyperlink ref="D11" location="Interactions!B93" display="N"/>
    <hyperlink ref="E11" location="Interactions!B94" display="N"/>
    <hyperlink ref="F11" location="Interactions!B95" display="N"/>
    <hyperlink ref="G11" location="Interactions!B96" display="N"/>
    <hyperlink ref="H11" location="Interactions!B97" display="N"/>
    <hyperlink ref="I11" location="Interactions!B98" display="N"/>
    <hyperlink ref="J11" location="Interactions!B99" display="N"/>
    <hyperlink ref="K11" location="Interactions!B100" display="N"/>
    <hyperlink ref="L11" location="Interactions!B101" display="N"/>
    <hyperlink ref="M11" location="Interactions!B102" display="N"/>
    <hyperlink ref="B12" location="Interactions!B103" display="N"/>
    <hyperlink ref="C12" location="Interactions!B104" display="N"/>
    <hyperlink ref="D12" location="Interactions!B105" display="N"/>
    <hyperlink ref="E12" location="Interactions!B106" display="N"/>
    <hyperlink ref="F12" location="Interactions!B107" display="N"/>
    <hyperlink ref="G12" location="Interactions!B108" display="N"/>
    <hyperlink ref="H12" location="Interactions!B109" display="N"/>
    <hyperlink ref="I12" location="Interactions!B110" display="N"/>
    <hyperlink ref="J12" location="Interactions!B111" display="N"/>
    <hyperlink ref="K12" location="Interactions!B112" display="N"/>
    <hyperlink ref="L12" location="Interactions!B113" display="N"/>
    <hyperlink ref="M12" location="Interactions!B114" display="N"/>
    <hyperlink ref="B13" location="Interactions!B115" display="N"/>
    <hyperlink ref="C13" location="Interactions!B116" display="N"/>
    <hyperlink ref="D13" location="Interactions!B117" display="N"/>
    <hyperlink ref="E13" location="Interactions!B118" display="N"/>
    <hyperlink ref="F13" location="Interactions!B119" display="N"/>
    <hyperlink ref="G13" location="Interactions!B120" display="N"/>
    <hyperlink ref="H13" location="Interactions!B121" display="N"/>
    <hyperlink ref="I13" location="Interactions!B122" display="N"/>
    <hyperlink ref="J13" location="Interactions!B123" display="N"/>
    <hyperlink ref="K13" location="Interactions!B124" display="N"/>
    <hyperlink ref="L13" location="Interactions!B125" display="N"/>
    <hyperlink ref="M13" location="Interactions!B126" display="N"/>
    <hyperlink ref="B14" location="Interactions!B127" display="N"/>
    <hyperlink ref="C14" location="Interactions!B128" display="N"/>
    <hyperlink ref="D14" location="Interactions!B129" display="N"/>
    <hyperlink ref="E14" location="Interactions!B130" display="N"/>
    <hyperlink ref="F14" location="Interactions!B131" display="N"/>
    <hyperlink ref="G14" location="Interactions!B132" display="N"/>
    <hyperlink ref="H14" location="Interactions!B133" display="N"/>
    <hyperlink ref="I14" location="Interactions!B134" display="N"/>
    <hyperlink ref="J14" location="Interactions!B135" display="N"/>
    <hyperlink ref="K14" location="Interactions!B136" display="N"/>
    <hyperlink ref="L14" location="Interactions!B137" display="N"/>
    <hyperlink ref="M14" location="Interactions!B138" display="N"/>
    <hyperlink ref="B15" location="Interactions!B139" display="N"/>
    <hyperlink ref="C15" location="Interactions!B140" display="N"/>
    <hyperlink ref="D15" location="Interactions!B141" display="N"/>
    <hyperlink ref="E15" location="Interactions!B142" display="N"/>
    <hyperlink ref="F15" location="Interactions!B143" display="N"/>
    <hyperlink ref="G15" location="Interactions!B144" display="N"/>
    <hyperlink ref="H15" location="Interactions!B145" display="N"/>
    <hyperlink ref="I15" location="Interactions!B146" display="N"/>
    <hyperlink ref="J15" location="Interactions!B147" display="N"/>
    <hyperlink ref="K15" location="Interactions!B148" display="N"/>
    <hyperlink ref="L15" location="Interactions!B149" display="Y"/>
    <hyperlink ref="M15" location="Interactions!B150" display="N"/>
    <hyperlink ref="B16" location="Interactions!B151" display="N"/>
    <hyperlink ref="C16" location="Interactions!B152" display="N"/>
    <hyperlink ref="D16" location="Interactions!B153" display="N"/>
    <hyperlink ref="E16" location="Interactions!B154" display="N"/>
    <hyperlink ref="F16" location="Interactions!B155" display="N"/>
    <hyperlink ref="G16" location="Interactions!B156" display="N"/>
    <hyperlink ref="H16" location="Interactions!B157" display="N"/>
    <hyperlink ref="I16" location="Interactions!B158" display="N"/>
    <hyperlink ref="J16" location="Interactions!B159" display="N"/>
    <hyperlink ref="K16" location="Interactions!B160" display="N"/>
    <hyperlink ref="L16" location="Interactions!B161" display="N"/>
    <hyperlink ref="M16" location="Interactions!B162" display="Y"/>
    <hyperlink ref="B19" location="Interactions!$B$5" display="Interactions!$B$5"/>
    <hyperlink ref="B20" location="Interactions!$C$5" display="Interactions!$C$5"/>
    <hyperlink ref="B21" location="Interactions!$D$5" display="Interactions!$D$5"/>
    <hyperlink ref="B22" location="Interactions!$E$5" display="Interactions!$E$5"/>
    <hyperlink ref="B23" location="Interactions!$F$5" display="Interactions!$F$5"/>
    <hyperlink ref="B24" location="Interactions!$G$5" display="Interactions!$G$5"/>
    <hyperlink ref="B25" location="Interactions!$H$5" display="Interactions!$H$5"/>
    <hyperlink ref="B26" location="Interactions!$I$5" display="Interactions!$I$5"/>
    <hyperlink ref="B27" location="Interactions!$J$5" display="Interactions!$J$5"/>
    <hyperlink ref="B28" location="Interactions!$K$5" display="Interactions!$K$5"/>
    <hyperlink ref="B29" location="Interactions!$L$5" display="Interactions!$L$5"/>
    <hyperlink ref="B30" location="Interactions!$M$5" display="Interactions!$M$5"/>
    <hyperlink ref="B31" location="Interactions!$B$6" display="Interactions!$B$6"/>
    <hyperlink ref="B32" location="Interactions!$C$6" display="Interactions!$C$6"/>
    <hyperlink ref="B33" location="Interactions!$D$6" display="Interactions!$D$6"/>
    <hyperlink ref="B34" location="Interactions!$E$6" display="Interactions!$E$6"/>
    <hyperlink ref="B35" location="Interactions!$F$6" display="Interactions!$F$6"/>
    <hyperlink ref="B36" location="Interactions!$G$6" display="Interactions!$G$6"/>
    <hyperlink ref="B37" location="Interactions!$H$6" display="Interactions!$H$6"/>
    <hyperlink ref="B38" location="Interactions!$I$6" display="Interactions!$I$6"/>
    <hyperlink ref="B39" location="Interactions!$J$6" display="Interactions!$J$6"/>
    <hyperlink ref="B40" location="Interactions!$K$6" display="Interactions!$K$6"/>
    <hyperlink ref="B41" location="Interactions!$L$6" display="Interactions!$L$6"/>
    <hyperlink ref="B42" location="Interactions!$M$6" display="Interactions!$M$6"/>
    <hyperlink ref="B43" location="Interactions!$B$7" display="Interactions!$B$7"/>
    <hyperlink ref="B44" location="Interactions!$C$7" display="Interactions!$C$7"/>
    <hyperlink ref="B45" location="Interactions!$D$7" display="Interactions!$D$7"/>
    <hyperlink ref="B46" location="Interactions!$E$7" display="Interactions!$E$7"/>
    <hyperlink ref="B47" location="Interactions!$F$7" display="Interactions!$F$7"/>
    <hyperlink ref="B48" location="Interactions!$G$7" display="Interactions!$G$7"/>
    <hyperlink ref="B49" location="Interactions!$H$7" display="Interactions!$H$7"/>
    <hyperlink ref="B50" location="Interactions!$I$7" display="Interactions!$I$7"/>
    <hyperlink ref="B51" location="Interactions!$J$7" display="Interactions!$J$7"/>
    <hyperlink ref="B52" location="Interactions!$K$7" display="Interactions!$K$7"/>
    <hyperlink ref="B53" location="Interactions!$L$7" display="Interactions!$L$7"/>
    <hyperlink ref="B54" location="Interactions!$M$7" display="Interactions!$M$7"/>
    <hyperlink ref="B55" location="Interactions!$B$8" display="Interactions!$B$8"/>
    <hyperlink ref="B56" location="Interactions!$C$8" display="Interactions!$C$8"/>
    <hyperlink ref="B57" location="Interactions!$D$8" display="Interactions!$D$8"/>
    <hyperlink ref="B58" location="Interactions!$E$8" display="Interactions!$E$8"/>
    <hyperlink ref="B59" location="Interactions!$F$8" display="Interactions!$F$8"/>
    <hyperlink ref="B60" location="Interactions!$G$8" display="Interactions!$G$8"/>
    <hyperlink ref="B61" location="Interactions!$H$8" display="Interactions!$H$8"/>
    <hyperlink ref="B62" location="Interactions!$I$8" display="Interactions!$I$8"/>
    <hyperlink ref="B63" location="Interactions!$J$8" display="Interactions!$J$8"/>
    <hyperlink ref="B64" location="Interactions!$K$8" display="Interactions!$K$8"/>
    <hyperlink ref="B65" location="Interactions!$L$8" display="Interactions!$L$8"/>
    <hyperlink ref="B66" location="Interactions!$M$8" display="Interactions!$M$8"/>
    <hyperlink ref="B67" location="Interactions!$B$9" display="Interactions!$B$9"/>
    <hyperlink ref="B68" location="Interactions!$C$9" display="Interactions!$C$9"/>
    <hyperlink ref="B69" location="Interactions!$D$9" display="Interactions!$D$9"/>
    <hyperlink ref="B70" location="Interactions!$E$9" display="Interactions!$E$9"/>
    <hyperlink ref="B71" location="Interactions!$F$9" display="Interactions!$F$9"/>
    <hyperlink ref="B72" location="Interactions!$G$9" display="Interactions!$G$9"/>
    <hyperlink ref="B73" location="Interactions!$H$9" display="Interactions!$H$9"/>
    <hyperlink ref="B74" location="Interactions!$I$9" display="Interactions!$I$9"/>
    <hyperlink ref="B75" location="Interactions!$J$9" display="Interactions!$J$9"/>
    <hyperlink ref="B76" location="Interactions!$K$9" display="Interactions!$K$9"/>
    <hyperlink ref="B77" location="Interactions!$L$9" display="Interactions!$L$9"/>
    <hyperlink ref="B78" location="Interactions!$M$9" display="Interactions!$M$9"/>
    <hyperlink ref="B79" location="Interactions!$B$10" display="Interactions!$B$10"/>
    <hyperlink ref="B80" location="Interactions!$C$10" display="Interactions!$C$10"/>
    <hyperlink ref="B81" location="Interactions!$D$10" display="Interactions!$D$10"/>
    <hyperlink ref="B82" location="Interactions!$E$10" display="Interactions!$E$10"/>
    <hyperlink ref="B83" location="Interactions!$F$10" display="Interactions!$F$10"/>
    <hyperlink ref="B84" location="Interactions!$G$10" display="Interactions!$G$10"/>
    <hyperlink ref="B85" location="Interactions!$H$10" display="Interactions!$H$10"/>
    <hyperlink ref="B86" location="Interactions!$I$10" display="Interactions!$I$10"/>
    <hyperlink ref="B87" location="Interactions!$J$10" display="Interactions!$J$10"/>
    <hyperlink ref="B88" location="Interactions!$K$10" display="Interactions!$K$10"/>
    <hyperlink ref="B89" location="Interactions!$L$10" display="Interactions!$L$10"/>
    <hyperlink ref="B90" location="Interactions!$M$10" display="Interactions!$M$10"/>
    <hyperlink ref="B91" location="Interactions!$B$11" display="Interactions!$B$11"/>
    <hyperlink ref="B92" location="Interactions!$C$11" display="Interactions!$C$11"/>
    <hyperlink ref="B93" location="Interactions!$D$11" display="Interactions!$D$11"/>
    <hyperlink ref="B94" location="Interactions!$E$11" display="Interactions!$E$11"/>
    <hyperlink ref="B95" location="Interactions!$F$11" display="Interactions!$F$11"/>
    <hyperlink ref="B96" location="Interactions!$G$11" display="Interactions!$G$11"/>
    <hyperlink ref="B97" location="Interactions!$H$11" display="Interactions!$H$11"/>
    <hyperlink ref="B98" location="Interactions!$I$11" display="Interactions!$I$11"/>
    <hyperlink ref="B99" location="Interactions!$J$11" display="Interactions!$J$11"/>
    <hyperlink ref="B100" location="Interactions!$K$11" display="Interactions!$K$11"/>
    <hyperlink ref="B101" location="Interactions!$L$11" display="Interactions!$L$11"/>
    <hyperlink ref="B102" location="Interactions!$M$11" display="Interactions!$M$11"/>
    <hyperlink ref="B103" location="Interactions!$B$12" display="Interactions!$B$12"/>
    <hyperlink ref="B104" location="Interactions!$C$12" display="Interactions!$C$12"/>
    <hyperlink ref="B105" location="Interactions!$D$12" display="Interactions!$D$12"/>
    <hyperlink ref="B106" location="Interactions!$E$12" display="Interactions!$E$12"/>
    <hyperlink ref="B107" location="Interactions!$F$12" display="Interactions!$F$12"/>
    <hyperlink ref="B108" location="Interactions!$G$12" display="Interactions!$G$12"/>
    <hyperlink ref="B109" location="Interactions!$H$12" display="Interactions!$H$12"/>
    <hyperlink ref="B110" location="Interactions!$I$12" display="Interactions!$I$12"/>
    <hyperlink ref="B111" location="Interactions!$J$12" display="Interactions!$J$12"/>
    <hyperlink ref="B112" location="Interactions!$K$12" display="Interactions!$K$12"/>
    <hyperlink ref="B113" location="Interactions!$L$12" display="Interactions!$L$12"/>
    <hyperlink ref="B114" location="Interactions!$M$12" display="Interactions!$M$12"/>
    <hyperlink ref="B115" location="Interactions!$B$13" display="Interactions!$B$13"/>
    <hyperlink ref="B116" location="Interactions!$C$13" display="Interactions!$C$13"/>
    <hyperlink ref="B117" location="Interactions!$D$13" display="Interactions!$D$13"/>
    <hyperlink ref="B118" location="Interactions!$E$13" display="Interactions!$E$13"/>
    <hyperlink ref="B119" location="Interactions!$F$13" display="Interactions!$F$13"/>
    <hyperlink ref="B120" location="Interactions!$G$13" display="Interactions!$G$13"/>
    <hyperlink ref="B121" location="Interactions!$H$13" display="Interactions!$H$13"/>
    <hyperlink ref="B122" location="Interactions!$I$13" display="Interactions!$I$13"/>
    <hyperlink ref="B123" location="Interactions!$J$13" display="Interactions!$J$13"/>
    <hyperlink ref="B124" location="Interactions!$K$13" display="Interactions!$K$13"/>
    <hyperlink ref="B125" location="Interactions!$L$13" display="Interactions!$L$13"/>
    <hyperlink ref="B126" location="Interactions!$M$13" display="Interactions!$M$13"/>
    <hyperlink ref="B127" location="Interactions!$B$14" display="Interactions!$B$14"/>
    <hyperlink ref="B128" location="Interactions!$C$14" display="Interactions!$C$14"/>
    <hyperlink ref="B129" location="Interactions!$D$14" display="Interactions!$D$14"/>
    <hyperlink ref="B130" location="Interactions!$E$14" display="Interactions!$E$14"/>
    <hyperlink ref="B131" location="Interactions!$F$14" display="Interactions!$F$14"/>
    <hyperlink ref="B132" location="Interactions!$G$14" display="Interactions!$G$14"/>
    <hyperlink ref="B133" location="Interactions!$H$14" display="Interactions!$H$14"/>
    <hyperlink ref="B134" location="Interactions!$I$14" display="Interactions!$I$14"/>
    <hyperlink ref="B135" location="Interactions!$J$14" display="Interactions!$J$14"/>
    <hyperlink ref="B136" location="Interactions!$K$14" display="Interactions!$K$14"/>
    <hyperlink ref="B137" location="Interactions!$L$14" display="Interactions!$L$14"/>
    <hyperlink ref="B138" location="Interactions!$M$14" display="Interactions!$M$14"/>
    <hyperlink ref="B139" location="Interactions!$B$15" display="Interactions!$B$15"/>
    <hyperlink ref="B140" location="Interactions!$C$15" display="Interactions!$C$15"/>
    <hyperlink ref="B141" location="Interactions!$D$15" display="Interactions!$D$15"/>
    <hyperlink ref="B142" location="Interactions!$E$15" display="Interactions!$E$15"/>
    <hyperlink ref="B143" location="Interactions!$F$15" display="Interactions!$F$15"/>
    <hyperlink ref="B144" location="Interactions!$G$15" display="Interactions!$G$15"/>
    <hyperlink ref="B145" location="Interactions!$H$15" display="Interactions!$H$15"/>
    <hyperlink ref="B146" location="Interactions!$I$15" display="Interactions!$I$15"/>
    <hyperlink ref="B147" location="Interactions!$J$15" display="Interactions!$J$15"/>
    <hyperlink ref="B148" location="Interactions!$K$15" display="Interactions!$K$15"/>
    <hyperlink ref="B149" location="Interactions!$L$15" display="Interactions!$L$15"/>
    <hyperlink ref="B150" location="Interactions!$M$15" display="Interactions!$M$15"/>
    <hyperlink ref="B151" location="Interactions!$B$16" display="Interactions!$B$16"/>
    <hyperlink ref="B152" location="Interactions!$C$16" display="Interactions!$C$16"/>
    <hyperlink ref="B153" location="Interactions!$D$16" display="Interactions!$D$16"/>
    <hyperlink ref="B154" location="Interactions!$E$16" display="Interactions!$E$16"/>
    <hyperlink ref="B155" location="Interactions!$F$16" display="Interactions!$F$16"/>
    <hyperlink ref="B156" location="Interactions!$G$16" display="Interactions!$G$16"/>
    <hyperlink ref="B157" location="Interactions!$H$16" display="Interactions!$H$16"/>
    <hyperlink ref="B158" location="Interactions!$I$16" display="Interactions!$I$16"/>
    <hyperlink ref="B159" location="Interactions!$J$16" display="Interactions!$J$16"/>
    <hyperlink ref="B160" location="Interactions!$K$16" display="Interactions!$K$16"/>
    <hyperlink ref="B161" location="Interactions!$L$16" display="Interactions!$L$16"/>
    <hyperlink ref="B162" location="Interactions!$M$16" display="Interactions!$M$16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88"/>
  <sheetViews>
    <sheetView workbookViewId="0"/>
  </sheetViews>
  <sheetFormatPr defaultRowHeight="15"/>
  <cols>
    <col min="1" max="1" width="20.42578125" customWidth="1"/>
    <col min="2" max="2" width="44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59" width="9.42578125" customWidth="1"/>
  </cols>
  <sheetData>
    <row r="1" spans="1:13">
      <c r="A1" s="1" t="s">
        <v>0</v>
      </c>
      <c r="B1" s="1" t="s">
        <v>1</v>
      </c>
      <c r="C1" s="1" t="s">
        <v>223</v>
      </c>
      <c r="D1" s="1" t="s">
        <v>224</v>
      </c>
    </row>
    <row r="2" spans="1:13">
      <c r="A2" t="s">
        <v>373</v>
      </c>
      <c r="B2" t="s">
        <v>374</v>
      </c>
      <c r="C2" t="s">
        <v>5</v>
      </c>
      <c r="D2" t="s">
        <v>5</v>
      </c>
    </row>
    <row r="4" spans="1:13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</row>
    <row r="5" spans="1:13">
      <c r="A5" s="1" t="str">
        <f>'Population Definitions'!$A$2</f>
        <v>PWID_males</v>
      </c>
      <c r="B5" s="4" t="s">
        <v>56</v>
      </c>
      <c r="C5" s="5" t="s">
        <v>226</v>
      </c>
      <c r="D5" s="5" t="s">
        <v>226</v>
      </c>
      <c r="E5" s="5" t="s">
        <v>226</v>
      </c>
      <c r="F5" s="5" t="s">
        <v>226</v>
      </c>
      <c r="G5" s="5" t="s">
        <v>226</v>
      </c>
      <c r="H5" s="5" t="s">
        <v>226</v>
      </c>
      <c r="I5" s="5" t="s">
        <v>226</v>
      </c>
      <c r="J5" s="5" t="s">
        <v>226</v>
      </c>
      <c r="K5" s="5" t="s">
        <v>226</v>
      </c>
      <c r="L5" s="5" t="s">
        <v>226</v>
      </c>
      <c r="M5" s="5" t="s">
        <v>226</v>
      </c>
    </row>
    <row r="6" spans="1:13">
      <c r="A6" s="1" t="str">
        <f>'Population Definitions'!$A$3</f>
        <v>PWID_females</v>
      </c>
      <c r="B6" s="5" t="s">
        <v>226</v>
      </c>
      <c r="C6" s="4" t="s">
        <v>56</v>
      </c>
      <c r="D6" s="5" t="s">
        <v>226</v>
      </c>
      <c r="E6" s="5" t="s">
        <v>226</v>
      </c>
      <c r="F6" s="5" t="s">
        <v>226</v>
      </c>
      <c r="G6" s="5" t="s">
        <v>226</v>
      </c>
      <c r="H6" s="5" t="s">
        <v>226</v>
      </c>
      <c r="I6" s="5" t="s">
        <v>226</v>
      </c>
      <c r="J6" s="5" t="s">
        <v>226</v>
      </c>
      <c r="K6" s="5" t="s">
        <v>226</v>
      </c>
      <c r="L6" s="5" t="s">
        <v>226</v>
      </c>
      <c r="M6" s="5" t="s">
        <v>226</v>
      </c>
    </row>
    <row r="7" spans="1:13">
      <c r="A7" s="1" t="str">
        <f>'Population Definitions'!$A$4</f>
        <v>0-9_males</v>
      </c>
      <c r="B7" s="5" t="s">
        <v>226</v>
      </c>
      <c r="C7" s="5" t="s">
        <v>226</v>
      </c>
      <c r="D7" s="4" t="s">
        <v>56</v>
      </c>
      <c r="E7" s="5" t="s">
        <v>226</v>
      </c>
      <c r="F7" s="5" t="s">
        <v>225</v>
      </c>
      <c r="G7" s="5" t="s">
        <v>226</v>
      </c>
      <c r="H7" s="5" t="s">
        <v>226</v>
      </c>
      <c r="I7" s="5" t="s">
        <v>226</v>
      </c>
      <c r="J7" s="5" t="s">
        <v>226</v>
      </c>
      <c r="K7" s="5" t="s">
        <v>226</v>
      </c>
      <c r="L7" s="5" t="s">
        <v>226</v>
      </c>
      <c r="M7" s="5" t="s">
        <v>226</v>
      </c>
    </row>
    <row r="8" spans="1:13">
      <c r="A8" s="1" t="str">
        <f>'Population Definitions'!$A$5</f>
        <v>0-9_females</v>
      </c>
      <c r="B8" s="5" t="s">
        <v>226</v>
      </c>
      <c r="C8" s="5" t="s">
        <v>226</v>
      </c>
      <c r="D8" s="5" t="s">
        <v>226</v>
      </c>
      <c r="E8" s="4" t="s">
        <v>56</v>
      </c>
      <c r="F8" s="5" t="s">
        <v>226</v>
      </c>
      <c r="G8" s="5" t="s">
        <v>225</v>
      </c>
      <c r="H8" s="5" t="s">
        <v>226</v>
      </c>
      <c r="I8" s="5" t="s">
        <v>226</v>
      </c>
      <c r="J8" s="5" t="s">
        <v>226</v>
      </c>
      <c r="K8" s="5" t="s">
        <v>226</v>
      </c>
      <c r="L8" s="5" t="s">
        <v>226</v>
      </c>
      <c r="M8" s="5" t="s">
        <v>226</v>
      </c>
    </row>
    <row r="9" spans="1:13">
      <c r="A9" s="1" t="str">
        <f>'Population Definitions'!$A$6</f>
        <v>10-17_males</v>
      </c>
      <c r="B9" s="5" t="s">
        <v>226</v>
      </c>
      <c r="C9" s="5" t="s">
        <v>226</v>
      </c>
      <c r="D9" s="5" t="s">
        <v>226</v>
      </c>
      <c r="E9" s="5" t="s">
        <v>226</v>
      </c>
      <c r="F9" s="4" t="s">
        <v>56</v>
      </c>
      <c r="G9" s="5" t="s">
        <v>226</v>
      </c>
      <c r="H9" s="5" t="s">
        <v>225</v>
      </c>
      <c r="I9" s="5" t="s">
        <v>226</v>
      </c>
      <c r="J9" s="5" t="s">
        <v>226</v>
      </c>
      <c r="K9" s="5" t="s">
        <v>226</v>
      </c>
      <c r="L9" s="5" t="s">
        <v>226</v>
      </c>
      <c r="M9" s="5" t="s">
        <v>226</v>
      </c>
    </row>
    <row r="10" spans="1:13">
      <c r="A10" s="1" t="str">
        <f>'Population Definitions'!$A$7</f>
        <v>10-17_females</v>
      </c>
      <c r="B10" s="5" t="s">
        <v>226</v>
      </c>
      <c r="C10" s="5" t="s">
        <v>226</v>
      </c>
      <c r="D10" s="5" t="s">
        <v>226</v>
      </c>
      <c r="E10" s="5" t="s">
        <v>226</v>
      </c>
      <c r="F10" s="5" t="s">
        <v>226</v>
      </c>
      <c r="G10" s="4" t="s">
        <v>56</v>
      </c>
      <c r="H10" s="5" t="s">
        <v>226</v>
      </c>
      <c r="I10" s="5" t="s">
        <v>225</v>
      </c>
      <c r="J10" s="5" t="s">
        <v>226</v>
      </c>
      <c r="K10" s="5" t="s">
        <v>226</v>
      </c>
      <c r="L10" s="5" t="s">
        <v>226</v>
      </c>
      <c r="M10" s="5" t="s">
        <v>226</v>
      </c>
    </row>
    <row r="11" spans="1:13">
      <c r="A11" s="1" t="str">
        <f>'Population Definitions'!$A$8</f>
        <v>18-64_males</v>
      </c>
      <c r="B11" s="5" t="s">
        <v>226</v>
      </c>
      <c r="C11" s="5" t="s">
        <v>226</v>
      </c>
      <c r="D11" s="5" t="s">
        <v>226</v>
      </c>
      <c r="E11" s="5" t="s">
        <v>226</v>
      </c>
      <c r="F11" s="5" t="s">
        <v>226</v>
      </c>
      <c r="G11" s="5" t="s">
        <v>226</v>
      </c>
      <c r="H11" s="4" t="s">
        <v>56</v>
      </c>
      <c r="I11" s="5" t="s">
        <v>226</v>
      </c>
      <c r="J11" s="5" t="s">
        <v>225</v>
      </c>
      <c r="K11" s="5" t="s">
        <v>226</v>
      </c>
      <c r="L11" s="5" t="s">
        <v>226</v>
      </c>
      <c r="M11" s="5" t="s">
        <v>226</v>
      </c>
    </row>
    <row r="12" spans="1:13">
      <c r="A12" s="1" t="str">
        <f>'Population Definitions'!$A$9</f>
        <v>18-64_females</v>
      </c>
      <c r="B12" s="5" t="s">
        <v>226</v>
      </c>
      <c r="C12" s="5" t="s">
        <v>226</v>
      </c>
      <c r="D12" s="5" t="s">
        <v>226</v>
      </c>
      <c r="E12" s="5" t="s">
        <v>226</v>
      </c>
      <c r="F12" s="5" t="s">
        <v>226</v>
      </c>
      <c r="G12" s="5" t="s">
        <v>226</v>
      </c>
      <c r="H12" s="5" t="s">
        <v>226</v>
      </c>
      <c r="I12" s="4" t="s">
        <v>56</v>
      </c>
      <c r="J12" s="5" t="s">
        <v>226</v>
      </c>
      <c r="K12" s="5" t="s">
        <v>225</v>
      </c>
      <c r="L12" s="5" t="s">
        <v>226</v>
      </c>
      <c r="M12" s="5" t="s">
        <v>226</v>
      </c>
    </row>
    <row r="13" spans="1:13">
      <c r="A13" s="1" t="str">
        <f>'Population Definitions'!$A$10</f>
        <v>65+_males</v>
      </c>
      <c r="B13" s="5" t="s">
        <v>226</v>
      </c>
      <c r="C13" s="5" t="s">
        <v>226</v>
      </c>
      <c r="D13" s="5" t="s">
        <v>226</v>
      </c>
      <c r="E13" s="5" t="s">
        <v>226</v>
      </c>
      <c r="F13" s="5" t="s">
        <v>226</v>
      </c>
      <c r="G13" s="5" t="s">
        <v>226</v>
      </c>
      <c r="H13" s="5" t="s">
        <v>226</v>
      </c>
      <c r="I13" s="5" t="s">
        <v>226</v>
      </c>
      <c r="J13" s="4" t="s">
        <v>56</v>
      </c>
      <c r="K13" s="5" t="s">
        <v>226</v>
      </c>
      <c r="L13" s="5" t="s">
        <v>226</v>
      </c>
      <c r="M13" s="5" t="s">
        <v>226</v>
      </c>
    </row>
    <row r="14" spans="1:13">
      <c r="A14" s="1" t="str">
        <f>'Population Definitions'!$A$11</f>
        <v>65+_females</v>
      </c>
      <c r="B14" s="5" t="s">
        <v>226</v>
      </c>
      <c r="C14" s="5" t="s">
        <v>226</v>
      </c>
      <c r="D14" s="5" t="s">
        <v>226</v>
      </c>
      <c r="E14" s="5" t="s">
        <v>226</v>
      </c>
      <c r="F14" s="5" t="s">
        <v>226</v>
      </c>
      <c r="G14" s="5" t="s">
        <v>226</v>
      </c>
      <c r="H14" s="5" t="s">
        <v>226</v>
      </c>
      <c r="I14" s="5" t="s">
        <v>226</v>
      </c>
      <c r="J14" s="5" t="s">
        <v>226</v>
      </c>
      <c r="K14" s="4" t="s">
        <v>56</v>
      </c>
      <c r="L14" s="5" t="s">
        <v>226</v>
      </c>
      <c r="M14" s="5" t="s">
        <v>226</v>
      </c>
    </row>
    <row r="15" spans="1:13">
      <c r="A15" s="1" t="str">
        <f>'Population Definitions'!$A$12</f>
        <v>Prisoners_males</v>
      </c>
      <c r="B15" s="5" t="s">
        <v>226</v>
      </c>
      <c r="C15" s="5" t="s">
        <v>226</v>
      </c>
      <c r="D15" s="5" t="s">
        <v>226</v>
      </c>
      <c r="E15" s="5" t="s">
        <v>226</v>
      </c>
      <c r="F15" s="5" t="s">
        <v>226</v>
      </c>
      <c r="G15" s="5" t="s">
        <v>226</v>
      </c>
      <c r="H15" s="5" t="s">
        <v>226</v>
      </c>
      <c r="I15" s="5" t="s">
        <v>226</v>
      </c>
      <c r="J15" s="5" t="s">
        <v>226</v>
      </c>
      <c r="K15" s="5" t="s">
        <v>226</v>
      </c>
      <c r="L15" s="4" t="s">
        <v>56</v>
      </c>
      <c r="M15" s="5" t="s">
        <v>226</v>
      </c>
    </row>
    <row r="16" spans="1:13">
      <c r="A16" s="1" t="str">
        <f>'Population Definitions'!$A$13</f>
        <v>Prisoners_females</v>
      </c>
      <c r="B16" s="5" t="s">
        <v>226</v>
      </c>
      <c r="C16" s="5" t="s">
        <v>226</v>
      </c>
      <c r="D16" s="5" t="s">
        <v>226</v>
      </c>
      <c r="E16" s="5" t="s">
        <v>226</v>
      </c>
      <c r="F16" s="5" t="s">
        <v>226</v>
      </c>
      <c r="G16" s="5" t="s">
        <v>226</v>
      </c>
      <c r="H16" s="5" t="s">
        <v>226</v>
      </c>
      <c r="I16" s="5" t="s">
        <v>226</v>
      </c>
      <c r="J16" s="5" t="s">
        <v>226</v>
      </c>
      <c r="K16" s="5" t="s">
        <v>226</v>
      </c>
      <c r="L16" s="5" t="s">
        <v>226</v>
      </c>
      <c r="M16" s="4" t="s">
        <v>56</v>
      </c>
    </row>
    <row r="18" spans="1:59">
      <c r="A18" s="1" t="s">
        <v>227</v>
      </c>
      <c r="B18" s="1"/>
      <c r="C18" s="1" t="s">
        <v>228</v>
      </c>
      <c r="D18" s="1" t="s">
        <v>29</v>
      </c>
      <c r="E18" s="1" t="s">
        <v>30</v>
      </c>
      <c r="F18" s="1" t="s">
        <v>31</v>
      </c>
      <c r="G18" s="1" t="s">
        <v>36</v>
      </c>
      <c r="H18" s="1"/>
      <c r="I18" s="1">
        <v>2000</v>
      </c>
      <c r="J18" s="1">
        <v>2001</v>
      </c>
      <c r="K18" s="1">
        <v>2002</v>
      </c>
      <c r="L18" s="1">
        <v>2003</v>
      </c>
      <c r="M18" s="1">
        <v>2004</v>
      </c>
      <c r="N18" s="1">
        <v>2005</v>
      </c>
      <c r="O18" s="1">
        <v>2006</v>
      </c>
      <c r="P18" s="1">
        <v>2007</v>
      </c>
      <c r="Q18" s="1">
        <v>2008</v>
      </c>
      <c r="R18" s="1">
        <v>2009</v>
      </c>
      <c r="S18" s="1">
        <v>2010</v>
      </c>
      <c r="T18" s="1">
        <v>2011</v>
      </c>
      <c r="U18" s="1">
        <v>2012</v>
      </c>
      <c r="V18" s="1">
        <v>2013</v>
      </c>
      <c r="W18" s="1">
        <v>2014</v>
      </c>
      <c r="X18" s="1">
        <v>2015</v>
      </c>
      <c r="Y18" s="1">
        <v>2016</v>
      </c>
      <c r="Z18" s="1">
        <v>2017</v>
      </c>
      <c r="AA18" s="1">
        <v>2018</v>
      </c>
      <c r="AB18" s="1">
        <v>2019</v>
      </c>
      <c r="AC18" s="1">
        <v>2020</v>
      </c>
      <c r="AD18" s="1">
        <v>2021</v>
      </c>
      <c r="AE18" s="1">
        <v>2022</v>
      </c>
      <c r="AF18" s="1">
        <v>2023</v>
      </c>
      <c r="AG18" s="1">
        <v>2024</v>
      </c>
      <c r="AH18" s="1">
        <v>2025</v>
      </c>
      <c r="AI18" s="1">
        <v>2026</v>
      </c>
      <c r="AJ18" s="1">
        <v>2027</v>
      </c>
      <c r="AK18" s="1">
        <v>2028</v>
      </c>
      <c r="AL18" s="1">
        <v>2029</v>
      </c>
      <c r="AM18" s="1">
        <v>2030</v>
      </c>
      <c r="AN18" s="1">
        <v>2031</v>
      </c>
      <c r="AO18" s="1">
        <v>2032</v>
      </c>
      <c r="AP18" s="1">
        <v>2033</v>
      </c>
      <c r="AQ18" s="1">
        <v>2034</v>
      </c>
      <c r="AR18" s="1">
        <v>2035</v>
      </c>
      <c r="AS18" s="1">
        <v>2036</v>
      </c>
      <c r="AT18" s="1">
        <v>2037</v>
      </c>
      <c r="AU18" s="1">
        <v>2038</v>
      </c>
      <c r="AV18" s="1">
        <v>2039</v>
      </c>
      <c r="AW18" s="1">
        <v>2040</v>
      </c>
      <c r="AX18" s="1">
        <v>2041</v>
      </c>
      <c r="AY18" s="1">
        <v>2042</v>
      </c>
      <c r="AZ18" s="1">
        <v>2043</v>
      </c>
      <c r="BA18" s="1">
        <v>2044</v>
      </c>
      <c r="BB18" s="1">
        <v>2045</v>
      </c>
      <c r="BC18" s="1">
        <v>2046</v>
      </c>
      <c r="BD18" s="1">
        <v>2047</v>
      </c>
      <c r="BE18" s="1">
        <v>2048</v>
      </c>
      <c r="BF18" s="1">
        <v>2049</v>
      </c>
      <c r="BG18" s="1">
        <v>2050</v>
      </c>
    </row>
    <row r="19" spans="1:59">
      <c r="A19" s="1" t="str">
        <f>IF($B$5="Y",'Population Definitions'!$A$2,"...")</f>
        <v>...</v>
      </c>
      <c r="B19" s="4" t="str">
        <f>IF($B$5="Y","---&gt;","...")</f>
        <v>...</v>
      </c>
      <c r="C19" s="1" t="str">
        <f>IF($B$5="Y",'Population Definitions'!$A$2,"...")</f>
        <v>...</v>
      </c>
      <c r="E19" s="2"/>
      <c r="F19" s="3"/>
      <c r="G19" s="2"/>
      <c r="H19" s="4" t="str">
        <f>IF($B$5="Y","OR","...")</f>
        <v>...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>
      <c r="A20" s="1" t="str">
        <f>IF($C$5="Y",'Population Definitions'!$A$2,"...")</f>
        <v>...</v>
      </c>
      <c r="B20" s="4" t="str">
        <f>IF($C$5="Y","---&gt;","...")</f>
        <v>...</v>
      </c>
      <c r="C20" s="1" t="str">
        <f>IF($C$5="Y",'Population Definitions'!$A$3,"...")</f>
        <v>...</v>
      </c>
      <c r="E20" s="2"/>
      <c r="F20" s="3"/>
      <c r="G20" s="2"/>
      <c r="H20" s="4" t="str">
        <f>IF($C$5="Y","OR","...")</f>
        <v>...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>
      <c r="A21" s="1" t="str">
        <f>IF($D$5="Y",'Population Definitions'!$A$2,"...")</f>
        <v>...</v>
      </c>
      <c r="B21" s="4" t="str">
        <f>IF($D$5="Y","---&gt;","...")</f>
        <v>...</v>
      </c>
      <c r="C21" s="1" t="str">
        <f>IF($D$5="Y",'Population Definitions'!$A$4,"...")</f>
        <v>...</v>
      </c>
      <c r="E21" s="2"/>
      <c r="F21" s="3"/>
      <c r="G21" s="2"/>
      <c r="H21" s="4" t="str">
        <f>IF($D$5="Y","OR","...")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IF($E$5="Y",'Population Definitions'!$A$2,"...")</f>
        <v>...</v>
      </c>
      <c r="B22" s="4" t="str">
        <f>IF($E$5="Y","---&gt;","...")</f>
        <v>...</v>
      </c>
      <c r="C22" s="1" t="str">
        <f>IF($E$5="Y",'Population Definitions'!$A$5,"...")</f>
        <v>...</v>
      </c>
      <c r="E22" s="2"/>
      <c r="F22" s="3"/>
      <c r="G22" s="2"/>
      <c r="H22" s="4" t="str">
        <f>IF($E$5="Y","OR","...")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IF($F$5="Y",'Population Definitions'!$A$2,"...")</f>
        <v>...</v>
      </c>
      <c r="B23" s="4" t="str">
        <f>IF($F$5="Y","---&gt;","...")</f>
        <v>...</v>
      </c>
      <c r="C23" s="1" t="str">
        <f>IF($F$5="Y",'Population Definitions'!$A$6,"...")</f>
        <v>...</v>
      </c>
      <c r="E23" s="2"/>
      <c r="F23" s="3"/>
      <c r="G23" s="2"/>
      <c r="H23" s="4" t="str">
        <f>IF($F$5="Y","OR","...")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IF($G$5="Y",'Population Definitions'!$A$2,"...")</f>
        <v>...</v>
      </c>
      <c r="B24" s="4" t="str">
        <f>IF($G$5="Y","---&gt;","...")</f>
        <v>...</v>
      </c>
      <c r="C24" s="1" t="str">
        <f>IF($G$5="Y",'Population Definitions'!$A$7,"...")</f>
        <v>...</v>
      </c>
      <c r="E24" s="2"/>
      <c r="F24" s="3"/>
      <c r="G24" s="2"/>
      <c r="H24" s="4" t="str">
        <f>IF($G$5="Y","OR","...")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IF($H$5="Y",'Population Definitions'!$A$2,"...")</f>
        <v>...</v>
      </c>
      <c r="B25" s="4" t="str">
        <f>IF($H$5="Y","---&gt;","...")</f>
        <v>...</v>
      </c>
      <c r="C25" s="1" t="str">
        <f>IF($H$5="Y",'Population Definitions'!$A$8,"...")</f>
        <v>...</v>
      </c>
      <c r="E25" s="2"/>
      <c r="F25" s="3"/>
      <c r="G25" s="2"/>
      <c r="H25" s="4" t="str">
        <f>IF($H$5="Y","OR","...")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IF($I$5="Y",'Population Definitions'!$A$2,"...")</f>
        <v>...</v>
      </c>
      <c r="B26" s="4" t="str">
        <f>IF($I$5="Y","---&gt;","...")</f>
        <v>...</v>
      </c>
      <c r="C26" s="1" t="str">
        <f>IF($I$5="Y",'Population Definitions'!$A$9,"...")</f>
        <v>...</v>
      </c>
      <c r="E26" s="2"/>
      <c r="F26" s="3"/>
      <c r="G26" s="2"/>
      <c r="H26" s="4" t="str">
        <f>IF($I$5="Y","OR","...")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IF($J$5="Y",'Population Definitions'!$A$2,"...")</f>
        <v>...</v>
      </c>
      <c r="B27" s="4" t="str">
        <f>IF($J$5="Y","---&gt;","...")</f>
        <v>...</v>
      </c>
      <c r="C27" s="1" t="str">
        <f>IF($J$5="Y",'Population Definitions'!$A$10,"...")</f>
        <v>...</v>
      </c>
      <c r="E27" s="2"/>
      <c r="F27" s="3"/>
      <c r="G27" s="2"/>
      <c r="H27" s="4" t="str">
        <f>IF($J$5="Y","OR","...")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IF($K$5="Y",'Population Definitions'!$A$2,"...")</f>
        <v>...</v>
      </c>
      <c r="B28" s="4" t="str">
        <f>IF($K$5="Y","---&gt;","...")</f>
        <v>...</v>
      </c>
      <c r="C28" s="1" t="str">
        <f>IF($K$5="Y",'Population Definitions'!$A$11,"...")</f>
        <v>...</v>
      </c>
      <c r="E28" s="2"/>
      <c r="F28" s="3"/>
      <c r="G28" s="2"/>
      <c r="H28" s="4" t="str">
        <f>IF($K$5="Y","OR","...")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IF($L$5="Y",'Population Definitions'!$A$2,"...")</f>
        <v>...</v>
      </c>
      <c r="B29" s="4" t="str">
        <f>IF($L$5="Y","---&gt;","...")</f>
        <v>...</v>
      </c>
      <c r="C29" s="1" t="str">
        <f>IF($L$5="Y",'Population Definitions'!$A$12,"...")</f>
        <v>...</v>
      </c>
      <c r="E29" s="2"/>
      <c r="F29" s="3"/>
      <c r="G29" s="2"/>
      <c r="H29" s="4" t="str">
        <f>IF($L$5="Y","OR","...")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IF($M$5="Y",'Population Definitions'!$A$2,"...")</f>
        <v>...</v>
      </c>
      <c r="B30" s="4" t="str">
        <f>IF($M$5="Y","---&gt;","...")</f>
        <v>...</v>
      </c>
      <c r="C30" s="1" t="str">
        <f>IF($M$5="Y",'Population Definitions'!$A$13,"...")</f>
        <v>...</v>
      </c>
      <c r="E30" s="2"/>
      <c r="F30" s="3"/>
      <c r="G30" s="2"/>
      <c r="H30" s="4" t="str">
        <f>IF($M$5="Y","OR","...")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IF($B$6="Y",'Population Definitions'!$A$3,"...")</f>
        <v>...</v>
      </c>
      <c r="B31" s="4" t="str">
        <f>IF($B$6="Y","---&gt;","...")</f>
        <v>...</v>
      </c>
      <c r="C31" s="1" t="str">
        <f>IF($B$6="Y",'Population Definitions'!$A$2,"...")</f>
        <v>...</v>
      </c>
      <c r="E31" s="2"/>
      <c r="F31" s="3"/>
      <c r="G31" s="2"/>
      <c r="H31" s="4" t="str">
        <f>IF($B$6="Y","OR","...")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IF($C$6="Y",'Population Definitions'!$A$3,"...")</f>
        <v>...</v>
      </c>
      <c r="B32" s="4" t="str">
        <f>IF($C$6="Y","---&gt;","...")</f>
        <v>...</v>
      </c>
      <c r="C32" s="1" t="str">
        <f>IF($C$6="Y",'Population Definitions'!$A$3,"...")</f>
        <v>...</v>
      </c>
      <c r="E32" s="2"/>
      <c r="F32" s="3"/>
      <c r="G32" s="2"/>
      <c r="H32" s="4" t="str">
        <f>IF($C$6="Y","OR","...")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IF($D$6="Y",'Population Definitions'!$A$3,"...")</f>
        <v>...</v>
      </c>
      <c r="B33" s="4" t="str">
        <f>IF($D$6="Y","---&gt;","...")</f>
        <v>...</v>
      </c>
      <c r="C33" s="1" t="str">
        <f>IF($D$6="Y",'Population Definitions'!$A$4,"...")</f>
        <v>...</v>
      </c>
      <c r="E33" s="2"/>
      <c r="F33" s="3"/>
      <c r="G33" s="2"/>
      <c r="H33" s="4" t="str">
        <f>IF($D$6="Y","OR","...")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IF($E$6="Y",'Population Definitions'!$A$3,"...")</f>
        <v>...</v>
      </c>
      <c r="B34" s="4" t="str">
        <f>IF($E$6="Y","---&gt;","...")</f>
        <v>...</v>
      </c>
      <c r="C34" s="1" t="str">
        <f>IF($E$6="Y",'Population Definitions'!$A$5,"...")</f>
        <v>...</v>
      </c>
      <c r="E34" s="2"/>
      <c r="F34" s="3"/>
      <c r="G34" s="2"/>
      <c r="H34" s="4" t="str">
        <f>IF($E$6="Y","OR","...")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IF($F$6="Y",'Population Definitions'!$A$3,"...")</f>
        <v>...</v>
      </c>
      <c r="B35" s="4" t="str">
        <f>IF($F$6="Y","---&gt;","...")</f>
        <v>...</v>
      </c>
      <c r="C35" s="1" t="str">
        <f>IF($F$6="Y",'Population Definitions'!$A$6,"...")</f>
        <v>...</v>
      </c>
      <c r="E35" s="2"/>
      <c r="F35" s="3"/>
      <c r="G35" s="2"/>
      <c r="H35" s="4" t="str">
        <f>IF($F$6="Y","OR","...")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IF($G$6="Y",'Population Definitions'!$A$3,"...")</f>
        <v>...</v>
      </c>
      <c r="B36" s="4" t="str">
        <f>IF($G$6="Y","---&gt;","...")</f>
        <v>...</v>
      </c>
      <c r="C36" s="1" t="str">
        <f>IF($G$6="Y",'Population Definitions'!$A$7,"...")</f>
        <v>...</v>
      </c>
      <c r="E36" s="2"/>
      <c r="F36" s="3"/>
      <c r="G36" s="2"/>
      <c r="H36" s="4" t="str">
        <f>IF($G$6="Y","OR","...")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IF($H$6="Y",'Population Definitions'!$A$3,"...")</f>
        <v>...</v>
      </c>
      <c r="B37" s="4" t="str">
        <f>IF($H$6="Y","---&gt;","...")</f>
        <v>...</v>
      </c>
      <c r="C37" s="1" t="str">
        <f>IF($H$6="Y",'Population Definitions'!$A$8,"...")</f>
        <v>...</v>
      </c>
      <c r="E37" s="2"/>
      <c r="F37" s="3"/>
      <c r="G37" s="2"/>
      <c r="H37" s="4" t="str">
        <f>IF($H$6="Y","OR","...")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IF($I$6="Y",'Population Definitions'!$A$3,"...")</f>
        <v>...</v>
      </c>
      <c r="B38" s="4" t="str">
        <f>IF($I$6="Y","---&gt;","...")</f>
        <v>...</v>
      </c>
      <c r="C38" s="1" t="str">
        <f>IF($I$6="Y",'Population Definitions'!$A$9,"...")</f>
        <v>...</v>
      </c>
      <c r="E38" s="2"/>
      <c r="F38" s="3"/>
      <c r="G38" s="2"/>
      <c r="H38" s="4" t="str">
        <f>IF($I$6="Y","OR","...")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IF($J$6="Y",'Population Definitions'!$A$3,"...")</f>
        <v>...</v>
      </c>
      <c r="B39" s="4" t="str">
        <f>IF($J$6="Y","---&gt;","...")</f>
        <v>...</v>
      </c>
      <c r="C39" s="1" t="str">
        <f>IF($J$6="Y",'Population Definitions'!$A$10,"...")</f>
        <v>...</v>
      </c>
      <c r="E39" s="2"/>
      <c r="F39" s="3"/>
      <c r="G39" s="2"/>
      <c r="H39" s="4" t="str">
        <f>IF($J$6="Y","OR","...")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IF($K$6="Y",'Population Definitions'!$A$3,"...")</f>
        <v>...</v>
      </c>
      <c r="B40" s="4" t="str">
        <f>IF($K$6="Y","---&gt;","...")</f>
        <v>...</v>
      </c>
      <c r="C40" s="1" t="str">
        <f>IF($K$6="Y",'Population Definitions'!$A$11,"...")</f>
        <v>...</v>
      </c>
      <c r="E40" s="2"/>
      <c r="F40" s="3"/>
      <c r="G40" s="2"/>
      <c r="H40" s="4" t="str">
        <f>IF($K$6="Y","OR","...")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IF($L$6="Y",'Population Definitions'!$A$3,"...")</f>
        <v>...</v>
      </c>
      <c r="B41" s="4" t="str">
        <f>IF($L$6="Y","---&gt;","...")</f>
        <v>...</v>
      </c>
      <c r="C41" s="1" t="str">
        <f>IF($L$6="Y",'Population Definitions'!$A$12,"...")</f>
        <v>...</v>
      </c>
      <c r="E41" s="2"/>
      <c r="F41" s="3"/>
      <c r="G41" s="2"/>
      <c r="H41" s="4" t="str">
        <f>IF($L$6="Y","OR","...")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IF($M$6="Y",'Population Definitions'!$A$3,"...")</f>
        <v>...</v>
      </c>
      <c r="B42" s="4" t="str">
        <f>IF($M$6="Y","---&gt;","...")</f>
        <v>...</v>
      </c>
      <c r="C42" s="1" t="str">
        <f>IF($M$6="Y",'Population Definitions'!$A$13,"...")</f>
        <v>...</v>
      </c>
      <c r="E42" s="2"/>
      <c r="F42" s="3"/>
      <c r="G42" s="2"/>
      <c r="H42" s="4" t="str">
        <f>IF($M$6="Y","OR","...")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IF($B$7="Y",'Population Definitions'!$A$4,"...")</f>
        <v>...</v>
      </c>
      <c r="B43" s="4" t="str">
        <f>IF($B$7="Y","---&gt;","...")</f>
        <v>...</v>
      </c>
      <c r="C43" s="1" t="str">
        <f>IF($B$7="Y",'Population Definitions'!$A$2,"...")</f>
        <v>...</v>
      </c>
      <c r="E43" s="2"/>
      <c r="F43" s="3"/>
      <c r="G43" s="2"/>
      <c r="H43" s="4" t="str">
        <f>IF($B$7="Y","OR","...")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IF($C$7="Y",'Population Definitions'!$A$4,"...")</f>
        <v>...</v>
      </c>
      <c r="B44" s="4" t="str">
        <f>IF($C$7="Y","---&gt;","...")</f>
        <v>...</v>
      </c>
      <c r="C44" s="1" t="str">
        <f>IF($C$7="Y",'Population Definitions'!$A$3,"...")</f>
        <v>...</v>
      </c>
      <c r="E44" s="2"/>
      <c r="F44" s="3"/>
      <c r="G44" s="2"/>
      <c r="H44" s="4" t="str">
        <f>IF($C$7="Y","OR","...")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IF($D$7="Y",'Population Definitions'!$A$4,"...")</f>
        <v>...</v>
      </c>
      <c r="B45" s="4" t="str">
        <f>IF($D$7="Y","---&gt;","...")</f>
        <v>...</v>
      </c>
      <c r="C45" s="1" t="str">
        <f>IF($D$7="Y",'Population Definitions'!$A$4,"...")</f>
        <v>...</v>
      </c>
      <c r="E45" s="2"/>
      <c r="F45" s="3"/>
      <c r="G45" s="2"/>
      <c r="H45" s="4" t="str">
        <f>IF($D$7="Y","OR","...")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IF($E$7="Y",'Population Definitions'!$A$4,"...")</f>
        <v>...</v>
      </c>
      <c r="B46" s="4" t="str">
        <f>IF($E$7="Y","---&gt;","...")</f>
        <v>...</v>
      </c>
      <c r="C46" s="1" t="str">
        <f>IF($E$7="Y",'Population Definitions'!$A$5,"...")</f>
        <v>...</v>
      </c>
      <c r="E46" s="2"/>
      <c r="F46" s="3"/>
      <c r="G46" s="2"/>
      <c r="H46" s="4" t="str">
        <f>IF($E$7="Y","OR","...")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IF($F$7="Y",'Population Definitions'!$A$4,"...")</f>
        <v>0-9_males</v>
      </c>
      <c r="B47" s="4" t="str">
        <f>IF($F$7="Y","---&gt;","...")</f>
        <v>---&gt;</v>
      </c>
      <c r="C47" s="1" t="str">
        <f>IF($F$7="Y",'Population Definitions'!$A$6,"...")</f>
        <v>10-17_males</v>
      </c>
      <c r="E47" s="3" t="s">
        <v>401</v>
      </c>
      <c r="F47" s="3"/>
      <c r="G47" s="3"/>
      <c r="H47" s="4" t="str">
        <f>IF($F$7="Y","OR","...")</f>
        <v>OR</v>
      </c>
      <c r="I47" s="3">
        <v>1528</v>
      </c>
      <c r="J47" s="3">
        <v>1494.5</v>
      </c>
      <c r="K47" s="3">
        <v>1458</v>
      </c>
      <c r="L47" s="3">
        <v>1437.5</v>
      </c>
      <c r="M47" s="3">
        <v>1437.5</v>
      </c>
      <c r="N47" s="3">
        <v>1450.5</v>
      </c>
      <c r="O47" s="3">
        <v>1429</v>
      </c>
      <c r="P47" s="3">
        <v>1396.5</v>
      </c>
      <c r="Q47" s="3">
        <v>1393.5</v>
      </c>
      <c r="R47" s="3">
        <v>1389.5</v>
      </c>
      <c r="S47" s="3">
        <v>1370.5</v>
      </c>
      <c r="T47" s="3">
        <v>1298</v>
      </c>
      <c r="U47" s="3">
        <v>1229.5</v>
      </c>
      <c r="V47" s="3">
        <v>1223</v>
      </c>
      <c r="W47" s="3">
        <v>1231</v>
      </c>
      <c r="X47" s="3">
        <v>1239.5</v>
      </c>
      <c r="Y47" s="3">
        <v>1207</v>
      </c>
      <c r="Z47" s="3">
        <v>1187</v>
      </c>
      <c r="AA47" s="3">
        <v>1213.5</v>
      </c>
      <c r="AB47" s="3">
        <v>1241</v>
      </c>
      <c r="AC47" s="3">
        <v>1267.5</v>
      </c>
      <c r="AD47" s="3">
        <v>1268</v>
      </c>
      <c r="AE47" s="3">
        <v>1252.5</v>
      </c>
      <c r="AF47" s="3">
        <v>1240</v>
      </c>
      <c r="AG47" s="3">
        <v>1231</v>
      </c>
      <c r="AH47" s="3">
        <v>1224</v>
      </c>
      <c r="AI47" s="3">
        <v>1216</v>
      </c>
      <c r="AJ47" s="3">
        <v>1208</v>
      </c>
      <c r="AK47" s="3">
        <v>1203</v>
      </c>
      <c r="AL47" s="3">
        <v>1198</v>
      </c>
      <c r="AM47" s="3">
        <v>1192</v>
      </c>
      <c r="AN47" s="3">
        <v>1191</v>
      </c>
      <c r="AO47" s="3">
        <v>1188</v>
      </c>
      <c r="AP47" s="3">
        <v>1180</v>
      </c>
      <c r="AQ47" s="3">
        <v>1178</v>
      </c>
      <c r="AR47" s="3">
        <v>1179</v>
      </c>
      <c r="AS47" s="3">
        <v>1178</v>
      </c>
      <c r="AT47" s="3">
        <v>1177</v>
      </c>
      <c r="AU47" s="3">
        <v>1177</v>
      </c>
      <c r="AV47" s="3">
        <v>1176</v>
      </c>
      <c r="AW47" s="3">
        <v>1174</v>
      </c>
      <c r="AX47" s="3">
        <v>1171</v>
      </c>
      <c r="AY47" s="3">
        <v>1164</v>
      </c>
      <c r="AZ47" s="3">
        <v>1158</v>
      </c>
      <c r="BA47" s="3">
        <v>1151</v>
      </c>
      <c r="BB47" s="3">
        <v>1143</v>
      </c>
      <c r="BC47" s="3">
        <v>1133</v>
      </c>
      <c r="BD47" s="3">
        <v>1122</v>
      </c>
      <c r="BE47" s="3">
        <v>1111</v>
      </c>
      <c r="BF47" s="3">
        <v>1101</v>
      </c>
      <c r="BG47" s="3">
        <v>1091</v>
      </c>
    </row>
    <row r="48" spans="1:59">
      <c r="A48" s="1" t="str">
        <f>IF($G$7="Y",'Population Definitions'!$A$4,"...")</f>
        <v>...</v>
      </c>
      <c r="B48" s="4" t="str">
        <f>IF($G$7="Y","---&gt;","...")</f>
        <v>...</v>
      </c>
      <c r="C48" s="1" t="str">
        <f>IF($G$7="Y",'Population Definitions'!$A$7,"...")</f>
        <v>...</v>
      </c>
      <c r="E48" s="2"/>
      <c r="F48" s="3"/>
      <c r="G48" s="2"/>
      <c r="H48" s="4" t="str">
        <f>IF($G$7="Y","OR","...")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IF($H$7="Y",'Population Definitions'!$A$4,"...")</f>
        <v>...</v>
      </c>
      <c r="B49" s="4" t="str">
        <f>IF($H$7="Y","---&gt;","...")</f>
        <v>...</v>
      </c>
      <c r="C49" s="1" t="str">
        <f>IF($H$7="Y",'Population Definitions'!$A$8,"...")</f>
        <v>...</v>
      </c>
      <c r="E49" s="2"/>
      <c r="F49" s="3"/>
      <c r="G49" s="2"/>
      <c r="H49" s="4" t="str">
        <f>IF($H$7="Y","OR","...")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IF($I$7="Y",'Population Definitions'!$A$4,"...")</f>
        <v>...</v>
      </c>
      <c r="B50" s="4" t="str">
        <f>IF($I$7="Y","---&gt;","...")</f>
        <v>...</v>
      </c>
      <c r="C50" s="1" t="str">
        <f>IF($I$7="Y",'Population Definitions'!$A$9,"...")</f>
        <v>...</v>
      </c>
      <c r="E50" s="2"/>
      <c r="F50" s="3"/>
      <c r="G50" s="2"/>
      <c r="H50" s="4" t="str">
        <f>IF($I$7="Y","OR","...")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IF($J$7="Y",'Population Definitions'!$A$4,"...")</f>
        <v>...</v>
      </c>
      <c r="B51" s="4" t="str">
        <f>IF($J$7="Y","---&gt;","...")</f>
        <v>...</v>
      </c>
      <c r="C51" s="1" t="str">
        <f>IF($J$7="Y",'Population Definitions'!$A$10,"...")</f>
        <v>...</v>
      </c>
      <c r="E51" s="2"/>
      <c r="F51" s="3"/>
      <c r="G51" s="2"/>
      <c r="H51" s="4" t="str">
        <f>IF($J$7="Y","OR","...")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IF($K$7="Y",'Population Definitions'!$A$4,"...")</f>
        <v>...</v>
      </c>
      <c r="B52" s="4" t="str">
        <f>IF($K$7="Y","---&gt;","...")</f>
        <v>...</v>
      </c>
      <c r="C52" s="1" t="str">
        <f>IF($K$7="Y",'Population Definitions'!$A$11,"...")</f>
        <v>...</v>
      </c>
      <c r="E52" s="2"/>
      <c r="F52" s="3"/>
      <c r="G52" s="2"/>
      <c r="H52" s="4" t="str">
        <f>IF($K$7="Y","OR","...")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IF($L$7="Y",'Population Definitions'!$A$4,"...")</f>
        <v>...</v>
      </c>
      <c r="B53" s="4" t="str">
        <f>IF($L$7="Y","---&gt;","...")</f>
        <v>...</v>
      </c>
      <c r="C53" s="1" t="str">
        <f>IF($L$7="Y",'Population Definitions'!$A$12,"...")</f>
        <v>...</v>
      </c>
      <c r="E53" s="2"/>
      <c r="F53" s="3"/>
      <c r="G53" s="2"/>
      <c r="H53" s="4" t="str">
        <f>IF($L$7="Y","OR","...")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IF($M$7="Y",'Population Definitions'!$A$4,"...")</f>
        <v>...</v>
      </c>
      <c r="B54" s="4" t="str">
        <f>IF($M$7="Y","---&gt;","...")</f>
        <v>...</v>
      </c>
      <c r="C54" s="1" t="str">
        <f>IF($M$7="Y",'Population Definitions'!$A$13,"...")</f>
        <v>...</v>
      </c>
      <c r="E54" s="2"/>
      <c r="F54" s="3"/>
      <c r="G54" s="2"/>
      <c r="H54" s="4" t="str">
        <f>IF($M$7="Y","OR","...")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IF($B$8="Y",'Population Definitions'!$A$5,"...")</f>
        <v>...</v>
      </c>
      <c r="B55" s="4" t="str">
        <f>IF($B$8="Y","---&gt;","...")</f>
        <v>...</v>
      </c>
      <c r="C55" s="1" t="str">
        <f>IF($B$8="Y",'Population Definitions'!$A$2,"...")</f>
        <v>...</v>
      </c>
      <c r="E55" s="2"/>
      <c r="F55" s="3"/>
      <c r="G55" s="2"/>
      <c r="H55" s="4" t="str">
        <f>IF($B$8="Y","OR","...")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IF($C$8="Y",'Population Definitions'!$A$5,"...")</f>
        <v>...</v>
      </c>
      <c r="B56" s="4" t="str">
        <f>IF($C$8="Y","---&gt;","...")</f>
        <v>...</v>
      </c>
      <c r="C56" s="1" t="str">
        <f>IF($C$8="Y",'Population Definitions'!$A$3,"...")</f>
        <v>...</v>
      </c>
      <c r="E56" s="2"/>
      <c r="F56" s="3"/>
      <c r="G56" s="2"/>
      <c r="H56" s="4" t="str">
        <f>IF($C$8="Y","OR","...")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IF($D$8="Y",'Population Definitions'!$A$5,"...")</f>
        <v>...</v>
      </c>
      <c r="B57" s="4" t="str">
        <f>IF($D$8="Y","---&gt;","...")</f>
        <v>...</v>
      </c>
      <c r="C57" s="1" t="str">
        <f>IF($D$8="Y",'Population Definitions'!$A$4,"...")</f>
        <v>...</v>
      </c>
      <c r="E57" s="2"/>
      <c r="F57" s="3"/>
      <c r="G57" s="2"/>
      <c r="H57" s="4" t="str">
        <f>IF($D$8="Y","OR","...")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IF($E$8="Y",'Population Definitions'!$A$5,"...")</f>
        <v>...</v>
      </c>
      <c r="B58" s="4" t="str">
        <f>IF($E$8="Y","---&gt;","...")</f>
        <v>...</v>
      </c>
      <c r="C58" s="1" t="str">
        <f>IF($E$8="Y",'Population Definitions'!$A$5,"...")</f>
        <v>...</v>
      </c>
      <c r="E58" s="2"/>
      <c r="F58" s="3"/>
      <c r="G58" s="2"/>
      <c r="H58" s="4" t="str">
        <f>IF($E$8="Y","OR","...")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IF($F$8="Y",'Population Definitions'!$A$5,"...")</f>
        <v>...</v>
      </c>
      <c r="B59" s="4" t="str">
        <f>IF($F$8="Y","---&gt;","...")</f>
        <v>...</v>
      </c>
      <c r="C59" s="1" t="str">
        <f>IF($F$8="Y",'Population Definitions'!$A$6,"...")</f>
        <v>...</v>
      </c>
      <c r="E59" s="2"/>
      <c r="F59" s="3"/>
      <c r="G59" s="2"/>
      <c r="H59" s="4" t="str">
        <f>IF($F$8="Y","OR","...")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IF($G$8="Y",'Population Definitions'!$A$5,"...")</f>
        <v>0-9_females</v>
      </c>
      <c r="B60" s="4" t="str">
        <f>IF($G$8="Y","---&gt;","...")</f>
        <v>---&gt;</v>
      </c>
      <c r="C60" s="1" t="str">
        <f>IF($G$8="Y",'Population Definitions'!$A$7,"...")</f>
        <v>10-17_females</v>
      </c>
      <c r="E60" s="3" t="s">
        <v>401</v>
      </c>
      <c r="F60" s="3"/>
      <c r="G60" s="3"/>
      <c r="H60" s="4" t="str">
        <f>IF($G$8="Y","OR","...")</f>
        <v>OR</v>
      </c>
      <c r="I60" s="3">
        <v>1446</v>
      </c>
      <c r="J60" s="3">
        <v>1438</v>
      </c>
      <c r="K60" s="3">
        <v>1432.5</v>
      </c>
      <c r="L60" s="3">
        <v>1419</v>
      </c>
      <c r="M60" s="3">
        <v>1392.5</v>
      </c>
      <c r="N60" s="3">
        <v>1378</v>
      </c>
      <c r="O60" s="3">
        <v>1363</v>
      </c>
      <c r="P60" s="3">
        <v>1381</v>
      </c>
      <c r="Q60" s="3">
        <v>1416</v>
      </c>
      <c r="R60" s="3">
        <v>1377</v>
      </c>
      <c r="S60" s="3">
        <v>1310.5</v>
      </c>
      <c r="T60" s="3">
        <v>1240</v>
      </c>
      <c r="U60" s="3">
        <v>1205</v>
      </c>
      <c r="V60" s="3">
        <v>1234.5</v>
      </c>
      <c r="W60" s="3">
        <v>1239.5</v>
      </c>
      <c r="X60" s="3">
        <v>1251</v>
      </c>
      <c r="Y60" s="3">
        <v>1251.5</v>
      </c>
      <c r="Z60" s="3">
        <v>1205</v>
      </c>
      <c r="AA60" s="3">
        <v>1189</v>
      </c>
      <c r="AB60" s="3">
        <v>1209</v>
      </c>
      <c r="AC60" s="3">
        <v>1211.5</v>
      </c>
      <c r="AD60" s="3">
        <v>1192.5</v>
      </c>
      <c r="AE60" s="3">
        <v>1177.5</v>
      </c>
      <c r="AF60" s="3">
        <v>1165.5</v>
      </c>
      <c r="AG60" s="3">
        <v>1157</v>
      </c>
      <c r="AH60" s="3">
        <v>1150</v>
      </c>
      <c r="AI60" s="3">
        <v>1142</v>
      </c>
      <c r="AJ60" s="3">
        <v>1134</v>
      </c>
      <c r="AK60" s="3">
        <v>1128</v>
      </c>
      <c r="AL60" s="3">
        <v>1124</v>
      </c>
      <c r="AM60" s="3">
        <v>1118</v>
      </c>
      <c r="AN60" s="3">
        <v>1116</v>
      </c>
      <c r="AO60" s="3">
        <v>1113</v>
      </c>
      <c r="AP60" s="3">
        <v>1106</v>
      </c>
      <c r="AQ60" s="3">
        <v>1104</v>
      </c>
      <c r="AR60" s="3">
        <v>1105</v>
      </c>
      <c r="AS60" s="3">
        <v>1103</v>
      </c>
      <c r="AT60" s="3">
        <v>1103</v>
      </c>
      <c r="AU60" s="3">
        <v>1104</v>
      </c>
      <c r="AV60" s="3">
        <v>1103</v>
      </c>
      <c r="AW60" s="3">
        <v>1102</v>
      </c>
      <c r="AX60" s="3">
        <v>1099</v>
      </c>
      <c r="AY60" s="3">
        <v>1094</v>
      </c>
      <c r="AZ60" s="3">
        <v>1088</v>
      </c>
      <c r="BA60" s="3">
        <v>1082</v>
      </c>
      <c r="BB60" s="3">
        <v>1074</v>
      </c>
      <c r="BC60" s="3">
        <v>1066</v>
      </c>
      <c r="BD60" s="3">
        <v>1056</v>
      </c>
      <c r="BE60" s="3">
        <v>1046</v>
      </c>
      <c r="BF60" s="3">
        <v>1036</v>
      </c>
      <c r="BG60" s="3">
        <v>1027</v>
      </c>
    </row>
    <row r="61" spans="1:59">
      <c r="A61" s="1" t="str">
        <f>IF($H$8="Y",'Population Definitions'!$A$5,"...")</f>
        <v>...</v>
      </c>
      <c r="B61" s="4" t="str">
        <f>IF($H$8="Y","---&gt;","...")</f>
        <v>...</v>
      </c>
      <c r="C61" s="1" t="str">
        <f>IF($H$8="Y",'Population Definitions'!$A$8,"...")</f>
        <v>...</v>
      </c>
      <c r="E61" s="2"/>
      <c r="F61" s="3"/>
      <c r="G61" s="2"/>
      <c r="H61" s="4" t="str">
        <f>IF($H$8="Y","OR","...")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IF($I$8="Y",'Population Definitions'!$A$5,"...")</f>
        <v>...</v>
      </c>
      <c r="B62" s="4" t="str">
        <f>IF($I$8="Y","---&gt;","...")</f>
        <v>...</v>
      </c>
      <c r="C62" s="1" t="str">
        <f>IF($I$8="Y",'Population Definitions'!$A$9,"...")</f>
        <v>...</v>
      </c>
      <c r="E62" s="2"/>
      <c r="F62" s="3"/>
      <c r="G62" s="2"/>
      <c r="H62" s="4" t="str">
        <f>IF($I$8="Y","OR","...")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IF($J$8="Y",'Population Definitions'!$A$5,"...")</f>
        <v>...</v>
      </c>
      <c r="B63" s="4" t="str">
        <f>IF($J$8="Y","---&gt;","...")</f>
        <v>...</v>
      </c>
      <c r="C63" s="1" t="str">
        <f>IF($J$8="Y",'Population Definitions'!$A$10,"...")</f>
        <v>...</v>
      </c>
      <c r="E63" s="2"/>
      <c r="F63" s="3"/>
      <c r="G63" s="2"/>
      <c r="H63" s="4" t="str">
        <f>IF($J$8="Y","OR","...")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IF($K$8="Y",'Population Definitions'!$A$5,"...")</f>
        <v>...</v>
      </c>
      <c r="B64" s="4" t="str">
        <f>IF($K$8="Y","---&gt;","...")</f>
        <v>...</v>
      </c>
      <c r="C64" s="1" t="str">
        <f>IF($K$8="Y",'Population Definitions'!$A$11,"...")</f>
        <v>...</v>
      </c>
      <c r="E64" s="2"/>
      <c r="F64" s="3"/>
      <c r="G64" s="2"/>
      <c r="H64" s="4" t="str">
        <f>IF($K$8="Y","OR","...")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IF($L$8="Y",'Population Definitions'!$A$5,"...")</f>
        <v>...</v>
      </c>
      <c r="B65" s="4" t="str">
        <f>IF($L$8="Y","---&gt;","...")</f>
        <v>...</v>
      </c>
      <c r="C65" s="1" t="str">
        <f>IF($L$8="Y",'Population Definitions'!$A$12,"...")</f>
        <v>...</v>
      </c>
      <c r="E65" s="2"/>
      <c r="F65" s="3"/>
      <c r="G65" s="2"/>
      <c r="H65" s="4" t="str">
        <f>IF($L$8="Y","OR","...")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IF($M$8="Y",'Population Definitions'!$A$5,"...")</f>
        <v>...</v>
      </c>
      <c r="B66" s="4" t="str">
        <f>IF($M$8="Y","---&gt;","...")</f>
        <v>...</v>
      </c>
      <c r="C66" s="1" t="str">
        <f>IF($M$8="Y",'Population Definitions'!$A$13,"...")</f>
        <v>...</v>
      </c>
      <c r="E66" s="2"/>
      <c r="F66" s="3"/>
      <c r="G66" s="2"/>
      <c r="H66" s="4" t="str">
        <f>IF($M$8="Y","OR","...")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IF($B$9="Y",'Population Definitions'!$A$6,"...")</f>
        <v>...</v>
      </c>
      <c r="B67" s="4" t="str">
        <f>IF($B$9="Y","---&gt;","...")</f>
        <v>...</v>
      </c>
      <c r="C67" s="1" t="str">
        <f>IF($B$9="Y",'Population Definitions'!$A$2,"...")</f>
        <v>...</v>
      </c>
      <c r="E67" s="2"/>
      <c r="F67" s="3"/>
      <c r="G67" s="2"/>
      <c r="H67" s="4" t="str">
        <f>IF($B$9="Y","OR","...")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IF($C$9="Y",'Population Definitions'!$A$6,"...")</f>
        <v>...</v>
      </c>
      <c r="B68" s="4" t="str">
        <f>IF($C$9="Y","---&gt;","...")</f>
        <v>...</v>
      </c>
      <c r="C68" s="1" t="str">
        <f>IF($C$9="Y",'Population Definitions'!$A$3,"...")</f>
        <v>...</v>
      </c>
      <c r="E68" s="2"/>
      <c r="F68" s="3"/>
      <c r="G68" s="2"/>
      <c r="H68" s="4" t="str">
        <f>IF($C$9="Y","OR","...")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IF($D$9="Y",'Population Definitions'!$A$6,"...")</f>
        <v>...</v>
      </c>
      <c r="B69" s="4" t="str">
        <f>IF($D$9="Y","---&gt;","...")</f>
        <v>...</v>
      </c>
      <c r="C69" s="1" t="str">
        <f>IF($D$9="Y",'Population Definitions'!$A$4,"...")</f>
        <v>...</v>
      </c>
      <c r="E69" s="2"/>
      <c r="F69" s="3"/>
      <c r="G69" s="2"/>
      <c r="H69" s="4" t="str">
        <f>IF($D$9="Y","OR","...")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IF($E$9="Y",'Population Definitions'!$A$6,"...")</f>
        <v>...</v>
      </c>
      <c r="B70" s="4" t="str">
        <f>IF($E$9="Y","---&gt;","...")</f>
        <v>...</v>
      </c>
      <c r="C70" s="1" t="str">
        <f>IF($E$9="Y",'Population Definitions'!$A$5,"...")</f>
        <v>...</v>
      </c>
      <c r="E70" s="2"/>
      <c r="F70" s="3"/>
      <c r="G70" s="2"/>
      <c r="H70" s="4" t="str">
        <f>IF($E$9="Y","OR","...")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IF($F$9="Y",'Population Definitions'!$A$6,"...")</f>
        <v>...</v>
      </c>
      <c r="B71" s="4" t="str">
        <f>IF($F$9="Y","---&gt;","...")</f>
        <v>...</v>
      </c>
      <c r="C71" s="1" t="str">
        <f>IF($F$9="Y",'Population Definitions'!$A$6,"...")</f>
        <v>...</v>
      </c>
      <c r="E71" s="2"/>
      <c r="F71" s="3"/>
      <c r="G71" s="2"/>
      <c r="H71" s="4" t="str">
        <f>IF($F$9="Y","OR","...")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IF($G$9="Y",'Population Definitions'!$A$6,"...")</f>
        <v>...</v>
      </c>
      <c r="B72" s="4" t="str">
        <f>IF($G$9="Y","---&gt;","...")</f>
        <v>...</v>
      </c>
      <c r="C72" s="1" t="str">
        <f>IF($G$9="Y",'Population Definitions'!$A$7,"...")</f>
        <v>...</v>
      </c>
      <c r="E72" s="2"/>
      <c r="F72" s="3"/>
      <c r="G72" s="2"/>
      <c r="H72" s="4" t="str">
        <f>IF($G$9="Y","OR","...")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IF($H$9="Y",'Population Definitions'!$A$6,"...")</f>
        <v>10-17_males</v>
      </c>
      <c r="B73" s="4" t="str">
        <f>IF($H$9="Y","---&gt;","...")</f>
        <v>---&gt;</v>
      </c>
      <c r="C73" s="1" t="str">
        <f>IF($H$9="Y",'Population Definitions'!$A$8,"...")</f>
        <v>18-64_males</v>
      </c>
      <c r="E73" s="3" t="s">
        <v>401</v>
      </c>
      <c r="F73" s="3"/>
      <c r="G73" s="3"/>
      <c r="H73" s="4" t="str">
        <f>IF($H$9="Y","OR","...")</f>
        <v>OR</v>
      </c>
      <c r="I73" s="3">
        <v>1354</v>
      </c>
      <c r="J73" s="3">
        <v>1386</v>
      </c>
      <c r="K73" s="3">
        <v>1409</v>
      </c>
      <c r="L73" s="3">
        <v>1400</v>
      </c>
      <c r="M73" s="3">
        <v>1368</v>
      </c>
      <c r="N73" s="3">
        <v>1312.5</v>
      </c>
      <c r="O73" s="3">
        <v>1245</v>
      </c>
      <c r="P73" s="3">
        <v>1234.5</v>
      </c>
      <c r="Q73" s="3">
        <v>1261.5</v>
      </c>
      <c r="R73" s="3">
        <v>1267.5</v>
      </c>
      <c r="S73" s="3">
        <v>1281</v>
      </c>
      <c r="T73" s="3">
        <v>1286</v>
      </c>
      <c r="U73" s="3">
        <v>1286</v>
      </c>
      <c r="V73" s="3">
        <v>1302.5</v>
      </c>
      <c r="W73" s="3">
        <v>1281</v>
      </c>
      <c r="X73" s="3">
        <v>1255.5</v>
      </c>
      <c r="Y73" s="3">
        <v>1268</v>
      </c>
      <c r="Z73" s="3">
        <v>1280</v>
      </c>
      <c r="AA73" s="3">
        <v>1289.5</v>
      </c>
      <c r="AB73" s="3">
        <v>1235.5</v>
      </c>
      <c r="AC73" s="3">
        <v>1169</v>
      </c>
      <c r="AD73" s="3">
        <v>1167</v>
      </c>
      <c r="AE73" s="3">
        <v>1179</v>
      </c>
      <c r="AF73" s="3">
        <v>1188</v>
      </c>
      <c r="AG73" s="3">
        <v>1156</v>
      </c>
      <c r="AH73" s="3">
        <v>1139</v>
      </c>
      <c r="AI73" s="3">
        <v>1170</v>
      </c>
      <c r="AJ73" s="3">
        <v>1200</v>
      </c>
      <c r="AK73" s="3">
        <v>1228</v>
      </c>
      <c r="AL73" s="3">
        <v>1229</v>
      </c>
      <c r="AM73" s="3">
        <v>1212</v>
      </c>
      <c r="AN73" s="3">
        <v>1197</v>
      </c>
      <c r="AO73" s="3">
        <v>1185</v>
      </c>
      <c r="AP73" s="3">
        <v>1176</v>
      </c>
      <c r="AQ73" s="3">
        <v>1170</v>
      </c>
      <c r="AR73" s="3">
        <v>1163</v>
      </c>
      <c r="AS73" s="3">
        <v>1159</v>
      </c>
      <c r="AT73" s="3">
        <v>1155</v>
      </c>
      <c r="AU73" s="3">
        <v>1151</v>
      </c>
      <c r="AV73" s="3">
        <v>1150</v>
      </c>
      <c r="AW73" s="3">
        <v>1148</v>
      </c>
      <c r="AX73" s="3">
        <v>1142</v>
      </c>
      <c r="AY73" s="3">
        <v>1140</v>
      </c>
      <c r="AZ73" s="3">
        <v>1143</v>
      </c>
      <c r="BA73" s="3">
        <v>1142</v>
      </c>
      <c r="BB73" s="3">
        <v>1142</v>
      </c>
      <c r="BC73" s="3">
        <v>1143</v>
      </c>
      <c r="BD73" s="3">
        <v>1143</v>
      </c>
      <c r="BE73" s="3">
        <v>1142</v>
      </c>
      <c r="BF73" s="3">
        <v>1140</v>
      </c>
      <c r="BG73" s="3">
        <v>1135</v>
      </c>
    </row>
    <row r="74" spans="1:59">
      <c r="A74" s="1" t="str">
        <f>IF($I$9="Y",'Population Definitions'!$A$6,"...")</f>
        <v>...</v>
      </c>
      <c r="B74" s="4" t="str">
        <f>IF($I$9="Y","---&gt;","...")</f>
        <v>...</v>
      </c>
      <c r="C74" s="1" t="str">
        <f>IF($I$9="Y",'Population Definitions'!$A$9,"...")</f>
        <v>...</v>
      </c>
      <c r="E74" s="2"/>
      <c r="F74" s="3"/>
      <c r="G74" s="2"/>
      <c r="H74" s="4" t="str">
        <f>IF($I$9="Y","OR","...")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IF($J$9="Y",'Population Definitions'!$A$6,"...")</f>
        <v>...</v>
      </c>
      <c r="B75" s="4" t="str">
        <f>IF($J$9="Y","---&gt;","...")</f>
        <v>...</v>
      </c>
      <c r="C75" s="1" t="str">
        <f>IF($J$9="Y",'Population Definitions'!$A$10,"...")</f>
        <v>...</v>
      </c>
      <c r="E75" s="2"/>
      <c r="F75" s="3"/>
      <c r="G75" s="2"/>
      <c r="H75" s="4" t="str">
        <f>IF($J$9="Y","OR","...")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IF($K$9="Y",'Population Definitions'!$A$6,"...")</f>
        <v>...</v>
      </c>
      <c r="B76" s="4" t="str">
        <f>IF($K$9="Y","---&gt;","...")</f>
        <v>...</v>
      </c>
      <c r="C76" s="1" t="str">
        <f>IF($K$9="Y",'Population Definitions'!$A$11,"...")</f>
        <v>...</v>
      </c>
      <c r="E76" s="2"/>
      <c r="F76" s="3"/>
      <c r="G76" s="2"/>
      <c r="H76" s="4" t="str">
        <f>IF($K$9="Y","OR","...")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IF($L$9="Y",'Population Definitions'!$A$6,"...")</f>
        <v>...</v>
      </c>
      <c r="B77" s="4" t="str">
        <f>IF($L$9="Y","---&gt;","...")</f>
        <v>...</v>
      </c>
      <c r="C77" s="1" t="str">
        <f>IF($L$9="Y",'Population Definitions'!$A$12,"...")</f>
        <v>...</v>
      </c>
      <c r="E77" s="2"/>
      <c r="F77" s="3"/>
      <c r="G77" s="2"/>
      <c r="H77" s="4" t="str">
        <f>IF($L$9="Y","OR","...")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IF($M$9="Y",'Population Definitions'!$A$6,"...")</f>
        <v>...</v>
      </c>
      <c r="B78" s="4" t="str">
        <f>IF($M$9="Y","---&gt;","...")</f>
        <v>...</v>
      </c>
      <c r="C78" s="1" t="str">
        <f>IF($M$9="Y",'Population Definitions'!$A$13,"...")</f>
        <v>...</v>
      </c>
      <c r="E78" s="2"/>
      <c r="F78" s="3"/>
      <c r="G78" s="2"/>
      <c r="H78" s="4" t="str">
        <f>IF($M$9="Y","OR","...")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IF($B$10="Y",'Population Definitions'!$A$7,"...")</f>
        <v>...</v>
      </c>
      <c r="B79" s="4" t="str">
        <f>IF($B$10="Y","---&gt;","...")</f>
        <v>...</v>
      </c>
      <c r="C79" s="1" t="str">
        <f>IF($B$10="Y",'Population Definitions'!$A$2,"...")</f>
        <v>...</v>
      </c>
      <c r="E79" s="2"/>
      <c r="F79" s="3"/>
      <c r="G79" s="2"/>
      <c r="H79" s="4" t="str">
        <f>IF($B$10="Y","OR","...")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IF($C$10="Y",'Population Definitions'!$A$7,"...")</f>
        <v>...</v>
      </c>
      <c r="B80" s="4" t="str">
        <f>IF($C$10="Y","---&gt;","...")</f>
        <v>...</v>
      </c>
      <c r="C80" s="1" t="str">
        <f>IF($C$10="Y",'Population Definitions'!$A$3,"...")</f>
        <v>...</v>
      </c>
      <c r="E80" s="2"/>
      <c r="F80" s="3"/>
      <c r="G80" s="2"/>
      <c r="H80" s="4" t="str">
        <f>IF($C$10="Y","OR","...")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IF($D$10="Y",'Population Definitions'!$A$7,"...")</f>
        <v>...</v>
      </c>
      <c r="B81" s="4" t="str">
        <f>IF($D$10="Y","---&gt;","...")</f>
        <v>...</v>
      </c>
      <c r="C81" s="1" t="str">
        <f>IF($D$10="Y",'Population Definitions'!$A$4,"...")</f>
        <v>...</v>
      </c>
      <c r="E81" s="2"/>
      <c r="F81" s="3"/>
      <c r="G81" s="2"/>
      <c r="H81" s="4" t="str">
        <f>IF($D$10="Y","OR","...")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IF($E$10="Y",'Population Definitions'!$A$7,"...")</f>
        <v>...</v>
      </c>
      <c r="B82" s="4" t="str">
        <f>IF($E$10="Y","---&gt;","...")</f>
        <v>...</v>
      </c>
      <c r="C82" s="1" t="str">
        <f>IF($E$10="Y",'Population Definitions'!$A$5,"...")</f>
        <v>...</v>
      </c>
      <c r="E82" s="2"/>
      <c r="F82" s="3"/>
      <c r="G82" s="2"/>
      <c r="H82" s="4" t="str">
        <f>IF($E$10="Y","OR","...")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IF($F$10="Y",'Population Definitions'!$A$7,"...")</f>
        <v>...</v>
      </c>
      <c r="B83" s="4" t="str">
        <f>IF($F$10="Y","---&gt;","...")</f>
        <v>...</v>
      </c>
      <c r="C83" s="1" t="str">
        <f>IF($F$10="Y",'Population Definitions'!$A$6,"...")</f>
        <v>...</v>
      </c>
      <c r="E83" s="2"/>
      <c r="F83" s="3"/>
      <c r="G83" s="2"/>
      <c r="H83" s="4" t="str">
        <f>IF($F$10="Y","OR","...")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IF($G$10="Y",'Population Definitions'!$A$7,"...")</f>
        <v>...</v>
      </c>
      <c r="B84" s="4" t="str">
        <f>IF($G$10="Y","---&gt;","...")</f>
        <v>...</v>
      </c>
      <c r="C84" s="1" t="str">
        <f>IF($G$10="Y",'Population Definitions'!$A$7,"...")</f>
        <v>...</v>
      </c>
      <c r="E84" s="2"/>
      <c r="F84" s="3"/>
      <c r="G84" s="2"/>
      <c r="H84" s="4" t="str">
        <f>IF($G$10="Y","OR","...")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IF($H$10="Y",'Population Definitions'!$A$7,"...")</f>
        <v>...</v>
      </c>
      <c r="B85" s="4" t="str">
        <f>IF($H$10="Y","---&gt;","...")</f>
        <v>...</v>
      </c>
      <c r="C85" s="1" t="str">
        <f>IF($H$10="Y",'Population Definitions'!$A$8,"...")</f>
        <v>...</v>
      </c>
      <c r="E85" s="2"/>
      <c r="F85" s="3"/>
      <c r="G85" s="2"/>
      <c r="H85" s="4" t="str">
        <f>IF($H$10="Y","OR","...")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IF($I$10="Y",'Population Definitions'!$A$7,"...")</f>
        <v>10-17_females</v>
      </c>
      <c r="B86" s="4" t="str">
        <f>IF($I$10="Y","---&gt;","...")</f>
        <v>---&gt;</v>
      </c>
      <c r="C86" s="1" t="str">
        <f>IF($I$10="Y",'Population Definitions'!$A$9,"...")</f>
        <v>18-64_females</v>
      </c>
      <c r="E86" s="3" t="s">
        <v>401</v>
      </c>
      <c r="F86" s="3"/>
      <c r="G86" s="3"/>
      <c r="H86" s="4" t="str">
        <f>IF($I$10="Y","OR","...")</f>
        <v>OR</v>
      </c>
      <c r="I86" s="3">
        <v>1389.5</v>
      </c>
      <c r="J86" s="3">
        <v>1381.5</v>
      </c>
      <c r="K86" s="3">
        <v>1347.5</v>
      </c>
      <c r="L86" s="3">
        <v>1310.5</v>
      </c>
      <c r="M86" s="3">
        <v>1263</v>
      </c>
      <c r="N86" s="3">
        <v>1208</v>
      </c>
      <c r="O86" s="3">
        <v>1175</v>
      </c>
      <c r="P86" s="3">
        <v>1178.5</v>
      </c>
      <c r="Q86" s="3">
        <v>1187</v>
      </c>
      <c r="R86" s="3">
        <v>1198.5</v>
      </c>
      <c r="S86" s="3">
        <v>1245.5</v>
      </c>
      <c r="T86" s="3">
        <v>1265</v>
      </c>
      <c r="U86" s="3">
        <v>1246.5</v>
      </c>
      <c r="V86" s="3">
        <v>1242</v>
      </c>
      <c r="W86" s="3">
        <v>1224.5</v>
      </c>
      <c r="X86" s="3">
        <v>1249</v>
      </c>
      <c r="Y86" s="3">
        <v>1301</v>
      </c>
      <c r="Z86" s="3">
        <v>1272</v>
      </c>
      <c r="AA86" s="3">
        <v>1227</v>
      </c>
      <c r="AB86" s="3">
        <v>1173.5</v>
      </c>
      <c r="AC86" s="3">
        <v>1140</v>
      </c>
      <c r="AD86" s="3">
        <v>1174</v>
      </c>
      <c r="AE86" s="3">
        <v>1183.5</v>
      </c>
      <c r="AF86" s="3">
        <v>1195</v>
      </c>
      <c r="AG86" s="3">
        <v>1196</v>
      </c>
      <c r="AH86" s="3">
        <v>1154</v>
      </c>
      <c r="AI86" s="3">
        <v>1144</v>
      </c>
      <c r="AJ86" s="3">
        <v>1169</v>
      </c>
      <c r="AK86" s="3">
        <v>1174</v>
      </c>
      <c r="AL86" s="3">
        <v>1155</v>
      </c>
      <c r="AM86" s="3">
        <v>1139</v>
      </c>
      <c r="AN86" s="3">
        <v>1124</v>
      </c>
      <c r="AO86" s="3">
        <v>1114</v>
      </c>
      <c r="AP86" s="3">
        <v>1106</v>
      </c>
      <c r="AQ86" s="3">
        <v>1098</v>
      </c>
      <c r="AR86" s="3">
        <v>1091</v>
      </c>
      <c r="AS86" s="3">
        <v>1087</v>
      </c>
      <c r="AT86" s="3">
        <v>1083</v>
      </c>
      <c r="AU86" s="3">
        <v>1079</v>
      </c>
      <c r="AV86" s="3">
        <v>1078</v>
      </c>
      <c r="AW86" s="3">
        <v>1076</v>
      </c>
      <c r="AX86" s="3">
        <v>1070</v>
      </c>
      <c r="AY86" s="3">
        <v>1068</v>
      </c>
      <c r="AZ86" s="3">
        <v>1070</v>
      </c>
      <c r="BA86" s="3">
        <v>1070</v>
      </c>
      <c r="BB86" s="3">
        <v>1071</v>
      </c>
      <c r="BC86" s="3">
        <v>1072</v>
      </c>
      <c r="BD86" s="3">
        <v>1073</v>
      </c>
      <c r="BE86" s="3">
        <v>1072</v>
      </c>
      <c r="BF86" s="3">
        <v>1071</v>
      </c>
      <c r="BG86" s="3">
        <v>1067</v>
      </c>
    </row>
    <row r="87" spans="1:59">
      <c r="A87" s="1" t="str">
        <f>IF($J$10="Y",'Population Definitions'!$A$7,"...")</f>
        <v>...</v>
      </c>
      <c r="B87" s="4" t="str">
        <f>IF($J$10="Y","---&gt;","...")</f>
        <v>...</v>
      </c>
      <c r="C87" s="1" t="str">
        <f>IF($J$10="Y",'Population Definitions'!$A$10,"...")</f>
        <v>...</v>
      </c>
      <c r="E87" s="2"/>
      <c r="F87" s="3"/>
      <c r="G87" s="2"/>
      <c r="H87" s="4" t="str">
        <f>IF($J$10="Y","OR","...")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IF($K$10="Y",'Population Definitions'!$A$7,"...")</f>
        <v>...</v>
      </c>
      <c r="B88" s="4" t="str">
        <f>IF($K$10="Y","---&gt;","...")</f>
        <v>...</v>
      </c>
      <c r="C88" s="1" t="str">
        <f>IF($K$10="Y",'Population Definitions'!$A$11,"...")</f>
        <v>...</v>
      </c>
      <c r="E88" s="2"/>
      <c r="F88" s="3"/>
      <c r="G88" s="2"/>
      <c r="H88" s="4" t="str">
        <f>IF($K$10="Y","OR","...")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IF($L$10="Y",'Population Definitions'!$A$7,"...")</f>
        <v>...</v>
      </c>
      <c r="B89" s="4" t="str">
        <f>IF($L$10="Y","---&gt;","...")</f>
        <v>...</v>
      </c>
      <c r="C89" s="1" t="str">
        <f>IF($L$10="Y",'Population Definitions'!$A$12,"...")</f>
        <v>...</v>
      </c>
      <c r="E89" s="2"/>
      <c r="F89" s="3"/>
      <c r="G89" s="2"/>
      <c r="H89" s="4" t="str">
        <f>IF($L$10="Y","OR","...")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IF($M$10="Y",'Population Definitions'!$A$7,"...")</f>
        <v>...</v>
      </c>
      <c r="B90" s="4" t="str">
        <f>IF($M$10="Y","---&gt;","...")</f>
        <v>...</v>
      </c>
      <c r="C90" s="1" t="str">
        <f>IF($M$10="Y",'Population Definitions'!$A$13,"...")</f>
        <v>...</v>
      </c>
      <c r="E90" s="2"/>
      <c r="F90" s="3"/>
      <c r="G90" s="2"/>
      <c r="H90" s="4" t="str">
        <f>IF($M$10="Y","OR","...")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IF($B$11="Y",'Population Definitions'!$A$8,"...")</f>
        <v>...</v>
      </c>
      <c r="B91" s="4" t="str">
        <f>IF($B$11="Y","---&gt;","...")</f>
        <v>...</v>
      </c>
      <c r="C91" s="1" t="str">
        <f>IF($B$11="Y",'Population Definitions'!$A$2,"...")</f>
        <v>...</v>
      </c>
      <c r="E91" s="2"/>
      <c r="F91" s="3"/>
      <c r="G91" s="2"/>
      <c r="H91" s="4" t="str">
        <f>IF($B$11="Y","OR","...")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IF($C$11="Y",'Population Definitions'!$A$8,"...")</f>
        <v>...</v>
      </c>
      <c r="B92" s="4" t="str">
        <f>IF($C$11="Y","---&gt;","...")</f>
        <v>...</v>
      </c>
      <c r="C92" s="1" t="str">
        <f>IF($C$11="Y",'Population Definitions'!$A$3,"...")</f>
        <v>...</v>
      </c>
      <c r="E92" s="2"/>
      <c r="F92" s="3"/>
      <c r="G92" s="2"/>
      <c r="H92" s="4" t="str">
        <f>IF($C$11="Y","OR","...")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IF($D$11="Y",'Population Definitions'!$A$8,"...")</f>
        <v>...</v>
      </c>
      <c r="B93" s="4" t="str">
        <f>IF($D$11="Y","---&gt;","...")</f>
        <v>...</v>
      </c>
      <c r="C93" s="1" t="str">
        <f>IF($D$11="Y",'Population Definitions'!$A$4,"...")</f>
        <v>...</v>
      </c>
      <c r="E93" s="2"/>
      <c r="F93" s="3"/>
      <c r="G93" s="2"/>
      <c r="H93" s="4" t="str">
        <f>IF($D$11="Y","OR","...")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IF($E$11="Y",'Population Definitions'!$A$8,"...")</f>
        <v>...</v>
      </c>
      <c r="B94" s="4" t="str">
        <f>IF($E$11="Y","---&gt;","...")</f>
        <v>...</v>
      </c>
      <c r="C94" s="1" t="str">
        <f>IF($E$11="Y",'Population Definitions'!$A$5,"...")</f>
        <v>...</v>
      </c>
      <c r="E94" s="2"/>
      <c r="F94" s="3"/>
      <c r="G94" s="2"/>
      <c r="H94" s="4" t="str">
        <f>IF($E$11="Y","OR","...")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IF($F$11="Y",'Population Definitions'!$A$8,"...")</f>
        <v>...</v>
      </c>
      <c r="B95" s="4" t="str">
        <f>IF($F$11="Y","---&gt;","...")</f>
        <v>...</v>
      </c>
      <c r="C95" s="1" t="str">
        <f>IF($F$11="Y",'Population Definitions'!$A$6,"...")</f>
        <v>...</v>
      </c>
      <c r="E95" s="2"/>
      <c r="F95" s="3"/>
      <c r="G95" s="2"/>
      <c r="H95" s="4" t="str">
        <f>IF($F$11="Y","OR","...")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IF($G$11="Y",'Population Definitions'!$A$8,"...")</f>
        <v>...</v>
      </c>
      <c r="B96" s="4" t="str">
        <f>IF($G$11="Y","---&gt;","...")</f>
        <v>...</v>
      </c>
      <c r="C96" s="1" t="str">
        <f>IF($G$11="Y",'Population Definitions'!$A$7,"...")</f>
        <v>...</v>
      </c>
      <c r="E96" s="2"/>
      <c r="F96" s="3"/>
      <c r="G96" s="2"/>
      <c r="H96" s="4" t="str">
        <f>IF($G$11="Y","OR","...")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IF($H$11="Y",'Population Definitions'!$A$8,"...")</f>
        <v>...</v>
      </c>
      <c r="B97" s="4" t="str">
        <f>IF($H$11="Y","---&gt;","...")</f>
        <v>...</v>
      </c>
      <c r="C97" s="1" t="str">
        <f>IF($H$11="Y",'Population Definitions'!$A$8,"...")</f>
        <v>...</v>
      </c>
      <c r="E97" s="2"/>
      <c r="F97" s="3"/>
      <c r="G97" s="2"/>
      <c r="H97" s="4" t="str">
        <f>IF($H$11="Y","OR","...")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IF($I$11="Y",'Population Definitions'!$A$8,"...")</f>
        <v>...</v>
      </c>
      <c r="B98" s="4" t="str">
        <f>IF($I$11="Y","---&gt;","...")</f>
        <v>...</v>
      </c>
      <c r="C98" s="1" t="str">
        <f>IF($I$11="Y",'Population Definitions'!$A$9,"...")</f>
        <v>...</v>
      </c>
      <c r="E98" s="2"/>
      <c r="F98" s="3"/>
      <c r="G98" s="2"/>
      <c r="H98" s="4" t="str">
        <f>IF($I$11="Y","OR","...")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IF($J$11="Y",'Population Definitions'!$A$8,"...")</f>
        <v>18-64_males</v>
      </c>
      <c r="B99" s="4" t="str">
        <f>IF($J$11="Y","---&gt;","...")</f>
        <v>---&gt;</v>
      </c>
      <c r="C99" s="1" t="str">
        <f>IF($J$11="Y",'Population Definitions'!$A$10,"...")</f>
        <v>65+_males</v>
      </c>
      <c r="E99" s="3" t="s">
        <v>401</v>
      </c>
      <c r="F99" s="3"/>
      <c r="G99" s="3"/>
      <c r="H99" s="4" t="str">
        <f>IF($J$11="Y","OR","...")</f>
        <v>OR</v>
      </c>
      <c r="I99" s="3">
        <v>207</v>
      </c>
      <c r="J99" s="3">
        <v>221.5</v>
      </c>
      <c r="K99" s="3">
        <v>222.5</v>
      </c>
      <c r="L99" s="3">
        <v>210.5</v>
      </c>
      <c r="M99" s="3">
        <v>188.5</v>
      </c>
      <c r="N99" s="3">
        <v>162</v>
      </c>
      <c r="O99" s="3">
        <v>144.5</v>
      </c>
      <c r="P99" s="3">
        <v>142</v>
      </c>
      <c r="Q99" s="3">
        <v>147.5</v>
      </c>
      <c r="R99" s="3">
        <v>156.5</v>
      </c>
      <c r="S99" s="3">
        <v>161.5</v>
      </c>
      <c r="T99" s="3">
        <v>172</v>
      </c>
      <c r="U99" s="3">
        <v>199</v>
      </c>
      <c r="V99" s="3">
        <v>233</v>
      </c>
      <c r="W99" s="3">
        <v>246</v>
      </c>
      <c r="X99" s="3">
        <v>259</v>
      </c>
      <c r="Y99" s="3">
        <v>271</v>
      </c>
      <c r="Z99" s="3">
        <v>269</v>
      </c>
      <c r="AA99" s="3">
        <v>281.5</v>
      </c>
      <c r="AB99" s="3">
        <v>310</v>
      </c>
      <c r="AC99" s="3">
        <v>333.5</v>
      </c>
      <c r="AD99" s="3">
        <v>328.5</v>
      </c>
      <c r="AE99" s="3">
        <v>308.5</v>
      </c>
      <c r="AF99" s="3">
        <v>300.5</v>
      </c>
      <c r="AG99" s="3">
        <v>314.5</v>
      </c>
      <c r="AH99" s="3">
        <v>335</v>
      </c>
      <c r="AI99" s="3">
        <v>322</v>
      </c>
      <c r="AJ99" s="3">
        <v>306</v>
      </c>
      <c r="AK99" s="3">
        <v>314</v>
      </c>
      <c r="AL99" s="3">
        <v>327</v>
      </c>
      <c r="AM99" s="3">
        <v>332</v>
      </c>
      <c r="AN99" s="3">
        <v>314</v>
      </c>
      <c r="AO99" s="3">
        <v>290</v>
      </c>
      <c r="AP99" s="3">
        <v>282</v>
      </c>
      <c r="AQ99" s="3">
        <v>298</v>
      </c>
      <c r="AR99" s="3">
        <v>308</v>
      </c>
      <c r="AS99" s="3">
        <v>291</v>
      </c>
      <c r="AT99" s="3">
        <v>284</v>
      </c>
      <c r="AU99" s="3">
        <v>289</v>
      </c>
      <c r="AV99" s="3">
        <v>290</v>
      </c>
      <c r="AW99" s="3">
        <v>300</v>
      </c>
      <c r="AX99" s="3">
        <v>317</v>
      </c>
      <c r="AY99" s="3">
        <v>326</v>
      </c>
      <c r="AZ99" s="3">
        <v>308</v>
      </c>
      <c r="BA99" s="3">
        <v>297</v>
      </c>
      <c r="BB99" s="3">
        <v>309</v>
      </c>
      <c r="BC99" s="3">
        <v>308</v>
      </c>
      <c r="BD99" s="3">
        <v>298</v>
      </c>
      <c r="BE99" s="3">
        <v>322</v>
      </c>
      <c r="BF99" s="3">
        <v>348</v>
      </c>
      <c r="BG99" s="3">
        <v>362</v>
      </c>
    </row>
    <row r="100" spans="1:59">
      <c r="A100" s="1" t="str">
        <f>IF($K$11="Y",'Population Definitions'!$A$8,"...")</f>
        <v>...</v>
      </c>
      <c r="B100" s="4" t="str">
        <f>IF($K$11="Y","---&gt;","...")</f>
        <v>...</v>
      </c>
      <c r="C100" s="1" t="str">
        <f>IF($K$11="Y",'Population Definitions'!$A$11,"...")</f>
        <v>...</v>
      </c>
      <c r="E100" s="2"/>
      <c r="F100" s="3"/>
      <c r="G100" s="2"/>
      <c r="H100" s="4" t="str">
        <f>IF($K$11="Y","OR","...")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IF($L$11="Y",'Population Definitions'!$A$8,"...")</f>
        <v>...</v>
      </c>
      <c r="B101" s="4" t="str">
        <f>IF($L$11="Y","---&gt;","...")</f>
        <v>...</v>
      </c>
      <c r="C101" s="1" t="str">
        <f>IF($L$11="Y",'Population Definitions'!$A$12,"...")</f>
        <v>...</v>
      </c>
      <c r="E101" s="2"/>
      <c r="F101" s="3"/>
      <c r="G101" s="2"/>
      <c r="H101" s="4" t="str">
        <f>IF($L$11="Y","OR","...")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IF($M$11="Y",'Population Definitions'!$A$8,"...")</f>
        <v>...</v>
      </c>
      <c r="B102" s="4" t="str">
        <f>IF($M$11="Y","---&gt;","...")</f>
        <v>...</v>
      </c>
      <c r="C102" s="1" t="str">
        <f>IF($M$11="Y",'Population Definitions'!$A$13,"...")</f>
        <v>...</v>
      </c>
      <c r="E102" s="2"/>
      <c r="F102" s="3"/>
      <c r="G102" s="2"/>
      <c r="H102" s="4" t="str">
        <f>IF($M$11="Y","OR","...")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IF($B$12="Y",'Population Definitions'!$A$9,"...")</f>
        <v>...</v>
      </c>
      <c r="B103" s="4" t="str">
        <f>IF($B$12="Y","---&gt;","...")</f>
        <v>...</v>
      </c>
      <c r="C103" s="1" t="str">
        <f>IF($B$12="Y",'Population Definitions'!$A$2,"...")</f>
        <v>...</v>
      </c>
      <c r="E103" s="2"/>
      <c r="F103" s="3"/>
      <c r="G103" s="2"/>
      <c r="H103" s="4" t="str">
        <f>IF($B$12="Y","OR","...")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IF($C$12="Y",'Population Definitions'!$A$9,"...")</f>
        <v>...</v>
      </c>
      <c r="B104" s="4" t="str">
        <f>IF($C$12="Y","---&gt;","...")</f>
        <v>...</v>
      </c>
      <c r="C104" s="1" t="str">
        <f>IF($C$12="Y",'Population Definitions'!$A$3,"...")</f>
        <v>...</v>
      </c>
      <c r="E104" s="2"/>
      <c r="F104" s="3"/>
      <c r="G104" s="2"/>
      <c r="H104" s="4" t="str">
        <f>IF($C$12="Y","OR","...")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IF($D$12="Y",'Population Definitions'!$A$9,"...")</f>
        <v>...</v>
      </c>
      <c r="B105" s="4" t="str">
        <f>IF($D$12="Y","---&gt;","...")</f>
        <v>...</v>
      </c>
      <c r="C105" s="1" t="str">
        <f>IF($D$12="Y",'Population Definitions'!$A$4,"...")</f>
        <v>...</v>
      </c>
      <c r="E105" s="2"/>
      <c r="F105" s="3"/>
      <c r="G105" s="2"/>
      <c r="H105" s="4" t="str">
        <f>IF($D$12="Y","OR","...")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IF($E$12="Y",'Population Definitions'!$A$9,"...")</f>
        <v>...</v>
      </c>
      <c r="B106" s="4" t="str">
        <f>IF($E$12="Y","---&gt;","...")</f>
        <v>...</v>
      </c>
      <c r="C106" s="1" t="str">
        <f>IF($E$12="Y",'Population Definitions'!$A$5,"...")</f>
        <v>...</v>
      </c>
      <c r="E106" s="2"/>
      <c r="F106" s="3"/>
      <c r="G106" s="2"/>
      <c r="H106" s="4" t="str">
        <f>IF($E$12="Y","OR","...")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IF($F$12="Y",'Population Definitions'!$A$9,"...")</f>
        <v>...</v>
      </c>
      <c r="B107" s="4" t="str">
        <f>IF($F$12="Y","---&gt;","...")</f>
        <v>...</v>
      </c>
      <c r="C107" s="1" t="str">
        <f>IF($F$12="Y",'Population Definitions'!$A$6,"...")</f>
        <v>...</v>
      </c>
      <c r="E107" s="2"/>
      <c r="F107" s="3"/>
      <c r="G107" s="2"/>
      <c r="H107" s="4" t="str">
        <f>IF($F$12="Y","OR","...")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IF($G$12="Y",'Population Definitions'!$A$9,"...")</f>
        <v>...</v>
      </c>
      <c r="B108" s="4" t="str">
        <f>IF($G$12="Y","---&gt;","...")</f>
        <v>...</v>
      </c>
      <c r="C108" s="1" t="str">
        <f>IF($G$12="Y",'Population Definitions'!$A$7,"...")</f>
        <v>...</v>
      </c>
      <c r="E108" s="2"/>
      <c r="F108" s="3"/>
      <c r="G108" s="2"/>
      <c r="H108" s="4" t="str">
        <f>IF($G$12="Y","OR","...")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IF($H$12="Y",'Population Definitions'!$A$9,"...")</f>
        <v>...</v>
      </c>
      <c r="B109" s="4" t="str">
        <f>IF($H$12="Y","---&gt;","...")</f>
        <v>...</v>
      </c>
      <c r="C109" s="1" t="str">
        <f>IF($H$12="Y",'Population Definitions'!$A$8,"...")</f>
        <v>...</v>
      </c>
      <c r="E109" s="2"/>
      <c r="F109" s="3"/>
      <c r="G109" s="2"/>
      <c r="H109" s="4" t="str">
        <f>IF($H$12="Y","OR","...")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IF($I$12="Y",'Population Definitions'!$A$9,"...")</f>
        <v>...</v>
      </c>
      <c r="B110" s="4" t="str">
        <f>IF($I$12="Y","---&gt;","...")</f>
        <v>...</v>
      </c>
      <c r="C110" s="1" t="str">
        <f>IF($I$12="Y",'Population Definitions'!$A$9,"...")</f>
        <v>...</v>
      </c>
      <c r="E110" s="2"/>
      <c r="F110" s="3"/>
      <c r="G110" s="2"/>
      <c r="H110" s="4" t="str">
        <f>IF($I$12="Y","OR","...")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IF($J$12="Y",'Population Definitions'!$A$9,"...")</f>
        <v>...</v>
      </c>
      <c r="B111" s="4" t="str">
        <f>IF($J$12="Y","---&gt;","...")</f>
        <v>...</v>
      </c>
      <c r="C111" s="1" t="str">
        <f>IF($J$12="Y",'Population Definitions'!$A$10,"...")</f>
        <v>...</v>
      </c>
      <c r="E111" s="2"/>
      <c r="F111" s="3"/>
      <c r="G111" s="2"/>
      <c r="H111" s="4" t="str">
        <f>IF($J$12="Y","OR","...")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IF($K$12="Y",'Population Definitions'!$A$9,"...")</f>
        <v>18-64_females</v>
      </c>
      <c r="B112" s="4" t="str">
        <f>IF($K$12="Y","---&gt;","...")</f>
        <v>---&gt;</v>
      </c>
      <c r="C112" s="1" t="str">
        <f>IF($K$12="Y",'Population Definitions'!$A$11,"...")</f>
        <v>65+_females</v>
      </c>
      <c r="E112" s="3" t="s">
        <v>401</v>
      </c>
      <c r="F112" s="3"/>
      <c r="G112" s="3"/>
      <c r="H112" s="4" t="str">
        <f>IF($K$12="Y","OR","...")</f>
        <v>OR</v>
      </c>
      <c r="I112" s="3">
        <v>221</v>
      </c>
      <c r="J112" s="3">
        <v>235.5</v>
      </c>
      <c r="K112" s="3">
        <v>237.5</v>
      </c>
      <c r="L112" s="3">
        <v>229</v>
      </c>
      <c r="M112" s="3">
        <v>212.5</v>
      </c>
      <c r="N112" s="3">
        <v>192</v>
      </c>
      <c r="O112" s="3">
        <v>179.5</v>
      </c>
      <c r="P112" s="3">
        <v>181</v>
      </c>
      <c r="Q112" s="3">
        <v>189</v>
      </c>
      <c r="R112" s="3">
        <v>194.5</v>
      </c>
      <c r="S112" s="3">
        <v>180.5</v>
      </c>
      <c r="T112" s="3">
        <v>183.5</v>
      </c>
      <c r="U112" s="3">
        <v>207.5</v>
      </c>
      <c r="V112" s="3">
        <v>225</v>
      </c>
      <c r="W112" s="3">
        <v>255</v>
      </c>
      <c r="X112" s="3">
        <v>276.5</v>
      </c>
      <c r="Y112" s="3">
        <v>279</v>
      </c>
      <c r="Z112" s="3">
        <v>291.5</v>
      </c>
      <c r="AA112" s="3">
        <v>315.5</v>
      </c>
      <c r="AB112" s="3">
        <v>337.5</v>
      </c>
      <c r="AC112" s="3">
        <v>364.5</v>
      </c>
      <c r="AD112" s="3">
        <v>382</v>
      </c>
      <c r="AE112" s="3">
        <v>378.5</v>
      </c>
      <c r="AF112" s="3">
        <v>374</v>
      </c>
      <c r="AG112" s="3">
        <v>392.5</v>
      </c>
      <c r="AH112" s="3">
        <v>418</v>
      </c>
      <c r="AI112" s="3">
        <v>396</v>
      </c>
      <c r="AJ112" s="3">
        <v>386</v>
      </c>
      <c r="AK112" s="3">
        <v>404</v>
      </c>
      <c r="AL112" s="3">
        <v>395</v>
      </c>
      <c r="AM112" s="3">
        <v>403</v>
      </c>
      <c r="AN112" s="3">
        <v>410</v>
      </c>
      <c r="AO112" s="3">
        <v>404</v>
      </c>
      <c r="AP112" s="3">
        <v>412</v>
      </c>
      <c r="AQ112" s="3">
        <v>423</v>
      </c>
      <c r="AR112" s="3">
        <v>418</v>
      </c>
      <c r="AS112" s="3">
        <v>384</v>
      </c>
      <c r="AT112" s="3">
        <v>380</v>
      </c>
      <c r="AU112" s="3">
        <v>414</v>
      </c>
      <c r="AV112" s="3">
        <v>426</v>
      </c>
      <c r="AW112" s="3">
        <v>418</v>
      </c>
      <c r="AX112" s="3">
        <v>387</v>
      </c>
      <c r="AY112" s="3">
        <v>360</v>
      </c>
      <c r="AZ112" s="3">
        <v>360</v>
      </c>
      <c r="BA112" s="3">
        <v>388</v>
      </c>
      <c r="BB112" s="3">
        <v>411</v>
      </c>
      <c r="BC112" s="3">
        <v>418</v>
      </c>
      <c r="BD112" s="3">
        <v>422</v>
      </c>
      <c r="BE112" s="3">
        <v>425</v>
      </c>
      <c r="BF112" s="3">
        <v>423</v>
      </c>
      <c r="BG112" s="3">
        <v>416</v>
      </c>
    </row>
    <row r="113" spans="1:59">
      <c r="A113" s="1" t="str">
        <f>IF($L$12="Y",'Population Definitions'!$A$9,"...")</f>
        <v>...</v>
      </c>
      <c r="B113" s="4" t="str">
        <f>IF($L$12="Y","---&gt;","...")</f>
        <v>...</v>
      </c>
      <c r="C113" s="1" t="str">
        <f>IF($L$12="Y",'Population Definitions'!$A$12,"...")</f>
        <v>...</v>
      </c>
      <c r="E113" s="2"/>
      <c r="F113" s="3"/>
      <c r="G113" s="2"/>
      <c r="H113" s="4" t="str">
        <f>IF($L$12="Y","OR","...")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IF($M$12="Y",'Population Definitions'!$A$9,"...")</f>
        <v>...</v>
      </c>
      <c r="B114" s="4" t="str">
        <f>IF($M$12="Y","---&gt;","...")</f>
        <v>...</v>
      </c>
      <c r="C114" s="1" t="str">
        <f>IF($M$12="Y",'Population Definitions'!$A$13,"...")</f>
        <v>...</v>
      </c>
      <c r="E114" s="2"/>
      <c r="F114" s="3"/>
      <c r="G114" s="2"/>
      <c r="H114" s="4" t="str">
        <f>IF($M$12="Y","OR","...")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IF($B$13="Y",'Population Definitions'!$A$10,"...")</f>
        <v>...</v>
      </c>
      <c r="B115" s="4" t="str">
        <f>IF($B$13="Y","---&gt;","...")</f>
        <v>...</v>
      </c>
      <c r="C115" s="1" t="str">
        <f>IF($B$13="Y",'Population Definitions'!$A$2,"...")</f>
        <v>...</v>
      </c>
      <c r="E115" s="2"/>
      <c r="F115" s="3"/>
      <c r="G115" s="2"/>
      <c r="H115" s="4" t="str">
        <f>IF($B$13="Y","OR","...")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IF($C$13="Y",'Population Definitions'!$A$10,"...")</f>
        <v>...</v>
      </c>
      <c r="B116" s="4" t="str">
        <f>IF($C$13="Y","---&gt;","...")</f>
        <v>...</v>
      </c>
      <c r="C116" s="1" t="str">
        <f>IF($C$13="Y",'Population Definitions'!$A$3,"...")</f>
        <v>...</v>
      </c>
      <c r="E116" s="2"/>
      <c r="F116" s="3"/>
      <c r="G116" s="2"/>
      <c r="H116" s="4" t="str">
        <f>IF($C$13="Y","OR","...")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IF($D$13="Y",'Population Definitions'!$A$10,"...")</f>
        <v>...</v>
      </c>
      <c r="B117" s="4" t="str">
        <f>IF($D$13="Y","---&gt;","...")</f>
        <v>...</v>
      </c>
      <c r="C117" s="1" t="str">
        <f>IF($D$13="Y",'Population Definitions'!$A$4,"...")</f>
        <v>...</v>
      </c>
      <c r="E117" s="2"/>
      <c r="F117" s="3"/>
      <c r="G117" s="2"/>
      <c r="H117" s="4" t="str">
        <f>IF($D$13="Y","OR","...")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IF($E$13="Y",'Population Definitions'!$A$10,"...")</f>
        <v>...</v>
      </c>
      <c r="B118" s="4" t="str">
        <f>IF($E$13="Y","---&gt;","...")</f>
        <v>...</v>
      </c>
      <c r="C118" s="1" t="str">
        <f>IF($E$13="Y",'Population Definitions'!$A$5,"...")</f>
        <v>...</v>
      </c>
      <c r="E118" s="2"/>
      <c r="F118" s="3"/>
      <c r="G118" s="2"/>
      <c r="H118" s="4" t="str">
        <f>IF($E$13="Y","OR","...")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IF($F$13="Y",'Population Definitions'!$A$10,"...")</f>
        <v>...</v>
      </c>
      <c r="B119" s="4" t="str">
        <f>IF($F$13="Y","---&gt;","...")</f>
        <v>...</v>
      </c>
      <c r="C119" s="1" t="str">
        <f>IF($F$13="Y",'Population Definitions'!$A$6,"...")</f>
        <v>...</v>
      </c>
      <c r="E119" s="2"/>
      <c r="F119" s="3"/>
      <c r="G119" s="2"/>
      <c r="H119" s="4" t="str">
        <f>IF($F$13="Y","OR","...")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IF($G$13="Y",'Population Definitions'!$A$10,"...")</f>
        <v>...</v>
      </c>
      <c r="B120" s="4" t="str">
        <f>IF($G$13="Y","---&gt;","...")</f>
        <v>...</v>
      </c>
      <c r="C120" s="1" t="str">
        <f>IF($G$13="Y",'Population Definitions'!$A$7,"...")</f>
        <v>...</v>
      </c>
      <c r="E120" s="2"/>
      <c r="F120" s="3"/>
      <c r="G120" s="2"/>
      <c r="H120" s="4" t="str">
        <f>IF($G$13="Y","OR","...")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IF($H$13="Y",'Population Definitions'!$A$10,"...")</f>
        <v>...</v>
      </c>
      <c r="B121" s="4" t="str">
        <f>IF($H$13="Y","---&gt;","...")</f>
        <v>...</v>
      </c>
      <c r="C121" s="1" t="str">
        <f>IF($H$13="Y",'Population Definitions'!$A$8,"...")</f>
        <v>...</v>
      </c>
      <c r="E121" s="2"/>
      <c r="F121" s="3"/>
      <c r="G121" s="2"/>
      <c r="H121" s="4" t="str">
        <f>IF($H$13="Y","OR","...")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IF($I$13="Y",'Population Definitions'!$A$10,"...")</f>
        <v>...</v>
      </c>
      <c r="B122" s="4" t="str">
        <f>IF($I$13="Y","---&gt;","...")</f>
        <v>...</v>
      </c>
      <c r="C122" s="1" t="str">
        <f>IF($I$13="Y",'Population Definitions'!$A$9,"...")</f>
        <v>...</v>
      </c>
      <c r="E122" s="2"/>
      <c r="F122" s="3"/>
      <c r="G122" s="2"/>
      <c r="H122" s="4" t="str">
        <f>IF($I$13="Y","OR","...")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IF($J$13="Y",'Population Definitions'!$A$10,"...")</f>
        <v>...</v>
      </c>
      <c r="B123" s="4" t="str">
        <f>IF($J$13="Y","---&gt;","...")</f>
        <v>...</v>
      </c>
      <c r="C123" s="1" t="str">
        <f>IF($J$13="Y",'Population Definitions'!$A$10,"...")</f>
        <v>...</v>
      </c>
      <c r="E123" s="2"/>
      <c r="F123" s="3"/>
      <c r="G123" s="2"/>
      <c r="H123" s="4" t="str">
        <f>IF($J$13="Y","OR","...")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IF($K$13="Y",'Population Definitions'!$A$10,"...")</f>
        <v>...</v>
      </c>
      <c r="B124" s="4" t="str">
        <f>IF($K$13="Y","---&gt;","...")</f>
        <v>...</v>
      </c>
      <c r="C124" s="1" t="str">
        <f>IF($K$13="Y",'Population Definitions'!$A$11,"...")</f>
        <v>...</v>
      </c>
      <c r="E124" s="2"/>
      <c r="F124" s="3"/>
      <c r="G124" s="2"/>
      <c r="H124" s="4" t="str">
        <f>IF($K$13="Y","OR","...")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IF($L$13="Y",'Population Definitions'!$A$10,"...")</f>
        <v>...</v>
      </c>
      <c r="B125" s="4" t="str">
        <f>IF($L$13="Y","---&gt;","...")</f>
        <v>...</v>
      </c>
      <c r="C125" s="1" t="str">
        <f>IF($L$13="Y",'Population Definitions'!$A$12,"...")</f>
        <v>...</v>
      </c>
      <c r="E125" s="2"/>
      <c r="F125" s="3"/>
      <c r="G125" s="2"/>
      <c r="H125" s="4" t="str">
        <f>IF($L$13="Y","OR","...")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IF($M$13="Y",'Population Definitions'!$A$10,"...")</f>
        <v>...</v>
      </c>
      <c r="B126" s="4" t="str">
        <f>IF($M$13="Y","---&gt;","...")</f>
        <v>...</v>
      </c>
      <c r="C126" s="1" t="str">
        <f>IF($M$13="Y",'Population Definitions'!$A$13,"...")</f>
        <v>...</v>
      </c>
      <c r="E126" s="2"/>
      <c r="F126" s="3"/>
      <c r="G126" s="2"/>
      <c r="H126" s="4" t="str">
        <f>IF($M$13="Y","OR","...")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IF($B$14="Y",'Population Definitions'!$A$11,"...")</f>
        <v>...</v>
      </c>
      <c r="B127" s="4" t="str">
        <f>IF($B$14="Y","---&gt;","...")</f>
        <v>...</v>
      </c>
      <c r="C127" s="1" t="str">
        <f>IF($B$14="Y",'Population Definitions'!$A$2,"...")</f>
        <v>...</v>
      </c>
      <c r="E127" s="2"/>
      <c r="F127" s="3"/>
      <c r="G127" s="2"/>
      <c r="H127" s="4" t="str">
        <f>IF($B$14="Y","OR","...")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IF($C$14="Y",'Population Definitions'!$A$11,"...")</f>
        <v>...</v>
      </c>
      <c r="B128" s="4" t="str">
        <f>IF($C$14="Y","---&gt;","...")</f>
        <v>...</v>
      </c>
      <c r="C128" s="1" t="str">
        <f>IF($C$14="Y",'Population Definitions'!$A$3,"...")</f>
        <v>...</v>
      </c>
      <c r="E128" s="2"/>
      <c r="F128" s="3"/>
      <c r="G128" s="2"/>
      <c r="H128" s="4" t="str">
        <f>IF($C$14="Y","OR","...")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IF($D$14="Y",'Population Definitions'!$A$11,"...")</f>
        <v>...</v>
      </c>
      <c r="B129" s="4" t="str">
        <f>IF($D$14="Y","---&gt;","...")</f>
        <v>...</v>
      </c>
      <c r="C129" s="1" t="str">
        <f>IF($D$14="Y",'Population Definitions'!$A$4,"...")</f>
        <v>...</v>
      </c>
      <c r="E129" s="2"/>
      <c r="F129" s="3"/>
      <c r="G129" s="2"/>
      <c r="H129" s="4" t="str">
        <f>IF($D$14="Y","OR","...")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IF($E$14="Y",'Population Definitions'!$A$11,"...")</f>
        <v>...</v>
      </c>
      <c r="B130" s="4" t="str">
        <f>IF($E$14="Y","---&gt;","...")</f>
        <v>...</v>
      </c>
      <c r="C130" s="1" t="str">
        <f>IF($E$14="Y",'Population Definitions'!$A$5,"...")</f>
        <v>...</v>
      </c>
      <c r="E130" s="2"/>
      <c r="F130" s="3"/>
      <c r="G130" s="2"/>
      <c r="H130" s="4" t="str">
        <f>IF($E$14="Y","OR","...")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IF($F$14="Y",'Population Definitions'!$A$11,"...")</f>
        <v>...</v>
      </c>
      <c r="B131" s="4" t="str">
        <f>IF($F$14="Y","---&gt;","...")</f>
        <v>...</v>
      </c>
      <c r="C131" s="1" t="str">
        <f>IF($F$14="Y",'Population Definitions'!$A$6,"...")</f>
        <v>...</v>
      </c>
      <c r="E131" s="2"/>
      <c r="F131" s="3"/>
      <c r="G131" s="2"/>
      <c r="H131" s="4" t="str">
        <f>IF($F$14="Y","OR","...")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IF($G$14="Y",'Population Definitions'!$A$11,"...")</f>
        <v>...</v>
      </c>
      <c r="B132" s="4" t="str">
        <f>IF($G$14="Y","---&gt;","...")</f>
        <v>...</v>
      </c>
      <c r="C132" s="1" t="str">
        <f>IF($G$14="Y",'Population Definitions'!$A$7,"...")</f>
        <v>...</v>
      </c>
      <c r="E132" s="2"/>
      <c r="F132" s="3"/>
      <c r="G132" s="2"/>
      <c r="H132" s="4" t="str">
        <f>IF($G$14="Y","OR","...")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IF($H$14="Y",'Population Definitions'!$A$11,"...")</f>
        <v>...</v>
      </c>
      <c r="B133" s="4" t="str">
        <f>IF($H$14="Y","---&gt;","...")</f>
        <v>...</v>
      </c>
      <c r="C133" s="1" t="str">
        <f>IF($H$14="Y",'Population Definitions'!$A$8,"...")</f>
        <v>...</v>
      </c>
      <c r="E133" s="2"/>
      <c r="F133" s="3"/>
      <c r="G133" s="2"/>
      <c r="H133" s="4" t="str">
        <f>IF($H$14="Y","OR","...")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IF($I$14="Y",'Population Definitions'!$A$11,"...")</f>
        <v>...</v>
      </c>
      <c r="B134" s="4" t="str">
        <f>IF($I$14="Y","---&gt;","...")</f>
        <v>...</v>
      </c>
      <c r="C134" s="1" t="str">
        <f>IF($I$14="Y",'Population Definitions'!$A$9,"...")</f>
        <v>...</v>
      </c>
      <c r="E134" s="2"/>
      <c r="F134" s="3"/>
      <c r="G134" s="2"/>
      <c r="H134" s="4" t="str">
        <f>IF($I$14="Y","OR","...")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IF($J$14="Y",'Population Definitions'!$A$11,"...")</f>
        <v>...</v>
      </c>
      <c r="B135" s="4" t="str">
        <f>IF($J$14="Y","---&gt;","...")</f>
        <v>...</v>
      </c>
      <c r="C135" s="1" t="str">
        <f>IF($J$14="Y",'Population Definitions'!$A$10,"...")</f>
        <v>...</v>
      </c>
      <c r="E135" s="2"/>
      <c r="F135" s="3"/>
      <c r="G135" s="2"/>
      <c r="H135" s="4" t="str">
        <f>IF($J$14="Y","OR","...")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IF($K$14="Y",'Population Definitions'!$A$11,"...")</f>
        <v>...</v>
      </c>
      <c r="B136" s="4" t="str">
        <f>IF($K$14="Y","---&gt;","...")</f>
        <v>...</v>
      </c>
      <c r="C136" s="1" t="str">
        <f>IF($K$14="Y",'Population Definitions'!$A$11,"...")</f>
        <v>...</v>
      </c>
      <c r="E136" s="2"/>
      <c r="F136" s="3"/>
      <c r="G136" s="2"/>
      <c r="H136" s="4" t="str">
        <f>IF($K$14="Y","OR","...")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IF($L$14="Y",'Population Definitions'!$A$11,"...")</f>
        <v>...</v>
      </c>
      <c r="B137" s="4" t="str">
        <f>IF($L$14="Y","---&gt;","...")</f>
        <v>...</v>
      </c>
      <c r="C137" s="1" t="str">
        <f>IF($L$14="Y",'Population Definitions'!$A$12,"...")</f>
        <v>...</v>
      </c>
      <c r="E137" s="2"/>
      <c r="F137" s="3"/>
      <c r="G137" s="2"/>
      <c r="H137" s="4" t="str">
        <f>IF($L$14="Y","OR","...")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IF($M$14="Y",'Population Definitions'!$A$11,"...")</f>
        <v>...</v>
      </c>
      <c r="B138" s="4" t="str">
        <f>IF($M$14="Y","---&gt;","...")</f>
        <v>...</v>
      </c>
      <c r="C138" s="1" t="str">
        <f>IF($M$14="Y",'Population Definitions'!$A$13,"...")</f>
        <v>...</v>
      </c>
      <c r="E138" s="2"/>
      <c r="F138" s="3"/>
      <c r="G138" s="2"/>
      <c r="H138" s="4" t="str">
        <f>IF($M$14="Y","OR","...")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IF($B$15="Y",'Population Definitions'!$A$12,"...")</f>
        <v>...</v>
      </c>
      <c r="B139" s="4" t="str">
        <f>IF($B$15="Y","---&gt;","...")</f>
        <v>...</v>
      </c>
      <c r="C139" s="1" t="str">
        <f>IF($B$15="Y",'Population Definitions'!$A$2,"...")</f>
        <v>...</v>
      </c>
      <c r="E139" s="2"/>
      <c r="F139" s="3"/>
      <c r="G139" s="2"/>
      <c r="H139" s="4" t="str">
        <f>IF($B$15="Y","OR","...")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IF($C$15="Y",'Population Definitions'!$A$12,"...")</f>
        <v>...</v>
      </c>
      <c r="B140" s="4" t="str">
        <f>IF($C$15="Y","---&gt;","...")</f>
        <v>...</v>
      </c>
      <c r="C140" s="1" t="str">
        <f>IF($C$15="Y",'Population Definitions'!$A$3,"...")</f>
        <v>...</v>
      </c>
      <c r="E140" s="2"/>
      <c r="F140" s="3"/>
      <c r="G140" s="2"/>
      <c r="H140" s="4" t="str">
        <f>IF($C$15="Y","OR","...")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IF($D$15="Y",'Population Definitions'!$A$12,"...")</f>
        <v>...</v>
      </c>
      <c r="B141" s="4" t="str">
        <f>IF($D$15="Y","---&gt;","...")</f>
        <v>...</v>
      </c>
      <c r="C141" s="1" t="str">
        <f>IF($D$15="Y",'Population Definitions'!$A$4,"...")</f>
        <v>...</v>
      </c>
      <c r="E141" s="2"/>
      <c r="F141" s="3"/>
      <c r="G141" s="2"/>
      <c r="H141" s="4" t="str">
        <f>IF($D$15="Y","OR","...")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IF($E$15="Y",'Population Definitions'!$A$12,"...")</f>
        <v>...</v>
      </c>
      <c r="B142" s="4" t="str">
        <f>IF($E$15="Y","---&gt;","...")</f>
        <v>...</v>
      </c>
      <c r="C142" s="1" t="str">
        <f>IF($E$15="Y",'Population Definitions'!$A$5,"...")</f>
        <v>...</v>
      </c>
      <c r="E142" s="2"/>
      <c r="F142" s="3"/>
      <c r="G142" s="2"/>
      <c r="H142" s="4" t="str">
        <f>IF($E$15="Y","OR","...")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IF($F$15="Y",'Population Definitions'!$A$12,"...")</f>
        <v>...</v>
      </c>
      <c r="B143" s="4" t="str">
        <f>IF($F$15="Y","---&gt;","...")</f>
        <v>...</v>
      </c>
      <c r="C143" s="1" t="str">
        <f>IF($F$15="Y",'Population Definitions'!$A$6,"...")</f>
        <v>...</v>
      </c>
      <c r="E143" s="2"/>
      <c r="F143" s="3"/>
      <c r="G143" s="2"/>
      <c r="H143" s="4" t="str">
        <f>IF($F$15="Y","OR","...")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IF($G$15="Y",'Population Definitions'!$A$12,"...")</f>
        <v>...</v>
      </c>
      <c r="B144" s="4" t="str">
        <f>IF($G$15="Y","---&gt;","...")</f>
        <v>...</v>
      </c>
      <c r="C144" s="1" t="str">
        <f>IF($G$15="Y",'Population Definitions'!$A$7,"...")</f>
        <v>...</v>
      </c>
      <c r="E144" s="2"/>
      <c r="F144" s="3"/>
      <c r="G144" s="2"/>
      <c r="H144" s="4" t="str">
        <f>IF($G$15="Y","OR","...")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IF($H$15="Y",'Population Definitions'!$A$12,"...")</f>
        <v>...</v>
      </c>
      <c r="B145" s="4" t="str">
        <f>IF($H$15="Y","---&gt;","...")</f>
        <v>...</v>
      </c>
      <c r="C145" s="1" t="str">
        <f>IF($H$15="Y",'Population Definitions'!$A$8,"...")</f>
        <v>...</v>
      </c>
      <c r="E145" s="2"/>
      <c r="F145" s="3"/>
      <c r="G145" s="2"/>
      <c r="H145" s="4" t="str">
        <f>IF($H$15="Y","OR","...")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IF($I$15="Y",'Population Definitions'!$A$12,"...")</f>
        <v>...</v>
      </c>
      <c r="B146" s="4" t="str">
        <f>IF($I$15="Y","---&gt;","...")</f>
        <v>...</v>
      </c>
      <c r="C146" s="1" t="str">
        <f>IF($I$15="Y",'Population Definitions'!$A$9,"...")</f>
        <v>...</v>
      </c>
      <c r="E146" s="2"/>
      <c r="F146" s="3"/>
      <c r="G146" s="2"/>
      <c r="H146" s="4" t="str">
        <f>IF($I$15="Y","OR","...")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IF($J$15="Y",'Population Definitions'!$A$12,"...")</f>
        <v>...</v>
      </c>
      <c r="B147" s="4" t="str">
        <f>IF($J$15="Y","---&gt;","...")</f>
        <v>...</v>
      </c>
      <c r="C147" s="1" t="str">
        <f>IF($J$15="Y",'Population Definitions'!$A$10,"...")</f>
        <v>...</v>
      </c>
      <c r="E147" s="2"/>
      <c r="F147" s="3"/>
      <c r="G147" s="2"/>
      <c r="H147" s="4" t="str">
        <f>IF($J$15="Y","OR","...")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IF($K$15="Y",'Population Definitions'!$A$12,"...")</f>
        <v>...</v>
      </c>
      <c r="B148" s="4" t="str">
        <f>IF($K$15="Y","---&gt;","...")</f>
        <v>...</v>
      </c>
      <c r="C148" s="1" t="str">
        <f>IF($K$15="Y",'Population Definitions'!$A$11,"...")</f>
        <v>...</v>
      </c>
      <c r="E148" s="2"/>
      <c r="F148" s="3"/>
      <c r="G148" s="2"/>
      <c r="H148" s="4" t="str">
        <f>IF($K$15="Y","OR","...")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IF($L$15="Y",'Population Definitions'!$A$12,"...")</f>
        <v>...</v>
      </c>
      <c r="B149" s="4" t="str">
        <f>IF($L$15="Y","---&gt;","...")</f>
        <v>...</v>
      </c>
      <c r="C149" s="1" t="str">
        <f>IF($L$15="Y",'Population Definitions'!$A$12,"...")</f>
        <v>...</v>
      </c>
      <c r="E149" s="2"/>
      <c r="F149" s="3"/>
      <c r="G149" s="2"/>
      <c r="H149" s="4" t="str">
        <f>IF($L$15="Y","OR","...")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IF($M$15="Y",'Population Definitions'!$A$12,"...")</f>
        <v>...</v>
      </c>
      <c r="B150" s="4" t="str">
        <f>IF($M$15="Y","---&gt;","...")</f>
        <v>...</v>
      </c>
      <c r="C150" s="1" t="str">
        <f>IF($M$15="Y",'Population Definitions'!$A$13,"...")</f>
        <v>...</v>
      </c>
      <c r="E150" s="2"/>
      <c r="F150" s="3"/>
      <c r="G150" s="2"/>
      <c r="H150" s="4" t="str">
        <f>IF($M$15="Y","OR","...")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IF($B$16="Y",'Population Definitions'!$A$13,"...")</f>
        <v>...</v>
      </c>
      <c r="B151" s="4" t="str">
        <f>IF($B$16="Y","---&gt;","...")</f>
        <v>...</v>
      </c>
      <c r="C151" s="1" t="str">
        <f>IF($B$16="Y",'Population Definitions'!$A$2,"...")</f>
        <v>...</v>
      </c>
      <c r="E151" s="2"/>
      <c r="F151" s="3"/>
      <c r="G151" s="2"/>
      <c r="H151" s="4" t="str">
        <f>IF($B$16="Y","OR","...")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IF($C$16="Y",'Population Definitions'!$A$13,"...")</f>
        <v>...</v>
      </c>
      <c r="B152" s="4" t="str">
        <f>IF($C$16="Y","---&gt;","...")</f>
        <v>...</v>
      </c>
      <c r="C152" s="1" t="str">
        <f>IF($C$16="Y",'Population Definitions'!$A$3,"...")</f>
        <v>...</v>
      </c>
      <c r="E152" s="2"/>
      <c r="F152" s="3"/>
      <c r="G152" s="2"/>
      <c r="H152" s="4" t="str">
        <f>IF($C$16="Y","OR","...")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IF($D$16="Y",'Population Definitions'!$A$13,"...")</f>
        <v>...</v>
      </c>
      <c r="B153" s="4" t="str">
        <f>IF($D$16="Y","---&gt;","...")</f>
        <v>...</v>
      </c>
      <c r="C153" s="1" t="str">
        <f>IF($D$16="Y",'Population Definitions'!$A$4,"...")</f>
        <v>...</v>
      </c>
      <c r="E153" s="2"/>
      <c r="F153" s="3"/>
      <c r="G153" s="2"/>
      <c r="H153" s="4" t="str">
        <f>IF($D$16="Y","OR","...")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IF($E$16="Y",'Population Definitions'!$A$13,"...")</f>
        <v>...</v>
      </c>
      <c r="B154" s="4" t="str">
        <f>IF($E$16="Y","---&gt;","...")</f>
        <v>...</v>
      </c>
      <c r="C154" s="1" t="str">
        <f>IF($E$16="Y",'Population Definitions'!$A$5,"...")</f>
        <v>...</v>
      </c>
      <c r="E154" s="2"/>
      <c r="F154" s="3"/>
      <c r="G154" s="2"/>
      <c r="H154" s="4" t="str">
        <f>IF($E$16="Y","OR","...")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IF($F$16="Y",'Population Definitions'!$A$13,"...")</f>
        <v>...</v>
      </c>
      <c r="B155" s="4" t="str">
        <f>IF($F$16="Y","---&gt;","...")</f>
        <v>...</v>
      </c>
      <c r="C155" s="1" t="str">
        <f>IF($F$16="Y",'Population Definitions'!$A$6,"...")</f>
        <v>...</v>
      </c>
      <c r="E155" s="2"/>
      <c r="F155" s="3"/>
      <c r="G155" s="2"/>
      <c r="H155" s="4" t="str">
        <f>IF($F$16="Y","OR","...")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IF($G$16="Y",'Population Definitions'!$A$13,"...")</f>
        <v>...</v>
      </c>
      <c r="B156" s="4" t="str">
        <f>IF($G$16="Y","---&gt;","...")</f>
        <v>...</v>
      </c>
      <c r="C156" s="1" t="str">
        <f>IF($G$16="Y",'Population Definitions'!$A$7,"...")</f>
        <v>...</v>
      </c>
      <c r="E156" s="2"/>
      <c r="F156" s="3"/>
      <c r="G156" s="2"/>
      <c r="H156" s="4" t="str">
        <f>IF($G$16="Y","OR","...")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IF($H$16="Y",'Population Definitions'!$A$13,"...")</f>
        <v>...</v>
      </c>
      <c r="B157" s="4" t="str">
        <f>IF($H$16="Y","---&gt;","...")</f>
        <v>...</v>
      </c>
      <c r="C157" s="1" t="str">
        <f>IF($H$16="Y",'Population Definitions'!$A$8,"...")</f>
        <v>...</v>
      </c>
      <c r="E157" s="2"/>
      <c r="F157" s="3"/>
      <c r="G157" s="2"/>
      <c r="H157" s="4" t="str">
        <f>IF($H$16="Y","OR","...")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IF($I$16="Y",'Population Definitions'!$A$13,"...")</f>
        <v>...</v>
      </c>
      <c r="B158" s="4" t="str">
        <f>IF($I$16="Y","---&gt;","...")</f>
        <v>...</v>
      </c>
      <c r="C158" s="1" t="str">
        <f>IF($I$16="Y",'Population Definitions'!$A$9,"...")</f>
        <v>...</v>
      </c>
      <c r="E158" s="2"/>
      <c r="F158" s="3"/>
      <c r="G158" s="2"/>
      <c r="H158" s="4" t="str">
        <f>IF($I$16="Y","OR","...")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IF($J$16="Y",'Population Definitions'!$A$13,"...")</f>
        <v>...</v>
      </c>
      <c r="B159" s="4" t="str">
        <f>IF($J$16="Y","---&gt;","...")</f>
        <v>...</v>
      </c>
      <c r="C159" s="1" t="str">
        <f>IF($J$16="Y",'Population Definitions'!$A$10,"...")</f>
        <v>...</v>
      </c>
      <c r="E159" s="2"/>
      <c r="F159" s="3"/>
      <c r="G159" s="2"/>
      <c r="H159" s="4" t="str">
        <f>IF($J$16="Y","OR","...")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IF($K$16="Y",'Population Definitions'!$A$13,"...")</f>
        <v>...</v>
      </c>
      <c r="B160" s="4" t="str">
        <f>IF($K$16="Y","---&gt;","...")</f>
        <v>...</v>
      </c>
      <c r="C160" s="1" t="str">
        <f>IF($K$16="Y",'Population Definitions'!$A$11,"...")</f>
        <v>...</v>
      </c>
      <c r="E160" s="2"/>
      <c r="F160" s="3"/>
      <c r="G160" s="2"/>
      <c r="H160" s="4" t="str">
        <f>IF($K$16="Y","OR","...")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IF($L$16="Y",'Population Definitions'!$A$13,"...")</f>
        <v>...</v>
      </c>
      <c r="B161" s="4" t="str">
        <f>IF($L$16="Y","---&gt;","...")</f>
        <v>...</v>
      </c>
      <c r="C161" s="1" t="str">
        <f>IF($L$16="Y",'Population Definitions'!$A$12,"...")</f>
        <v>...</v>
      </c>
      <c r="E161" s="2"/>
      <c r="F161" s="3"/>
      <c r="G161" s="2"/>
      <c r="H161" s="4" t="str">
        <f>IF($L$16="Y","OR","...")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IF($M$16="Y",'Population Definitions'!$A$13,"...")</f>
        <v>...</v>
      </c>
      <c r="B162" s="4" t="str">
        <f>IF($M$16="Y","---&gt;","...")</f>
        <v>...</v>
      </c>
      <c r="C162" s="1" t="str">
        <f>IF($M$16="Y",'Population Definitions'!$A$13,"...")</f>
        <v>...</v>
      </c>
      <c r="E162" s="2"/>
      <c r="F162" s="3"/>
      <c r="G162" s="2"/>
      <c r="H162" s="4" t="str">
        <f>IF($M$16="Y","OR","...")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4" spans="1:59">
      <c r="A164" s="1" t="s">
        <v>0</v>
      </c>
      <c r="B164" s="1" t="s">
        <v>1</v>
      </c>
      <c r="C164" s="1" t="s">
        <v>223</v>
      </c>
      <c r="D164" s="1" t="s">
        <v>224</v>
      </c>
    </row>
    <row r="165" spans="1:59">
      <c r="A165" t="s">
        <v>508</v>
      </c>
      <c r="B165" t="s">
        <v>509</v>
      </c>
      <c r="C165" t="s">
        <v>5</v>
      </c>
      <c r="D165" t="s">
        <v>5</v>
      </c>
    </row>
    <row r="167" spans="1:59">
      <c r="B167" s="1" t="str">
        <f>'Population Definitions'!$A$2</f>
        <v>PWID_males</v>
      </c>
      <c r="C167" s="1" t="str">
        <f>'Population Definitions'!$A$3</f>
        <v>PWID_females</v>
      </c>
      <c r="D167" s="1" t="str">
        <f>'Population Definitions'!$A$4</f>
        <v>0-9_males</v>
      </c>
      <c r="E167" s="1" t="str">
        <f>'Population Definitions'!$A$5</f>
        <v>0-9_females</v>
      </c>
      <c r="F167" s="1" t="str">
        <f>'Population Definitions'!$A$6</f>
        <v>10-17_males</v>
      </c>
      <c r="G167" s="1" t="str">
        <f>'Population Definitions'!$A$7</f>
        <v>10-17_females</v>
      </c>
      <c r="H167" s="1" t="str">
        <f>'Population Definitions'!$A$8</f>
        <v>18-64_males</v>
      </c>
      <c r="I167" s="1" t="str">
        <f>'Population Definitions'!$A$9</f>
        <v>18-64_females</v>
      </c>
      <c r="J167" s="1" t="str">
        <f>'Population Definitions'!$A$10</f>
        <v>65+_males</v>
      </c>
      <c r="K167" s="1" t="str">
        <f>'Population Definitions'!$A$11</f>
        <v>65+_females</v>
      </c>
      <c r="L167" s="1" t="str">
        <f>'Population Definitions'!$A$12</f>
        <v>Prisoners_males</v>
      </c>
      <c r="M167" s="1" t="str">
        <f>'Population Definitions'!$A$13</f>
        <v>Prisoners_females</v>
      </c>
    </row>
    <row r="168" spans="1:59">
      <c r="A168" s="1" t="str">
        <f>'Population Definitions'!$A$2</f>
        <v>PWID_males</v>
      </c>
      <c r="B168" s="4" t="s">
        <v>56</v>
      </c>
      <c r="C168" s="5" t="s">
        <v>226</v>
      </c>
      <c r="D168" s="5" t="s">
        <v>226</v>
      </c>
      <c r="E168" s="5" t="s">
        <v>226</v>
      </c>
      <c r="F168" s="5" t="s">
        <v>226</v>
      </c>
      <c r="G168" s="5" t="s">
        <v>226</v>
      </c>
      <c r="H168" s="5" t="s">
        <v>225</v>
      </c>
      <c r="I168" s="5" t="s">
        <v>226</v>
      </c>
      <c r="J168" s="5" t="s">
        <v>226</v>
      </c>
      <c r="K168" s="5" t="s">
        <v>226</v>
      </c>
      <c r="L168" s="5" t="s">
        <v>226</v>
      </c>
      <c r="M168" s="5" t="s">
        <v>226</v>
      </c>
    </row>
    <row r="169" spans="1:59">
      <c r="A169" s="1" t="str">
        <f>'Population Definitions'!$A$3</f>
        <v>PWID_females</v>
      </c>
      <c r="B169" s="5" t="s">
        <v>226</v>
      </c>
      <c r="C169" s="4" t="s">
        <v>56</v>
      </c>
      <c r="D169" s="5" t="s">
        <v>226</v>
      </c>
      <c r="E169" s="5" t="s">
        <v>226</v>
      </c>
      <c r="F169" s="5" t="s">
        <v>226</v>
      </c>
      <c r="G169" s="5" t="s">
        <v>226</v>
      </c>
      <c r="H169" s="5" t="s">
        <v>226</v>
      </c>
      <c r="I169" s="5" t="s">
        <v>225</v>
      </c>
      <c r="J169" s="5" t="s">
        <v>226</v>
      </c>
      <c r="K169" s="5" t="s">
        <v>226</v>
      </c>
      <c r="L169" s="5" t="s">
        <v>226</v>
      </c>
      <c r="M169" s="5" t="s">
        <v>226</v>
      </c>
    </row>
    <row r="170" spans="1:59">
      <c r="A170" s="1" t="str">
        <f>'Population Definitions'!$A$4</f>
        <v>0-9_males</v>
      </c>
      <c r="B170" s="5" t="s">
        <v>226</v>
      </c>
      <c r="C170" s="5" t="s">
        <v>226</v>
      </c>
      <c r="D170" s="4" t="s">
        <v>56</v>
      </c>
      <c r="E170" s="5" t="s">
        <v>226</v>
      </c>
      <c r="F170" s="5" t="s">
        <v>226</v>
      </c>
      <c r="G170" s="5" t="s">
        <v>226</v>
      </c>
      <c r="H170" s="5" t="s">
        <v>226</v>
      </c>
      <c r="I170" s="5" t="s">
        <v>226</v>
      </c>
      <c r="J170" s="5" t="s">
        <v>226</v>
      </c>
      <c r="K170" s="5" t="s">
        <v>226</v>
      </c>
      <c r="L170" s="5" t="s">
        <v>226</v>
      </c>
      <c r="M170" s="5" t="s">
        <v>226</v>
      </c>
    </row>
    <row r="171" spans="1:59">
      <c r="A171" s="1" t="str">
        <f>'Population Definitions'!$A$5</f>
        <v>0-9_females</v>
      </c>
      <c r="B171" s="5" t="s">
        <v>226</v>
      </c>
      <c r="C171" s="5" t="s">
        <v>226</v>
      </c>
      <c r="D171" s="5" t="s">
        <v>226</v>
      </c>
      <c r="E171" s="4" t="s">
        <v>56</v>
      </c>
      <c r="F171" s="5" t="s">
        <v>226</v>
      </c>
      <c r="G171" s="5" t="s">
        <v>226</v>
      </c>
      <c r="H171" s="5" t="s">
        <v>226</v>
      </c>
      <c r="I171" s="5" t="s">
        <v>226</v>
      </c>
      <c r="J171" s="5" t="s">
        <v>226</v>
      </c>
      <c r="K171" s="5" t="s">
        <v>226</v>
      </c>
      <c r="L171" s="5" t="s">
        <v>226</v>
      </c>
      <c r="M171" s="5" t="s">
        <v>226</v>
      </c>
    </row>
    <row r="172" spans="1:59">
      <c r="A172" s="1" t="str">
        <f>'Population Definitions'!$A$6</f>
        <v>10-17_males</v>
      </c>
      <c r="B172" s="5" t="s">
        <v>226</v>
      </c>
      <c r="C172" s="5" t="s">
        <v>226</v>
      </c>
      <c r="D172" s="5" t="s">
        <v>226</v>
      </c>
      <c r="E172" s="5" t="s">
        <v>226</v>
      </c>
      <c r="F172" s="4" t="s">
        <v>56</v>
      </c>
      <c r="G172" s="5" t="s">
        <v>226</v>
      </c>
      <c r="H172" s="5" t="s">
        <v>226</v>
      </c>
      <c r="I172" s="5" t="s">
        <v>226</v>
      </c>
      <c r="J172" s="5" t="s">
        <v>226</v>
      </c>
      <c r="K172" s="5" t="s">
        <v>226</v>
      </c>
      <c r="L172" s="5" t="s">
        <v>226</v>
      </c>
      <c r="M172" s="5" t="s">
        <v>226</v>
      </c>
    </row>
    <row r="173" spans="1:59">
      <c r="A173" s="1" t="str">
        <f>'Population Definitions'!$A$7</f>
        <v>10-17_females</v>
      </c>
      <c r="B173" s="5" t="s">
        <v>226</v>
      </c>
      <c r="C173" s="5" t="s">
        <v>226</v>
      </c>
      <c r="D173" s="5" t="s">
        <v>226</v>
      </c>
      <c r="E173" s="5" t="s">
        <v>226</v>
      </c>
      <c r="F173" s="5" t="s">
        <v>226</v>
      </c>
      <c r="G173" s="4" t="s">
        <v>56</v>
      </c>
      <c r="H173" s="5" t="s">
        <v>226</v>
      </c>
      <c r="I173" s="5" t="s">
        <v>226</v>
      </c>
      <c r="J173" s="5" t="s">
        <v>226</v>
      </c>
      <c r="K173" s="5" t="s">
        <v>226</v>
      </c>
      <c r="L173" s="5" t="s">
        <v>226</v>
      </c>
      <c r="M173" s="5" t="s">
        <v>226</v>
      </c>
    </row>
    <row r="174" spans="1:59">
      <c r="A174" s="1" t="str">
        <f>'Population Definitions'!$A$8</f>
        <v>18-64_males</v>
      </c>
      <c r="B174" s="5" t="s">
        <v>225</v>
      </c>
      <c r="C174" s="5" t="s">
        <v>226</v>
      </c>
      <c r="D174" s="5" t="s">
        <v>226</v>
      </c>
      <c r="E174" s="5" t="s">
        <v>226</v>
      </c>
      <c r="F174" s="5" t="s">
        <v>226</v>
      </c>
      <c r="G174" s="5" t="s">
        <v>226</v>
      </c>
      <c r="H174" s="4" t="s">
        <v>56</v>
      </c>
      <c r="I174" s="5" t="s">
        <v>226</v>
      </c>
      <c r="J174" s="5" t="s">
        <v>226</v>
      </c>
      <c r="K174" s="5" t="s">
        <v>226</v>
      </c>
      <c r="L174" s="5" t="s">
        <v>226</v>
      </c>
      <c r="M174" s="5" t="s">
        <v>226</v>
      </c>
    </row>
    <row r="175" spans="1:59">
      <c r="A175" s="1" t="str">
        <f>'Population Definitions'!$A$9</f>
        <v>18-64_females</v>
      </c>
      <c r="B175" s="5" t="s">
        <v>226</v>
      </c>
      <c r="C175" s="5" t="s">
        <v>225</v>
      </c>
      <c r="D175" s="5" t="s">
        <v>226</v>
      </c>
      <c r="E175" s="5" t="s">
        <v>226</v>
      </c>
      <c r="F175" s="5" t="s">
        <v>226</v>
      </c>
      <c r="G175" s="5" t="s">
        <v>226</v>
      </c>
      <c r="H175" s="5" t="s">
        <v>226</v>
      </c>
      <c r="I175" s="4" t="s">
        <v>56</v>
      </c>
      <c r="J175" s="5" t="s">
        <v>226</v>
      </c>
      <c r="K175" s="5" t="s">
        <v>226</v>
      </c>
      <c r="L175" s="5" t="s">
        <v>226</v>
      </c>
      <c r="M175" s="5" t="s">
        <v>226</v>
      </c>
    </row>
    <row r="176" spans="1:59">
      <c r="A176" s="1" t="str">
        <f>'Population Definitions'!$A$10</f>
        <v>65+_males</v>
      </c>
      <c r="B176" s="5" t="s">
        <v>226</v>
      </c>
      <c r="C176" s="5" t="s">
        <v>226</v>
      </c>
      <c r="D176" s="5" t="s">
        <v>226</v>
      </c>
      <c r="E176" s="5" t="s">
        <v>226</v>
      </c>
      <c r="F176" s="5" t="s">
        <v>226</v>
      </c>
      <c r="G176" s="5" t="s">
        <v>226</v>
      </c>
      <c r="H176" s="5" t="s">
        <v>226</v>
      </c>
      <c r="I176" s="5" t="s">
        <v>226</v>
      </c>
      <c r="J176" s="4" t="s">
        <v>56</v>
      </c>
      <c r="K176" s="5" t="s">
        <v>226</v>
      </c>
      <c r="L176" s="5" t="s">
        <v>226</v>
      </c>
      <c r="M176" s="5" t="s">
        <v>226</v>
      </c>
    </row>
    <row r="177" spans="1:59">
      <c r="A177" s="1" t="str">
        <f>'Population Definitions'!$A$11</f>
        <v>65+_females</v>
      </c>
      <c r="B177" s="5" t="s">
        <v>226</v>
      </c>
      <c r="C177" s="5" t="s">
        <v>226</v>
      </c>
      <c r="D177" s="5" t="s">
        <v>226</v>
      </c>
      <c r="E177" s="5" t="s">
        <v>226</v>
      </c>
      <c r="F177" s="5" t="s">
        <v>226</v>
      </c>
      <c r="G177" s="5" t="s">
        <v>226</v>
      </c>
      <c r="H177" s="5" t="s">
        <v>226</v>
      </c>
      <c r="I177" s="5" t="s">
        <v>226</v>
      </c>
      <c r="J177" s="5" t="s">
        <v>226</v>
      </c>
      <c r="K177" s="4" t="s">
        <v>56</v>
      </c>
      <c r="L177" s="5" t="s">
        <v>226</v>
      </c>
      <c r="M177" s="5" t="s">
        <v>226</v>
      </c>
    </row>
    <row r="178" spans="1:59">
      <c r="A178" s="1" t="str">
        <f>'Population Definitions'!$A$12</f>
        <v>Prisoners_males</v>
      </c>
      <c r="B178" s="5" t="s">
        <v>226</v>
      </c>
      <c r="C178" s="5" t="s">
        <v>226</v>
      </c>
      <c r="D178" s="5" t="s">
        <v>226</v>
      </c>
      <c r="E178" s="5" t="s">
        <v>226</v>
      </c>
      <c r="F178" s="5" t="s">
        <v>226</v>
      </c>
      <c r="G178" s="5" t="s">
        <v>226</v>
      </c>
      <c r="H178" s="5" t="s">
        <v>226</v>
      </c>
      <c r="I178" s="5" t="s">
        <v>226</v>
      </c>
      <c r="J178" s="5" t="s">
        <v>226</v>
      </c>
      <c r="K178" s="5" t="s">
        <v>226</v>
      </c>
      <c r="L178" s="4" t="s">
        <v>56</v>
      </c>
      <c r="M178" s="5" t="s">
        <v>226</v>
      </c>
    </row>
    <row r="179" spans="1:59">
      <c r="A179" s="1" t="str">
        <f>'Population Definitions'!$A$13</f>
        <v>Prisoners_females</v>
      </c>
      <c r="B179" s="5" t="s">
        <v>226</v>
      </c>
      <c r="C179" s="5" t="s">
        <v>226</v>
      </c>
      <c r="D179" s="5" t="s">
        <v>226</v>
      </c>
      <c r="E179" s="5" t="s">
        <v>226</v>
      </c>
      <c r="F179" s="5" t="s">
        <v>226</v>
      </c>
      <c r="G179" s="5" t="s">
        <v>226</v>
      </c>
      <c r="H179" s="5" t="s">
        <v>226</v>
      </c>
      <c r="I179" s="5" t="s">
        <v>226</v>
      </c>
      <c r="J179" s="5" t="s">
        <v>226</v>
      </c>
      <c r="K179" s="5" t="s">
        <v>226</v>
      </c>
      <c r="L179" s="5" t="s">
        <v>226</v>
      </c>
      <c r="M179" s="4" t="s">
        <v>56</v>
      </c>
    </row>
    <row r="181" spans="1:59">
      <c r="A181" s="1" t="s">
        <v>227</v>
      </c>
      <c r="B181" s="1"/>
      <c r="C181" s="1" t="s">
        <v>228</v>
      </c>
      <c r="D181" s="1" t="s">
        <v>29</v>
      </c>
      <c r="E181" s="1" t="s">
        <v>30</v>
      </c>
      <c r="F181" s="1" t="s">
        <v>31</v>
      </c>
      <c r="G181" s="1" t="s">
        <v>36</v>
      </c>
      <c r="H181" s="1"/>
      <c r="I181" s="1">
        <v>2000</v>
      </c>
      <c r="J181" s="1">
        <v>2001</v>
      </c>
      <c r="K181" s="1">
        <v>2002</v>
      </c>
      <c r="L181" s="1">
        <v>2003</v>
      </c>
      <c r="M181" s="1">
        <v>2004</v>
      </c>
      <c r="N181" s="1">
        <v>2005</v>
      </c>
      <c r="O181" s="1">
        <v>2006</v>
      </c>
      <c r="P181" s="1">
        <v>2007</v>
      </c>
      <c r="Q181" s="1">
        <v>2008</v>
      </c>
      <c r="R181" s="1">
        <v>2009</v>
      </c>
      <c r="S181" s="1">
        <v>2010</v>
      </c>
      <c r="T181" s="1">
        <v>2011</v>
      </c>
      <c r="U181" s="1">
        <v>2012</v>
      </c>
      <c r="V181" s="1">
        <v>2013</v>
      </c>
      <c r="W181" s="1">
        <v>2014</v>
      </c>
      <c r="X181" s="1">
        <v>2015</v>
      </c>
      <c r="Y181" s="1">
        <v>2016</v>
      </c>
      <c r="Z181" s="1">
        <v>2017</v>
      </c>
      <c r="AA181" s="1">
        <v>2018</v>
      </c>
      <c r="AB181" s="1">
        <v>2019</v>
      </c>
      <c r="AC181" s="1">
        <v>2020</v>
      </c>
      <c r="AD181" s="1">
        <v>2021</v>
      </c>
      <c r="AE181" s="1">
        <v>2022</v>
      </c>
      <c r="AF181" s="1">
        <v>2023</v>
      </c>
      <c r="AG181" s="1">
        <v>2024</v>
      </c>
      <c r="AH181" s="1">
        <v>2025</v>
      </c>
      <c r="AI181" s="1">
        <v>2026</v>
      </c>
      <c r="AJ181" s="1">
        <v>2027</v>
      </c>
      <c r="AK181" s="1">
        <v>2028</v>
      </c>
      <c r="AL181" s="1">
        <v>2029</v>
      </c>
      <c r="AM181" s="1">
        <v>2030</v>
      </c>
      <c r="AN181" s="1">
        <v>2031</v>
      </c>
      <c r="AO181" s="1">
        <v>2032</v>
      </c>
      <c r="AP181" s="1">
        <v>2033</v>
      </c>
      <c r="AQ181" s="1">
        <v>2034</v>
      </c>
      <c r="AR181" s="1">
        <v>2035</v>
      </c>
      <c r="AS181" s="1">
        <v>2036</v>
      </c>
      <c r="AT181" s="1">
        <v>2037</v>
      </c>
      <c r="AU181" s="1">
        <v>2038</v>
      </c>
      <c r="AV181" s="1">
        <v>2039</v>
      </c>
      <c r="AW181" s="1">
        <v>2040</v>
      </c>
      <c r="AX181" s="1">
        <v>2041</v>
      </c>
      <c r="AY181" s="1">
        <v>2042</v>
      </c>
      <c r="AZ181" s="1">
        <v>2043</v>
      </c>
      <c r="BA181" s="1">
        <v>2044</v>
      </c>
      <c r="BB181" s="1">
        <v>2045</v>
      </c>
      <c r="BC181" s="1">
        <v>2046</v>
      </c>
      <c r="BD181" s="1">
        <v>2047</v>
      </c>
      <c r="BE181" s="1">
        <v>2048</v>
      </c>
      <c r="BF181" s="1">
        <v>2049</v>
      </c>
      <c r="BG181" s="1">
        <v>2050</v>
      </c>
    </row>
    <row r="182" spans="1:59">
      <c r="A182" s="1" t="str">
        <f>IF($B$168="Y",'Population Definitions'!$A$2,"...")</f>
        <v>...</v>
      </c>
      <c r="B182" s="4" t="str">
        <f>IF($B$168="Y","---&gt;","...")</f>
        <v>...</v>
      </c>
      <c r="C182" s="1" t="str">
        <f>IF($B$168="Y",'Population Definitions'!$A$2,"...")</f>
        <v>...</v>
      </c>
      <c r="E182" s="2"/>
      <c r="F182" s="3"/>
      <c r="G182" s="2"/>
      <c r="H182" s="4" t="str">
        <f>IF($B$168="Y","OR","...")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IF($C$168="Y",'Population Definitions'!$A$2,"...")</f>
        <v>...</v>
      </c>
      <c r="B183" s="4" t="str">
        <f>IF($C$168="Y","---&gt;","...")</f>
        <v>...</v>
      </c>
      <c r="C183" s="1" t="str">
        <f>IF($C$168="Y",'Population Definitions'!$A$3,"...")</f>
        <v>...</v>
      </c>
      <c r="E183" s="2"/>
      <c r="F183" s="3"/>
      <c r="G183" s="2"/>
      <c r="H183" s="4" t="str">
        <f>IF($C$168="Y","OR","...")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IF($D$168="Y",'Population Definitions'!$A$2,"...")</f>
        <v>...</v>
      </c>
      <c r="B184" s="4" t="str">
        <f>IF($D$168="Y","---&gt;","...")</f>
        <v>...</v>
      </c>
      <c r="C184" s="1" t="str">
        <f>IF($D$168="Y",'Population Definitions'!$A$4,"...")</f>
        <v>...</v>
      </c>
      <c r="E184" s="2"/>
      <c r="F184" s="3"/>
      <c r="G184" s="2"/>
      <c r="H184" s="4" t="str">
        <f>IF($D$168="Y","OR","...")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IF($E$168="Y",'Population Definitions'!$A$2,"...")</f>
        <v>...</v>
      </c>
      <c r="B185" s="4" t="str">
        <f>IF($E$168="Y","---&gt;","...")</f>
        <v>...</v>
      </c>
      <c r="C185" s="1" t="str">
        <f>IF($E$168="Y",'Population Definitions'!$A$5,"...")</f>
        <v>...</v>
      </c>
      <c r="E185" s="2"/>
      <c r="F185" s="3"/>
      <c r="G185" s="2"/>
      <c r="H185" s="4" t="str">
        <f>IF($E$168="Y","OR","...")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IF($F$168="Y",'Population Definitions'!$A$2,"...")</f>
        <v>...</v>
      </c>
      <c r="B186" s="4" t="str">
        <f>IF($F$168="Y","---&gt;","...")</f>
        <v>...</v>
      </c>
      <c r="C186" s="1" t="str">
        <f>IF($F$168="Y",'Population Definitions'!$A$6,"...")</f>
        <v>...</v>
      </c>
      <c r="E186" s="2"/>
      <c r="F186" s="3"/>
      <c r="G186" s="2"/>
      <c r="H186" s="4" t="str">
        <f>IF($F$168="Y","OR","...")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IF($G$168="Y",'Population Definitions'!$A$2,"...")</f>
        <v>...</v>
      </c>
      <c r="B187" s="4" t="str">
        <f>IF($G$168="Y","---&gt;","...")</f>
        <v>...</v>
      </c>
      <c r="C187" s="1" t="str">
        <f>IF($G$168="Y",'Population Definitions'!$A$7,"...")</f>
        <v>...</v>
      </c>
      <c r="E187" s="2"/>
      <c r="F187" s="3"/>
      <c r="G187" s="2"/>
      <c r="H187" s="4" t="str">
        <f>IF($G$168="Y","OR","...")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IF($H$168="Y",'Population Definitions'!$A$2,"...")</f>
        <v>PWID_males</v>
      </c>
      <c r="B188" s="4" t="str">
        <f>IF($H$168="Y","---&gt;","...")</f>
        <v>---&gt;</v>
      </c>
      <c r="C188" s="1" t="str">
        <f>IF($H$168="Y",'Population Definitions'!$A$8,"...")</f>
        <v>18-64_males</v>
      </c>
      <c r="E188" s="3" t="s">
        <v>53</v>
      </c>
      <c r="F188" s="3"/>
      <c r="G188" s="3">
        <v>0.0588235294117647</v>
      </c>
      <c r="H188" s="4" t="str">
        <f>IF($H$168="Y","OR","...")</f>
        <v>OR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</row>
    <row r="189" spans="1:59">
      <c r="A189" s="1" t="str">
        <f>IF($I$168="Y",'Population Definitions'!$A$2,"...")</f>
        <v>...</v>
      </c>
      <c r="B189" s="4" t="str">
        <f>IF($I$168="Y","---&gt;","...")</f>
        <v>...</v>
      </c>
      <c r="C189" s="1" t="str">
        <f>IF($I$168="Y",'Population Definitions'!$A$9,"...")</f>
        <v>...</v>
      </c>
      <c r="E189" s="2"/>
      <c r="F189" s="3"/>
      <c r="G189" s="2"/>
      <c r="H189" s="4" t="str">
        <f>IF($I$168="Y","OR","...")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IF($J$168="Y",'Population Definitions'!$A$2,"...")</f>
        <v>...</v>
      </c>
      <c r="B190" s="4" t="str">
        <f>IF($J$168="Y","---&gt;","...")</f>
        <v>...</v>
      </c>
      <c r="C190" s="1" t="str">
        <f>IF($J$168="Y",'Population Definitions'!$A$10,"...")</f>
        <v>...</v>
      </c>
      <c r="E190" s="2"/>
      <c r="F190" s="3"/>
      <c r="G190" s="2"/>
      <c r="H190" s="4" t="str">
        <f>IF($J$168="Y","OR","...")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IF($K$168="Y",'Population Definitions'!$A$2,"...")</f>
        <v>...</v>
      </c>
      <c r="B191" s="4" t="str">
        <f>IF($K$168="Y","---&gt;","...")</f>
        <v>...</v>
      </c>
      <c r="C191" s="1" t="str">
        <f>IF($K$168="Y",'Population Definitions'!$A$11,"...")</f>
        <v>...</v>
      </c>
      <c r="E191" s="2"/>
      <c r="F191" s="3"/>
      <c r="G191" s="2"/>
      <c r="H191" s="4" t="str">
        <f>IF($K$168="Y","OR","...")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IF($L$168="Y",'Population Definitions'!$A$2,"...")</f>
        <v>...</v>
      </c>
      <c r="B192" s="4" t="str">
        <f>IF($L$168="Y","---&gt;","...")</f>
        <v>...</v>
      </c>
      <c r="C192" s="1" t="str">
        <f>IF($L$168="Y",'Population Definitions'!$A$12,"...")</f>
        <v>...</v>
      </c>
      <c r="E192" s="2"/>
      <c r="F192" s="3"/>
      <c r="G192" s="2"/>
      <c r="H192" s="4" t="str">
        <f>IF($L$168="Y","OR","...")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IF($M$168="Y",'Population Definitions'!$A$2,"...")</f>
        <v>...</v>
      </c>
      <c r="B193" s="4" t="str">
        <f>IF($M$168="Y","---&gt;","...")</f>
        <v>...</v>
      </c>
      <c r="C193" s="1" t="str">
        <f>IF($M$168="Y",'Population Definitions'!$A$13,"...")</f>
        <v>...</v>
      </c>
      <c r="E193" s="2"/>
      <c r="F193" s="3"/>
      <c r="G193" s="2"/>
      <c r="H193" s="4" t="str">
        <f>IF($M$168="Y","OR","...")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IF($B$169="Y",'Population Definitions'!$A$3,"...")</f>
        <v>...</v>
      </c>
      <c r="B194" s="4" t="str">
        <f>IF($B$169="Y","---&gt;","...")</f>
        <v>...</v>
      </c>
      <c r="C194" s="1" t="str">
        <f>IF($B$169="Y",'Population Definitions'!$A$2,"...")</f>
        <v>...</v>
      </c>
      <c r="E194" s="2"/>
      <c r="F194" s="3"/>
      <c r="G194" s="2"/>
      <c r="H194" s="4" t="str">
        <f>IF($B$169="Y","OR","...")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IF($C$169="Y",'Population Definitions'!$A$3,"...")</f>
        <v>...</v>
      </c>
      <c r="B195" s="4" t="str">
        <f>IF($C$169="Y","---&gt;","...")</f>
        <v>...</v>
      </c>
      <c r="C195" s="1" t="str">
        <f>IF($C$169="Y",'Population Definitions'!$A$3,"...")</f>
        <v>...</v>
      </c>
      <c r="E195" s="2"/>
      <c r="F195" s="3"/>
      <c r="G195" s="2"/>
      <c r="H195" s="4" t="str">
        <f>IF($C$169="Y","OR","...")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IF($D$169="Y",'Population Definitions'!$A$3,"...")</f>
        <v>...</v>
      </c>
      <c r="B196" s="4" t="str">
        <f>IF($D$169="Y","---&gt;","...")</f>
        <v>...</v>
      </c>
      <c r="C196" s="1" t="str">
        <f>IF($D$169="Y",'Population Definitions'!$A$4,"...")</f>
        <v>...</v>
      </c>
      <c r="E196" s="2"/>
      <c r="F196" s="3"/>
      <c r="G196" s="2"/>
      <c r="H196" s="4" t="str">
        <f>IF($D$169="Y","OR","...")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IF($E$169="Y",'Population Definitions'!$A$3,"...")</f>
        <v>...</v>
      </c>
      <c r="B197" s="4" t="str">
        <f>IF($E$169="Y","---&gt;","...")</f>
        <v>...</v>
      </c>
      <c r="C197" s="1" t="str">
        <f>IF($E$169="Y",'Population Definitions'!$A$5,"...")</f>
        <v>...</v>
      </c>
      <c r="E197" s="2"/>
      <c r="F197" s="3"/>
      <c r="G197" s="2"/>
      <c r="H197" s="4" t="str">
        <f>IF($E$169="Y","OR","...")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IF($F$169="Y",'Population Definitions'!$A$3,"...")</f>
        <v>...</v>
      </c>
      <c r="B198" s="4" t="str">
        <f>IF($F$169="Y","---&gt;","...")</f>
        <v>...</v>
      </c>
      <c r="C198" s="1" t="str">
        <f>IF($F$169="Y",'Population Definitions'!$A$6,"...")</f>
        <v>...</v>
      </c>
      <c r="E198" s="2"/>
      <c r="F198" s="3"/>
      <c r="G198" s="2"/>
      <c r="H198" s="4" t="str">
        <f>IF($F$169="Y","OR","...")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IF($G$169="Y",'Population Definitions'!$A$3,"...")</f>
        <v>...</v>
      </c>
      <c r="B199" s="4" t="str">
        <f>IF($G$169="Y","---&gt;","...")</f>
        <v>...</v>
      </c>
      <c r="C199" s="1" t="str">
        <f>IF($G$169="Y",'Population Definitions'!$A$7,"...")</f>
        <v>...</v>
      </c>
      <c r="E199" s="2"/>
      <c r="F199" s="3"/>
      <c r="G199" s="2"/>
      <c r="H199" s="4" t="str">
        <f>IF($G$169="Y","OR","...")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IF($H$169="Y",'Population Definitions'!$A$3,"...")</f>
        <v>...</v>
      </c>
      <c r="B200" s="4" t="str">
        <f>IF($H$169="Y","---&gt;","...")</f>
        <v>...</v>
      </c>
      <c r="C200" s="1" t="str">
        <f>IF($H$169="Y",'Population Definitions'!$A$8,"...")</f>
        <v>...</v>
      </c>
      <c r="E200" s="2"/>
      <c r="F200" s="3"/>
      <c r="G200" s="2"/>
      <c r="H200" s="4" t="str">
        <f>IF($H$169="Y","OR","...")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IF($I$169="Y",'Population Definitions'!$A$3,"...")</f>
        <v>PWID_females</v>
      </c>
      <c r="B201" s="4" t="str">
        <f>IF($I$169="Y","---&gt;","...")</f>
        <v>---&gt;</v>
      </c>
      <c r="C201" s="1" t="str">
        <f>IF($I$169="Y",'Population Definitions'!$A$9,"...")</f>
        <v>18-64_females</v>
      </c>
      <c r="E201" s="3" t="s">
        <v>53</v>
      </c>
      <c r="F201" s="3"/>
      <c r="G201" s="3">
        <v>0.0588235294117647</v>
      </c>
      <c r="H201" s="4" t="str">
        <f>IF($I$169="Y","OR","...")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IF($J$169="Y",'Population Definitions'!$A$3,"...")</f>
        <v>...</v>
      </c>
      <c r="B202" s="4" t="str">
        <f>IF($J$169="Y","---&gt;","...")</f>
        <v>...</v>
      </c>
      <c r="C202" s="1" t="str">
        <f>IF($J$169="Y",'Population Definitions'!$A$10,"...")</f>
        <v>...</v>
      </c>
      <c r="E202" s="2"/>
      <c r="F202" s="3"/>
      <c r="G202" s="2"/>
      <c r="H202" s="4" t="str">
        <f>IF($J$169="Y","OR","...")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IF($K$169="Y",'Population Definitions'!$A$3,"...")</f>
        <v>...</v>
      </c>
      <c r="B203" s="4" t="str">
        <f>IF($K$169="Y","---&gt;","...")</f>
        <v>...</v>
      </c>
      <c r="C203" s="1" t="str">
        <f>IF($K$169="Y",'Population Definitions'!$A$11,"...")</f>
        <v>...</v>
      </c>
      <c r="E203" s="2"/>
      <c r="F203" s="3"/>
      <c r="G203" s="2"/>
      <c r="H203" s="4" t="str">
        <f>IF($K$169="Y","OR","...")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IF($L$169="Y",'Population Definitions'!$A$3,"...")</f>
        <v>...</v>
      </c>
      <c r="B204" s="4" t="str">
        <f>IF($L$169="Y","---&gt;","...")</f>
        <v>...</v>
      </c>
      <c r="C204" s="1" t="str">
        <f>IF($L$169="Y",'Population Definitions'!$A$12,"...")</f>
        <v>...</v>
      </c>
      <c r="E204" s="2"/>
      <c r="F204" s="3"/>
      <c r="G204" s="2"/>
      <c r="H204" s="4" t="str">
        <f>IF($L$169="Y","OR","...")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IF($M$169="Y",'Population Definitions'!$A$3,"...")</f>
        <v>...</v>
      </c>
      <c r="B205" s="4" t="str">
        <f>IF($M$169="Y","---&gt;","...")</f>
        <v>...</v>
      </c>
      <c r="C205" s="1" t="str">
        <f>IF($M$169="Y",'Population Definitions'!$A$13,"...")</f>
        <v>...</v>
      </c>
      <c r="E205" s="2"/>
      <c r="F205" s="3"/>
      <c r="G205" s="2"/>
      <c r="H205" s="4" t="str">
        <f>IF($M$169="Y","OR","...")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IF($B$170="Y",'Population Definitions'!$A$4,"...")</f>
        <v>...</v>
      </c>
      <c r="B206" s="4" t="str">
        <f>IF($B$170="Y","---&gt;","...")</f>
        <v>...</v>
      </c>
      <c r="C206" s="1" t="str">
        <f>IF($B$170="Y",'Population Definitions'!$A$2,"...")</f>
        <v>...</v>
      </c>
      <c r="E206" s="2"/>
      <c r="F206" s="3"/>
      <c r="G206" s="2"/>
      <c r="H206" s="4" t="str">
        <f>IF($B$170="Y","OR","...")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IF($C$170="Y",'Population Definitions'!$A$4,"...")</f>
        <v>...</v>
      </c>
      <c r="B207" s="4" t="str">
        <f>IF($C$170="Y","---&gt;","...")</f>
        <v>...</v>
      </c>
      <c r="C207" s="1" t="str">
        <f>IF($C$170="Y",'Population Definitions'!$A$3,"...")</f>
        <v>...</v>
      </c>
      <c r="E207" s="2"/>
      <c r="F207" s="3"/>
      <c r="G207" s="2"/>
      <c r="H207" s="4" t="str">
        <f>IF($C$170="Y","OR","...")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IF($D$170="Y",'Population Definitions'!$A$4,"...")</f>
        <v>...</v>
      </c>
      <c r="B208" s="4" t="str">
        <f>IF($D$170="Y","---&gt;","...")</f>
        <v>...</v>
      </c>
      <c r="C208" s="1" t="str">
        <f>IF($D$170="Y",'Population Definitions'!$A$4,"...")</f>
        <v>...</v>
      </c>
      <c r="E208" s="2"/>
      <c r="F208" s="3"/>
      <c r="G208" s="2"/>
      <c r="H208" s="4" t="str">
        <f>IF($D$170="Y","OR","...")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IF($E$170="Y",'Population Definitions'!$A$4,"...")</f>
        <v>...</v>
      </c>
      <c r="B209" s="4" t="str">
        <f>IF($E$170="Y","---&gt;","...")</f>
        <v>...</v>
      </c>
      <c r="C209" s="1" t="str">
        <f>IF($E$170="Y",'Population Definitions'!$A$5,"...")</f>
        <v>...</v>
      </c>
      <c r="E209" s="2"/>
      <c r="F209" s="3"/>
      <c r="G209" s="2"/>
      <c r="H209" s="4" t="str">
        <f>IF($E$170="Y","OR","...")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IF($F$170="Y",'Population Definitions'!$A$4,"...")</f>
        <v>...</v>
      </c>
      <c r="B210" s="4" t="str">
        <f>IF($F$170="Y","---&gt;","...")</f>
        <v>...</v>
      </c>
      <c r="C210" s="1" t="str">
        <f>IF($F$170="Y",'Population Definitions'!$A$6,"...")</f>
        <v>...</v>
      </c>
      <c r="E210" s="2"/>
      <c r="F210" s="3"/>
      <c r="G210" s="2"/>
      <c r="H210" s="4" t="str">
        <f>IF($F$170="Y","OR","...")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IF($G$170="Y",'Population Definitions'!$A$4,"...")</f>
        <v>...</v>
      </c>
      <c r="B211" s="4" t="str">
        <f>IF($G$170="Y","---&gt;","...")</f>
        <v>...</v>
      </c>
      <c r="C211" s="1" t="str">
        <f>IF($G$170="Y",'Population Definitions'!$A$7,"...")</f>
        <v>...</v>
      </c>
      <c r="E211" s="2"/>
      <c r="F211" s="3"/>
      <c r="G211" s="2"/>
      <c r="H211" s="4" t="str">
        <f>IF($G$170="Y","OR","...")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IF($H$170="Y",'Population Definitions'!$A$4,"...")</f>
        <v>...</v>
      </c>
      <c r="B212" s="4" t="str">
        <f>IF($H$170="Y","---&gt;","...")</f>
        <v>...</v>
      </c>
      <c r="C212" s="1" t="str">
        <f>IF($H$170="Y",'Population Definitions'!$A$8,"...")</f>
        <v>...</v>
      </c>
      <c r="E212" s="2"/>
      <c r="F212" s="3"/>
      <c r="G212" s="2"/>
      <c r="H212" s="4" t="str">
        <f>IF($H$170="Y","OR","...")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IF($I$170="Y",'Population Definitions'!$A$4,"...")</f>
        <v>...</v>
      </c>
      <c r="B213" s="4" t="str">
        <f>IF($I$170="Y","---&gt;","...")</f>
        <v>...</v>
      </c>
      <c r="C213" s="1" t="str">
        <f>IF($I$170="Y",'Population Definitions'!$A$9,"...")</f>
        <v>...</v>
      </c>
      <c r="E213" s="2"/>
      <c r="F213" s="3"/>
      <c r="G213" s="2"/>
      <c r="H213" s="4" t="str">
        <f>IF($I$170="Y","OR","...")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IF($J$170="Y",'Population Definitions'!$A$4,"...")</f>
        <v>...</v>
      </c>
      <c r="B214" s="4" t="str">
        <f>IF($J$170="Y","---&gt;","...")</f>
        <v>...</v>
      </c>
      <c r="C214" s="1" t="str">
        <f>IF($J$170="Y",'Population Definitions'!$A$10,"...")</f>
        <v>...</v>
      </c>
      <c r="E214" s="2"/>
      <c r="F214" s="3"/>
      <c r="G214" s="2"/>
      <c r="H214" s="4" t="str">
        <f>IF($J$170="Y","OR","...")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IF($K$170="Y",'Population Definitions'!$A$4,"...")</f>
        <v>...</v>
      </c>
      <c r="B215" s="4" t="str">
        <f>IF($K$170="Y","---&gt;","...")</f>
        <v>...</v>
      </c>
      <c r="C215" s="1" t="str">
        <f>IF($K$170="Y",'Population Definitions'!$A$11,"...")</f>
        <v>...</v>
      </c>
      <c r="E215" s="2"/>
      <c r="F215" s="3"/>
      <c r="G215" s="2"/>
      <c r="H215" s="4" t="str">
        <f>IF($K$170="Y","OR","...")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IF($L$170="Y",'Population Definitions'!$A$4,"...")</f>
        <v>...</v>
      </c>
      <c r="B216" s="4" t="str">
        <f>IF($L$170="Y","---&gt;","...")</f>
        <v>...</v>
      </c>
      <c r="C216" s="1" t="str">
        <f>IF($L$170="Y",'Population Definitions'!$A$12,"...")</f>
        <v>...</v>
      </c>
      <c r="E216" s="2"/>
      <c r="F216" s="3"/>
      <c r="G216" s="2"/>
      <c r="H216" s="4" t="str">
        <f>IF($L$170="Y","OR","...")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>
      <c r="A217" s="1" t="str">
        <f>IF($M$170="Y",'Population Definitions'!$A$4,"...")</f>
        <v>...</v>
      </c>
      <c r="B217" s="4" t="str">
        <f>IF($M$170="Y","---&gt;","...")</f>
        <v>...</v>
      </c>
      <c r="C217" s="1" t="str">
        <f>IF($M$170="Y",'Population Definitions'!$A$13,"...")</f>
        <v>...</v>
      </c>
      <c r="E217" s="2"/>
      <c r="F217" s="3"/>
      <c r="G217" s="2"/>
      <c r="H217" s="4" t="str">
        <f>IF($M$170="Y","OR","...")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>
      <c r="A218" s="1" t="str">
        <f>IF($B$171="Y",'Population Definitions'!$A$5,"...")</f>
        <v>...</v>
      </c>
      <c r="B218" s="4" t="str">
        <f>IF($B$171="Y","---&gt;","...")</f>
        <v>...</v>
      </c>
      <c r="C218" s="1" t="str">
        <f>IF($B$171="Y",'Population Definitions'!$A$2,"...")</f>
        <v>...</v>
      </c>
      <c r="E218" s="2"/>
      <c r="F218" s="3"/>
      <c r="G218" s="2"/>
      <c r="H218" s="4" t="str">
        <f>IF($B$171="Y","OR","...")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>
      <c r="A219" s="1" t="str">
        <f>IF($C$171="Y",'Population Definitions'!$A$5,"...")</f>
        <v>...</v>
      </c>
      <c r="B219" s="4" t="str">
        <f>IF($C$171="Y","---&gt;","...")</f>
        <v>...</v>
      </c>
      <c r="C219" s="1" t="str">
        <f>IF($C$171="Y",'Population Definitions'!$A$3,"...")</f>
        <v>...</v>
      </c>
      <c r="E219" s="2"/>
      <c r="F219" s="3"/>
      <c r="G219" s="2"/>
      <c r="H219" s="4" t="str">
        <f>IF($C$171="Y","OR","...")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>
      <c r="A220" s="1" t="str">
        <f>IF($D$171="Y",'Population Definitions'!$A$5,"...")</f>
        <v>...</v>
      </c>
      <c r="B220" s="4" t="str">
        <f>IF($D$171="Y","---&gt;","...")</f>
        <v>...</v>
      </c>
      <c r="C220" s="1" t="str">
        <f>IF($D$171="Y",'Population Definitions'!$A$4,"...")</f>
        <v>...</v>
      </c>
      <c r="E220" s="2"/>
      <c r="F220" s="3"/>
      <c r="G220" s="2"/>
      <c r="H220" s="4" t="str">
        <f>IF($D$171="Y","OR","...")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>
      <c r="A221" s="1" t="str">
        <f>IF($E$171="Y",'Population Definitions'!$A$5,"...")</f>
        <v>...</v>
      </c>
      <c r="B221" s="4" t="str">
        <f>IF($E$171="Y","---&gt;","...")</f>
        <v>...</v>
      </c>
      <c r="C221" s="1" t="str">
        <f>IF($E$171="Y",'Population Definitions'!$A$5,"...")</f>
        <v>...</v>
      </c>
      <c r="E221" s="2"/>
      <c r="F221" s="3"/>
      <c r="G221" s="2"/>
      <c r="H221" s="4" t="str">
        <f>IF($E$171="Y","OR","...")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>
      <c r="A222" s="1" t="str">
        <f>IF($F$171="Y",'Population Definitions'!$A$5,"...")</f>
        <v>...</v>
      </c>
      <c r="B222" s="4" t="str">
        <f>IF($F$171="Y","---&gt;","...")</f>
        <v>...</v>
      </c>
      <c r="C222" s="1" t="str">
        <f>IF($F$171="Y",'Population Definitions'!$A$6,"...")</f>
        <v>...</v>
      </c>
      <c r="E222" s="2"/>
      <c r="F222" s="3"/>
      <c r="G222" s="2"/>
      <c r="H222" s="4" t="str">
        <f>IF($F$171="Y","OR","...")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>
      <c r="A223" s="1" t="str">
        <f>IF($G$171="Y",'Population Definitions'!$A$5,"...")</f>
        <v>...</v>
      </c>
      <c r="B223" s="4" t="str">
        <f>IF($G$171="Y","---&gt;","...")</f>
        <v>...</v>
      </c>
      <c r="C223" s="1" t="str">
        <f>IF($G$171="Y",'Population Definitions'!$A$7,"...")</f>
        <v>...</v>
      </c>
      <c r="E223" s="2"/>
      <c r="F223" s="3"/>
      <c r="G223" s="2"/>
      <c r="H223" s="4" t="str">
        <f>IF($G$171="Y","OR","...")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>
      <c r="A224" s="1" t="str">
        <f>IF($H$171="Y",'Population Definitions'!$A$5,"...")</f>
        <v>...</v>
      </c>
      <c r="B224" s="4" t="str">
        <f>IF($H$171="Y","---&gt;","...")</f>
        <v>...</v>
      </c>
      <c r="C224" s="1" t="str">
        <f>IF($H$171="Y",'Population Definitions'!$A$8,"...")</f>
        <v>...</v>
      </c>
      <c r="E224" s="2"/>
      <c r="F224" s="3"/>
      <c r="G224" s="2"/>
      <c r="H224" s="4" t="str">
        <f>IF($H$171="Y","OR","...")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>
      <c r="A225" s="1" t="str">
        <f>IF($I$171="Y",'Population Definitions'!$A$5,"...")</f>
        <v>...</v>
      </c>
      <c r="B225" s="4" t="str">
        <f>IF($I$171="Y","---&gt;","...")</f>
        <v>...</v>
      </c>
      <c r="C225" s="1" t="str">
        <f>IF($I$171="Y",'Population Definitions'!$A$9,"...")</f>
        <v>...</v>
      </c>
      <c r="E225" s="2"/>
      <c r="F225" s="3"/>
      <c r="G225" s="2"/>
      <c r="H225" s="4" t="str">
        <f>IF($I$171="Y","OR","...")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>
      <c r="A226" s="1" t="str">
        <f>IF($J$171="Y",'Population Definitions'!$A$5,"...")</f>
        <v>...</v>
      </c>
      <c r="B226" s="4" t="str">
        <f>IF($J$171="Y","---&gt;","...")</f>
        <v>...</v>
      </c>
      <c r="C226" s="1" t="str">
        <f>IF($J$171="Y",'Population Definitions'!$A$10,"...")</f>
        <v>...</v>
      </c>
      <c r="E226" s="2"/>
      <c r="F226" s="3"/>
      <c r="G226" s="2"/>
      <c r="H226" s="4" t="str">
        <f>IF($J$171="Y","OR","...")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>
      <c r="A227" s="1" t="str">
        <f>IF($K$171="Y",'Population Definitions'!$A$5,"...")</f>
        <v>...</v>
      </c>
      <c r="B227" s="4" t="str">
        <f>IF($K$171="Y","---&gt;","...")</f>
        <v>...</v>
      </c>
      <c r="C227" s="1" t="str">
        <f>IF($K$171="Y",'Population Definitions'!$A$11,"...")</f>
        <v>...</v>
      </c>
      <c r="E227" s="2"/>
      <c r="F227" s="3"/>
      <c r="G227" s="2"/>
      <c r="H227" s="4" t="str">
        <f>IF($K$171="Y","OR","...")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>
      <c r="A228" s="1" t="str">
        <f>IF($L$171="Y",'Population Definitions'!$A$5,"...")</f>
        <v>...</v>
      </c>
      <c r="B228" s="4" t="str">
        <f>IF($L$171="Y","---&gt;","...")</f>
        <v>...</v>
      </c>
      <c r="C228" s="1" t="str">
        <f>IF($L$171="Y",'Population Definitions'!$A$12,"...")</f>
        <v>...</v>
      </c>
      <c r="E228" s="2"/>
      <c r="F228" s="3"/>
      <c r="G228" s="2"/>
      <c r="H228" s="4" t="str">
        <f>IF($L$171="Y","OR","...")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>
      <c r="A229" s="1" t="str">
        <f>IF($M$171="Y",'Population Definitions'!$A$5,"...")</f>
        <v>...</v>
      </c>
      <c r="B229" s="4" t="str">
        <f>IF($M$171="Y","---&gt;","...")</f>
        <v>...</v>
      </c>
      <c r="C229" s="1" t="str">
        <f>IF($M$171="Y",'Population Definitions'!$A$13,"...")</f>
        <v>...</v>
      </c>
      <c r="E229" s="2"/>
      <c r="F229" s="3"/>
      <c r="G229" s="2"/>
      <c r="H229" s="4" t="str">
        <f>IF($M$171="Y","OR","...")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>
      <c r="A230" s="1" t="str">
        <f>IF($B$172="Y",'Population Definitions'!$A$6,"...")</f>
        <v>...</v>
      </c>
      <c r="B230" s="4" t="str">
        <f>IF($B$172="Y","---&gt;","...")</f>
        <v>...</v>
      </c>
      <c r="C230" s="1" t="str">
        <f>IF($B$172="Y",'Population Definitions'!$A$2,"...")</f>
        <v>...</v>
      </c>
      <c r="E230" s="2"/>
      <c r="F230" s="3"/>
      <c r="G230" s="2"/>
      <c r="H230" s="4" t="str">
        <f>IF($B$172="Y","OR","...")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>
      <c r="A231" s="1" t="str">
        <f>IF($C$172="Y",'Population Definitions'!$A$6,"...")</f>
        <v>...</v>
      </c>
      <c r="B231" s="4" t="str">
        <f>IF($C$172="Y","---&gt;","...")</f>
        <v>...</v>
      </c>
      <c r="C231" s="1" t="str">
        <f>IF($C$172="Y",'Population Definitions'!$A$3,"...")</f>
        <v>...</v>
      </c>
      <c r="E231" s="2"/>
      <c r="F231" s="3"/>
      <c r="G231" s="2"/>
      <c r="H231" s="4" t="str">
        <f>IF($C$172="Y","OR","...")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>
      <c r="A232" s="1" t="str">
        <f>IF($D$172="Y",'Population Definitions'!$A$6,"...")</f>
        <v>...</v>
      </c>
      <c r="B232" s="4" t="str">
        <f>IF($D$172="Y","---&gt;","...")</f>
        <v>...</v>
      </c>
      <c r="C232" s="1" t="str">
        <f>IF($D$172="Y",'Population Definitions'!$A$4,"...")</f>
        <v>...</v>
      </c>
      <c r="E232" s="2"/>
      <c r="F232" s="3"/>
      <c r="G232" s="2"/>
      <c r="H232" s="4" t="str">
        <f>IF($D$172="Y","OR","...")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>
      <c r="A233" s="1" t="str">
        <f>IF($E$172="Y",'Population Definitions'!$A$6,"...")</f>
        <v>...</v>
      </c>
      <c r="B233" s="4" t="str">
        <f>IF($E$172="Y","---&gt;","...")</f>
        <v>...</v>
      </c>
      <c r="C233" s="1" t="str">
        <f>IF($E$172="Y",'Population Definitions'!$A$5,"...")</f>
        <v>...</v>
      </c>
      <c r="E233" s="2"/>
      <c r="F233" s="3"/>
      <c r="G233" s="2"/>
      <c r="H233" s="4" t="str">
        <f>IF($E$172="Y","OR","...")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>
      <c r="A234" s="1" t="str">
        <f>IF($F$172="Y",'Population Definitions'!$A$6,"...")</f>
        <v>...</v>
      </c>
      <c r="B234" s="4" t="str">
        <f>IF($F$172="Y","---&gt;","...")</f>
        <v>...</v>
      </c>
      <c r="C234" s="1" t="str">
        <f>IF($F$172="Y",'Population Definitions'!$A$6,"...")</f>
        <v>...</v>
      </c>
      <c r="E234" s="2"/>
      <c r="F234" s="3"/>
      <c r="G234" s="2"/>
      <c r="H234" s="4" t="str">
        <f>IF($F$172="Y","OR","...")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>
      <c r="A235" s="1" t="str">
        <f>IF($G$172="Y",'Population Definitions'!$A$6,"...")</f>
        <v>...</v>
      </c>
      <c r="B235" s="4" t="str">
        <f>IF($G$172="Y","---&gt;","...")</f>
        <v>...</v>
      </c>
      <c r="C235" s="1" t="str">
        <f>IF($G$172="Y",'Population Definitions'!$A$7,"...")</f>
        <v>...</v>
      </c>
      <c r="E235" s="2"/>
      <c r="F235" s="3"/>
      <c r="G235" s="2"/>
      <c r="H235" s="4" t="str">
        <f>IF($G$172="Y","OR","...")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>
      <c r="A236" s="1" t="str">
        <f>IF($H$172="Y",'Population Definitions'!$A$6,"...")</f>
        <v>...</v>
      </c>
      <c r="B236" s="4" t="str">
        <f>IF($H$172="Y","---&gt;","...")</f>
        <v>...</v>
      </c>
      <c r="C236" s="1" t="str">
        <f>IF($H$172="Y",'Population Definitions'!$A$8,"...")</f>
        <v>...</v>
      </c>
      <c r="E236" s="2"/>
      <c r="F236" s="3"/>
      <c r="G236" s="2"/>
      <c r="H236" s="4" t="str">
        <f>IF($H$172="Y","OR","...")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>
      <c r="A237" s="1" t="str">
        <f>IF($I$172="Y",'Population Definitions'!$A$6,"...")</f>
        <v>...</v>
      </c>
      <c r="B237" s="4" t="str">
        <f>IF($I$172="Y","---&gt;","...")</f>
        <v>...</v>
      </c>
      <c r="C237" s="1" t="str">
        <f>IF($I$172="Y",'Population Definitions'!$A$9,"...")</f>
        <v>...</v>
      </c>
      <c r="E237" s="2"/>
      <c r="F237" s="3"/>
      <c r="G237" s="2"/>
      <c r="H237" s="4" t="str">
        <f>IF($I$172="Y","OR","...")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>
      <c r="A238" s="1" t="str">
        <f>IF($J$172="Y",'Population Definitions'!$A$6,"...")</f>
        <v>...</v>
      </c>
      <c r="B238" s="4" t="str">
        <f>IF($J$172="Y","---&gt;","...")</f>
        <v>...</v>
      </c>
      <c r="C238" s="1" t="str">
        <f>IF($J$172="Y",'Population Definitions'!$A$10,"...")</f>
        <v>...</v>
      </c>
      <c r="E238" s="2"/>
      <c r="F238" s="3"/>
      <c r="G238" s="2"/>
      <c r="H238" s="4" t="str">
        <f>IF($J$172="Y","OR","...")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IF($K$172="Y",'Population Definitions'!$A$6,"...")</f>
        <v>...</v>
      </c>
      <c r="B239" s="4" t="str">
        <f>IF($K$172="Y","---&gt;","...")</f>
        <v>...</v>
      </c>
      <c r="C239" s="1" t="str">
        <f>IF($K$172="Y",'Population Definitions'!$A$11,"...")</f>
        <v>...</v>
      </c>
      <c r="E239" s="2"/>
      <c r="F239" s="3"/>
      <c r="G239" s="2"/>
      <c r="H239" s="4" t="str">
        <f>IF($K$172="Y","OR","...")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IF($L$172="Y",'Population Definitions'!$A$6,"...")</f>
        <v>...</v>
      </c>
      <c r="B240" s="4" t="str">
        <f>IF($L$172="Y","---&gt;","...")</f>
        <v>...</v>
      </c>
      <c r="C240" s="1" t="str">
        <f>IF($L$172="Y",'Population Definitions'!$A$12,"...")</f>
        <v>...</v>
      </c>
      <c r="E240" s="2"/>
      <c r="F240" s="3"/>
      <c r="G240" s="2"/>
      <c r="H240" s="4" t="str">
        <f>IF($L$172="Y","OR","...")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IF($M$172="Y",'Population Definitions'!$A$6,"...")</f>
        <v>...</v>
      </c>
      <c r="B241" s="4" t="str">
        <f>IF($M$172="Y","---&gt;","...")</f>
        <v>...</v>
      </c>
      <c r="C241" s="1" t="str">
        <f>IF($M$172="Y",'Population Definitions'!$A$13,"...")</f>
        <v>...</v>
      </c>
      <c r="E241" s="2"/>
      <c r="F241" s="3"/>
      <c r="G241" s="2"/>
      <c r="H241" s="4" t="str">
        <f>IF($M$172="Y","OR","...")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IF($B$173="Y",'Population Definitions'!$A$7,"...")</f>
        <v>...</v>
      </c>
      <c r="B242" s="4" t="str">
        <f>IF($B$173="Y","---&gt;","...")</f>
        <v>...</v>
      </c>
      <c r="C242" s="1" t="str">
        <f>IF($B$173="Y",'Population Definitions'!$A$2,"...")</f>
        <v>...</v>
      </c>
      <c r="E242" s="2"/>
      <c r="F242" s="3"/>
      <c r="G242" s="2"/>
      <c r="H242" s="4" t="str">
        <f>IF($B$173="Y","OR","...")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IF($C$173="Y",'Population Definitions'!$A$7,"...")</f>
        <v>...</v>
      </c>
      <c r="B243" s="4" t="str">
        <f>IF($C$173="Y","---&gt;","...")</f>
        <v>...</v>
      </c>
      <c r="C243" s="1" t="str">
        <f>IF($C$173="Y",'Population Definitions'!$A$3,"...")</f>
        <v>...</v>
      </c>
      <c r="E243" s="2"/>
      <c r="F243" s="3"/>
      <c r="G243" s="2"/>
      <c r="H243" s="4" t="str">
        <f>IF($C$173="Y","OR","...")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IF($D$173="Y",'Population Definitions'!$A$7,"...")</f>
        <v>...</v>
      </c>
      <c r="B244" s="4" t="str">
        <f>IF($D$173="Y","---&gt;","...")</f>
        <v>...</v>
      </c>
      <c r="C244" s="1" t="str">
        <f>IF($D$173="Y",'Population Definitions'!$A$4,"...")</f>
        <v>...</v>
      </c>
      <c r="E244" s="2"/>
      <c r="F244" s="3"/>
      <c r="G244" s="2"/>
      <c r="H244" s="4" t="str">
        <f>IF($D$173="Y","OR","...")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IF($E$173="Y",'Population Definitions'!$A$7,"...")</f>
        <v>...</v>
      </c>
      <c r="B245" s="4" t="str">
        <f>IF($E$173="Y","---&gt;","...")</f>
        <v>...</v>
      </c>
      <c r="C245" s="1" t="str">
        <f>IF($E$173="Y",'Population Definitions'!$A$5,"...")</f>
        <v>...</v>
      </c>
      <c r="E245" s="2"/>
      <c r="F245" s="3"/>
      <c r="G245" s="2"/>
      <c r="H245" s="4" t="str">
        <f>IF($E$173="Y","OR","...")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IF($F$173="Y",'Population Definitions'!$A$7,"...")</f>
        <v>...</v>
      </c>
      <c r="B246" s="4" t="str">
        <f>IF($F$173="Y","---&gt;","...")</f>
        <v>...</v>
      </c>
      <c r="C246" s="1" t="str">
        <f>IF($F$173="Y",'Population Definitions'!$A$6,"...")</f>
        <v>...</v>
      </c>
      <c r="E246" s="2"/>
      <c r="F246" s="3"/>
      <c r="G246" s="2"/>
      <c r="H246" s="4" t="str">
        <f>IF($F$173="Y","OR","...")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IF($G$173="Y",'Population Definitions'!$A$7,"...")</f>
        <v>...</v>
      </c>
      <c r="B247" s="4" t="str">
        <f>IF($G$173="Y","---&gt;","...")</f>
        <v>...</v>
      </c>
      <c r="C247" s="1" t="str">
        <f>IF($G$173="Y",'Population Definitions'!$A$7,"...")</f>
        <v>...</v>
      </c>
      <c r="E247" s="2"/>
      <c r="F247" s="3"/>
      <c r="G247" s="2"/>
      <c r="H247" s="4" t="str">
        <f>IF($G$173="Y","OR","...")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IF($H$173="Y",'Population Definitions'!$A$7,"...")</f>
        <v>...</v>
      </c>
      <c r="B248" s="4" t="str">
        <f>IF($H$173="Y","---&gt;","...")</f>
        <v>...</v>
      </c>
      <c r="C248" s="1" t="str">
        <f>IF($H$173="Y",'Population Definitions'!$A$8,"...")</f>
        <v>...</v>
      </c>
      <c r="E248" s="2"/>
      <c r="F248" s="3"/>
      <c r="G248" s="2"/>
      <c r="H248" s="4" t="str">
        <f>IF($H$173="Y","OR","...")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IF($I$173="Y",'Population Definitions'!$A$7,"...")</f>
        <v>...</v>
      </c>
      <c r="B249" s="4" t="str">
        <f>IF($I$173="Y","---&gt;","...")</f>
        <v>...</v>
      </c>
      <c r="C249" s="1" t="str">
        <f>IF($I$173="Y",'Population Definitions'!$A$9,"...")</f>
        <v>...</v>
      </c>
      <c r="E249" s="2"/>
      <c r="F249" s="3"/>
      <c r="G249" s="2"/>
      <c r="H249" s="4" t="str">
        <f>IF($I$173="Y","OR","...")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IF($J$173="Y",'Population Definitions'!$A$7,"...")</f>
        <v>...</v>
      </c>
      <c r="B250" s="4" t="str">
        <f>IF($J$173="Y","---&gt;","...")</f>
        <v>...</v>
      </c>
      <c r="C250" s="1" t="str">
        <f>IF($J$173="Y",'Population Definitions'!$A$10,"...")</f>
        <v>...</v>
      </c>
      <c r="E250" s="2"/>
      <c r="F250" s="3"/>
      <c r="G250" s="2"/>
      <c r="H250" s="4" t="str">
        <f>IF($J$173="Y","OR","...")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IF($K$173="Y",'Population Definitions'!$A$7,"...")</f>
        <v>...</v>
      </c>
      <c r="B251" s="4" t="str">
        <f>IF($K$173="Y","---&gt;","...")</f>
        <v>...</v>
      </c>
      <c r="C251" s="1" t="str">
        <f>IF($K$173="Y",'Population Definitions'!$A$11,"...")</f>
        <v>...</v>
      </c>
      <c r="E251" s="2"/>
      <c r="F251" s="3"/>
      <c r="G251" s="2"/>
      <c r="H251" s="4" t="str">
        <f>IF($K$173="Y","OR","...")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IF($L$173="Y",'Population Definitions'!$A$7,"...")</f>
        <v>...</v>
      </c>
      <c r="B252" s="4" t="str">
        <f>IF($L$173="Y","---&gt;","...")</f>
        <v>...</v>
      </c>
      <c r="C252" s="1" t="str">
        <f>IF($L$173="Y",'Population Definitions'!$A$12,"...")</f>
        <v>...</v>
      </c>
      <c r="E252" s="2"/>
      <c r="F252" s="3"/>
      <c r="G252" s="2"/>
      <c r="H252" s="4" t="str">
        <f>IF($L$173="Y","OR","...")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IF($M$173="Y",'Population Definitions'!$A$7,"...")</f>
        <v>...</v>
      </c>
      <c r="B253" s="4" t="str">
        <f>IF($M$173="Y","---&gt;","...")</f>
        <v>...</v>
      </c>
      <c r="C253" s="1" t="str">
        <f>IF($M$173="Y",'Population Definitions'!$A$13,"...")</f>
        <v>...</v>
      </c>
      <c r="E253" s="2"/>
      <c r="F253" s="3"/>
      <c r="G253" s="2"/>
      <c r="H253" s="4" t="str">
        <f>IF($M$173="Y","OR","...")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IF($B$174="Y",'Population Definitions'!$A$8,"...")</f>
        <v>18-64_males</v>
      </c>
      <c r="B254" s="4" t="str">
        <f>IF($B$174="Y","---&gt;","...")</f>
        <v>---&gt;</v>
      </c>
      <c r="C254" s="1" t="str">
        <f>IF($B$174="Y",'Population Definitions'!$A$2,"...")</f>
        <v>PWID_males</v>
      </c>
      <c r="E254" s="3" t="s">
        <v>53</v>
      </c>
      <c r="F254" s="3"/>
      <c r="G254" s="3">
        <v>0.0002066653561271972</v>
      </c>
      <c r="H254" s="4" t="str">
        <f>IF($B$174="Y","OR","...")</f>
        <v>OR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</row>
    <row r="255" spans="1:59">
      <c r="A255" s="1" t="str">
        <f>IF($C$174="Y",'Population Definitions'!$A$8,"...")</f>
        <v>...</v>
      </c>
      <c r="B255" s="4" t="str">
        <f>IF($C$174="Y","---&gt;","...")</f>
        <v>...</v>
      </c>
      <c r="C255" s="1" t="str">
        <f>IF($C$174="Y",'Population Definitions'!$A$3,"...")</f>
        <v>...</v>
      </c>
      <c r="E255" s="2"/>
      <c r="F255" s="3"/>
      <c r="G255" s="2"/>
      <c r="H255" s="4" t="str">
        <f>IF($C$174="Y","OR","...")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IF($D$174="Y",'Population Definitions'!$A$8,"...")</f>
        <v>...</v>
      </c>
      <c r="B256" s="4" t="str">
        <f>IF($D$174="Y","---&gt;","...")</f>
        <v>...</v>
      </c>
      <c r="C256" s="1" t="str">
        <f>IF($D$174="Y",'Population Definitions'!$A$4,"...")</f>
        <v>...</v>
      </c>
      <c r="E256" s="2"/>
      <c r="F256" s="3"/>
      <c r="G256" s="2"/>
      <c r="H256" s="4" t="str">
        <f>IF($D$174="Y","OR","...")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IF($E$174="Y",'Population Definitions'!$A$8,"...")</f>
        <v>...</v>
      </c>
      <c r="B257" s="4" t="str">
        <f>IF($E$174="Y","---&gt;","...")</f>
        <v>...</v>
      </c>
      <c r="C257" s="1" t="str">
        <f>IF($E$174="Y",'Population Definitions'!$A$5,"...")</f>
        <v>...</v>
      </c>
      <c r="E257" s="2"/>
      <c r="F257" s="3"/>
      <c r="G257" s="2"/>
      <c r="H257" s="4" t="str">
        <f>IF($E$174="Y","OR","...")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IF($F$174="Y",'Population Definitions'!$A$8,"...")</f>
        <v>...</v>
      </c>
      <c r="B258" s="4" t="str">
        <f>IF($F$174="Y","---&gt;","...")</f>
        <v>...</v>
      </c>
      <c r="C258" s="1" t="str">
        <f>IF($F$174="Y",'Population Definitions'!$A$6,"...")</f>
        <v>...</v>
      </c>
      <c r="E258" s="2"/>
      <c r="F258" s="3"/>
      <c r="G258" s="2"/>
      <c r="H258" s="4" t="str">
        <f>IF($F$174="Y","OR","...")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IF($G$174="Y",'Population Definitions'!$A$8,"...")</f>
        <v>...</v>
      </c>
      <c r="B259" s="4" t="str">
        <f>IF($G$174="Y","---&gt;","...")</f>
        <v>...</v>
      </c>
      <c r="C259" s="1" t="str">
        <f>IF($G$174="Y",'Population Definitions'!$A$7,"...")</f>
        <v>...</v>
      </c>
      <c r="E259" s="2"/>
      <c r="F259" s="3"/>
      <c r="G259" s="2"/>
      <c r="H259" s="4" t="str">
        <f>IF($G$174="Y","OR","...")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IF($H$174="Y",'Population Definitions'!$A$8,"...")</f>
        <v>...</v>
      </c>
      <c r="B260" s="4" t="str">
        <f>IF($H$174="Y","---&gt;","...")</f>
        <v>...</v>
      </c>
      <c r="C260" s="1" t="str">
        <f>IF($H$174="Y",'Population Definitions'!$A$8,"...")</f>
        <v>...</v>
      </c>
      <c r="E260" s="2"/>
      <c r="F260" s="3"/>
      <c r="G260" s="2"/>
      <c r="H260" s="4" t="str">
        <f>IF($H$174="Y","OR","...")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IF($I$174="Y",'Population Definitions'!$A$8,"...")</f>
        <v>...</v>
      </c>
      <c r="B261" s="4" t="str">
        <f>IF($I$174="Y","---&gt;","...")</f>
        <v>...</v>
      </c>
      <c r="C261" s="1" t="str">
        <f>IF($I$174="Y",'Population Definitions'!$A$9,"...")</f>
        <v>...</v>
      </c>
      <c r="E261" s="2"/>
      <c r="F261" s="3"/>
      <c r="G261" s="2"/>
      <c r="H261" s="4" t="str">
        <f>IF($I$174="Y","OR","...")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IF($J$174="Y",'Population Definitions'!$A$8,"...")</f>
        <v>...</v>
      </c>
      <c r="B262" s="4" t="str">
        <f>IF($J$174="Y","---&gt;","...")</f>
        <v>...</v>
      </c>
      <c r="C262" s="1" t="str">
        <f>IF($J$174="Y",'Population Definitions'!$A$10,"...")</f>
        <v>...</v>
      </c>
      <c r="E262" s="2"/>
      <c r="F262" s="3"/>
      <c r="G262" s="2"/>
      <c r="H262" s="4" t="str">
        <f>IF($J$174="Y","OR","...")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IF($K$174="Y",'Population Definitions'!$A$8,"...")</f>
        <v>...</v>
      </c>
      <c r="B263" s="4" t="str">
        <f>IF($K$174="Y","---&gt;","...")</f>
        <v>...</v>
      </c>
      <c r="C263" s="1" t="str">
        <f>IF($K$174="Y",'Population Definitions'!$A$11,"...")</f>
        <v>...</v>
      </c>
      <c r="E263" s="2"/>
      <c r="F263" s="3"/>
      <c r="G263" s="2"/>
      <c r="H263" s="4" t="str">
        <f>IF($K$174="Y","OR","...")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IF($L$174="Y",'Population Definitions'!$A$8,"...")</f>
        <v>...</v>
      </c>
      <c r="B264" s="4" t="str">
        <f>IF($L$174="Y","---&gt;","...")</f>
        <v>...</v>
      </c>
      <c r="C264" s="1" t="str">
        <f>IF($L$174="Y",'Population Definitions'!$A$12,"...")</f>
        <v>...</v>
      </c>
      <c r="E264" s="2"/>
      <c r="F264" s="3"/>
      <c r="G264" s="2"/>
      <c r="H264" s="4" t="str">
        <f>IF($L$174="Y","OR","...")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IF($M$174="Y",'Population Definitions'!$A$8,"...")</f>
        <v>...</v>
      </c>
      <c r="B265" s="4" t="str">
        <f>IF($M$174="Y","---&gt;","...")</f>
        <v>...</v>
      </c>
      <c r="C265" s="1" t="str">
        <f>IF($M$174="Y",'Population Definitions'!$A$13,"...")</f>
        <v>...</v>
      </c>
      <c r="E265" s="2"/>
      <c r="F265" s="3"/>
      <c r="G265" s="2"/>
      <c r="H265" s="4" t="str">
        <f>IF($M$174="Y","OR","...")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IF($B$175="Y",'Population Definitions'!$A$9,"...")</f>
        <v>...</v>
      </c>
      <c r="B266" s="4" t="str">
        <f>IF($B$175="Y","---&gt;","...")</f>
        <v>...</v>
      </c>
      <c r="C266" s="1" t="str">
        <f>IF($B$175="Y",'Population Definitions'!$A$2,"...")</f>
        <v>...</v>
      </c>
      <c r="E266" s="2"/>
      <c r="F266" s="3"/>
      <c r="G266" s="2"/>
      <c r="H266" s="4" t="str">
        <f>IF($B$175="Y","OR","...")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IF($C$175="Y",'Population Definitions'!$A$9,"...")</f>
        <v>18-64_females</v>
      </c>
      <c r="B267" s="4" t="str">
        <f>IF($C$175="Y","---&gt;","...")</f>
        <v>---&gt;</v>
      </c>
      <c r="C267" s="1" t="str">
        <f>IF($C$175="Y",'Population Definitions'!$A$3,"...")</f>
        <v>PWID_females</v>
      </c>
      <c r="E267" s="3" t="s">
        <v>53</v>
      </c>
      <c r="F267" s="3"/>
      <c r="G267" s="3">
        <v>6.215036592500111E-05</v>
      </c>
      <c r="H267" s="4" t="str">
        <f>IF($C$175="Y","OR","...")</f>
        <v>OR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</row>
    <row r="268" spans="1:59">
      <c r="A268" s="1" t="str">
        <f>IF($D$175="Y",'Population Definitions'!$A$9,"...")</f>
        <v>...</v>
      </c>
      <c r="B268" s="4" t="str">
        <f>IF($D$175="Y","---&gt;","...")</f>
        <v>...</v>
      </c>
      <c r="C268" s="1" t="str">
        <f>IF($D$175="Y",'Population Definitions'!$A$4,"...")</f>
        <v>...</v>
      </c>
      <c r="E268" s="2"/>
      <c r="F268" s="3"/>
      <c r="G268" s="2"/>
      <c r="H268" s="4" t="str">
        <f>IF($D$175="Y","OR","...")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IF($E$175="Y",'Population Definitions'!$A$9,"...")</f>
        <v>...</v>
      </c>
      <c r="B269" s="4" t="str">
        <f>IF($E$175="Y","---&gt;","...")</f>
        <v>...</v>
      </c>
      <c r="C269" s="1" t="str">
        <f>IF($E$175="Y",'Population Definitions'!$A$5,"...")</f>
        <v>...</v>
      </c>
      <c r="E269" s="2"/>
      <c r="F269" s="3"/>
      <c r="G269" s="2"/>
      <c r="H269" s="4" t="str">
        <f>IF($E$175="Y","OR","...")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IF($F$175="Y",'Population Definitions'!$A$9,"...")</f>
        <v>...</v>
      </c>
      <c r="B270" s="4" t="str">
        <f>IF($F$175="Y","---&gt;","...")</f>
        <v>...</v>
      </c>
      <c r="C270" s="1" t="str">
        <f>IF($F$175="Y",'Population Definitions'!$A$6,"...")</f>
        <v>...</v>
      </c>
      <c r="E270" s="2"/>
      <c r="F270" s="3"/>
      <c r="G270" s="2"/>
      <c r="H270" s="4" t="str">
        <f>IF($F$175="Y","OR","...")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IF($G$175="Y",'Population Definitions'!$A$9,"...")</f>
        <v>...</v>
      </c>
      <c r="B271" s="4" t="str">
        <f>IF($G$175="Y","---&gt;","...")</f>
        <v>...</v>
      </c>
      <c r="C271" s="1" t="str">
        <f>IF($G$175="Y",'Population Definitions'!$A$7,"...")</f>
        <v>...</v>
      </c>
      <c r="E271" s="2"/>
      <c r="F271" s="3"/>
      <c r="G271" s="2"/>
      <c r="H271" s="4" t="str">
        <f>IF($G$175="Y","OR","...")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IF($H$175="Y",'Population Definitions'!$A$9,"...")</f>
        <v>...</v>
      </c>
      <c r="B272" s="4" t="str">
        <f>IF($H$175="Y","---&gt;","...")</f>
        <v>...</v>
      </c>
      <c r="C272" s="1" t="str">
        <f>IF($H$175="Y",'Population Definitions'!$A$8,"...")</f>
        <v>...</v>
      </c>
      <c r="E272" s="2"/>
      <c r="F272" s="3"/>
      <c r="G272" s="2"/>
      <c r="H272" s="4" t="str">
        <f>IF($H$175="Y","OR","...")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IF($I$175="Y",'Population Definitions'!$A$9,"...")</f>
        <v>...</v>
      </c>
      <c r="B273" s="4" t="str">
        <f>IF($I$175="Y","---&gt;","...")</f>
        <v>...</v>
      </c>
      <c r="C273" s="1" t="str">
        <f>IF($I$175="Y",'Population Definitions'!$A$9,"...")</f>
        <v>...</v>
      </c>
      <c r="E273" s="2"/>
      <c r="F273" s="3"/>
      <c r="G273" s="2"/>
      <c r="H273" s="4" t="str">
        <f>IF($I$175="Y","OR","...")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IF($J$175="Y",'Population Definitions'!$A$9,"...")</f>
        <v>...</v>
      </c>
      <c r="B274" s="4" t="str">
        <f>IF($J$175="Y","---&gt;","...")</f>
        <v>...</v>
      </c>
      <c r="C274" s="1" t="str">
        <f>IF($J$175="Y",'Population Definitions'!$A$10,"...")</f>
        <v>...</v>
      </c>
      <c r="E274" s="2"/>
      <c r="F274" s="3"/>
      <c r="G274" s="2"/>
      <c r="H274" s="4" t="str">
        <f>IF($J$175="Y","OR","...")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IF($K$175="Y",'Population Definitions'!$A$9,"...")</f>
        <v>...</v>
      </c>
      <c r="B275" s="4" t="str">
        <f>IF($K$175="Y","---&gt;","...")</f>
        <v>...</v>
      </c>
      <c r="C275" s="1" t="str">
        <f>IF($K$175="Y",'Population Definitions'!$A$11,"...")</f>
        <v>...</v>
      </c>
      <c r="E275" s="2"/>
      <c r="F275" s="3"/>
      <c r="G275" s="2"/>
      <c r="H275" s="4" t="str">
        <f>IF($K$175="Y","OR","...")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IF($L$175="Y",'Population Definitions'!$A$9,"...")</f>
        <v>...</v>
      </c>
      <c r="B276" s="4" t="str">
        <f>IF($L$175="Y","---&gt;","...")</f>
        <v>...</v>
      </c>
      <c r="C276" s="1" t="str">
        <f>IF($L$175="Y",'Population Definitions'!$A$12,"...")</f>
        <v>...</v>
      </c>
      <c r="E276" s="2"/>
      <c r="F276" s="3"/>
      <c r="G276" s="2"/>
      <c r="H276" s="4" t="str">
        <f>IF($L$175="Y","OR","...")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IF($M$175="Y",'Population Definitions'!$A$9,"...")</f>
        <v>...</v>
      </c>
      <c r="B277" s="4" t="str">
        <f>IF($M$175="Y","---&gt;","...")</f>
        <v>...</v>
      </c>
      <c r="C277" s="1" t="str">
        <f>IF($M$175="Y",'Population Definitions'!$A$13,"...")</f>
        <v>...</v>
      </c>
      <c r="E277" s="2"/>
      <c r="F277" s="3"/>
      <c r="G277" s="2"/>
      <c r="H277" s="4" t="str">
        <f>IF($M$175="Y","OR","...")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IF($B$176="Y",'Population Definitions'!$A$10,"...")</f>
        <v>...</v>
      </c>
      <c r="B278" s="4" t="str">
        <f>IF($B$176="Y","---&gt;","...")</f>
        <v>...</v>
      </c>
      <c r="C278" s="1" t="str">
        <f>IF($B$176="Y",'Population Definitions'!$A$2,"...")</f>
        <v>...</v>
      </c>
      <c r="E278" s="2"/>
      <c r="F278" s="3"/>
      <c r="G278" s="2"/>
      <c r="H278" s="4" t="str">
        <f>IF($B$176="Y","OR","...")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IF($C$176="Y",'Population Definitions'!$A$10,"...")</f>
        <v>...</v>
      </c>
      <c r="B279" s="4" t="str">
        <f>IF($C$176="Y","---&gt;","...")</f>
        <v>...</v>
      </c>
      <c r="C279" s="1" t="str">
        <f>IF($C$176="Y",'Population Definitions'!$A$3,"...")</f>
        <v>...</v>
      </c>
      <c r="E279" s="2"/>
      <c r="F279" s="3"/>
      <c r="G279" s="2"/>
      <c r="H279" s="4" t="str">
        <f>IF($C$176="Y","OR","...")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IF($D$176="Y",'Population Definitions'!$A$10,"...")</f>
        <v>...</v>
      </c>
      <c r="B280" s="4" t="str">
        <f>IF($D$176="Y","---&gt;","...")</f>
        <v>...</v>
      </c>
      <c r="C280" s="1" t="str">
        <f>IF($D$176="Y",'Population Definitions'!$A$4,"...")</f>
        <v>...</v>
      </c>
      <c r="E280" s="2"/>
      <c r="F280" s="3"/>
      <c r="G280" s="2"/>
      <c r="H280" s="4" t="str">
        <f>IF($D$176="Y","OR","...")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IF($E$176="Y",'Population Definitions'!$A$10,"...")</f>
        <v>...</v>
      </c>
      <c r="B281" s="4" t="str">
        <f>IF($E$176="Y","---&gt;","...")</f>
        <v>...</v>
      </c>
      <c r="C281" s="1" t="str">
        <f>IF($E$176="Y",'Population Definitions'!$A$5,"...")</f>
        <v>...</v>
      </c>
      <c r="E281" s="2"/>
      <c r="F281" s="3"/>
      <c r="G281" s="2"/>
      <c r="H281" s="4" t="str">
        <f>IF($E$176="Y","OR","...")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IF($F$176="Y",'Population Definitions'!$A$10,"...")</f>
        <v>...</v>
      </c>
      <c r="B282" s="4" t="str">
        <f>IF($F$176="Y","---&gt;","...")</f>
        <v>...</v>
      </c>
      <c r="C282" s="1" t="str">
        <f>IF($F$176="Y",'Population Definitions'!$A$6,"...")</f>
        <v>...</v>
      </c>
      <c r="E282" s="2"/>
      <c r="F282" s="3"/>
      <c r="G282" s="2"/>
      <c r="H282" s="4" t="str">
        <f>IF($F$176="Y","OR","...")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IF($G$176="Y",'Population Definitions'!$A$10,"...")</f>
        <v>...</v>
      </c>
      <c r="B283" s="4" t="str">
        <f>IF($G$176="Y","---&gt;","...")</f>
        <v>...</v>
      </c>
      <c r="C283" s="1" t="str">
        <f>IF($G$176="Y",'Population Definitions'!$A$7,"...")</f>
        <v>...</v>
      </c>
      <c r="E283" s="2"/>
      <c r="F283" s="3"/>
      <c r="G283" s="2"/>
      <c r="H283" s="4" t="str">
        <f>IF($G$176="Y","OR","...")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IF($H$176="Y",'Population Definitions'!$A$10,"...")</f>
        <v>...</v>
      </c>
      <c r="B284" s="4" t="str">
        <f>IF($H$176="Y","---&gt;","...")</f>
        <v>...</v>
      </c>
      <c r="C284" s="1" t="str">
        <f>IF($H$176="Y",'Population Definitions'!$A$8,"...")</f>
        <v>...</v>
      </c>
      <c r="E284" s="2"/>
      <c r="F284" s="3"/>
      <c r="G284" s="2"/>
      <c r="H284" s="4" t="str">
        <f>IF($H$176="Y","OR","...")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IF($I$176="Y",'Population Definitions'!$A$10,"...")</f>
        <v>...</v>
      </c>
      <c r="B285" s="4" t="str">
        <f>IF($I$176="Y","---&gt;","...")</f>
        <v>...</v>
      </c>
      <c r="C285" s="1" t="str">
        <f>IF($I$176="Y",'Population Definitions'!$A$9,"...")</f>
        <v>...</v>
      </c>
      <c r="E285" s="2"/>
      <c r="F285" s="3"/>
      <c r="G285" s="2"/>
      <c r="H285" s="4" t="str">
        <f>IF($I$176="Y","OR","...")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IF($J$176="Y",'Population Definitions'!$A$10,"...")</f>
        <v>...</v>
      </c>
      <c r="B286" s="4" t="str">
        <f>IF($J$176="Y","---&gt;","...")</f>
        <v>...</v>
      </c>
      <c r="C286" s="1" t="str">
        <f>IF($J$176="Y",'Population Definitions'!$A$10,"...")</f>
        <v>...</v>
      </c>
      <c r="E286" s="2"/>
      <c r="F286" s="3"/>
      <c r="G286" s="2"/>
      <c r="H286" s="4" t="str">
        <f>IF($J$176="Y","OR","...")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IF($K$176="Y",'Population Definitions'!$A$10,"...")</f>
        <v>...</v>
      </c>
      <c r="B287" s="4" t="str">
        <f>IF($K$176="Y","---&gt;","...")</f>
        <v>...</v>
      </c>
      <c r="C287" s="1" t="str">
        <f>IF($K$176="Y",'Population Definitions'!$A$11,"...")</f>
        <v>...</v>
      </c>
      <c r="E287" s="2"/>
      <c r="F287" s="3"/>
      <c r="G287" s="2"/>
      <c r="H287" s="4" t="str">
        <f>IF($K$176="Y","OR","...")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IF($L$176="Y",'Population Definitions'!$A$10,"...")</f>
        <v>...</v>
      </c>
      <c r="B288" s="4" t="str">
        <f>IF($L$176="Y","---&gt;","...")</f>
        <v>...</v>
      </c>
      <c r="C288" s="1" t="str">
        <f>IF($L$176="Y",'Population Definitions'!$A$12,"...")</f>
        <v>...</v>
      </c>
      <c r="E288" s="2"/>
      <c r="F288" s="3"/>
      <c r="G288" s="2"/>
      <c r="H288" s="4" t="str">
        <f>IF($L$176="Y","OR","...")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IF($M$176="Y",'Population Definitions'!$A$10,"...")</f>
        <v>...</v>
      </c>
      <c r="B289" s="4" t="str">
        <f>IF($M$176="Y","---&gt;","...")</f>
        <v>...</v>
      </c>
      <c r="C289" s="1" t="str">
        <f>IF($M$176="Y",'Population Definitions'!$A$13,"...")</f>
        <v>...</v>
      </c>
      <c r="E289" s="2"/>
      <c r="F289" s="3"/>
      <c r="G289" s="2"/>
      <c r="H289" s="4" t="str">
        <f>IF($M$176="Y","OR","...")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IF($B$177="Y",'Population Definitions'!$A$11,"...")</f>
        <v>...</v>
      </c>
      <c r="B290" s="4" t="str">
        <f>IF($B$177="Y","---&gt;","...")</f>
        <v>...</v>
      </c>
      <c r="C290" s="1" t="str">
        <f>IF($B$177="Y",'Population Definitions'!$A$2,"...")</f>
        <v>...</v>
      </c>
      <c r="E290" s="2"/>
      <c r="F290" s="3"/>
      <c r="G290" s="2"/>
      <c r="H290" s="4" t="str">
        <f>IF($B$177="Y","OR","...")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IF($C$177="Y",'Population Definitions'!$A$11,"...")</f>
        <v>...</v>
      </c>
      <c r="B291" s="4" t="str">
        <f>IF($C$177="Y","---&gt;","...")</f>
        <v>...</v>
      </c>
      <c r="C291" s="1" t="str">
        <f>IF($C$177="Y",'Population Definitions'!$A$3,"...")</f>
        <v>...</v>
      </c>
      <c r="E291" s="2"/>
      <c r="F291" s="3"/>
      <c r="G291" s="2"/>
      <c r="H291" s="4" t="str">
        <f>IF($C$177="Y","OR","...")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IF($D$177="Y",'Population Definitions'!$A$11,"...")</f>
        <v>...</v>
      </c>
      <c r="B292" s="4" t="str">
        <f>IF($D$177="Y","---&gt;","...")</f>
        <v>...</v>
      </c>
      <c r="C292" s="1" t="str">
        <f>IF($D$177="Y",'Population Definitions'!$A$4,"...")</f>
        <v>...</v>
      </c>
      <c r="E292" s="2"/>
      <c r="F292" s="3"/>
      <c r="G292" s="2"/>
      <c r="H292" s="4" t="str">
        <f>IF($D$177="Y","OR","...")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IF($E$177="Y",'Population Definitions'!$A$11,"...")</f>
        <v>...</v>
      </c>
      <c r="B293" s="4" t="str">
        <f>IF($E$177="Y","---&gt;","...")</f>
        <v>...</v>
      </c>
      <c r="C293" s="1" t="str">
        <f>IF($E$177="Y",'Population Definitions'!$A$5,"...")</f>
        <v>...</v>
      </c>
      <c r="E293" s="2"/>
      <c r="F293" s="3"/>
      <c r="G293" s="2"/>
      <c r="H293" s="4" t="str">
        <f>IF($E$177="Y","OR","...")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IF($F$177="Y",'Population Definitions'!$A$11,"...")</f>
        <v>...</v>
      </c>
      <c r="B294" s="4" t="str">
        <f>IF($F$177="Y","---&gt;","...")</f>
        <v>...</v>
      </c>
      <c r="C294" s="1" t="str">
        <f>IF($F$177="Y",'Population Definitions'!$A$6,"...")</f>
        <v>...</v>
      </c>
      <c r="E294" s="2"/>
      <c r="F294" s="3"/>
      <c r="G294" s="2"/>
      <c r="H294" s="4" t="str">
        <f>IF($F$177="Y","OR","...")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IF($G$177="Y",'Population Definitions'!$A$11,"...")</f>
        <v>...</v>
      </c>
      <c r="B295" s="4" t="str">
        <f>IF($G$177="Y","---&gt;","...")</f>
        <v>...</v>
      </c>
      <c r="C295" s="1" t="str">
        <f>IF($G$177="Y",'Population Definitions'!$A$7,"...")</f>
        <v>...</v>
      </c>
      <c r="E295" s="2"/>
      <c r="F295" s="3"/>
      <c r="G295" s="2"/>
      <c r="H295" s="4" t="str">
        <f>IF($G$177="Y","OR","...")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IF($H$177="Y",'Population Definitions'!$A$11,"...")</f>
        <v>...</v>
      </c>
      <c r="B296" s="4" t="str">
        <f>IF($H$177="Y","---&gt;","...")</f>
        <v>...</v>
      </c>
      <c r="C296" s="1" t="str">
        <f>IF($H$177="Y",'Population Definitions'!$A$8,"...")</f>
        <v>...</v>
      </c>
      <c r="E296" s="2"/>
      <c r="F296" s="3"/>
      <c r="G296" s="2"/>
      <c r="H296" s="4" t="str">
        <f>IF($H$177="Y","OR","...")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IF($I$177="Y",'Population Definitions'!$A$11,"...")</f>
        <v>...</v>
      </c>
      <c r="B297" s="4" t="str">
        <f>IF($I$177="Y","---&gt;","...")</f>
        <v>...</v>
      </c>
      <c r="C297" s="1" t="str">
        <f>IF($I$177="Y",'Population Definitions'!$A$9,"...")</f>
        <v>...</v>
      </c>
      <c r="E297" s="2"/>
      <c r="F297" s="3"/>
      <c r="G297" s="2"/>
      <c r="H297" s="4" t="str">
        <f>IF($I$177="Y","OR","...")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IF($J$177="Y",'Population Definitions'!$A$11,"...")</f>
        <v>...</v>
      </c>
      <c r="B298" s="4" t="str">
        <f>IF($J$177="Y","---&gt;","...")</f>
        <v>...</v>
      </c>
      <c r="C298" s="1" t="str">
        <f>IF($J$177="Y",'Population Definitions'!$A$10,"...")</f>
        <v>...</v>
      </c>
      <c r="E298" s="2"/>
      <c r="F298" s="3"/>
      <c r="G298" s="2"/>
      <c r="H298" s="4" t="str">
        <f>IF($J$177="Y","OR","...")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IF($K$177="Y",'Population Definitions'!$A$11,"...")</f>
        <v>...</v>
      </c>
      <c r="B299" s="4" t="str">
        <f>IF($K$177="Y","---&gt;","...")</f>
        <v>...</v>
      </c>
      <c r="C299" s="1" t="str">
        <f>IF($K$177="Y",'Population Definitions'!$A$11,"...")</f>
        <v>...</v>
      </c>
      <c r="E299" s="2"/>
      <c r="F299" s="3"/>
      <c r="G299" s="2"/>
      <c r="H299" s="4" t="str">
        <f>IF($K$177="Y","OR","...")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IF($L$177="Y",'Population Definitions'!$A$11,"...")</f>
        <v>...</v>
      </c>
      <c r="B300" s="4" t="str">
        <f>IF($L$177="Y","---&gt;","...")</f>
        <v>...</v>
      </c>
      <c r="C300" s="1" t="str">
        <f>IF($L$177="Y",'Population Definitions'!$A$12,"...")</f>
        <v>...</v>
      </c>
      <c r="E300" s="2"/>
      <c r="F300" s="3"/>
      <c r="G300" s="2"/>
      <c r="H300" s="4" t="str">
        <f>IF($L$177="Y","OR","...")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IF($M$177="Y",'Population Definitions'!$A$11,"...")</f>
        <v>...</v>
      </c>
      <c r="B301" s="4" t="str">
        <f>IF($M$177="Y","---&gt;","...")</f>
        <v>...</v>
      </c>
      <c r="C301" s="1" t="str">
        <f>IF($M$177="Y",'Population Definitions'!$A$13,"...")</f>
        <v>...</v>
      </c>
      <c r="E301" s="2"/>
      <c r="F301" s="3"/>
      <c r="G301" s="2"/>
      <c r="H301" s="4" t="str">
        <f>IF($M$177="Y","OR","...")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IF($B$178="Y",'Population Definitions'!$A$12,"...")</f>
        <v>...</v>
      </c>
      <c r="B302" s="4" t="str">
        <f>IF($B$178="Y","---&gt;","...")</f>
        <v>...</v>
      </c>
      <c r="C302" s="1" t="str">
        <f>IF($B$178="Y",'Population Definitions'!$A$2,"...")</f>
        <v>...</v>
      </c>
      <c r="E302" s="2"/>
      <c r="F302" s="3"/>
      <c r="G302" s="2"/>
      <c r="H302" s="4" t="str">
        <f>IF($B$178="Y","OR","...")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IF($C$178="Y",'Population Definitions'!$A$12,"...")</f>
        <v>...</v>
      </c>
      <c r="B303" s="4" t="str">
        <f>IF($C$178="Y","---&gt;","...")</f>
        <v>...</v>
      </c>
      <c r="C303" s="1" t="str">
        <f>IF($C$178="Y",'Population Definitions'!$A$3,"...")</f>
        <v>...</v>
      </c>
      <c r="E303" s="2"/>
      <c r="F303" s="3"/>
      <c r="G303" s="2"/>
      <c r="H303" s="4" t="str">
        <f>IF($C$178="Y","OR","...")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IF($D$178="Y",'Population Definitions'!$A$12,"...")</f>
        <v>...</v>
      </c>
      <c r="B304" s="4" t="str">
        <f>IF($D$178="Y","---&gt;","...")</f>
        <v>...</v>
      </c>
      <c r="C304" s="1" t="str">
        <f>IF($D$178="Y",'Population Definitions'!$A$4,"...")</f>
        <v>...</v>
      </c>
      <c r="E304" s="2"/>
      <c r="F304" s="3"/>
      <c r="G304" s="2"/>
      <c r="H304" s="4" t="str">
        <f>IF($D$178="Y","OR","...")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IF($E$178="Y",'Population Definitions'!$A$12,"...")</f>
        <v>...</v>
      </c>
      <c r="B305" s="4" t="str">
        <f>IF($E$178="Y","---&gt;","...")</f>
        <v>...</v>
      </c>
      <c r="C305" s="1" t="str">
        <f>IF($E$178="Y",'Population Definitions'!$A$5,"...")</f>
        <v>...</v>
      </c>
      <c r="E305" s="2"/>
      <c r="F305" s="3"/>
      <c r="G305" s="2"/>
      <c r="H305" s="4" t="str">
        <f>IF($E$178="Y","OR","...")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IF($F$178="Y",'Population Definitions'!$A$12,"...")</f>
        <v>...</v>
      </c>
      <c r="B306" s="4" t="str">
        <f>IF($F$178="Y","---&gt;","...")</f>
        <v>...</v>
      </c>
      <c r="C306" s="1" t="str">
        <f>IF($F$178="Y",'Population Definitions'!$A$6,"...")</f>
        <v>...</v>
      </c>
      <c r="E306" s="2"/>
      <c r="F306" s="3"/>
      <c r="G306" s="2"/>
      <c r="H306" s="4" t="str">
        <f>IF($F$178="Y","OR","...")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IF($G$178="Y",'Population Definitions'!$A$12,"...")</f>
        <v>...</v>
      </c>
      <c r="B307" s="4" t="str">
        <f>IF($G$178="Y","---&gt;","...")</f>
        <v>...</v>
      </c>
      <c r="C307" s="1" t="str">
        <f>IF($G$178="Y",'Population Definitions'!$A$7,"...")</f>
        <v>...</v>
      </c>
      <c r="E307" s="2"/>
      <c r="F307" s="3"/>
      <c r="G307" s="2"/>
      <c r="H307" s="4" t="str">
        <f>IF($G$178="Y","OR","...")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IF($H$178="Y",'Population Definitions'!$A$12,"...")</f>
        <v>...</v>
      </c>
      <c r="B308" s="4" t="str">
        <f>IF($H$178="Y","---&gt;","...")</f>
        <v>...</v>
      </c>
      <c r="C308" s="1" t="str">
        <f>IF($H$178="Y",'Population Definitions'!$A$8,"...")</f>
        <v>...</v>
      </c>
      <c r="E308" s="2"/>
      <c r="F308" s="3"/>
      <c r="G308" s="2"/>
      <c r="H308" s="4" t="str">
        <f>IF($H$178="Y","OR","...")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IF($I$178="Y",'Population Definitions'!$A$12,"...")</f>
        <v>...</v>
      </c>
      <c r="B309" s="4" t="str">
        <f>IF($I$178="Y","---&gt;","...")</f>
        <v>...</v>
      </c>
      <c r="C309" s="1" t="str">
        <f>IF($I$178="Y",'Population Definitions'!$A$9,"...")</f>
        <v>...</v>
      </c>
      <c r="E309" s="2"/>
      <c r="F309" s="3"/>
      <c r="G309" s="2"/>
      <c r="H309" s="4" t="str">
        <f>IF($I$178="Y","OR","...")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IF($J$178="Y",'Population Definitions'!$A$12,"...")</f>
        <v>...</v>
      </c>
      <c r="B310" s="4" t="str">
        <f>IF($J$178="Y","---&gt;","...")</f>
        <v>...</v>
      </c>
      <c r="C310" s="1" t="str">
        <f>IF($J$178="Y",'Population Definitions'!$A$10,"...")</f>
        <v>...</v>
      </c>
      <c r="E310" s="2"/>
      <c r="F310" s="3"/>
      <c r="G310" s="2"/>
      <c r="H310" s="4" t="str">
        <f>IF($J$178="Y","OR","...")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IF($K$178="Y",'Population Definitions'!$A$12,"...")</f>
        <v>...</v>
      </c>
      <c r="B311" s="4" t="str">
        <f>IF($K$178="Y","---&gt;","...")</f>
        <v>...</v>
      </c>
      <c r="C311" s="1" t="str">
        <f>IF($K$178="Y",'Population Definitions'!$A$11,"...")</f>
        <v>...</v>
      </c>
      <c r="E311" s="2"/>
      <c r="F311" s="3"/>
      <c r="G311" s="2"/>
      <c r="H311" s="4" t="str">
        <f>IF($K$178="Y","OR","...")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IF($L$178="Y",'Population Definitions'!$A$12,"...")</f>
        <v>...</v>
      </c>
      <c r="B312" s="4" t="str">
        <f>IF($L$178="Y","---&gt;","...")</f>
        <v>...</v>
      </c>
      <c r="C312" s="1" t="str">
        <f>IF($L$178="Y",'Population Definitions'!$A$12,"...")</f>
        <v>...</v>
      </c>
      <c r="E312" s="2"/>
      <c r="F312" s="3"/>
      <c r="G312" s="2"/>
      <c r="H312" s="4" t="str">
        <f>IF($L$178="Y","OR","...")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IF($M$178="Y",'Population Definitions'!$A$12,"...")</f>
        <v>...</v>
      </c>
      <c r="B313" s="4" t="str">
        <f>IF($M$178="Y","---&gt;","...")</f>
        <v>...</v>
      </c>
      <c r="C313" s="1" t="str">
        <f>IF($M$178="Y",'Population Definitions'!$A$13,"...")</f>
        <v>...</v>
      </c>
      <c r="E313" s="2"/>
      <c r="F313" s="3"/>
      <c r="G313" s="2"/>
      <c r="H313" s="4" t="str">
        <f>IF($M$178="Y","OR","...")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IF($B$179="Y",'Population Definitions'!$A$13,"...")</f>
        <v>...</v>
      </c>
      <c r="B314" s="4" t="str">
        <f>IF($B$179="Y","---&gt;","...")</f>
        <v>...</v>
      </c>
      <c r="C314" s="1" t="str">
        <f>IF($B$179="Y",'Population Definitions'!$A$2,"...")</f>
        <v>...</v>
      </c>
      <c r="E314" s="2"/>
      <c r="F314" s="3"/>
      <c r="G314" s="2"/>
      <c r="H314" s="4" t="str">
        <f>IF($B$179="Y","OR","...")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IF($C$179="Y",'Population Definitions'!$A$13,"...")</f>
        <v>...</v>
      </c>
      <c r="B315" s="4" t="str">
        <f>IF($C$179="Y","---&gt;","...")</f>
        <v>...</v>
      </c>
      <c r="C315" s="1" t="str">
        <f>IF($C$179="Y",'Population Definitions'!$A$3,"...")</f>
        <v>...</v>
      </c>
      <c r="E315" s="2"/>
      <c r="F315" s="3"/>
      <c r="G315" s="2"/>
      <c r="H315" s="4" t="str">
        <f>IF($C$179="Y","OR","...")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IF($D$179="Y",'Population Definitions'!$A$13,"...")</f>
        <v>...</v>
      </c>
      <c r="B316" s="4" t="str">
        <f>IF($D$179="Y","---&gt;","...")</f>
        <v>...</v>
      </c>
      <c r="C316" s="1" t="str">
        <f>IF($D$179="Y",'Population Definitions'!$A$4,"...")</f>
        <v>...</v>
      </c>
      <c r="E316" s="2"/>
      <c r="F316" s="3"/>
      <c r="G316" s="2"/>
      <c r="H316" s="4" t="str">
        <f>IF($D$179="Y","OR","...")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IF($E$179="Y",'Population Definitions'!$A$13,"...")</f>
        <v>...</v>
      </c>
      <c r="B317" s="4" t="str">
        <f>IF($E$179="Y","---&gt;","...")</f>
        <v>...</v>
      </c>
      <c r="C317" s="1" t="str">
        <f>IF($E$179="Y",'Population Definitions'!$A$5,"...")</f>
        <v>...</v>
      </c>
      <c r="E317" s="2"/>
      <c r="F317" s="3"/>
      <c r="G317" s="2"/>
      <c r="H317" s="4" t="str">
        <f>IF($E$179="Y","OR","...")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IF($F$179="Y",'Population Definitions'!$A$13,"...")</f>
        <v>...</v>
      </c>
      <c r="B318" s="4" t="str">
        <f>IF($F$179="Y","---&gt;","...")</f>
        <v>...</v>
      </c>
      <c r="C318" s="1" t="str">
        <f>IF($F$179="Y",'Population Definitions'!$A$6,"...")</f>
        <v>...</v>
      </c>
      <c r="E318" s="2"/>
      <c r="F318" s="3"/>
      <c r="G318" s="2"/>
      <c r="H318" s="4" t="str">
        <f>IF($F$179="Y","OR","...")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IF($G$179="Y",'Population Definitions'!$A$13,"...")</f>
        <v>...</v>
      </c>
      <c r="B319" s="4" t="str">
        <f>IF($G$179="Y","---&gt;","...")</f>
        <v>...</v>
      </c>
      <c r="C319" s="1" t="str">
        <f>IF($G$179="Y",'Population Definitions'!$A$7,"...")</f>
        <v>...</v>
      </c>
      <c r="E319" s="2"/>
      <c r="F319" s="3"/>
      <c r="G319" s="2"/>
      <c r="H319" s="4" t="str">
        <f>IF($G$179="Y","OR","...")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IF($H$179="Y",'Population Definitions'!$A$13,"...")</f>
        <v>...</v>
      </c>
      <c r="B320" s="4" t="str">
        <f>IF($H$179="Y","---&gt;","...")</f>
        <v>...</v>
      </c>
      <c r="C320" s="1" t="str">
        <f>IF($H$179="Y",'Population Definitions'!$A$8,"...")</f>
        <v>...</v>
      </c>
      <c r="E320" s="2"/>
      <c r="F320" s="3"/>
      <c r="G320" s="2"/>
      <c r="H320" s="4" t="str">
        <f>IF($H$179="Y","OR","...")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IF($I$179="Y",'Population Definitions'!$A$13,"...")</f>
        <v>...</v>
      </c>
      <c r="B321" s="4" t="str">
        <f>IF($I$179="Y","---&gt;","...")</f>
        <v>...</v>
      </c>
      <c r="C321" s="1" t="str">
        <f>IF($I$179="Y",'Population Definitions'!$A$9,"...")</f>
        <v>...</v>
      </c>
      <c r="E321" s="2"/>
      <c r="F321" s="3"/>
      <c r="G321" s="2"/>
      <c r="H321" s="4" t="str">
        <f>IF($I$179="Y","OR","...")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IF($J$179="Y",'Population Definitions'!$A$13,"...")</f>
        <v>...</v>
      </c>
      <c r="B322" s="4" t="str">
        <f>IF($J$179="Y","---&gt;","...")</f>
        <v>...</v>
      </c>
      <c r="C322" s="1" t="str">
        <f>IF($J$179="Y",'Population Definitions'!$A$10,"...")</f>
        <v>...</v>
      </c>
      <c r="E322" s="2"/>
      <c r="F322" s="3"/>
      <c r="G322" s="2"/>
      <c r="H322" s="4" t="str">
        <f>IF($J$179="Y","OR","...")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IF($K$179="Y",'Population Definitions'!$A$13,"...")</f>
        <v>...</v>
      </c>
      <c r="B323" s="4" t="str">
        <f>IF($K$179="Y","---&gt;","...")</f>
        <v>...</v>
      </c>
      <c r="C323" s="1" t="str">
        <f>IF($K$179="Y",'Population Definitions'!$A$11,"...")</f>
        <v>...</v>
      </c>
      <c r="E323" s="2"/>
      <c r="F323" s="3"/>
      <c r="G323" s="2"/>
      <c r="H323" s="4" t="str">
        <f>IF($K$179="Y","OR","...")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IF($L$179="Y",'Population Definitions'!$A$13,"...")</f>
        <v>...</v>
      </c>
      <c r="B324" s="4" t="str">
        <f>IF($L$179="Y","---&gt;","...")</f>
        <v>...</v>
      </c>
      <c r="C324" s="1" t="str">
        <f>IF($L$179="Y",'Population Definitions'!$A$12,"...")</f>
        <v>...</v>
      </c>
      <c r="E324" s="2"/>
      <c r="F324" s="3"/>
      <c r="G324" s="2"/>
      <c r="H324" s="4" t="str">
        <f>IF($L$179="Y","OR","...")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IF($M$179="Y",'Population Definitions'!$A$13,"...")</f>
        <v>...</v>
      </c>
      <c r="B325" s="4" t="str">
        <f>IF($M$179="Y","---&gt;","...")</f>
        <v>...</v>
      </c>
      <c r="C325" s="1" t="str">
        <f>IF($M$179="Y",'Population Definitions'!$A$13,"...")</f>
        <v>...</v>
      </c>
      <c r="E325" s="2"/>
      <c r="F325" s="3"/>
      <c r="G325" s="2"/>
      <c r="H325" s="4" t="str">
        <f>IF($M$179="Y","OR","...")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7" spans="1:59">
      <c r="A327" s="1" t="s">
        <v>0</v>
      </c>
      <c r="B327" s="1" t="s">
        <v>1</v>
      </c>
      <c r="C327" s="1" t="s">
        <v>223</v>
      </c>
      <c r="D327" s="1" t="s">
        <v>224</v>
      </c>
    </row>
    <row r="328" spans="1:59">
      <c r="A328" t="s">
        <v>642</v>
      </c>
      <c r="B328" t="s">
        <v>643</v>
      </c>
      <c r="C328" t="s">
        <v>5</v>
      </c>
      <c r="D328" t="s">
        <v>5</v>
      </c>
    </row>
    <row r="330" spans="1:59">
      <c r="B330" s="1" t="str">
        <f>'Population Definitions'!$A$2</f>
        <v>PWID_males</v>
      </c>
      <c r="C330" s="1" t="str">
        <f>'Population Definitions'!$A$3</f>
        <v>PWID_females</v>
      </c>
      <c r="D330" s="1" t="str">
        <f>'Population Definitions'!$A$4</f>
        <v>0-9_males</v>
      </c>
      <c r="E330" s="1" t="str">
        <f>'Population Definitions'!$A$5</f>
        <v>0-9_females</v>
      </c>
      <c r="F330" s="1" t="str">
        <f>'Population Definitions'!$A$6</f>
        <v>10-17_males</v>
      </c>
      <c r="G330" s="1" t="str">
        <f>'Population Definitions'!$A$7</f>
        <v>10-17_females</v>
      </c>
      <c r="H330" s="1" t="str">
        <f>'Population Definitions'!$A$8</f>
        <v>18-64_males</v>
      </c>
      <c r="I330" s="1" t="str">
        <f>'Population Definitions'!$A$9</f>
        <v>18-64_females</v>
      </c>
      <c r="J330" s="1" t="str">
        <f>'Population Definitions'!$A$10</f>
        <v>65+_males</v>
      </c>
      <c r="K330" s="1" t="str">
        <f>'Population Definitions'!$A$11</f>
        <v>65+_females</v>
      </c>
      <c r="L330" s="1" t="str">
        <f>'Population Definitions'!$A$12</f>
        <v>Prisoners_males</v>
      </c>
      <c r="M330" s="1" t="str">
        <f>'Population Definitions'!$A$13</f>
        <v>Prisoners_females</v>
      </c>
    </row>
    <row r="331" spans="1:59">
      <c r="A331" s="1" t="str">
        <f>'Population Definitions'!$A$2</f>
        <v>PWID_males</v>
      </c>
      <c r="B331" s="4" t="s">
        <v>56</v>
      </c>
      <c r="C331" s="5" t="s">
        <v>226</v>
      </c>
      <c r="D331" s="5" t="s">
        <v>226</v>
      </c>
      <c r="E331" s="5" t="s">
        <v>226</v>
      </c>
      <c r="F331" s="5" t="s">
        <v>226</v>
      </c>
      <c r="G331" s="5" t="s">
        <v>226</v>
      </c>
      <c r="H331" s="5" t="s">
        <v>226</v>
      </c>
      <c r="I331" s="5" t="s">
        <v>226</v>
      </c>
      <c r="J331" s="5" t="s">
        <v>226</v>
      </c>
      <c r="K331" s="5" t="s">
        <v>226</v>
      </c>
      <c r="L331" s="5" t="s">
        <v>225</v>
      </c>
      <c r="M331" s="5" t="s">
        <v>226</v>
      </c>
    </row>
    <row r="332" spans="1:59">
      <c r="A332" s="1" t="str">
        <f>'Population Definitions'!$A$3</f>
        <v>PWID_females</v>
      </c>
      <c r="B332" s="5" t="s">
        <v>226</v>
      </c>
      <c r="C332" s="4" t="s">
        <v>56</v>
      </c>
      <c r="D332" s="5" t="s">
        <v>226</v>
      </c>
      <c r="E332" s="5" t="s">
        <v>226</v>
      </c>
      <c r="F332" s="5" t="s">
        <v>226</v>
      </c>
      <c r="G332" s="5" t="s">
        <v>226</v>
      </c>
      <c r="H332" s="5" t="s">
        <v>226</v>
      </c>
      <c r="I332" s="5" t="s">
        <v>226</v>
      </c>
      <c r="J332" s="5" t="s">
        <v>226</v>
      </c>
      <c r="K332" s="5" t="s">
        <v>226</v>
      </c>
      <c r="L332" s="5" t="s">
        <v>226</v>
      </c>
      <c r="M332" s="5" t="s">
        <v>225</v>
      </c>
    </row>
    <row r="333" spans="1:59">
      <c r="A333" s="1" t="str">
        <f>'Population Definitions'!$A$4</f>
        <v>0-9_males</v>
      </c>
      <c r="B333" s="5" t="s">
        <v>226</v>
      </c>
      <c r="C333" s="5" t="s">
        <v>226</v>
      </c>
      <c r="D333" s="4" t="s">
        <v>56</v>
      </c>
      <c r="E333" s="5" t="s">
        <v>226</v>
      </c>
      <c r="F333" s="5" t="s">
        <v>226</v>
      </c>
      <c r="G333" s="5" t="s">
        <v>226</v>
      </c>
      <c r="H333" s="5" t="s">
        <v>226</v>
      </c>
      <c r="I333" s="5" t="s">
        <v>226</v>
      </c>
      <c r="J333" s="5" t="s">
        <v>226</v>
      </c>
      <c r="K333" s="5" t="s">
        <v>226</v>
      </c>
      <c r="L333" s="5" t="s">
        <v>226</v>
      </c>
      <c r="M333" s="5" t="s">
        <v>226</v>
      </c>
    </row>
    <row r="334" spans="1:59">
      <c r="A334" s="1" t="str">
        <f>'Population Definitions'!$A$5</f>
        <v>0-9_females</v>
      </c>
      <c r="B334" s="5" t="s">
        <v>226</v>
      </c>
      <c r="C334" s="5" t="s">
        <v>226</v>
      </c>
      <c r="D334" s="5" t="s">
        <v>226</v>
      </c>
      <c r="E334" s="4" t="s">
        <v>56</v>
      </c>
      <c r="F334" s="5" t="s">
        <v>226</v>
      </c>
      <c r="G334" s="5" t="s">
        <v>226</v>
      </c>
      <c r="H334" s="5" t="s">
        <v>226</v>
      </c>
      <c r="I334" s="5" t="s">
        <v>226</v>
      </c>
      <c r="J334" s="5" t="s">
        <v>226</v>
      </c>
      <c r="K334" s="5" t="s">
        <v>226</v>
      </c>
      <c r="L334" s="5" t="s">
        <v>226</v>
      </c>
      <c r="M334" s="5" t="s">
        <v>226</v>
      </c>
    </row>
    <row r="335" spans="1:59">
      <c r="A335" s="1" t="str">
        <f>'Population Definitions'!$A$6</f>
        <v>10-17_males</v>
      </c>
      <c r="B335" s="5" t="s">
        <v>226</v>
      </c>
      <c r="C335" s="5" t="s">
        <v>226</v>
      </c>
      <c r="D335" s="5" t="s">
        <v>226</v>
      </c>
      <c r="E335" s="5" t="s">
        <v>226</v>
      </c>
      <c r="F335" s="4" t="s">
        <v>56</v>
      </c>
      <c r="G335" s="5" t="s">
        <v>226</v>
      </c>
      <c r="H335" s="5" t="s">
        <v>226</v>
      </c>
      <c r="I335" s="5" t="s">
        <v>226</v>
      </c>
      <c r="J335" s="5" t="s">
        <v>226</v>
      </c>
      <c r="K335" s="5" t="s">
        <v>226</v>
      </c>
      <c r="L335" s="5" t="s">
        <v>226</v>
      </c>
      <c r="M335" s="5" t="s">
        <v>226</v>
      </c>
    </row>
    <row r="336" spans="1:59">
      <c r="A336" s="1" t="str">
        <f>'Population Definitions'!$A$7</f>
        <v>10-17_females</v>
      </c>
      <c r="B336" s="5" t="s">
        <v>226</v>
      </c>
      <c r="C336" s="5" t="s">
        <v>226</v>
      </c>
      <c r="D336" s="5" t="s">
        <v>226</v>
      </c>
      <c r="E336" s="5" t="s">
        <v>226</v>
      </c>
      <c r="F336" s="5" t="s">
        <v>226</v>
      </c>
      <c r="G336" s="4" t="s">
        <v>56</v>
      </c>
      <c r="H336" s="5" t="s">
        <v>226</v>
      </c>
      <c r="I336" s="5" t="s">
        <v>226</v>
      </c>
      <c r="J336" s="5" t="s">
        <v>226</v>
      </c>
      <c r="K336" s="5" t="s">
        <v>226</v>
      </c>
      <c r="L336" s="5" t="s">
        <v>226</v>
      </c>
      <c r="M336" s="5" t="s">
        <v>226</v>
      </c>
    </row>
    <row r="337" spans="1:59">
      <c r="A337" s="1" t="str">
        <f>'Population Definitions'!$A$8</f>
        <v>18-64_males</v>
      </c>
      <c r="B337" s="5" t="s">
        <v>226</v>
      </c>
      <c r="C337" s="5" t="s">
        <v>226</v>
      </c>
      <c r="D337" s="5" t="s">
        <v>226</v>
      </c>
      <c r="E337" s="5" t="s">
        <v>226</v>
      </c>
      <c r="F337" s="5" t="s">
        <v>226</v>
      </c>
      <c r="G337" s="5" t="s">
        <v>226</v>
      </c>
      <c r="H337" s="4" t="s">
        <v>56</v>
      </c>
      <c r="I337" s="5" t="s">
        <v>226</v>
      </c>
      <c r="J337" s="5" t="s">
        <v>226</v>
      </c>
      <c r="K337" s="5" t="s">
        <v>226</v>
      </c>
      <c r="L337" s="5" t="s">
        <v>225</v>
      </c>
      <c r="M337" s="5" t="s">
        <v>226</v>
      </c>
    </row>
    <row r="338" spans="1:59">
      <c r="A338" s="1" t="str">
        <f>'Population Definitions'!$A$9</f>
        <v>18-64_females</v>
      </c>
      <c r="B338" s="5" t="s">
        <v>226</v>
      </c>
      <c r="C338" s="5" t="s">
        <v>226</v>
      </c>
      <c r="D338" s="5" t="s">
        <v>226</v>
      </c>
      <c r="E338" s="5" t="s">
        <v>226</v>
      </c>
      <c r="F338" s="5" t="s">
        <v>226</v>
      </c>
      <c r="G338" s="5" t="s">
        <v>226</v>
      </c>
      <c r="H338" s="5" t="s">
        <v>226</v>
      </c>
      <c r="I338" s="4" t="s">
        <v>56</v>
      </c>
      <c r="J338" s="5" t="s">
        <v>226</v>
      </c>
      <c r="K338" s="5" t="s">
        <v>226</v>
      </c>
      <c r="L338" s="5" t="s">
        <v>226</v>
      </c>
      <c r="M338" s="5" t="s">
        <v>225</v>
      </c>
    </row>
    <row r="339" spans="1:59">
      <c r="A339" s="1" t="str">
        <f>'Population Definitions'!$A$10</f>
        <v>65+_males</v>
      </c>
      <c r="B339" s="5" t="s">
        <v>226</v>
      </c>
      <c r="C339" s="5" t="s">
        <v>226</v>
      </c>
      <c r="D339" s="5" t="s">
        <v>226</v>
      </c>
      <c r="E339" s="5" t="s">
        <v>226</v>
      </c>
      <c r="F339" s="5" t="s">
        <v>226</v>
      </c>
      <c r="G339" s="5" t="s">
        <v>226</v>
      </c>
      <c r="H339" s="5" t="s">
        <v>226</v>
      </c>
      <c r="I339" s="5" t="s">
        <v>226</v>
      </c>
      <c r="J339" s="4" t="s">
        <v>56</v>
      </c>
      <c r="K339" s="5" t="s">
        <v>226</v>
      </c>
      <c r="L339" s="5" t="s">
        <v>226</v>
      </c>
      <c r="M339" s="5" t="s">
        <v>226</v>
      </c>
    </row>
    <row r="340" spans="1:59">
      <c r="A340" s="1" t="str">
        <f>'Population Definitions'!$A$11</f>
        <v>65+_females</v>
      </c>
      <c r="B340" s="5" t="s">
        <v>226</v>
      </c>
      <c r="C340" s="5" t="s">
        <v>226</v>
      </c>
      <c r="D340" s="5" t="s">
        <v>226</v>
      </c>
      <c r="E340" s="5" t="s">
        <v>226</v>
      </c>
      <c r="F340" s="5" t="s">
        <v>226</v>
      </c>
      <c r="G340" s="5" t="s">
        <v>226</v>
      </c>
      <c r="H340" s="5" t="s">
        <v>226</v>
      </c>
      <c r="I340" s="5" t="s">
        <v>226</v>
      </c>
      <c r="J340" s="5" t="s">
        <v>226</v>
      </c>
      <c r="K340" s="4" t="s">
        <v>56</v>
      </c>
      <c r="L340" s="5" t="s">
        <v>226</v>
      </c>
      <c r="M340" s="5" t="s">
        <v>226</v>
      </c>
    </row>
    <row r="341" spans="1:59">
      <c r="A341" s="1" t="str">
        <f>'Population Definitions'!$A$12</f>
        <v>Prisoners_males</v>
      </c>
      <c r="B341" s="5" t="s">
        <v>225</v>
      </c>
      <c r="C341" s="5" t="s">
        <v>226</v>
      </c>
      <c r="D341" s="5" t="s">
        <v>226</v>
      </c>
      <c r="E341" s="5" t="s">
        <v>226</v>
      </c>
      <c r="F341" s="5" t="s">
        <v>226</v>
      </c>
      <c r="G341" s="5" t="s">
        <v>226</v>
      </c>
      <c r="H341" s="5" t="s">
        <v>225</v>
      </c>
      <c r="I341" s="5" t="s">
        <v>226</v>
      </c>
      <c r="J341" s="5" t="s">
        <v>226</v>
      </c>
      <c r="K341" s="5" t="s">
        <v>226</v>
      </c>
      <c r="L341" s="4" t="s">
        <v>56</v>
      </c>
      <c r="M341" s="5" t="s">
        <v>226</v>
      </c>
    </row>
    <row r="342" spans="1:59">
      <c r="A342" s="1" t="str">
        <f>'Population Definitions'!$A$13</f>
        <v>Prisoners_females</v>
      </c>
      <c r="B342" s="5" t="s">
        <v>226</v>
      </c>
      <c r="C342" s="5" t="s">
        <v>225</v>
      </c>
      <c r="D342" s="5" t="s">
        <v>226</v>
      </c>
      <c r="E342" s="5" t="s">
        <v>226</v>
      </c>
      <c r="F342" s="5" t="s">
        <v>226</v>
      </c>
      <c r="G342" s="5" t="s">
        <v>226</v>
      </c>
      <c r="H342" s="5" t="s">
        <v>226</v>
      </c>
      <c r="I342" s="5" t="s">
        <v>225</v>
      </c>
      <c r="J342" s="5" t="s">
        <v>226</v>
      </c>
      <c r="K342" s="5" t="s">
        <v>226</v>
      </c>
      <c r="L342" s="5" t="s">
        <v>226</v>
      </c>
      <c r="M342" s="4" t="s">
        <v>56</v>
      </c>
    </row>
    <row r="344" spans="1:59">
      <c r="A344" s="1" t="s">
        <v>227</v>
      </c>
      <c r="B344" s="1"/>
      <c r="C344" s="1" t="s">
        <v>228</v>
      </c>
      <c r="D344" s="1" t="s">
        <v>29</v>
      </c>
      <c r="E344" s="1" t="s">
        <v>30</v>
      </c>
      <c r="F344" s="1" t="s">
        <v>31</v>
      </c>
      <c r="G344" s="1" t="s">
        <v>36</v>
      </c>
      <c r="H344" s="1"/>
      <c r="I344" s="1">
        <v>2000</v>
      </c>
      <c r="J344" s="1">
        <v>2001</v>
      </c>
      <c r="K344" s="1">
        <v>2002</v>
      </c>
      <c r="L344" s="1">
        <v>2003</v>
      </c>
      <c r="M344" s="1">
        <v>2004</v>
      </c>
      <c r="N344" s="1">
        <v>2005</v>
      </c>
      <c r="O344" s="1">
        <v>2006</v>
      </c>
      <c r="P344" s="1">
        <v>2007</v>
      </c>
      <c r="Q344" s="1">
        <v>2008</v>
      </c>
      <c r="R344" s="1">
        <v>2009</v>
      </c>
      <c r="S344" s="1">
        <v>2010</v>
      </c>
      <c r="T344" s="1">
        <v>2011</v>
      </c>
      <c r="U344" s="1">
        <v>2012</v>
      </c>
      <c r="V344" s="1">
        <v>2013</v>
      </c>
      <c r="W344" s="1">
        <v>2014</v>
      </c>
      <c r="X344" s="1">
        <v>2015</v>
      </c>
      <c r="Y344" s="1">
        <v>2016</v>
      </c>
      <c r="Z344" s="1">
        <v>2017</v>
      </c>
      <c r="AA344" s="1">
        <v>2018</v>
      </c>
      <c r="AB344" s="1">
        <v>2019</v>
      </c>
      <c r="AC344" s="1">
        <v>2020</v>
      </c>
      <c r="AD344" s="1">
        <v>2021</v>
      </c>
      <c r="AE344" s="1">
        <v>2022</v>
      </c>
      <c r="AF344" s="1">
        <v>2023</v>
      </c>
      <c r="AG344" s="1">
        <v>2024</v>
      </c>
      <c r="AH344" s="1">
        <v>2025</v>
      </c>
      <c r="AI344" s="1">
        <v>2026</v>
      </c>
      <c r="AJ344" s="1">
        <v>2027</v>
      </c>
      <c r="AK344" s="1">
        <v>2028</v>
      </c>
      <c r="AL344" s="1">
        <v>2029</v>
      </c>
      <c r="AM344" s="1">
        <v>2030</v>
      </c>
      <c r="AN344" s="1">
        <v>2031</v>
      </c>
      <c r="AO344" s="1">
        <v>2032</v>
      </c>
      <c r="AP344" s="1">
        <v>2033</v>
      </c>
      <c r="AQ344" s="1">
        <v>2034</v>
      </c>
      <c r="AR344" s="1">
        <v>2035</v>
      </c>
      <c r="AS344" s="1">
        <v>2036</v>
      </c>
      <c r="AT344" s="1">
        <v>2037</v>
      </c>
      <c r="AU344" s="1">
        <v>2038</v>
      </c>
      <c r="AV344" s="1">
        <v>2039</v>
      </c>
      <c r="AW344" s="1">
        <v>2040</v>
      </c>
      <c r="AX344" s="1">
        <v>2041</v>
      </c>
      <c r="AY344" s="1">
        <v>2042</v>
      </c>
      <c r="AZ344" s="1">
        <v>2043</v>
      </c>
      <c r="BA344" s="1">
        <v>2044</v>
      </c>
      <c r="BB344" s="1">
        <v>2045</v>
      </c>
      <c r="BC344" s="1">
        <v>2046</v>
      </c>
      <c r="BD344" s="1">
        <v>2047</v>
      </c>
      <c r="BE344" s="1">
        <v>2048</v>
      </c>
      <c r="BF344" s="1">
        <v>2049</v>
      </c>
      <c r="BG344" s="1">
        <v>2050</v>
      </c>
    </row>
    <row r="345" spans="1:59">
      <c r="A345" s="1" t="str">
        <f>IF($B$331="Y",'Population Definitions'!$A$2,"...")</f>
        <v>...</v>
      </c>
      <c r="B345" s="4" t="str">
        <f>IF($B$331="Y","---&gt;","...")</f>
        <v>...</v>
      </c>
      <c r="C345" s="1" t="str">
        <f>IF($B$331="Y",'Population Definitions'!$A$2,"...")</f>
        <v>...</v>
      </c>
      <c r="E345" s="2"/>
      <c r="F345" s="3"/>
      <c r="G345" s="2"/>
      <c r="H345" s="4" t="str">
        <f>IF($B$331="Y","OR","...")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IF($C$331="Y",'Population Definitions'!$A$2,"...")</f>
        <v>...</v>
      </c>
      <c r="B346" s="4" t="str">
        <f>IF($C$331="Y","---&gt;","...")</f>
        <v>...</v>
      </c>
      <c r="C346" s="1" t="str">
        <f>IF($C$331="Y",'Population Definitions'!$A$3,"...")</f>
        <v>...</v>
      </c>
      <c r="E346" s="2"/>
      <c r="F346" s="3"/>
      <c r="G346" s="2"/>
      <c r="H346" s="4" t="str">
        <f>IF($C$331="Y","OR","...")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IF($D$331="Y",'Population Definitions'!$A$2,"...")</f>
        <v>...</v>
      </c>
      <c r="B347" s="4" t="str">
        <f>IF($D$331="Y","---&gt;","...")</f>
        <v>...</v>
      </c>
      <c r="C347" s="1" t="str">
        <f>IF($D$331="Y",'Population Definitions'!$A$4,"...")</f>
        <v>...</v>
      </c>
      <c r="E347" s="2"/>
      <c r="F347" s="3"/>
      <c r="G347" s="2"/>
      <c r="H347" s="4" t="str">
        <f>IF($D$331="Y","OR","...")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IF($E$331="Y",'Population Definitions'!$A$2,"...")</f>
        <v>...</v>
      </c>
      <c r="B348" s="4" t="str">
        <f>IF($E$331="Y","---&gt;","...")</f>
        <v>...</v>
      </c>
      <c r="C348" s="1" t="str">
        <f>IF($E$331="Y",'Population Definitions'!$A$5,"...")</f>
        <v>...</v>
      </c>
      <c r="E348" s="2"/>
      <c r="F348" s="3"/>
      <c r="G348" s="2"/>
      <c r="H348" s="4" t="str">
        <f>IF($E$331="Y","OR","...")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IF($F$331="Y",'Population Definitions'!$A$2,"...")</f>
        <v>...</v>
      </c>
      <c r="B349" s="4" t="str">
        <f>IF($F$331="Y","---&gt;","...")</f>
        <v>...</v>
      </c>
      <c r="C349" s="1" t="str">
        <f>IF($F$331="Y",'Population Definitions'!$A$6,"...")</f>
        <v>...</v>
      </c>
      <c r="E349" s="2"/>
      <c r="F349" s="3"/>
      <c r="G349" s="2"/>
      <c r="H349" s="4" t="str">
        <f>IF($F$331="Y","OR","...")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IF($G$331="Y",'Population Definitions'!$A$2,"...")</f>
        <v>...</v>
      </c>
      <c r="B350" s="4" t="str">
        <f>IF($G$331="Y","---&gt;","...")</f>
        <v>...</v>
      </c>
      <c r="C350" s="1" t="str">
        <f>IF($G$331="Y",'Population Definitions'!$A$7,"...")</f>
        <v>...</v>
      </c>
      <c r="E350" s="2"/>
      <c r="F350" s="3"/>
      <c r="G350" s="2"/>
      <c r="H350" s="4" t="str">
        <f>IF($G$331="Y","OR","...")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IF($H$331="Y",'Population Definitions'!$A$2,"...")</f>
        <v>...</v>
      </c>
      <c r="B351" s="4" t="str">
        <f>IF($H$331="Y","---&gt;","...")</f>
        <v>...</v>
      </c>
      <c r="C351" s="1" t="str">
        <f>IF($H$331="Y",'Population Definitions'!$A$8,"...")</f>
        <v>...</v>
      </c>
      <c r="E351" s="2"/>
      <c r="F351" s="3"/>
      <c r="G351" s="2"/>
      <c r="H351" s="4" t="str">
        <f>IF($H$331="Y","OR","...")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IF($I$331="Y",'Population Definitions'!$A$2,"...")</f>
        <v>...</v>
      </c>
      <c r="B352" s="4" t="str">
        <f>IF($I$331="Y","---&gt;","...")</f>
        <v>...</v>
      </c>
      <c r="C352" s="1" t="str">
        <f>IF($I$331="Y",'Population Definitions'!$A$9,"...")</f>
        <v>...</v>
      </c>
      <c r="E352" s="2"/>
      <c r="F352" s="3"/>
      <c r="G352" s="2"/>
      <c r="H352" s="4" t="str">
        <f>IF($I$331="Y","OR","...")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IF($J$331="Y",'Population Definitions'!$A$2,"...")</f>
        <v>...</v>
      </c>
      <c r="B353" s="4" t="str">
        <f>IF($J$331="Y","---&gt;","...")</f>
        <v>...</v>
      </c>
      <c r="C353" s="1" t="str">
        <f>IF($J$331="Y",'Population Definitions'!$A$10,"...")</f>
        <v>...</v>
      </c>
      <c r="E353" s="2"/>
      <c r="F353" s="3"/>
      <c r="G353" s="2"/>
      <c r="H353" s="4" t="str">
        <f>IF($J$331="Y","OR","...")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IF($K$331="Y",'Population Definitions'!$A$2,"...")</f>
        <v>...</v>
      </c>
      <c r="B354" s="4" t="str">
        <f>IF($K$331="Y","---&gt;","...")</f>
        <v>...</v>
      </c>
      <c r="C354" s="1" t="str">
        <f>IF($K$331="Y",'Population Definitions'!$A$11,"...")</f>
        <v>...</v>
      </c>
      <c r="E354" s="2"/>
      <c r="F354" s="3"/>
      <c r="G354" s="2"/>
      <c r="H354" s="4" t="str">
        <f>IF($K$331="Y","OR","...")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IF($L$331="Y",'Population Definitions'!$A$2,"...")</f>
        <v>PWID_males</v>
      </c>
      <c r="B355" s="4" t="str">
        <f>IF($L$331="Y","---&gt;","...")</f>
        <v>---&gt;</v>
      </c>
      <c r="C355" s="1" t="str">
        <f>IF($L$331="Y",'Population Definitions'!$A$12,"...")</f>
        <v>Prisoners_males</v>
      </c>
      <c r="E355" s="3" t="s">
        <v>53</v>
      </c>
      <c r="F355" s="3"/>
      <c r="G355" s="3">
        <v>0</v>
      </c>
      <c r="H355" s="4" t="str">
        <f>IF($L$331="Y","OR","...")</f>
        <v>OR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1:59">
      <c r="A356" s="1" t="str">
        <f>IF($M$331="Y",'Population Definitions'!$A$2,"...")</f>
        <v>...</v>
      </c>
      <c r="B356" s="4" t="str">
        <f>IF($M$331="Y","---&gt;","...")</f>
        <v>...</v>
      </c>
      <c r="C356" s="1" t="str">
        <f>IF($M$331="Y",'Population Definitions'!$A$13,"...")</f>
        <v>...</v>
      </c>
      <c r="E356" s="2"/>
      <c r="F356" s="3"/>
      <c r="G356" s="2"/>
      <c r="H356" s="4" t="str">
        <f>IF($M$331="Y","OR","...")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IF($B$332="Y",'Population Definitions'!$A$3,"...")</f>
        <v>...</v>
      </c>
      <c r="B357" s="4" t="str">
        <f>IF($B$332="Y","---&gt;","...")</f>
        <v>...</v>
      </c>
      <c r="C357" s="1" t="str">
        <f>IF($B$332="Y",'Population Definitions'!$A$2,"...")</f>
        <v>...</v>
      </c>
      <c r="E357" s="2"/>
      <c r="F357" s="3"/>
      <c r="G357" s="2"/>
      <c r="H357" s="4" t="str">
        <f>IF($B$332="Y","OR","...")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IF($C$332="Y",'Population Definitions'!$A$3,"...")</f>
        <v>...</v>
      </c>
      <c r="B358" s="4" t="str">
        <f>IF($C$332="Y","---&gt;","...")</f>
        <v>...</v>
      </c>
      <c r="C358" s="1" t="str">
        <f>IF($C$332="Y",'Population Definitions'!$A$3,"...")</f>
        <v>...</v>
      </c>
      <c r="E358" s="2"/>
      <c r="F358" s="3"/>
      <c r="G358" s="2"/>
      <c r="H358" s="4" t="str">
        <f>IF($C$332="Y","OR","...")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IF($D$332="Y",'Population Definitions'!$A$3,"...")</f>
        <v>...</v>
      </c>
      <c r="B359" s="4" t="str">
        <f>IF($D$332="Y","---&gt;","...")</f>
        <v>...</v>
      </c>
      <c r="C359" s="1" t="str">
        <f>IF($D$332="Y",'Population Definitions'!$A$4,"...")</f>
        <v>...</v>
      </c>
      <c r="E359" s="2"/>
      <c r="F359" s="3"/>
      <c r="G359" s="2"/>
      <c r="H359" s="4" t="str">
        <f>IF($D$332="Y","OR","...")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IF($E$332="Y",'Population Definitions'!$A$3,"...")</f>
        <v>...</v>
      </c>
      <c r="B360" s="4" t="str">
        <f>IF($E$332="Y","---&gt;","...")</f>
        <v>...</v>
      </c>
      <c r="C360" s="1" t="str">
        <f>IF($E$332="Y",'Population Definitions'!$A$5,"...")</f>
        <v>...</v>
      </c>
      <c r="E360" s="2"/>
      <c r="F360" s="3"/>
      <c r="G360" s="2"/>
      <c r="H360" s="4" t="str">
        <f>IF($E$332="Y","OR","...")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IF($F$332="Y",'Population Definitions'!$A$3,"...")</f>
        <v>...</v>
      </c>
      <c r="B361" s="4" t="str">
        <f>IF($F$332="Y","---&gt;","...")</f>
        <v>...</v>
      </c>
      <c r="C361" s="1" t="str">
        <f>IF($F$332="Y",'Population Definitions'!$A$6,"...")</f>
        <v>...</v>
      </c>
      <c r="E361" s="2"/>
      <c r="F361" s="3"/>
      <c r="G361" s="2"/>
      <c r="H361" s="4" t="str">
        <f>IF($F$332="Y","OR","...")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IF($G$332="Y",'Population Definitions'!$A$3,"...")</f>
        <v>...</v>
      </c>
      <c r="B362" s="4" t="str">
        <f>IF($G$332="Y","---&gt;","...")</f>
        <v>...</v>
      </c>
      <c r="C362" s="1" t="str">
        <f>IF($G$332="Y",'Population Definitions'!$A$7,"...")</f>
        <v>...</v>
      </c>
      <c r="E362" s="2"/>
      <c r="F362" s="3"/>
      <c r="G362" s="2"/>
      <c r="H362" s="4" t="str">
        <f>IF($G$332="Y","OR","...")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IF($H$332="Y",'Population Definitions'!$A$3,"...")</f>
        <v>...</v>
      </c>
      <c r="B363" s="4" t="str">
        <f>IF($H$332="Y","---&gt;","...")</f>
        <v>...</v>
      </c>
      <c r="C363" s="1" t="str">
        <f>IF($H$332="Y",'Population Definitions'!$A$8,"...")</f>
        <v>...</v>
      </c>
      <c r="E363" s="2"/>
      <c r="F363" s="3"/>
      <c r="G363" s="2"/>
      <c r="H363" s="4" t="str">
        <f>IF($H$332="Y","OR","...")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IF($I$332="Y",'Population Definitions'!$A$3,"...")</f>
        <v>...</v>
      </c>
      <c r="B364" s="4" t="str">
        <f>IF($I$332="Y","---&gt;","...")</f>
        <v>...</v>
      </c>
      <c r="C364" s="1" t="str">
        <f>IF($I$332="Y",'Population Definitions'!$A$9,"...")</f>
        <v>...</v>
      </c>
      <c r="E364" s="2"/>
      <c r="F364" s="3"/>
      <c r="G364" s="2"/>
      <c r="H364" s="4" t="str">
        <f>IF($I$332="Y","OR","...")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IF($J$332="Y",'Population Definitions'!$A$3,"...")</f>
        <v>...</v>
      </c>
      <c r="B365" s="4" t="str">
        <f>IF($J$332="Y","---&gt;","...")</f>
        <v>...</v>
      </c>
      <c r="C365" s="1" t="str">
        <f>IF($J$332="Y",'Population Definitions'!$A$10,"...")</f>
        <v>...</v>
      </c>
      <c r="E365" s="2"/>
      <c r="F365" s="3"/>
      <c r="G365" s="2"/>
      <c r="H365" s="4" t="str">
        <f>IF($J$332="Y","OR","...")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IF($K$332="Y",'Population Definitions'!$A$3,"...")</f>
        <v>...</v>
      </c>
      <c r="B366" s="4" t="str">
        <f>IF($K$332="Y","---&gt;","...")</f>
        <v>...</v>
      </c>
      <c r="C366" s="1" t="str">
        <f>IF($K$332="Y",'Population Definitions'!$A$11,"...")</f>
        <v>...</v>
      </c>
      <c r="E366" s="2"/>
      <c r="F366" s="3"/>
      <c r="G366" s="2"/>
      <c r="H366" s="4" t="str">
        <f>IF($K$332="Y","OR","...")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IF($L$332="Y",'Population Definitions'!$A$3,"...")</f>
        <v>...</v>
      </c>
      <c r="B367" s="4" t="str">
        <f>IF($L$332="Y","---&gt;","...")</f>
        <v>...</v>
      </c>
      <c r="C367" s="1" t="str">
        <f>IF($L$332="Y",'Population Definitions'!$A$12,"...")</f>
        <v>...</v>
      </c>
      <c r="E367" s="2"/>
      <c r="F367" s="3"/>
      <c r="G367" s="2"/>
      <c r="H367" s="4" t="str">
        <f>IF($L$332="Y","OR","...")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IF($M$332="Y",'Population Definitions'!$A$3,"...")</f>
        <v>PWID_females</v>
      </c>
      <c r="B368" s="4" t="str">
        <f>IF($M$332="Y","---&gt;","...")</f>
        <v>---&gt;</v>
      </c>
      <c r="C368" s="1" t="str">
        <f>IF($M$332="Y",'Population Definitions'!$A$13,"...")</f>
        <v>Prisoners_females</v>
      </c>
      <c r="E368" s="3" t="s">
        <v>53</v>
      </c>
      <c r="F368" s="3"/>
      <c r="G368" s="3">
        <v>0</v>
      </c>
      <c r="H368" s="4" t="str">
        <f>IF($M$332="Y","OR","...")</f>
        <v>OR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1:59">
      <c r="A369" s="1" t="str">
        <f>IF($B$333="Y",'Population Definitions'!$A$4,"...")</f>
        <v>...</v>
      </c>
      <c r="B369" s="4" t="str">
        <f>IF($B$333="Y","---&gt;","...")</f>
        <v>...</v>
      </c>
      <c r="C369" s="1" t="str">
        <f>IF($B$333="Y",'Population Definitions'!$A$2,"...")</f>
        <v>...</v>
      </c>
      <c r="E369" s="2"/>
      <c r="F369" s="3"/>
      <c r="G369" s="2"/>
      <c r="H369" s="4" t="str">
        <f>IF($B$333="Y","OR","...")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IF($C$333="Y",'Population Definitions'!$A$4,"...")</f>
        <v>...</v>
      </c>
      <c r="B370" s="4" t="str">
        <f>IF($C$333="Y","---&gt;","...")</f>
        <v>...</v>
      </c>
      <c r="C370" s="1" t="str">
        <f>IF($C$333="Y",'Population Definitions'!$A$3,"...")</f>
        <v>...</v>
      </c>
      <c r="E370" s="2"/>
      <c r="F370" s="3"/>
      <c r="G370" s="2"/>
      <c r="H370" s="4" t="str">
        <f>IF($C$333="Y","OR","...")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IF($D$333="Y",'Population Definitions'!$A$4,"...")</f>
        <v>...</v>
      </c>
      <c r="B371" s="4" t="str">
        <f>IF($D$333="Y","---&gt;","...")</f>
        <v>...</v>
      </c>
      <c r="C371" s="1" t="str">
        <f>IF($D$333="Y",'Population Definitions'!$A$4,"...")</f>
        <v>...</v>
      </c>
      <c r="E371" s="2"/>
      <c r="F371" s="3"/>
      <c r="G371" s="2"/>
      <c r="H371" s="4" t="str">
        <f>IF($D$333="Y","OR","...")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IF($E$333="Y",'Population Definitions'!$A$4,"...")</f>
        <v>...</v>
      </c>
      <c r="B372" s="4" t="str">
        <f>IF($E$333="Y","---&gt;","...")</f>
        <v>...</v>
      </c>
      <c r="C372" s="1" t="str">
        <f>IF($E$333="Y",'Population Definitions'!$A$5,"...")</f>
        <v>...</v>
      </c>
      <c r="E372" s="2"/>
      <c r="F372" s="3"/>
      <c r="G372" s="2"/>
      <c r="H372" s="4" t="str">
        <f>IF($E$333="Y","OR","...")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IF($F$333="Y",'Population Definitions'!$A$4,"...")</f>
        <v>...</v>
      </c>
      <c r="B373" s="4" t="str">
        <f>IF($F$333="Y","---&gt;","...")</f>
        <v>...</v>
      </c>
      <c r="C373" s="1" t="str">
        <f>IF($F$333="Y",'Population Definitions'!$A$6,"...")</f>
        <v>...</v>
      </c>
      <c r="E373" s="2"/>
      <c r="F373" s="3"/>
      <c r="G373" s="2"/>
      <c r="H373" s="4" t="str">
        <f>IF($F$333="Y","OR","...")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IF($G$333="Y",'Population Definitions'!$A$4,"...")</f>
        <v>...</v>
      </c>
      <c r="B374" s="4" t="str">
        <f>IF($G$333="Y","---&gt;","...")</f>
        <v>...</v>
      </c>
      <c r="C374" s="1" t="str">
        <f>IF($G$333="Y",'Population Definitions'!$A$7,"...")</f>
        <v>...</v>
      </c>
      <c r="E374" s="2"/>
      <c r="F374" s="3"/>
      <c r="G374" s="2"/>
      <c r="H374" s="4" t="str">
        <f>IF($G$333="Y","OR","...")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IF($H$333="Y",'Population Definitions'!$A$4,"...")</f>
        <v>...</v>
      </c>
      <c r="B375" s="4" t="str">
        <f>IF($H$333="Y","---&gt;","...")</f>
        <v>...</v>
      </c>
      <c r="C375" s="1" t="str">
        <f>IF($H$333="Y",'Population Definitions'!$A$8,"...")</f>
        <v>...</v>
      </c>
      <c r="E375" s="2"/>
      <c r="F375" s="3"/>
      <c r="G375" s="2"/>
      <c r="H375" s="4" t="str">
        <f>IF($H$333="Y","OR","...")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IF($I$333="Y",'Population Definitions'!$A$4,"...")</f>
        <v>...</v>
      </c>
      <c r="B376" s="4" t="str">
        <f>IF($I$333="Y","---&gt;","...")</f>
        <v>...</v>
      </c>
      <c r="C376" s="1" t="str">
        <f>IF($I$333="Y",'Population Definitions'!$A$9,"...")</f>
        <v>...</v>
      </c>
      <c r="E376" s="2"/>
      <c r="F376" s="3"/>
      <c r="G376" s="2"/>
      <c r="H376" s="4" t="str">
        <f>IF($I$333="Y","OR","...")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IF($J$333="Y",'Population Definitions'!$A$4,"...")</f>
        <v>...</v>
      </c>
      <c r="B377" s="4" t="str">
        <f>IF($J$333="Y","---&gt;","...")</f>
        <v>...</v>
      </c>
      <c r="C377" s="1" t="str">
        <f>IF($J$333="Y",'Population Definitions'!$A$10,"...")</f>
        <v>...</v>
      </c>
      <c r="E377" s="2"/>
      <c r="F377" s="3"/>
      <c r="G377" s="2"/>
      <c r="H377" s="4" t="str">
        <f>IF($J$333="Y","OR","...")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IF($K$333="Y",'Population Definitions'!$A$4,"...")</f>
        <v>...</v>
      </c>
      <c r="B378" s="4" t="str">
        <f>IF($K$333="Y","---&gt;","...")</f>
        <v>...</v>
      </c>
      <c r="C378" s="1" t="str">
        <f>IF($K$333="Y",'Population Definitions'!$A$11,"...")</f>
        <v>...</v>
      </c>
      <c r="E378" s="2"/>
      <c r="F378" s="3"/>
      <c r="G378" s="2"/>
      <c r="H378" s="4" t="str">
        <f>IF($K$333="Y","OR","...")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IF($L$333="Y",'Population Definitions'!$A$4,"...")</f>
        <v>...</v>
      </c>
      <c r="B379" s="4" t="str">
        <f>IF($L$333="Y","---&gt;","...")</f>
        <v>...</v>
      </c>
      <c r="C379" s="1" t="str">
        <f>IF($L$333="Y",'Population Definitions'!$A$12,"...")</f>
        <v>...</v>
      </c>
      <c r="E379" s="2"/>
      <c r="F379" s="3"/>
      <c r="G379" s="2"/>
      <c r="H379" s="4" t="str">
        <f>IF($L$333="Y","OR","...")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IF($M$333="Y",'Population Definitions'!$A$4,"...")</f>
        <v>...</v>
      </c>
      <c r="B380" s="4" t="str">
        <f>IF($M$333="Y","---&gt;","...")</f>
        <v>...</v>
      </c>
      <c r="C380" s="1" t="str">
        <f>IF($M$333="Y",'Population Definitions'!$A$13,"...")</f>
        <v>...</v>
      </c>
      <c r="E380" s="2"/>
      <c r="F380" s="3"/>
      <c r="G380" s="2"/>
      <c r="H380" s="4" t="str">
        <f>IF($M$333="Y","OR","...")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IF($B$334="Y",'Population Definitions'!$A$5,"...")</f>
        <v>...</v>
      </c>
      <c r="B381" s="4" t="str">
        <f>IF($B$334="Y","---&gt;","...")</f>
        <v>...</v>
      </c>
      <c r="C381" s="1" t="str">
        <f>IF($B$334="Y",'Population Definitions'!$A$2,"...")</f>
        <v>...</v>
      </c>
      <c r="E381" s="2"/>
      <c r="F381" s="3"/>
      <c r="G381" s="2"/>
      <c r="H381" s="4" t="str">
        <f>IF($B$334="Y","OR","...")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IF($C$334="Y",'Population Definitions'!$A$5,"...")</f>
        <v>...</v>
      </c>
      <c r="B382" s="4" t="str">
        <f>IF($C$334="Y","---&gt;","...")</f>
        <v>...</v>
      </c>
      <c r="C382" s="1" t="str">
        <f>IF($C$334="Y",'Population Definitions'!$A$3,"...")</f>
        <v>...</v>
      </c>
      <c r="E382" s="2"/>
      <c r="F382" s="3"/>
      <c r="G382" s="2"/>
      <c r="H382" s="4" t="str">
        <f>IF($C$334="Y","OR","...")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IF($D$334="Y",'Population Definitions'!$A$5,"...")</f>
        <v>...</v>
      </c>
      <c r="B383" s="4" t="str">
        <f>IF($D$334="Y","---&gt;","...")</f>
        <v>...</v>
      </c>
      <c r="C383" s="1" t="str">
        <f>IF($D$334="Y",'Population Definitions'!$A$4,"...")</f>
        <v>...</v>
      </c>
      <c r="E383" s="2"/>
      <c r="F383" s="3"/>
      <c r="G383" s="2"/>
      <c r="H383" s="4" t="str">
        <f>IF($D$334="Y","OR","...")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IF($E$334="Y",'Population Definitions'!$A$5,"...")</f>
        <v>...</v>
      </c>
      <c r="B384" s="4" t="str">
        <f>IF($E$334="Y","---&gt;","...")</f>
        <v>...</v>
      </c>
      <c r="C384" s="1" t="str">
        <f>IF($E$334="Y",'Population Definitions'!$A$5,"...")</f>
        <v>...</v>
      </c>
      <c r="E384" s="2"/>
      <c r="F384" s="3"/>
      <c r="G384" s="2"/>
      <c r="H384" s="4" t="str">
        <f>IF($E$334="Y","OR","...")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IF($F$334="Y",'Population Definitions'!$A$5,"...")</f>
        <v>...</v>
      </c>
      <c r="B385" s="4" t="str">
        <f>IF($F$334="Y","---&gt;","...")</f>
        <v>...</v>
      </c>
      <c r="C385" s="1" t="str">
        <f>IF($F$334="Y",'Population Definitions'!$A$6,"...")</f>
        <v>...</v>
      </c>
      <c r="E385" s="2"/>
      <c r="F385" s="3"/>
      <c r="G385" s="2"/>
      <c r="H385" s="4" t="str">
        <f>IF($F$334="Y","OR","...")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IF($G$334="Y",'Population Definitions'!$A$5,"...")</f>
        <v>...</v>
      </c>
      <c r="B386" s="4" t="str">
        <f>IF($G$334="Y","---&gt;","...")</f>
        <v>...</v>
      </c>
      <c r="C386" s="1" t="str">
        <f>IF($G$334="Y",'Population Definitions'!$A$7,"...")</f>
        <v>...</v>
      </c>
      <c r="E386" s="2"/>
      <c r="F386" s="3"/>
      <c r="G386" s="2"/>
      <c r="H386" s="4" t="str">
        <f>IF($G$334="Y","OR","...")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IF($H$334="Y",'Population Definitions'!$A$5,"...")</f>
        <v>...</v>
      </c>
      <c r="B387" s="4" t="str">
        <f>IF($H$334="Y","---&gt;","...")</f>
        <v>...</v>
      </c>
      <c r="C387" s="1" t="str">
        <f>IF($H$334="Y",'Population Definitions'!$A$8,"...")</f>
        <v>...</v>
      </c>
      <c r="E387" s="2"/>
      <c r="F387" s="3"/>
      <c r="G387" s="2"/>
      <c r="H387" s="4" t="str">
        <f>IF($H$334="Y","OR","...")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IF($I$334="Y",'Population Definitions'!$A$5,"...")</f>
        <v>...</v>
      </c>
      <c r="B388" s="4" t="str">
        <f>IF($I$334="Y","---&gt;","...")</f>
        <v>...</v>
      </c>
      <c r="C388" s="1" t="str">
        <f>IF($I$334="Y",'Population Definitions'!$A$9,"...")</f>
        <v>...</v>
      </c>
      <c r="E388" s="2"/>
      <c r="F388" s="3"/>
      <c r="G388" s="2"/>
      <c r="H388" s="4" t="str">
        <f>IF($I$334="Y","OR","...")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IF($J$334="Y",'Population Definitions'!$A$5,"...")</f>
        <v>...</v>
      </c>
      <c r="B389" s="4" t="str">
        <f>IF($J$334="Y","---&gt;","...")</f>
        <v>...</v>
      </c>
      <c r="C389" s="1" t="str">
        <f>IF($J$334="Y",'Population Definitions'!$A$10,"...")</f>
        <v>...</v>
      </c>
      <c r="E389" s="2"/>
      <c r="F389" s="3"/>
      <c r="G389" s="2"/>
      <c r="H389" s="4" t="str">
        <f>IF($J$334="Y","OR","...")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IF($K$334="Y",'Population Definitions'!$A$5,"...")</f>
        <v>...</v>
      </c>
      <c r="B390" s="4" t="str">
        <f>IF($K$334="Y","---&gt;","...")</f>
        <v>...</v>
      </c>
      <c r="C390" s="1" t="str">
        <f>IF($K$334="Y",'Population Definitions'!$A$11,"...")</f>
        <v>...</v>
      </c>
      <c r="E390" s="2"/>
      <c r="F390" s="3"/>
      <c r="G390" s="2"/>
      <c r="H390" s="4" t="str">
        <f>IF($K$334="Y","OR","...")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IF($L$334="Y",'Population Definitions'!$A$5,"...")</f>
        <v>...</v>
      </c>
      <c r="B391" s="4" t="str">
        <f>IF($L$334="Y","---&gt;","...")</f>
        <v>...</v>
      </c>
      <c r="C391" s="1" t="str">
        <f>IF($L$334="Y",'Population Definitions'!$A$12,"...")</f>
        <v>...</v>
      </c>
      <c r="E391" s="2"/>
      <c r="F391" s="3"/>
      <c r="G391" s="2"/>
      <c r="H391" s="4" t="str">
        <f>IF($L$334="Y","OR","...")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IF($M$334="Y",'Population Definitions'!$A$5,"...")</f>
        <v>...</v>
      </c>
      <c r="B392" s="4" t="str">
        <f>IF($M$334="Y","---&gt;","...")</f>
        <v>...</v>
      </c>
      <c r="C392" s="1" t="str">
        <f>IF($M$334="Y",'Population Definitions'!$A$13,"...")</f>
        <v>...</v>
      </c>
      <c r="E392" s="2"/>
      <c r="F392" s="3"/>
      <c r="G392" s="2"/>
      <c r="H392" s="4" t="str">
        <f>IF($M$334="Y","OR","...")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IF($B$335="Y",'Population Definitions'!$A$6,"...")</f>
        <v>...</v>
      </c>
      <c r="B393" s="4" t="str">
        <f>IF($B$335="Y","---&gt;","...")</f>
        <v>...</v>
      </c>
      <c r="C393" s="1" t="str">
        <f>IF($B$335="Y",'Population Definitions'!$A$2,"...")</f>
        <v>...</v>
      </c>
      <c r="E393" s="2"/>
      <c r="F393" s="3"/>
      <c r="G393" s="2"/>
      <c r="H393" s="4" t="str">
        <f>IF($B$335="Y","OR","...")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IF($C$335="Y",'Population Definitions'!$A$6,"...")</f>
        <v>...</v>
      </c>
      <c r="B394" s="4" t="str">
        <f>IF($C$335="Y","---&gt;","...")</f>
        <v>...</v>
      </c>
      <c r="C394" s="1" t="str">
        <f>IF($C$335="Y",'Population Definitions'!$A$3,"...")</f>
        <v>...</v>
      </c>
      <c r="E394" s="2"/>
      <c r="F394" s="3"/>
      <c r="G394" s="2"/>
      <c r="H394" s="4" t="str">
        <f>IF($C$335="Y","OR","...")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IF($D$335="Y",'Population Definitions'!$A$6,"...")</f>
        <v>...</v>
      </c>
      <c r="B395" s="4" t="str">
        <f>IF($D$335="Y","---&gt;","...")</f>
        <v>...</v>
      </c>
      <c r="C395" s="1" t="str">
        <f>IF($D$335="Y",'Population Definitions'!$A$4,"...")</f>
        <v>...</v>
      </c>
      <c r="E395" s="2"/>
      <c r="F395" s="3"/>
      <c r="G395" s="2"/>
      <c r="H395" s="4" t="str">
        <f>IF($D$335="Y","OR","...")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IF($E$335="Y",'Population Definitions'!$A$6,"...")</f>
        <v>...</v>
      </c>
      <c r="B396" s="4" t="str">
        <f>IF($E$335="Y","---&gt;","...")</f>
        <v>...</v>
      </c>
      <c r="C396" s="1" t="str">
        <f>IF($E$335="Y",'Population Definitions'!$A$5,"...")</f>
        <v>...</v>
      </c>
      <c r="E396" s="2"/>
      <c r="F396" s="3"/>
      <c r="G396" s="2"/>
      <c r="H396" s="4" t="str">
        <f>IF($E$335="Y","OR","...")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IF($F$335="Y",'Population Definitions'!$A$6,"...")</f>
        <v>...</v>
      </c>
      <c r="B397" s="4" t="str">
        <f>IF($F$335="Y","---&gt;","...")</f>
        <v>...</v>
      </c>
      <c r="C397" s="1" t="str">
        <f>IF($F$335="Y",'Population Definitions'!$A$6,"...")</f>
        <v>...</v>
      </c>
      <c r="E397" s="2"/>
      <c r="F397" s="3"/>
      <c r="G397" s="2"/>
      <c r="H397" s="4" t="str">
        <f>IF($F$335="Y","OR","...")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IF($G$335="Y",'Population Definitions'!$A$6,"...")</f>
        <v>...</v>
      </c>
      <c r="B398" s="4" t="str">
        <f>IF($G$335="Y","---&gt;","...")</f>
        <v>...</v>
      </c>
      <c r="C398" s="1" t="str">
        <f>IF($G$335="Y",'Population Definitions'!$A$7,"...")</f>
        <v>...</v>
      </c>
      <c r="E398" s="2"/>
      <c r="F398" s="3"/>
      <c r="G398" s="2"/>
      <c r="H398" s="4" t="str">
        <f>IF($G$335="Y","OR","...")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IF($H$335="Y",'Population Definitions'!$A$6,"...")</f>
        <v>...</v>
      </c>
      <c r="B399" s="4" t="str">
        <f>IF($H$335="Y","---&gt;","...")</f>
        <v>...</v>
      </c>
      <c r="C399" s="1" t="str">
        <f>IF($H$335="Y",'Population Definitions'!$A$8,"...")</f>
        <v>...</v>
      </c>
      <c r="E399" s="2"/>
      <c r="F399" s="3"/>
      <c r="G399" s="2"/>
      <c r="H399" s="4" t="str">
        <f>IF($H$335="Y","OR","...")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IF($I$335="Y",'Population Definitions'!$A$6,"...")</f>
        <v>...</v>
      </c>
      <c r="B400" s="4" t="str">
        <f>IF($I$335="Y","---&gt;","...")</f>
        <v>...</v>
      </c>
      <c r="C400" s="1" t="str">
        <f>IF($I$335="Y",'Population Definitions'!$A$9,"...")</f>
        <v>...</v>
      </c>
      <c r="E400" s="2"/>
      <c r="F400" s="3"/>
      <c r="G400" s="2"/>
      <c r="H400" s="4" t="str">
        <f>IF($I$335="Y","OR","...")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IF($J$335="Y",'Population Definitions'!$A$6,"...")</f>
        <v>...</v>
      </c>
      <c r="B401" s="4" t="str">
        <f>IF($J$335="Y","---&gt;","...")</f>
        <v>...</v>
      </c>
      <c r="C401" s="1" t="str">
        <f>IF($J$335="Y",'Population Definitions'!$A$10,"...")</f>
        <v>...</v>
      </c>
      <c r="E401" s="2"/>
      <c r="F401" s="3"/>
      <c r="G401" s="2"/>
      <c r="H401" s="4" t="str">
        <f>IF($J$335="Y","OR","...")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IF($K$335="Y",'Population Definitions'!$A$6,"...")</f>
        <v>...</v>
      </c>
      <c r="B402" s="4" t="str">
        <f>IF($K$335="Y","---&gt;","...")</f>
        <v>...</v>
      </c>
      <c r="C402" s="1" t="str">
        <f>IF($K$335="Y",'Population Definitions'!$A$11,"...")</f>
        <v>...</v>
      </c>
      <c r="E402" s="2"/>
      <c r="F402" s="3"/>
      <c r="G402" s="2"/>
      <c r="H402" s="4" t="str">
        <f>IF($K$335="Y","OR","...")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IF($L$335="Y",'Population Definitions'!$A$6,"...")</f>
        <v>...</v>
      </c>
      <c r="B403" s="4" t="str">
        <f>IF($L$335="Y","---&gt;","...")</f>
        <v>...</v>
      </c>
      <c r="C403" s="1" t="str">
        <f>IF($L$335="Y",'Population Definitions'!$A$12,"...")</f>
        <v>...</v>
      </c>
      <c r="E403" s="2"/>
      <c r="F403" s="3"/>
      <c r="G403" s="2"/>
      <c r="H403" s="4" t="str">
        <f>IF($L$335="Y","OR","...")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IF($M$335="Y",'Population Definitions'!$A$6,"...")</f>
        <v>...</v>
      </c>
      <c r="B404" s="4" t="str">
        <f>IF($M$335="Y","---&gt;","...")</f>
        <v>...</v>
      </c>
      <c r="C404" s="1" t="str">
        <f>IF($M$335="Y",'Population Definitions'!$A$13,"...")</f>
        <v>...</v>
      </c>
      <c r="E404" s="2"/>
      <c r="F404" s="3"/>
      <c r="G404" s="2"/>
      <c r="H404" s="4" t="str">
        <f>IF($M$335="Y","OR","...")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IF($B$336="Y",'Population Definitions'!$A$7,"...")</f>
        <v>...</v>
      </c>
      <c r="B405" s="4" t="str">
        <f>IF($B$336="Y","---&gt;","...")</f>
        <v>...</v>
      </c>
      <c r="C405" s="1" t="str">
        <f>IF($B$336="Y",'Population Definitions'!$A$2,"...")</f>
        <v>...</v>
      </c>
      <c r="E405" s="2"/>
      <c r="F405" s="3"/>
      <c r="G405" s="2"/>
      <c r="H405" s="4" t="str">
        <f>IF($B$336="Y","OR","...")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IF($C$336="Y",'Population Definitions'!$A$7,"...")</f>
        <v>...</v>
      </c>
      <c r="B406" s="4" t="str">
        <f>IF($C$336="Y","---&gt;","...")</f>
        <v>...</v>
      </c>
      <c r="C406" s="1" t="str">
        <f>IF($C$336="Y",'Population Definitions'!$A$3,"...")</f>
        <v>...</v>
      </c>
      <c r="E406" s="2"/>
      <c r="F406" s="3"/>
      <c r="G406" s="2"/>
      <c r="H406" s="4" t="str">
        <f>IF($C$336="Y","OR","...")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IF($D$336="Y",'Population Definitions'!$A$7,"...")</f>
        <v>...</v>
      </c>
      <c r="B407" s="4" t="str">
        <f>IF($D$336="Y","---&gt;","...")</f>
        <v>...</v>
      </c>
      <c r="C407" s="1" t="str">
        <f>IF($D$336="Y",'Population Definitions'!$A$4,"...")</f>
        <v>...</v>
      </c>
      <c r="E407" s="2"/>
      <c r="F407" s="3"/>
      <c r="G407" s="2"/>
      <c r="H407" s="4" t="str">
        <f>IF($D$336="Y","OR","...")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IF($E$336="Y",'Population Definitions'!$A$7,"...")</f>
        <v>...</v>
      </c>
      <c r="B408" s="4" t="str">
        <f>IF($E$336="Y","---&gt;","...")</f>
        <v>...</v>
      </c>
      <c r="C408" s="1" t="str">
        <f>IF($E$336="Y",'Population Definitions'!$A$5,"...")</f>
        <v>...</v>
      </c>
      <c r="E408" s="2"/>
      <c r="F408" s="3"/>
      <c r="G408" s="2"/>
      <c r="H408" s="4" t="str">
        <f>IF($E$336="Y","OR","...")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IF($F$336="Y",'Population Definitions'!$A$7,"...")</f>
        <v>...</v>
      </c>
      <c r="B409" s="4" t="str">
        <f>IF($F$336="Y","---&gt;","...")</f>
        <v>...</v>
      </c>
      <c r="C409" s="1" t="str">
        <f>IF($F$336="Y",'Population Definitions'!$A$6,"...")</f>
        <v>...</v>
      </c>
      <c r="E409" s="2"/>
      <c r="F409" s="3"/>
      <c r="G409" s="2"/>
      <c r="H409" s="4" t="str">
        <f>IF($F$336="Y","OR","...")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IF($G$336="Y",'Population Definitions'!$A$7,"...")</f>
        <v>...</v>
      </c>
      <c r="B410" s="4" t="str">
        <f>IF($G$336="Y","---&gt;","...")</f>
        <v>...</v>
      </c>
      <c r="C410" s="1" t="str">
        <f>IF($G$336="Y",'Population Definitions'!$A$7,"...")</f>
        <v>...</v>
      </c>
      <c r="E410" s="2"/>
      <c r="F410" s="3"/>
      <c r="G410" s="2"/>
      <c r="H410" s="4" t="str">
        <f>IF($G$336="Y","OR","...")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IF($H$336="Y",'Population Definitions'!$A$7,"...")</f>
        <v>...</v>
      </c>
      <c r="B411" s="4" t="str">
        <f>IF($H$336="Y","---&gt;","...")</f>
        <v>...</v>
      </c>
      <c r="C411" s="1" t="str">
        <f>IF($H$336="Y",'Population Definitions'!$A$8,"...")</f>
        <v>...</v>
      </c>
      <c r="E411" s="2"/>
      <c r="F411" s="3"/>
      <c r="G411" s="2"/>
      <c r="H411" s="4" t="str">
        <f>IF($H$336="Y","OR","...")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IF($I$336="Y",'Population Definitions'!$A$7,"...")</f>
        <v>...</v>
      </c>
      <c r="B412" s="4" t="str">
        <f>IF($I$336="Y","---&gt;","...")</f>
        <v>...</v>
      </c>
      <c r="C412" s="1" t="str">
        <f>IF($I$336="Y",'Population Definitions'!$A$9,"...")</f>
        <v>...</v>
      </c>
      <c r="E412" s="2"/>
      <c r="F412" s="3"/>
      <c r="G412" s="2"/>
      <c r="H412" s="4" t="str">
        <f>IF($I$336="Y","OR","...")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IF($J$336="Y",'Population Definitions'!$A$7,"...")</f>
        <v>...</v>
      </c>
      <c r="B413" s="4" t="str">
        <f>IF($J$336="Y","---&gt;","...")</f>
        <v>...</v>
      </c>
      <c r="C413" s="1" t="str">
        <f>IF($J$336="Y",'Population Definitions'!$A$10,"...")</f>
        <v>...</v>
      </c>
      <c r="E413" s="2"/>
      <c r="F413" s="3"/>
      <c r="G413" s="2"/>
      <c r="H413" s="4" t="str">
        <f>IF($J$336="Y","OR","...")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IF($K$336="Y",'Population Definitions'!$A$7,"...")</f>
        <v>...</v>
      </c>
      <c r="B414" s="4" t="str">
        <f>IF($K$336="Y","---&gt;","...")</f>
        <v>...</v>
      </c>
      <c r="C414" s="1" t="str">
        <f>IF($K$336="Y",'Population Definitions'!$A$11,"...")</f>
        <v>...</v>
      </c>
      <c r="E414" s="2"/>
      <c r="F414" s="3"/>
      <c r="G414" s="2"/>
      <c r="H414" s="4" t="str">
        <f>IF($K$336="Y","OR","...")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IF($L$336="Y",'Population Definitions'!$A$7,"...")</f>
        <v>...</v>
      </c>
      <c r="B415" s="4" t="str">
        <f>IF($L$336="Y","---&gt;","...")</f>
        <v>...</v>
      </c>
      <c r="C415" s="1" t="str">
        <f>IF($L$336="Y",'Population Definitions'!$A$12,"...")</f>
        <v>...</v>
      </c>
      <c r="E415" s="2"/>
      <c r="F415" s="3"/>
      <c r="G415" s="2"/>
      <c r="H415" s="4" t="str">
        <f>IF($L$336="Y","OR","...")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IF($M$336="Y",'Population Definitions'!$A$7,"...")</f>
        <v>...</v>
      </c>
      <c r="B416" s="4" t="str">
        <f>IF($M$336="Y","---&gt;","...")</f>
        <v>...</v>
      </c>
      <c r="C416" s="1" t="str">
        <f>IF($M$336="Y",'Population Definitions'!$A$13,"...")</f>
        <v>...</v>
      </c>
      <c r="E416" s="2"/>
      <c r="F416" s="3"/>
      <c r="G416" s="2"/>
      <c r="H416" s="4" t="str">
        <f>IF($M$336="Y","OR","...")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IF($B$337="Y",'Population Definitions'!$A$8,"...")</f>
        <v>...</v>
      </c>
      <c r="B417" s="4" t="str">
        <f>IF($B$337="Y","---&gt;","...")</f>
        <v>...</v>
      </c>
      <c r="C417" s="1" t="str">
        <f>IF($B$337="Y",'Population Definitions'!$A$2,"...")</f>
        <v>...</v>
      </c>
      <c r="E417" s="2"/>
      <c r="F417" s="3"/>
      <c r="G417" s="2"/>
      <c r="H417" s="4" t="str">
        <f>IF($B$337="Y","OR","...")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IF($C$337="Y",'Population Definitions'!$A$8,"...")</f>
        <v>...</v>
      </c>
      <c r="B418" s="4" t="str">
        <f>IF($C$337="Y","---&gt;","...")</f>
        <v>...</v>
      </c>
      <c r="C418" s="1" t="str">
        <f>IF($C$337="Y",'Population Definitions'!$A$3,"...")</f>
        <v>...</v>
      </c>
      <c r="E418" s="2"/>
      <c r="F418" s="3"/>
      <c r="G418" s="2"/>
      <c r="H418" s="4" t="str">
        <f>IF($C$337="Y","OR","...")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IF($D$337="Y",'Population Definitions'!$A$8,"...")</f>
        <v>...</v>
      </c>
      <c r="B419" s="4" t="str">
        <f>IF($D$337="Y","---&gt;","...")</f>
        <v>...</v>
      </c>
      <c r="C419" s="1" t="str">
        <f>IF($D$337="Y",'Population Definitions'!$A$4,"...")</f>
        <v>...</v>
      </c>
      <c r="E419" s="2"/>
      <c r="F419" s="3"/>
      <c r="G419" s="2"/>
      <c r="H419" s="4" t="str">
        <f>IF($D$337="Y","OR","...")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IF($E$337="Y",'Population Definitions'!$A$8,"...")</f>
        <v>...</v>
      </c>
      <c r="B420" s="4" t="str">
        <f>IF($E$337="Y","---&gt;","...")</f>
        <v>...</v>
      </c>
      <c r="C420" s="1" t="str">
        <f>IF($E$337="Y",'Population Definitions'!$A$5,"...")</f>
        <v>...</v>
      </c>
      <c r="E420" s="2"/>
      <c r="F420" s="3"/>
      <c r="G420" s="2"/>
      <c r="H420" s="4" t="str">
        <f>IF($E$337="Y","OR","...")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IF($F$337="Y",'Population Definitions'!$A$8,"...")</f>
        <v>...</v>
      </c>
      <c r="B421" s="4" t="str">
        <f>IF($F$337="Y","---&gt;","...")</f>
        <v>...</v>
      </c>
      <c r="C421" s="1" t="str">
        <f>IF($F$337="Y",'Population Definitions'!$A$6,"...")</f>
        <v>...</v>
      </c>
      <c r="E421" s="2"/>
      <c r="F421" s="3"/>
      <c r="G421" s="2"/>
      <c r="H421" s="4" t="str">
        <f>IF($F$337="Y","OR","...")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IF($G$337="Y",'Population Definitions'!$A$8,"...")</f>
        <v>...</v>
      </c>
      <c r="B422" s="4" t="str">
        <f>IF($G$337="Y","---&gt;","...")</f>
        <v>...</v>
      </c>
      <c r="C422" s="1" t="str">
        <f>IF($G$337="Y",'Population Definitions'!$A$7,"...")</f>
        <v>...</v>
      </c>
      <c r="E422" s="2"/>
      <c r="F422" s="3"/>
      <c r="G422" s="2"/>
      <c r="H422" s="4" t="str">
        <f>IF($G$337="Y","OR","...")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IF($H$337="Y",'Population Definitions'!$A$8,"...")</f>
        <v>...</v>
      </c>
      <c r="B423" s="4" t="str">
        <f>IF($H$337="Y","---&gt;","...")</f>
        <v>...</v>
      </c>
      <c r="C423" s="1" t="str">
        <f>IF($H$337="Y",'Population Definitions'!$A$8,"...")</f>
        <v>...</v>
      </c>
      <c r="E423" s="2"/>
      <c r="F423" s="3"/>
      <c r="G423" s="2"/>
      <c r="H423" s="4" t="str">
        <f>IF($H$337="Y","OR","...")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IF($I$337="Y",'Population Definitions'!$A$8,"...")</f>
        <v>...</v>
      </c>
      <c r="B424" s="4" t="str">
        <f>IF($I$337="Y","---&gt;","...")</f>
        <v>...</v>
      </c>
      <c r="C424" s="1" t="str">
        <f>IF($I$337="Y",'Population Definitions'!$A$9,"...")</f>
        <v>...</v>
      </c>
      <c r="E424" s="2"/>
      <c r="F424" s="3"/>
      <c r="G424" s="2"/>
      <c r="H424" s="4" t="str">
        <f>IF($I$337="Y","OR","...")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IF($J$337="Y",'Population Definitions'!$A$8,"...")</f>
        <v>...</v>
      </c>
      <c r="B425" s="4" t="str">
        <f>IF($J$337="Y","---&gt;","...")</f>
        <v>...</v>
      </c>
      <c r="C425" s="1" t="str">
        <f>IF($J$337="Y",'Population Definitions'!$A$10,"...")</f>
        <v>...</v>
      </c>
      <c r="E425" s="2"/>
      <c r="F425" s="3"/>
      <c r="G425" s="2"/>
      <c r="H425" s="4" t="str">
        <f>IF($J$337="Y","OR","...")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IF($K$337="Y",'Population Definitions'!$A$8,"...")</f>
        <v>...</v>
      </c>
      <c r="B426" s="4" t="str">
        <f>IF($K$337="Y","---&gt;","...")</f>
        <v>...</v>
      </c>
      <c r="C426" s="1" t="str">
        <f>IF($K$337="Y",'Population Definitions'!$A$11,"...")</f>
        <v>...</v>
      </c>
      <c r="E426" s="2"/>
      <c r="F426" s="3"/>
      <c r="G426" s="2"/>
      <c r="H426" s="4" t="str">
        <f>IF($K$337="Y","OR","...")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IF($L$337="Y",'Population Definitions'!$A$8,"...")</f>
        <v>18-64_males</v>
      </c>
      <c r="B427" s="4" t="str">
        <f>IF($L$337="Y","---&gt;","...")</f>
        <v>---&gt;</v>
      </c>
      <c r="C427" s="1" t="str">
        <f>IF($L$337="Y",'Population Definitions'!$A$12,"...")</f>
        <v>Prisoners_males</v>
      </c>
      <c r="E427" s="3" t="s">
        <v>53</v>
      </c>
      <c r="F427" s="3"/>
      <c r="G427" s="3">
        <v>0</v>
      </c>
      <c r="H427" s="4" t="str">
        <f>IF($L$337="Y","OR","...")</f>
        <v>OR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 spans="1:59">
      <c r="A428" s="1" t="str">
        <f>IF($M$337="Y",'Population Definitions'!$A$8,"...")</f>
        <v>...</v>
      </c>
      <c r="B428" s="4" t="str">
        <f>IF($M$337="Y","---&gt;","...")</f>
        <v>...</v>
      </c>
      <c r="C428" s="1" t="str">
        <f>IF($M$337="Y",'Population Definitions'!$A$13,"...")</f>
        <v>...</v>
      </c>
      <c r="E428" s="2"/>
      <c r="F428" s="3"/>
      <c r="G428" s="2"/>
      <c r="H428" s="4" t="str">
        <f>IF($M$337="Y","OR","...")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IF($B$338="Y",'Population Definitions'!$A$9,"...")</f>
        <v>...</v>
      </c>
      <c r="B429" s="4" t="str">
        <f>IF($B$338="Y","---&gt;","...")</f>
        <v>...</v>
      </c>
      <c r="C429" s="1" t="str">
        <f>IF($B$338="Y",'Population Definitions'!$A$2,"...")</f>
        <v>...</v>
      </c>
      <c r="E429" s="2"/>
      <c r="F429" s="3"/>
      <c r="G429" s="2"/>
      <c r="H429" s="4" t="str">
        <f>IF($B$338="Y","OR","...")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IF($C$338="Y",'Population Definitions'!$A$9,"...")</f>
        <v>...</v>
      </c>
      <c r="B430" s="4" t="str">
        <f>IF($C$338="Y","---&gt;","...")</f>
        <v>...</v>
      </c>
      <c r="C430" s="1" t="str">
        <f>IF($C$338="Y",'Population Definitions'!$A$3,"...")</f>
        <v>...</v>
      </c>
      <c r="E430" s="2"/>
      <c r="F430" s="3"/>
      <c r="G430" s="2"/>
      <c r="H430" s="4" t="str">
        <f>IF($C$338="Y","OR","...")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IF($D$338="Y",'Population Definitions'!$A$9,"...")</f>
        <v>...</v>
      </c>
      <c r="B431" s="4" t="str">
        <f>IF($D$338="Y","---&gt;","...")</f>
        <v>...</v>
      </c>
      <c r="C431" s="1" t="str">
        <f>IF($D$338="Y",'Population Definitions'!$A$4,"...")</f>
        <v>...</v>
      </c>
      <c r="E431" s="2"/>
      <c r="F431" s="3"/>
      <c r="G431" s="2"/>
      <c r="H431" s="4" t="str">
        <f>IF($D$338="Y","OR","...")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IF($E$338="Y",'Population Definitions'!$A$9,"...")</f>
        <v>...</v>
      </c>
      <c r="B432" s="4" t="str">
        <f>IF($E$338="Y","---&gt;","...")</f>
        <v>...</v>
      </c>
      <c r="C432" s="1" t="str">
        <f>IF($E$338="Y",'Population Definitions'!$A$5,"...")</f>
        <v>...</v>
      </c>
      <c r="E432" s="2"/>
      <c r="F432" s="3"/>
      <c r="G432" s="2"/>
      <c r="H432" s="4" t="str">
        <f>IF($E$338="Y","OR","...")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IF($F$338="Y",'Population Definitions'!$A$9,"...")</f>
        <v>...</v>
      </c>
      <c r="B433" s="4" t="str">
        <f>IF($F$338="Y","---&gt;","...")</f>
        <v>...</v>
      </c>
      <c r="C433" s="1" t="str">
        <f>IF($F$338="Y",'Population Definitions'!$A$6,"...")</f>
        <v>...</v>
      </c>
      <c r="E433" s="2"/>
      <c r="F433" s="3"/>
      <c r="G433" s="2"/>
      <c r="H433" s="4" t="str">
        <f>IF($F$338="Y","OR","...")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>
      <c r="A434" s="1" t="str">
        <f>IF($G$338="Y",'Population Definitions'!$A$9,"...")</f>
        <v>...</v>
      </c>
      <c r="B434" s="4" t="str">
        <f>IF($G$338="Y","---&gt;","...")</f>
        <v>...</v>
      </c>
      <c r="C434" s="1" t="str">
        <f>IF($G$338="Y",'Population Definitions'!$A$7,"...")</f>
        <v>...</v>
      </c>
      <c r="E434" s="2"/>
      <c r="F434" s="3"/>
      <c r="G434" s="2"/>
      <c r="H434" s="4" t="str">
        <f>IF($G$338="Y","OR","...")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>
      <c r="A435" s="1" t="str">
        <f>IF($H$338="Y",'Population Definitions'!$A$9,"...")</f>
        <v>...</v>
      </c>
      <c r="B435" s="4" t="str">
        <f>IF($H$338="Y","---&gt;","...")</f>
        <v>...</v>
      </c>
      <c r="C435" s="1" t="str">
        <f>IF($H$338="Y",'Population Definitions'!$A$8,"...")</f>
        <v>...</v>
      </c>
      <c r="E435" s="2"/>
      <c r="F435" s="3"/>
      <c r="G435" s="2"/>
      <c r="H435" s="4" t="str">
        <f>IF($H$338="Y","OR","...")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>
      <c r="A436" s="1" t="str">
        <f>IF($I$338="Y",'Population Definitions'!$A$9,"...")</f>
        <v>...</v>
      </c>
      <c r="B436" s="4" t="str">
        <f>IF($I$338="Y","---&gt;","...")</f>
        <v>...</v>
      </c>
      <c r="C436" s="1" t="str">
        <f>IF($I$338="Y",'Population Definitions'!$A$9,"...")</f>
        <v>...</v>
      </c>
      <c r="E436" s="2"/>
      <c r="F436" s="3"/>
      <c r="G436" s="2"/>
      <c r="H436" s="4" t="str">
        <f>IF($I$338="Y","OR","...")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>
      <c r="A437" s="1" t="str">
        <f>IF($J$338="Y",'Population Definitions'!$A$9,"...")</f>
        <v>...</v>
      </c>
      <c r="B437" s="4" t="str">
        <f>IF($J$338="Y","---&gt;","...")</f>
        <v>...</v>
      </c>
      <c r="C437" s="1" t="str">
        <f>IF($J$338="Y",'Population Definitions'!$A$10,"...")</f>
        <v>...</v>
      </c>
      <c r="E437" s="2"/>
      <c r="F437" s="3"/>
      <c r="G437" s="2"/>
      <c r="H437" s="4" t="str">
        <f>IF($J$338="Y","OR","...")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>
      <c r="A438" s="1" t="str">
        <f>IF($K$338="Y",'Population Definitions'!$A$9,"...")</f>
        <v>...</v>
      </c>
      <c r="B438" s="4" t="str">
        <f>IF($K$338="Y","---&gt;","...")</f>
        <v>...</v>
      </c>
      <c r="C438" s="1" t="str">
        <f>IF($K$338="Y",'Population Definitions'!$A$11,"...")</f>
        <v>...</v>
      </c>
      <c r="E438" s="2"/>
      <c r="F438" s="3"/>
      <c r="G438" s="2"/>
      <c r="H438" s="4" t="str">
        <f>IF($K$338="Y","OR","...")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>
      <c r="A439" s="1" t="str">
        <f>IF($L$338="Y",'Population Definitions'!$A$9,"...")</f>
        <v>...</v>
      </c>
      <c r="B439" s="4" t="str">
        <f>IF($L$338="Y","---&gt;","...")</f>
        <v>...</v>
      </c>
      <c r="C439" s="1" t="str">
        <f>IF($L$338="Y",'Population Definitions'!$A$12,"...")</f>
        <v>...</v>
      </c>
      <c r="E439" s="2"/>
      <c r="F439" s="3"/>
      <c r="G439" s="2"/>
      <c r="H439" s="4" t="str">
        <f>IF($L$338="Y","OR","...")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>
      <c r="A440" s="1" t="str">
        <f>IF($M$338="Y",'Population Definitions'!$A$9,"...")</f>
        <v>18-64_females</v>
      </c>
      <c r="B440" s="4" t="str">
        <f>IF($M$338="Y","---&gt;","...")</f>
        <v>---&gt;</v>
      </c>
      <c r="C440" s="1" t="str">
        <f>IF($M$338="Y",'Population Definitions'!$A$13,"...")</f>
        <v>Prisoners_females</v>
      </c>
      <c r="E440" s="3" t="s">
        <v>53</v>
      </c>
      <c r="F440" s="3"/>
      <c r="G440" s="3">
        <v>0</v>
      </c>
      <c r="H440" s="4" t="str">
        <f>IF($M$338="Y","OR","...")</f>
        <v>OR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1:59">
      <c r="A441" s="1" t="str">
        <f>IF($B$339="Y",'Population Definitions'!$A$10,"...")</f>
        <v>...</v>
      </c>
      <c r="B441" s="4" t="str">
        <f>IF($B$339="Y","---&gt;","...")</f>
        <v>...</v>
      </c>
      <c r="C441" s="1" t="str">
        <f>IF($B$339="Y",'Population Definitions'!$A$2,"...")</f>
        <v>...</v>
      </c>
      <c r="E441" s="2"/>
      <c r="F441" s="3"/>
      <c r="G441" s="2"/>
      <c r="H441" s="4" t="str">
        <f>IF($B$339="Y","OR","...")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>
      <c r="A442" s="1" t="str">
        <f>IF($C$339="Y",'Population Definitions'!$A$10,"...")</f>
        <v>...</v>
      </c>
      <c r="B442" s="4" t="str">
        <f>IF($C$339="Y","---&gt;","...")</f>
        <v>...</v>
      </c>
      <c r="C442" s="1" t="str">
        <f>IF($C$339="Y",'Population Definitions'!$A$3,"...")</f>
        <v>...</v>
      </c>
      <c r="E442" s="2"/>
      <c r="F442" s="3"/>
      <c r="G442" s="2"/>
      <c r="H442" s="4" t="str">
        <f>IF($C$339="Y","OR","...")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>
      <c r="A443" s="1" t="str">
        <f>IF($D$339="Y",'Population Definitions'!$A$10,"...")</f>
        <v>...</v>
      </c>
      <c r="B443" s="4" t="str">
        <f>IF($D$339="Y","---&gt;","...")</f>
        <v>...</v>
      </c>
      <c r="C443" s="1" t="str">
        <f>IF($D$339="Y",'Population Definitions'!$A$4,"...")</f>
        <v>...</v>
      </c>
      <c r="E443" s="2"/>
      <c r="F443" s="3"/>
      <c r="G443" s="2"/>
      <c r="H443" s="4" t="str">
        <f>IF($D$339="Y","OR","...")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>
      <c r="A444" s="1" t="str">
        <f>IF($E$339="Y",'Population Definitions'!$A$10,"...")</f>
        <v>...</v>
      </c>
      <c r="B444" s="4" t="str">
        <f>IF($E$339="Y","---&gt;","...")</f>
        <v>...</v>
      </c>
      <c r="C444" s="1" t="str">
        <f>IF($E$339="Y",'Population Definitions'!$A$5,"...")</f>
        <v>...</v>
      </c>
      <c r="E444" s="2"/>
      <c r="F444" s="3"/>
      <c r="G444" s="2"/>
      <c r="H444" s="4" t="str">
        <f>IF($E$339="Y","OR","...")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>
      <c r="A445" s="1" t="str">
        <f>IF($F$339="Y",'Population Definitions'!$A$10,"...")</f>
        <v>...</v>
      </c>
      <c r="B445" s="4" t="str">
        <f>IF($F$339="Y","---&gt;","...")</f>
        <v>...</v>
      </c>
      <c r="C445" s="1" t="str">
        <f>IF($F$339="Y",'Population Definitions'!$A$6,"...")</f>
        <v>...</v>
      </c>
      <c r="E445" s="2"/>
      <c r="F445" s="3"/>
      <c r="G445" s="2"/>
      <c r="H445" s="4" t="str">
        <f>IF($F$339="Y","OR","...")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>
      <c r="A446" s="1" t="str">
        <f>IF($G$339="Y",'Population Definitions'!$A$10,"...")</f>
        <v>...</v>
      </c>
      <c r="B446" s="4" t="str">
        <f>IF($G$339="Y","---&gt;","...")</f>
        <v>...</v>
      </c>
      <c r="C446" s="1" t="str">
        <f>IF($G$339="Y",'Population Definitions'!$A$7,"...")</f>
        <v>...</v>
      </c>
      <c r="E446" s="2"/>
      <c r="F446" s="3"/>
      <c r="G446" s="2"/>
      <c r="H446" s="4" t="str">
        <f>IF($G$339="Y","OR","...")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>
      <c r="A447" s="1" t="str">
        <f>IF($H$339="Y",'Population Definitions'!$A$10,"...")</f>
        <v>...</v>
      </c>
      <c r="B447" s="4" t="str">
        <f>IF($H$339="Y","---&gt;","...")</f>
        <v>...</v>
      </c>
      <c r="C447" s="1" t="str">
        <f>IF($H$339="Y",'Population Definitions'!$A$8,"...")</f>
        <v>...</v>
      </c>
      <c r="E447" s="2"/>
      <c r="F447" s="3"/>
      <c r="G447" s="2"/>
      <c r="H447" s="4" t="str">
        <f>IF($H$339="Y","OR","...")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>
      <c r="A448" s="1" t="str">
        <f>IF($I$339="Y",'Population Definitions'!$A$10,"...")</f>
        <v>...</v>
      </c>
      <c r="B448" s="4" t="str">
        <f>IF($I$339="Y","---&gt;","...")</f>
        <v>...</v>
      </c>
      <c r="C448" s="1" t="str">
        <f>IF($I$339="Y",'Population Definitions'!$A$9,"...")</f>
        <v>...</v>
      </c>
      <c r="E448" s="2"/>
      <c r="F448" s="3"/>
      <c r="G448" s="2"/>
      <c r="H448" s="4" t="str">
        <f>IF($I$339="Y","OR","...")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>
      <c r="A449" s="1" t="str">
        <f>IF($J$339="Y",'Population Definitions'!$A$10,"...")</f>
        <v>...</v>
      </c>
      <c r="B449" s="4" t="str">
        <f>IF($J$339="Y","---&gt;","...")</f>
        <v>...</v>
      </c>
      <c r="C449" s="1" t="str">
        <f>IF($J$339="Y",'Population Definitions'!$A$10,"...")</f>
        <v>...</v>
      </c>
      <c r="E449" s="2"/>
      <c r="F449" s="3"/>
      <c r="G449" s="2"/>
      <c r="H449" s="4" t="str">
        <f>IF($J$339="Y","OR","...")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>
      <c r="A450" s="1" t="str">
        <f>IF($K$339="Y",'Population Definitions'!$A$10,"...")</f>
        <v>...</v>
      </c>
      <c r="B450" s="4" t="str">
        <f>IF($K$339="Y","---&gt;","...")</f>
        <v>...</v>
      </c>
      <c r="C450" s="1" t="str">
        <f>IF($K$339="Y",'Population Definitions'!$A$11,"...")</f>
        <v>...</v>
      </c>
      <c r="E450" s="2"/>
      <c r="F450" s="3"/>
      <c r="G450" s="2"/>
      <c r="H450" s="4" t="str">
        <f>IF($K$339="Y","OR","...")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>
      <c r="A451" s="1" t="str">
        <f>IF($L$339="Y",'Population Definitions'!$A$10,"...")</f>
        <v>...</v>
      </c>
      <c r="B451" s="4" t="str">
        <f>IF($L$339="Y","---&gt;","...")</f>
        <v>...</v>
      </c>
      <c r="C451" s="1" t="str">
        <f>IF($L$339="Y",'Population Definitions'!$A$12,"...")</f>
        <v>...</v>
      </c>
      <c r="E451" s="2"/>
      <c r="F451" s="3"/>
      <c r="G451" s="2"/>
      <c r="H451" s="4" t="str">
        <f>IF($L$339="Y","OR","...")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>
      <c r="A452" s="1" t="str">
        <f>IF($M$339="Y",'Population Definitions'!$A$10,"...")</f>
        <v>...</v>
      </c>
      <c r="B452" s="4" t="str">
        <f>IF($M$339="Y","---&gt;","...")</f>
        <v>...</v>
      </c>
      <c r="C452" s="1" t="str">
        <f>IF($M$339="Y",'Population Definitions'!$A$13,"...")</f>
        <v>...</v>
      </c>
      <c r="E452" s="2"/>
      <c r="F452" s="3"/>
      <c r="G452" s="2"/>
      <c r="H452" s="4" t="str">
        <f>IF($M$339="Y","OR","...")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>
      <c r="A453" s="1" t="str">
        <f>IF($B$340="Y",'Population Definitions'!$A$11,"...")</f>
        <v>...</v>
      </c>
      <c r="B453" s="4" t="str">
        <f>IF($B$340="Y","---&gt;","...")</f>
        <v>...</v>
      </c>
      <c r="C453" s="1" t="str">
        <f>IF($B$340="Y",'Population Definitions'!$A$2,"...")</f>
        <v>...</v>
      </c>
      <c r="E453" s="2"/>
      <c r="F453" s="3"/>
      <c r="G453" s="2"/>
      <c r="H453" s="4" t="str">
        <f>IF($B$340="Y","OR","...")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>
      <c r="A454" s="1" t="str">
        <f>IF($C$340="Y",'Population Definitions'!$A$11,"...")</f>
        <v>...</v>
      </c>
      <c r="B454" s="4" t="str">
        <f>IF($C$340="Y","---&gt;","...")</f>
        <v>...</v>
      </c>
      <c r="C454" s="1" t="str">
        <f>IF($C$340="Y",'Population Definitions'!$A$3,"...")</f>
        <v>...</v>
      </c>
      <c r="E454" s="2"/>
      <c r="F454" s="3"/>
      <c r="G454" s="2"/>
      <c r="H454" s="4" t="str">
        <f>IF($C$340="Y","OR","...")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>
      <c r="A455" s="1" t="str">
        <f>IF($D$340="Y",'Population Definitions'!$A$11,"...")</f>
        <v>...</v>
      </c>
      <c r="B455" s="4" t="str">
        <f>IF($D$340="Y","---&gt;","...")</f>
        <v>...</v>
      </c>
      <c r="C455" s="1" t="str">
        <f>IF($D$340="Y",'Population Definitions'!$A$4,"...")</f>
        <v>...</v>
      </c>
      <c r="E455" s="2"/>
      <c r="F455" s="3"/>
      <c r="G455" s="2"/>
      <c r="H455" s="4" t="str">
        <f>IF($D$340="Y","OR","...")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IF($E$340="Y",'Population Definitions'!$A$11,"...")</f>
        <v>...</v>
      </c>
      <c r="B456" s="4" t="str">
        <f>IF($E$340="Y","---&gt;","...")</f>
        <v>...</v>
      </c>
      <c r="C456" s="1" t="str">
        <f>IF($E$340="Y",'Population Definitions'!$A$5,"...")</f>
        <v>...</v>
      </c>
      <c r="E456" s="2"/>
      <c r="F456" s="3"/>
      <c r="G456" s="2"/>
      <c r="H456" s="4" t="str">
        <f>IF($E$340="Y","OR","...")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IF($F$340="Y",'Population Definitions'!$A$11,"...")</f>
        <v>...</v>
      </c>
      <c r="B457" s="4" t="str">
        <f>IF($F$340="Y","---&gt;","...")</f>
        <v>...</v>
      </c>
      <c r="C457" s="1" t="str">
        <f>IF($F$340="Y",'Population Definitions'!$A$6,"...")</f>
        <v>...</v>
      </c>
      <c r="E457" s="2"/>
      <c r="F457" s="3"/>
      <c r="G457" s="2"/>
      <c r="H457" s="4" t="str">
        <f>IF($F$340="Y","OR","...")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IF($G$340="Y",'Population Definitions'!$A$11,"...")</f>
        <v>...</v>
      </c>
      <c r="B458" s="4" t="str">
        <f>IF($G$340="Y","---&gt;","...")</f>
        <v>...</v>
      </c>
      <c r="C458" s="1" t="str">
        <f>IF($G$340="Y",'Population Definitions'!$A$7,"...")</f>
        <v>...</v>
      </c>
      <c r="E458" s="2"/>
      <c r="F458" s="3"/>
      <c r="G458" s="2"/>
      <c r="H458" s="4" t="str">
        <f>IF($G$340="Y","OR","...")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IF($H$340="Y",'Population Definitions'!$A$11,"...")</f>
        <v>...</v>
      </c>
      <c r="B459" s="4" t="str">
        <f>IF($H$340="Y","---&gt;","...")</f>
        <v>...</v>
      </c>
      <c r="C459" s="1" t="str">
        <f>IF($H$340="Y",'Population Definitions'!$A$8,"...")</f>
        <v>...</v>
      </c>
      <c r="E459" s="2"/>
      <c r="F459" s="3"/>
      <c r="G459" s="2"/>
      <c r="H459" s="4" t="str">
        <f>IF($H$340="Y","OR","...")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IF($I$340="Y",'Population Definitions'!$A$11,"...")</f>
        <v>...</v>
      </c>
      <c r="B460" s="4" t="str">
        <f>IF($I$340="Y","---&gt;","...")</f>
        <v>...</v>
      </c>
      <c r="C460" s="1" t="str">
        <f>IF($I$340="Y",'Population Definitions'!$A$9,"...")</f>
        <v>...</v>
      </c>
      <c r="E460" s="2"/>
      <c r="F460" s="3"/>
      <c r="G460" s="2"/>
      <c r="H460" s="4" t="str">
        <f>IF($I$340="Y","OR","...")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IF($J$340="Y",'Population Definitions'!$A$11,"...")</f>
        <v>...</v>
      </c>
      <c r="B461" s="4" t="str">
        <f>IF($J$340="Y","---&gt;","...")</f>
        <v>...</v>
      </c>
      <c r="C461" s="1" t="str">
        <f>IF($J$340="Y",'Population Definitions'!$A$10,"...")</f>
        <v>...</v>
      </c>
      <c r="E461" s="2"/>
      <c r="F461" s="3"/>
      <c r="G461" s="2"/>
      <c r="H461" s="4" t="str">
        <f>IF($J$340="Y","OR","...")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IF($K$340="Y",'Population Definitions'!$A$11,"...")</f>
        <v>...</v>
      </c>
      <c r="B462" s="4" t="str">
        <f>IF($K$340="Y","---&gt;","...")</f>
        <v>...</v>
      </c>
      <c r="C462" s="1" t="str">
        <f>IF($K$340="Y",'Population Definitions'!$A$11,"...")</f>
        <v>...</v>
      </c>
      <c r="E462" s="2"/>
      <c r="F462" s="3"/>
      <c r="G462" s="2"/>
      <c r="H462" s="4" t="str">
        <f>IF($K$340="Y","OR","...")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IF($L$340="Y",'Population Definitions'!$A$11,"...")</f>
        <v>...</v>
      </c>
      <c r="B463" s="4" t="str">
        <f>IF($L$340="Y","---&gt;","...")</f>
        <v>...</v>
      </c>
      <c r="C463" s="1" t="str">
        <f>IF($L$340="Y",'Population Definitions'!$A$12,"...")</f>
        <v>...</v>
      </c>
      <c r="E463" s="2"/>
      <c r="F463" s="3"/>
      <c r="G463" s="2"/>
      <c r="H463" s="4" t="str">
        <f>IF($L$340="Y","OR","...")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IF($M$340="Y",'Population Definitions'!$A$11,"...")</f>
        <v>...</v>
      </c>
      <c r="B464" s="4" t="str">
        <f>IF($M$340="Y","---&gt;","...")</f>
        <v>...</v>
      </c>
      <c r="C464" s="1" t="str">
        <f>IF($M$340="Y",'Population Definitions'!$A$13,"...")</f>
        <v>...</v>
      </c>
      <c r="E464" s="2"/>
      <c r="F464" s="3"/>
      <c r="G464" s="2"/>
      <c r="H464" s="4" t="str">
        <f>IF($M$340="Y","OR","...")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IF($B$341="Y",'Population Definitions'!$A$12,"...")</f>
        <v>Prisoners_males</v>
      </c>
      <c r="B465" s="4" t="str">
        <f>IF($B$341="Y","---&gt;","...")</f>
        <v>---&gt;</v>
      </c>
      <c r="C465" s="1" t="str">
        <f>IF($B$341="Y",'Population Definitions'!$A$2,"...")</f>
        <v>PWID_males</v>
      </c>
      <c r="E465" s="3" t="s">
        <v>53</v>
      </c>
      <c r="F465" s="3"/>
      <c r="G465" s="3">
        <v>0</v>
      </c>
      <c r="H465" s="4" t="str">
        <f>IF($B$341="Y","OR","...")</f>
        <v>OR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1:59">
      <c r="A466" s="1" t="str">
        <f>IF($C$341="Y",'Population Definitions'!$A$12,"...")</f>
        <v>...</v>
      </c>
      <c r="B466" s="4" t="str">
        <f>IF($C$341="Y","---&gt;","...")</f>
        <v>...</v>
      </c>
      <c r="C466" s="1" t="str">
        <f>IF($C$341="Y",'Population Definitions'!$A$3,"...")</f>
        <v>...</v>
      </c>
      <c r="E466" s="2"/>
      <c r="F466" s="3"/>
      <c r="G466" s="2"/>
      <c r="H466" s="4" t="str">
        <f>IF($C$341="Y","OR","...")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IF($D$341="Y",'Population Definitions'!$A$12,"...")</f>
        <v>...</v>
      </c>
      <c r="B467" s="4" t="str">
        <f>IF($D$341="Y","---&gt;","...")</f>
        <v>...</v>
      </c>
      <c r="C467" s="1" t="str">
        <f>IF($D$341="Y",'Population Definitions'!$A$4,"...")</f>
        <v>...</v>
      </c>
      <c r="E467" s="2"/>
      <c r="F467" s="3"/>
      <c r="G467" s="2"/>
      <c r="H467" s="4" t="str">
        <f>IF($D$341="Y","OR","...")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>
      <c r="A468" s="1" t="str">
        <f>IF($E$341="Y",'Population Definitions'!$A$12,"...")</f>
        <v>...</v>
      </c>
      <c r="B468" s="4" t="str">
        <f>IF($E$341="Y","---&gt;","...")</f>
        <v>...</v>
      </c>
      <c r="C468" s="1" t="str">
        <f>IF($E$341="Y",'Population Definitions'!$A$5,"...")</f>
        <v>...</v>
      </c>
      <c r="E468" s="2"/>
      <c r="F468" s="3"/>
      <c r="G468" s="2"/>
      <c r="H468" s="4" t="str">
        <f>IF($E$341="Y","OR","...")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IF($F$341="Y",'Population Definitions'!$A$12,"...")</f>
        <v>...</v>
      </c>
      <c r="B469" s="4" t="str">
        <f>IF($F$341="Y","---&gt;","...")</f>
        <v>...</v>
      </c>
      <c r="C469" s="1" t="str">
        <f>IF($F$341="Y",'Population Definitions'!$A$6,"...")</f>
        <v>...</v>
      </c>
      <c r="E469" s="2"/>
      <c r="F469" s="3"/>
      <c r="G469" s="2"/>
      <c r="H469" s="4" t="str">
        <f>IF($F$341="Y","OR","...")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IF($G$341="Y",'Population Definitions'!$A$12,"...")</f>
        <v>...</v>
      </c>
      <c r="B470" s="4" t="str">
        <f>IF($G$341="Y","---&gt;","...")</f>
        <v>...</v>
      </c>
      <c r="C470" s="1" t="str">
        <f>IF($G$341="Y",'Population Definitions'!$A$7,"...")</f>
        <v>...</v>
      </c>
      <c r="E470" s="2"/>
      <c r="F470" s="3"/>
      <c r="G470" s="2"/>
      <c r="H470" s="4" t="str">
        <f>IF($G$341="Y","OR","...")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IF($H$341="Y",'Population Definitions'!$A$12,"...")</f>
        <v>Prisoners_males</v>
      </c>
      <c r="B471" s="4" t="str">
        <f>IF($H$341="Y","---&gt;","...")</f>
        <v>---&gt;</v>
      </c>
      <c r="C471" s="1" t="str">
        <f>IF($H$341="Y",'Population Definitions'!$A$8,"...")</f>
        <v>18-64_males</v>
      </c>
      <c r="E471" s="3" t="s">
        <v>53</v>
      </c>
      <c r="F471" s="3"/>
      <c r="G471" s="3">
        <v>0</v>
      </c>
      <c r="H471" s="4" t="str">
        <f>IF($H$341="Y","OR","...")</f>
        <v>OR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1:59">
      <c r="A472" s="1" t="str">
        <f>IF($I$341="Y",'Population Definitions'!$A$12,"...")</f>
        <v>...</v>
      </c>
      <c r="B472" s="4" t="str">
        <f>IF($I$341="Y","---&gt;","...")</f>
        <v>...</v>
      </c>
      <c r="C472" s="1" t="str">
        <f>IF($I$341="Y",'Population Definitions'!$A$9,"...")</f>
        <v>...</v>
      </c>
      <c r="E472" s="2"/>
      <c r="F472" s="3"/>
      <c r="G472" s="2"/>
      <c r="H472" s="4" t="str">
        <f>IF($I$341="Y","OR","...")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IF($J$341="Y",'Population Definitions'!$A$12,"...")</f>
        <v>...</v>
      </c>
      <c r="B473" s="4" t="str">
        <f>IF($J$341="Y","---&gt;","...")</f>
        <v>...</v>
      </c>
      <c r="C473" s="1" t="str">
        <f>IF($J$341="Y",'Population Definitions'!$A$10,"...")</f>
        <v>...</v>
      </c>
      <c r="E473" s="2"/>
      <c r="F473" s="3"/>
      <c r="G473" s="2"/>
      <c r="H473" s="4" t="str">
        <f>IF($J$341="Y","OR","...")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IF($K$341="Y",'Population Definitions'!$A$12,"...")</f>
        <v>...</v>
      </c>
      <c r="B474" s="4" t="str">
        <f>IF($K$341="Y","---&gt;","...")</f>
        <v>...</v>
      </c>
      <c r="C474" s="1" t="str">
        <f>IF($K$341="Y",'Population Definitions'!$A$11,"...")</f>
        <v>...</v>
      </c>
      <c r="E474" s="2"/>
      <c r="F474" s="3"/>
      <c r="G474" s="2"/>
      <c r="H474" s="4" t="str">
        <f>IF($K$341="Y","OR","...")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IF($L$341="Y",'Population Definitions'!$A$12,"...")</f>
        <v>...</v>
      </c>
      <c r="B475" s="4" t="str">
        <f>IF($L$341="Y","---&gt;","...")</f>
        <v>...</v>
      </c>
      <c r="C475" s="1" t="str">
        <f>IF($L$341="Y",'Population Definitions'!$A$12,"...")</f>
        <v>...</v>
      </c>
      <c r="E475" s="2"/>
      <c r="F475" s="3"/>
      <c r="G475" s="2"/>
      <c r="H475" s="4" t="str">
        <f>IF($L$341="Y","OR","...")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IF($M$341="Y",'Population Definitions'!$A$12,"...")</f>
        <v>...</v>
      </c>
      <c r="B476" s="4" t="str">
        <f>IF($M$341="Y","---&gt;","...")</f>
        <v>...</v>
      </c>
      <c r="C476" s="1" t="str">
        <f>IF($M$341="Y",'Population Definitions'!$A$13,"...")</f>
        <v>...</v>
      </c>
      <c r="E476" s="2"/>
      <c r="F476" s="3"/>
      <c r="G476" s="2"/>
      <c r="H476" s="4" t="str">
        <f>IF($M$341="Y","OR","...")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IF($B$342="Y",'Population Definitions'!$A$13,"...")</f>
        <v>...</v>
      </c>
      <c r="B477" s="4" t="str">
        <f>IF($B$342="Y","---&gt;","...")</f>
        <v>...</v>
      </c>
      <c r="C477" s="1" t="str">
        <f>IF($B$342="Y",'Population Definitions'!$A$2,"...")</f>
        <v>...</v>
      </c>
      <c r="E477" s="2"/>
      <c r="F477" s="3"/>
      <c r="G477" s="2"/>
      <c r="H477" s="4" t="str">
        <f>IF($B$342="Y","OR","...")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IF($C$342="Y",'Population Definitions'!$A$13,"...")</f>
        <v>Prisoners_females</v>
      </c>
      <c r="B478" s="4" t="str">
        <f>IF($C$342="Y","---&gt;","...")</f>
        <v>---&gt;</v>
      </c>
      <c r="C478" s="1" t="str">
        <f>IF($C$342="Y",'Population Definitions'!$A$3,"...")</f>
        <v>PWID_females</v>
      </c>
      <c r="E478" s="3" t="s">
        <v>53</v>
      </c>
      <c r="F478" s="3"/>
      <c r="G478" s="3">
        <v>0</v>
      </c>
      <c r="H478" s="4" t="str">
        <f>IF($C$342="Y","OR","...")</f>
        <v>OR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1:59">
      <c r="A479" s="1" t="str">
        <f>IF($D$342="Y",'Population Definitions'!$A$13,"...")</f>
        <v>...</v>
      </c>
      <c r="B479" s="4" t="str">
        <f>IF($D$342="Y","---&gt;","...")</f>
        <v>...</v>
      </c>
      <c r="C479" s="1" t="str">
        <f>IF($D$342="Y",'Population Definitions'!$A$4,"...")</f>
        <v>...</v>
      </c>
      <c r="E479" s="2"/>
      <c r="F479" s="3"/>
      <c r="G479" s="2"/>
      <c r="H479" s="4" t="str">
        <f>IF($D$342="Y","OR","...")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IF($E$342="Y",'Population Definitions'!$A$13,"...")</f>
        <v>...</v>
      </c>
      <c r="B480" s="4" t="str">
        <f>IF($E$342="Y","---&gt;","...")</f>
        <v>...</v>
      </c>
      <c r="C480" s="1" t="str">
        <f>IF($E$342="Y",'Population Definitions'!$A$5,"...")</f>
        <v>...</v>
      </c>
      <c r="E480" s="2"/>
      <c r="F480" s="3"/>
      <c r="G480" s="2"/>
      <c r="H480" s="4" t="str">
        <f>IF($E$342="Y","OR","...")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IF($F$342="Y",'Population Definitions'!$A$13,"...")</f>
        <v>...</v>
      </c>
      <c r="B481" s="4" t="str">
        <f>IF($F$342="Y","---&gt;","...")</f>
        <v>...</v>
      </c>
      <c r="C481" s="1" t="str">
        <f>IF($F$342="Y",'Population Definitions'!$A$6,"...")</f>
        <v>...</v>
      </c>
      <c r="E481" s="2"/>
      <c r="F481" s="3"/>
      <c r="G481" s="2"/>
      <c r="H481" s="4" t="str">
        <f>IF($F$342="Y","OR","...")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IF($G$342="Y",'Population Definitions'!$A$13,"...")</f>
        <v>...</v>
      </c>
      <c r="B482" s="4" t="str">
        <f>IF($G$342="Y","---&gt;","...")</f>
        <v>...</v>
      </c>
      <c r="C482" s="1" t="str">
        <f>IF($G$342="Y",'Population Definitions'!$A$7,"...")</f>
        <v>...</v>
      </c>
      <c r="E482" s="2"/>
      <c r="F482" s="3"/>
      <c r="G482" s="2"/>
      <c r="H482" s="4" t="str">
        <f>IF($G$342="Y","OR","...")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>
      <c r="A483" s="1" t="str">
        <f>IF($H$342="Y",'Population Definitions'!$A$13,"...")</f>
        <v>...</v>
      </c>
      <c r="B483" s="4" t="str">
        <f>IF($H$342="Y","---&gt;","...")</f>
        <v>...</v>
      </c>
      <c r="C483" s="1" t="str">
        <f>IF($H$342="Y",'Population Definitions'!$A$8,"...")</f>
        <v>...</v>
      </c>
      <c r="E483" s="2"/>
      <c r="F483" s="3"/>
      <c r="G483" s="2"/>
      <c r="H483" s="4" t="str">
        <f>IF($H$342="Y","OR","...")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IF($I$342="Y",'Population Definitions'!$A$13,"...")</f>
        <v>Prisoners_females</v>
      </c>
      <c r="B484" s="4" t="str">
        <f>IF($I$342="Y","---&gt;","...")</f>
        <v>---&gt;</v>
      </c>
      <c r="C484" s="1" t="str">
        <f>IF($I$342="Y",'Population Definitions'!$A$9,"...")</f>
        <v>18-64_females</v>
      </c>
      <c r="E484" s="3" t="s">
        <v>53</v>
      </c>
      <c r="F484" s="3"/>
      <c r="G484" s="3">
        <v>0</v>
      </c>
      <c r="H484" s="4" t="str">
        <f>IF($I$342="Y","OR","...")</f>
        <v>OR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1:59">
      <c r="A485" s="1" t="str">
        <f>IF($J$342="Y",'Population Definitions'!$A$13,"...")</f>
        <v>...</v>
      </c>
      <c r="B485" s="4" t="str">
        <f>IF($J$342="Y","---&gt;","...")</f>
        <v>...</v>
      </c>
      <c r="C485" s="1" t="str">
        <f>IF($J$342="Y",'Population Definitions'!$A$10,"...")</f>
        <v>...</v>
      </c>
      <c r="E485" s="2"/>
      <c r="F485" s="3"/>
      <c r="G485" s="2"/>
      <c r="H485" s="4" t="str">
        <f>IF($J$342="Y","OR","...")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IF($K$342="Y",'Population Definitions'!$A$13,"...")</f>
        <v>...</v>
      </c>
      <c r="B486" s="4" t="str">
        <f>IF($K$342="Y","---&gt;","...")</f>
        <v>...</v>
      </c>
      <c r="C486" s="1" t="str">
        <f>IF($K$342="Y",'Population Definitions'!$A$11,"...")</f>
        <v>...</v>
      </c>
      <c r="E486" s="2"/>
      <c r="F486" s="3"/>
      <c r="G486" s="2"/>
      <c r="H486" s="4" t="str">
        <f>IF($K$342="Y","OR","...")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IF($L$342="Y",'Population Definitions'!$A$13,"...")</f>
        <v>...</v>
      </c>
      <c r="B487" s="4" t="str">
        <f>IF($L$342="Y","---&gt;","...")</f>
        <v>...</v>
      </c>
      <c r="C487" s="1" t="str">
        <f>IF($L$342="Y",'Population Definitions'!$A$12,"...")</f>
        <v>...</v>
      </c>
      <c r="E487" s="2"/>
      <c r="F487" s="3"/>
      <c r="G487" s="2"/>
      <c r="H487" s="4" t="str">
        <f>IF($L$342="Y","OR","...")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IF($M$342="Y",'Population Definitions'!$A$13,"...")</f>
        <v>...</v>
      </c>
      <c r="B488" s="4" t="str">
        <f>IF($M$342="Y","---&gt;","...")</f>
        <v>...</v>
      </c>
      <c r="C488" s="1" t="str">
        <f>IF($M$342="Y",'Population Definitions'!$A$13,"...")</f>
        <v>...</v>
      </c>
      <c r="E488" s="2"/>
      <c r="F488" s="3"/>
      <c r="G488" s="2"/>
      <c r="H488" s="4" t="str">
        <f>IF($M$342="Y","OR","...")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</sheetData>
  <conditionalFormatting sqref="B10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B11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B12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B13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B14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B15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B16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B16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B17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B17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B17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B173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B174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175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B176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B177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B178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B179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B332">
    <cfRule type="cellIs" dxfId="2" priority="1415" operator="equal">
      <formula>"Y"</formula>
    </cfRule>
    <cfRule type="cellIs" dxfId="3" priority="1416" operator="equal">
      <formula>"N"</formula>
    </cfRule>
  </conditionalFormatting>
  <conditionalFormatting sqref="B333">
    <cfRule type="cellIs" dxfId="2" priority="1437" operator="equal">
      <formula>"Y"</formula>
    </cfRule>
    <cfRule type="cellIs" dxfId="3" priority="1438" operator="equal">
      <formula>"N"</formula>
    </cfRule>
  </conditionalFormatting>
  <conditionalFormatting sqref="B334">
    <cfRule type="cellIs" dxfId="2" priority="1459" operator="equal">
      <formula>"Y"</formula>
    </cfRule>
    <cfRule type="cellIs" dxfId="3" priority="1460" operator="equal">
      <formula>"N"</formula>
    </cfRule>
  </conditionalFormatting>
  <conditionalFormatting sqref="B335">
    <cfRule type="cellIs" dxfId="2" priority="1481" operator="equal">
      <formula>"Y"</formula>
    </cfRule>
    <cfRule type="cellIs" dxfId="3" priority="1482" operator="equal">
      <formula>"N"</formula>
    </cfRule>
  </conditionalFormatting>
  <conditionalFormatting sqref="B336">
    <cfRule type="cellIs" dxfId="2" priority="1503" operator="equal">
      <formula>"Y"</formula>
    </cfRule>
    <cfRule type="cellIs" dxfId="3" priority="1504" operator="equal">
      <formula>"N"</formula>
    </cfRule>
  </conditionalFormatting>
  <conditionalFormatting sqref="B337">
    <cfRule type="cellIs" dxfId="2" priority="1525" operator="equal">
      <formula>"Y"</formula>
    </cfRule>
    <cfRule type="cellIs" dxfId="3" priority="1526" operator="equal">
      <formula>"N"</formula>
    </cfRule>
  </conditionalFormatting>
  <conditionalFormatting sqref="B338">
    <cfRule type="cellIs" dxfId="2" priority="1547" operator="equal">
      <formula>"Y"</formula>
    </cfRule>
    <cfRule type="cellIs" dxfId="3" priority="1548" operator="equal">
      <formula>"N"</formula>
    </cfRule>
  </conditionalFormatting>
  <conditionalFormatting sqref="B339">
    <cfRule type="cellIs" dxfId="2" priority="1569" operator="equal">
      <formula>"Y"</formula>
    </cfRule>
    <cfRule type="cellIs" dxfId="3" priority="1570" operator="equal">
      <formula>"N"</formula>
    </cfRule>
  </conditionalFormatting>
  <conditionalFormatting sqref="B340">
    <cfRule type="cellIs" dxfId="2" priority="1591" operator="equal">
      <formula>"Y"</formula>
    </cfRule>
    <cfRule type="cellIs" dxfId="3" priority="1592" operator="equal">
      <formula>"N"</formula>
    </cfRule>
  </conditionalFormatting>
  <conditionalFormatting sqref="B341">
    <cfRule type="cellIs" dxfId="2" priority="1613" operator="equal">
      <formula>"Y"</formula>
    </cfRule>
    <cfRule type="cellIs" dxfId="3" priority="1614" operator="equal">
      <formula>"N"</formula>
    </cfRule>
  </conditionalFormatting>
  <conditionalFormatting sqref="B342">
    <cfRule type="cellIs" dxfId="2" priority="1635" operator="equal">
      <formula>"Y"</formula>
    </cfRule>
    <cfRule type="cellIs" dxfId="3" priority="1636" operator="equal">
      <formula>"N"</formula>
    </cfRule>
  </conditionalFormatting>
  <conditionalFormatting sqref="B6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B7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B8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B9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C10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1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C12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C13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C14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C15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C16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C168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C17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C17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C17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C173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C174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175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C176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C177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C178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C179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C331">
    <cfRule type="cellIs" dxfId="2" priority="1393" operator="equal">
      <formula>"Y"</formula>
    </cfRule>
    <cfRule type="cellIs" dxfId="3" priority="1394" operator="equal">
      <formula>"N"</formula>
    </cfRule>
  </conditionalFormatting>
  <conditionalFormatting sqref="C333">
    <cfRule type="cellIs" dxfId="2" priority="1439" operator="equal">
      <formula>"Y"</formula>
    </cfRule>
    <cfRule type="cellIs" dxfId="3" priority="1440" operator="equal">
      <formula>"N"</formula>
    </cfRule>
  </conditionalFormatting>
  <conditionalFormatting sqref="C334">
    <cfRule type="cellIs" dxfId="2" priority="1461" operator="equal">
      <formula>"Y"</formula>
    </cfRule>
    <cfRule type="cellIs" dxfId="3" priority="1462" operator="equal">
      <formula>"N"</formula>
    </cfRule>
  </conditionalFormatting>
  <conditionalFormatting sqref="C335">
    <cfRule type="cellIs" dxfId="2" priority="1483" operator="equal">
      <formula>"Y"</formula>
    </cfRule>
    <cfRule type="cellIs" dxfId="3" priority="1484" operator="equal">
      <formula>"N"</formula>
    </cfRule>
  </conditionalFormatting>
  <conditionalFormatting sqref="C336">
    <cfRule type="cellIs" dxfId="2" priority="1505" operator="equal">
      <formula>"Y"</formula>
    </cfRule>
    <cfRule type="cellIs" dxfId="3" priority="1506" operator="equal">
      <formula>"N"</formula>
    </cfRule>
  </conditionalFormatting>
  <conditionalFormatting sqref="C337">
    <cfRule type="cellIs" dxfId="2" priority="1527" operator="equal">
      <formula>"Y"</formula>
    </cfRule>
    <cfRule type="cellIs" dxfId="3" priority="1528" operator="equal">
      <formula>"N"</formula>
    </cfRule>
  </conditionalFormatting>
  <conditionalFormatting sqref="C338">
    <cfRule type="cellIs" dxfId="2" priority="1549" operator="equal">
      <formula>"Y"</formula>
    </cfRule>
    <cfRule type="cellIs" dxfId="3" priority="1550" operator="equal">
      <formula>"N"</formula>
    </cfRule>
  </conditionalFormatting>
  <conditionalFormatting sqref="C339">
    <cfRule type="cellIs" dxfId="2" priority="1571" operator="equal">
      <formula>"Y"</formula>
    </cfRule>
    <cfRule type="cellIs" dxfId="3" priority="1572" operator="equal">
      <formula>"N"</formula>
    </cfRule>
  </conditionalFormatting>
  <conditionalFormatting sqref="C340">
    <cfRule type="cellIs" dxfId="2" priority="1593" operator="equal">
      <formula>"Y"</formula>
    </cfRule>
    <cfRule type="cellIs" dxfId="3" priority="1594" operator="equal">
      <formula>"N"</formula>
    </cfRule>
  </conditionalFormatting>
  <conditionalFormatting sqref="C341">
    <cfRule type="cellIs" dxfId="2" priority="1615" operator="equal">
      <formula>"Y"</formula>
    </cfRule>
    <cfRule type="cellIs" dxfId="3" priority="1616" operator="equal">
      <formula>"N"</formula>
    </cfRule>
  </conditionalFormatting>
  <conditionalFormatting sqref="C342">
    <cfRule type="cellIs" dxfId="2" priority="1637" operator="equal">
      <formula>"Y"</formula>
    </cfRule>
    <cfRule type="cellIs" dxfId="3" priority="1638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C8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C9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D10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0:BG100">
    <cfRule type="expression" dxfId="4" priority="510">
      <formula>$K$11&lt;&gt;"Y"</formula>
    </cfRule>
  </conditionalFormatting>
  <conditionalFormatting sqref="D101:BG101">
    <cfRule type="expression" dxfId="4" priority="513">
      <formula>$L$11&lt;&gt;"Y"</formula>
    </cfRule>
  </conditionalFormatting>
  <conditionalFormatting sqref="D102:BG102">
    <cfRule type="expression" dxfId="4" priority="516">
      <formula>$M$11&lt;&gt;"Y"</formula>
    </cfRule>
  </conditionalFormatting>
  <conditionalFormatting sqref="D103:BG103">
    <cfRule type="expression" dxfId="4" priority="519">
      <formula>$B$12&lt;&gt;"Y"</formula>
    </cfRule>
  </conditionalFormatting>
  <conditionalFormatting sqref="D104:BG104">
    <cfRule type="expression" dxfId="4" priority="522">
      <formula>$C$12&lt;&gt;"Y"</formula>
    </cfRule>
  </conditionalFormatting>
  <conditionalFormatting sqref="D105:BG105">
    <cfRule type="expression" dxfId="4" priority="525">
      <formula>$D$12&lt;&gt;"Y"</formula>
    </cfRule>
  </conditionalFormatting>
  <conditionalFormatting sqref="D106:BG106">
    <cfRule type="expression" dxfId="4" priority="528">
      <formula>$E$12&lt;&gt;"Y"</formula>
    </cfRule>
  </conditionalFormatting>
  <conditionalFormatting sqref="D107:BG107">
    <cfRule type="expression" dxfId="4" priority="531">
      <formula>$F$12&lt;&gt;"Y"</formula>
    </cfRule>
  </conditionalFormatting>
  <conditionalFormatting sqref="D108:BG108">
    <cfRule type="expression" dxfId="4" priority="534">
      <formula>$G$12&lt;&gt;"Y"</formula>
    </cfRule>
  </conditionalFormatting>
  <conditionalFormatting sqref="D109:BG109">
    <cfRule type="expression" dxfId="4" priority="537">
      <formula>$H$12&lt;&gt;"Y"</formula>
    </cfRule>
  </conditionalFormatting>
  <conditionalFormatting sqref="D11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D110:BG110">
    <cfRule type="expression" dxfId="4" priority="540">
      <formula>$I$12&lt;&gt;"Y"</formula>
    </cfRule>
  </conditionalFormatting>
  <conditionalFormatting sqref="D111:BG111">
    <cfRule type="expression" dxfId="4" priority="543">
      <formula>$J$12&lt;&gt;"Y"</formula>
    </cfRule>
  </conditionalFormatting>
  <conditionalFormatting sqref="D112:BG112">
    <cfRule type="expression" dxfId="4" priority="546">
      <formula>$K$12&lt;&gt;"Y"</formula>
    </cfRule>
  </conditionalFormatting>
  <conditionalFormatting sqref="D113:BG113">
    <cfRule type="expression" dxfId="4" priority="549">
      <formula>$L$12&lt;&gt;"Y"</formula>
    </cfRule>
  </conditionalFormatting>
  <conditionalFormatting sqref="D114:BG114">
    <cfRule type="expression" dxfId="4" priority="552">
      <formula>$M$12&lt;&gt;"Y"</formula>
    </cfRule>
  </conditionalFormatting>
  <conditionalFormatting sqref="D115:BG115">
    <cfRule type="expression" dxfId="4" priority="555">
      <formula>$B$13&lt;&gt;"Y"</formula>
    </cfRule>
  </conditionalFormatting>
  <conditionalFormatting sqref="D116:BG116">
    <cfRule type="expression" dxfId="4" priority="558">
      <formula>$C$13&lt;&gt;"Y"</formula>
    </cfRule>
  </conditionalFormatting>
  <conditionalFormatting sqref="D117:BG117">
    <cfRule type="expression" dxfId="4" priority="561">
      <formula>$D$13&lt;&gt;"Y"</formula>
    </cfRule>
  </conditionalFormatting>
  <conditionalFormatting sqref="D118:BG118">
    <cfRule type="expression" dxfId="4" priority="564">
      <formula>$E$13&lt;&gt;"Y"</formula>
    </cfRule>
  </conditionalFormatting>
  <conditionalFormatting sqref="D119:BG119">
    <cfRule type="expression" dxfId="4" priority="567">
      <formula>$F$13&lt;&gt;"Y"</formula>
    </cfRule>
  </conditionalFormatting>
  <conditionalFormatting sqref="D12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D120:BG120">
    <cfRule type="expression" dxfId="4" priority="570">
      <formula>$G$13&lt;&gt;"Y"</formula>
    </cfRule>
  </conditionalFormatting>
  <conditionalFormatting sqref="D121:BG121">
    <cfRule type="expression" dxfId="4" priority="573">
      <formula>$H$13&lt;&gt;"Y"</formula>
    </cfRule>
  </conditionalFormatting>
  <conditionalFormatting sqref="D122:BG122">
    <cfRule type="expression" dxfId="4" priority="576">
      <formula>$I$13&lt;&gt;"Y"</formula>
    </cfRule>
  </conditionalFormatting>
  <conditionalFormatting sqref="D123:BG123">
    <cfRule type="expression" dxfId="4" priority="579">
      <formula>$J$13&lt;&gt;"Y"</formula>
    </cfRule>
  </conditionalFormatting>
  <conditionalFormatting sqref="D124:BG124">
    <cfRule type="expression" dxfId="4" priority="582">
      <formula>$K$13&lt;&gt;"Y"</formula>
    </cfRule>
  </conditionalFormatting>
  <conditionalFormatting sqref="D125:BG125">
    <cfRule type="expression" dxfId="4" priority="585">
      <formula>$L$13&lt;&gt;"Y"</formula>
    </cfRule>
  </conditionalFormatting>
  <conditionalFormatting sqref="D126:BG126">
    <cfRule type="expression" dxfId="4" priority="588">
      <formula>$M$13&lt;&gt;"Y"</formula>
    </cfRule>
  </conditionalFormatting>
  <conditionalFormatting sqref="D127:BG127">
    <cfRule type="expression" dxfId="4" priority="591">
      <formula>$B$14&lt;&gt;"Y"</formula>
    </cfRule>
  </conditionalFormatting>
  <conditionalFormatting sqref="D128:BG128">
    <cfRule type="expression" dxfId="4" priority="594">
      <formula>$C$14&lt;&gt;"Y"</formula>
    </cfRule>
  </conditionalFormatting>
  <conditionalFormatting sqref="D129:BG129">
    <cfRule type="expression" dxfId="4" priority="597">
      <formula>$D$14&lt;&gt;"Y"</formula>
    </cfRule>
  </conditionalFormatting>
  <conditionalFormatting sqref="D13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D130:BG130">
    <cfRule type="expression" dxfId="4" priority="600">
      <formula>$E$14&lt;&gt;"Y"</formula>
    </cfRule>
  </conditionalFormatting>
  <conditionalFormatting sqref="D131:BG131">
    <cfRule type="expression" dxfId="4" priority="603">
      <formula>$F$14&lt;&gt;"Y"</formula>
    </cfRule>
  </conditionalFormatting>
  <conditionalFormatting sqref="D132:BG132">
    <cfRule type="expression" dxfId="4" priority="606">
      <formula>$G$14&lt;&gt;"Y"</formula>
    </cfRule>
  </conditionalFormatting>
  <conditionalFormatting sqref="D133:BG133">
    <cfRule type="expression" dxfId="4" priority="609">
      <formula>$H$14&lt;&gt;"Y"</formula>
    </cfRule>
  </conditionalFormatting>
  <conditionalFormatting sqref="D134:BG134">
    <cfRule type="expression" dxfId="4" priority="612">
      <formula>$I$14&lt;&gt;"Y"</formula>
    </cfRule>
  </conditionalFormatting>
  <conditionalFormatting sqref="D135:BG135">
    <cfRule type="expression" dxfId="4" priority="615">
      <formula>$J$14&lt;&gt;"Y"</formula>
    </cfRule>
  </conditionalFormatting>
  <conditionalFormatting sqref="D136:BG136">
    <cfRule type="expression" dxfId="4" priority="618">
      <formula>$K$14&lt;&gt;"Y"</formula>
    </cfRule>
  </conditionalFormatting>
  <conditionalFormatting sqref="D137:BG137">
    <cfRule type="expression" dxfId="4" priority="621">
      <formula>$L$14&lt;&gt;"Y"</formula>
    </cfRule>
  </conditionalFormatting>
  <conditionalFormatting sqref="D138:BG138">
    <cfRule type="expression" dxfId="4" priority="624">
      <formula>$M$14&lt;&gt;"Y"</formula>
    </cfRule>
  </conditionalFormatting>
  <conditionalFormatting sqref="D139:BG139">
    <cfRule type="expression" dxfId="4" priority="627">
      <formula>$B$15&lt;&gt;"Y"</formula>
    </cfRule>
  </conditionalFormatting>
  <conditionalFormatting sqref="D14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D140:BG140">
    <cfRule type="expression" dxfId="4" priority="630">
      <formula>$C$15&lt;&gt;"Y"</formula>
    </cfRule>
  </conditionalFormatting>
  <conditionalFormatting sqref="D141:BG141">
    <cfRule type="expression" dxfId="4" priority="633">
      <formula>$D$15&lt;&gt;"Y"</formula>
    </cfRule>
  </conditionalFormatting>
  <conditionalFormatting sqref="D142:BG142">
    <cfRule type="expression" dxfId="4" priority="636">
      <formula>$E$15&lt;&gt;"Y"</formula>
    </cfRule>
  </conditionalFormatting>
  <conditionalFormatting sqref="D143:BG143">
    <cfRule type="expression" dxfId="4" priority="639">
      <formula>$F$15&lt;&gt;"Y"</formula>
    </cfRule>
  </conditionalFormatting>
  <conditionalFormatting sqref="D144:BG144">
    <cfRule type="expression" dxfId="4" priority="642">
      <formula>$G$15&lt;&gt;"Y"</formula>
    </cfRule>
  </conditionalFormatting>
  <conditionalFormatting sqref="D145:BG145">
    <cfRule type="expression" dxfId="4" priority="645">
      <formula>$H$15&lt;&gt;"Y"</formula>
    </cfRule>
  </conditionalFormatting>
  <conditionalFormatting sqref="D146:BG146">
    <cfRule type="expression" dxfId="4" priority="648">
      <formula>$I$15&lt;&gt;"Y"</formula>
    </cfRule>
  </conditionalFormatting>
  <conditionalFormatting sqref="D147:BG147">
    <cfRule type="expression" dxfId="4" priority="651">
      <formula>$J$15&lt;&gt;"Y"</formula>
    </cfRule>
  </conditionalFormatting>
  <conditionalFormatting sqref="D148:BG148">
    <cfRule type="expression" dxfId="4" priority="654">
      <formula>$K$15&lt;&gt;"Y"</formula>
    </cfRule>
  </conditionalFormatting>
  <conditionalFormatting sqref="D149:BG149">
    <cfRule type="expression" dxfId="4" priority="657">
      <formula>$L$15&lt;&gt;"Y"</formula>
    </cfRule>
  </conditionalFormatting>
  <conditionalFormatting sqref="D15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D150:BG150">
    <cfRule type="expression" dxfId="4" priority="660">
      <formula>$M$15&lt;&gt;"Y"</formula>
    </cfRule>
  </conditionalFormatting>
  <conditionalFormatting sqref="D151:BG151">
    <cfRule type="expression" dxfId="4" priority="663">
      <formula>$B$16&lt;&gt;"Y"</formula>
    </cfRule>
  </conditionalFormatting>
  <conditionalFormatting sqref="D152:BG152">
    <cfRule type="expression" dxfId="4" priority="666">
      <formula>$C$16&lt;&gt;"Y"</formula>
    </cfRule>
  </conditionalFormatting>
  <conditionalFormatting sqref="D153:BG153">
    <cfRule type="expression" dxfId="4" priority="669">
      <formula>$D$16&lt;&gt;"Y"</formula>
    </cfRule>
  </conditionalFormatting>
  <conditionalFormatting sqref="D154:BG154">
    <cfRule type="expression" dxfId="4" priority="672">
      <formula>$E$16&lt;&gt;"Y"</formula>
    </cfRule>
  </conditionalFormatting>
  <conditionalFormatting sqref="D155:BG155">
    <cfRule type="expression" dxfId="4" priority="675">
      <formula>$F$16&lt;&gt;"Y"</formula>
    </cfRule>
  </conditionalFormatting>
  <conditionalFormatting sqref="D156:BG156">
    <cfRule type="expression" dxfId="4" priority="678">
      <formula>$G$16&lt;&gt;"Y"</formula>
    </cfRule>
  </conditionalFormatting>
  <conditionalFormatting sqref="D157:BG157">
    <cfRule type="expression" dxfId="4" priority="681">
      <formula>$H$16&lt;&gt;"Y"</formula>
    </cfRule>
  </conditionalFormatting>
  <conditionalFormatting sqref="D158:BG158">
    <cfRule type="expression" dxfId="4" priority="684">
      <formula>$I$16&lt;&gt;"Y"</formula>
    </cfRule>
  </conditionalFormatting>
  <conditionalFormatting sqref="D159:BG159">
    <cfRule type="expression" dxfId="4" priority="687">
      <formula>$J$16&lt;&gt;"Y"</formula>
    </cfRule>
  </conditionalFormatting>
  <conditionalFormatting sqref="D16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D160:BG160">
    <cfRule type="expression" dxfId="4" priority="690">
      <formula>$K$16&lt;&gt;"Y"</formula>
    </cfRule>
  </conditionalFormatting>
  <conditionalFormatting sqref="D161:BG161">
    <cfRule type="expression" dxfId="4" priority="693">
      <formula>$L$16&lt;&gt;"Y"</formula>
    </cfRule>
  </conditionalFormatting>
  <conditionalFormatting sqref="D162:BG162">
    <cfRule type="expression" dxfId="4" priority="696">
      <formula>$M$16&lt;&gt;"Y"</formula>
    </cfRule>
  </conditionalFormatting>
  <conditionalFormatting sqref="D168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D169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D17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D17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D173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D174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175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D176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D177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D178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D179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D182:BG182">
    <cfRule type="expression" dxfId="4" priority="963">
      <formula>$B$168&lt;&gt;"Y"</formula>
    </cfRule>
  </conditionalFormatting>
  <conditionalFormatting sqref="D183:BG183">
    <cfRule type="expression" dxfId="4" priority="966">
      <formula>$C$168&lt;&gt;"Y"</formula>
    </cfRule>
  </conditionalFormatting>
  <conditionalFormatting sqref="D184:BG184">
    <cfRule type="expression" dxfId="4" priority="969">
      <formula>$D$168&lt;&gt;"Y"</formula>
    </cfRule>
  </conditionalFormatting>
  <conditionalFormatting sqref="D185:BG185">
    <cfRule type="expression" dxfId="4" priority="972">
      <formula>$E$168&lt;&gt;"Y"</formula>
    </cfRule>
  </conditionalFormatting>
  <conditionalFormatting sqref="D186:BG186">
    <cfRule type="expression" dxfId="4" priority="975">
      <formula>$F$168&lt;&gt;"Y"</formula>
    </cfRule>
  </conditionalFormatting>
  <conditionalFormatting sqref="D187:BG187">
    <cfRule type="expression" dxfId="4" priority="978">
      <formula>$G$168&lt;&gt;"Y"</formula>
    </cfRule>
  </conditionalFormatting>
  <conditionalFormatting sqref="D188:BG188">
    <cfRule type="expression" dxfId="4" priority="981">
      <formula>$H$168&lt;&gt;"Y"</formula>
    </cfRule>
  </conditionalFormatting>
  <conditionalFormatting sqref="D189:BG189">
    <cfRule type="expression" dxfId="4" priority="984">
      <formula>$I$168&lt;&gt;"Y"</formula>
    </cfRule>
  </conditionalFormatting>
  <conditionalFormatting sqref="D190:BG190">
    <cfRule type="expression" dxfId="4" priority="987">
      <formula>$J$168&lt;&gt;"Y"</formula>
    </cfRule>
  </conditionalFormatting>
  <conditionalFormatting sqref="D191:BG191">
    <cfRule type="expression" dxfId="4" priority="990">
      <formula>$K$168&lt;&gt;"Y"</formula>
    </cfRule>
  </conditionalFormatting>
  <conditionalFormatting sqref="D192:BG192">
    <cfRule type="expression" dxfId="4" priority="993">
      <formula>$L$168&lt;&gt;"Y"</formula>
    </cfRule>
  </conditionalFormatting>
  <conditionalFormatting sqref="D193:BG193">
    <cfRule type="expression" dxfId="4" priority="996">
      <formula>$M$168&lt;&gt;"Y"</formula>
    </cfRule>
  </conditionalFormatting>
  <conditionalFormatting sqref="D194:BG194">
    <cfRule type="expression" dxfId="4" priority="999">
      <formula>$B$169&lt;&gt;"Y"</formula>
    </cfRule>
  </conditionalFormatting>
  <conditionalFormatting sqref="D195:BG195">
    <cfRule type="expression" dxfId="4" priority="1002">
      <formula>$C$169&lt;&gt;"Y"</formula>
    </cfRule>
  </conditionalFormatting>
  <conditionalFormatting sqref="D196:BG196">
    <cfRule type="expression" dxfId="4" priority="1005">
      <formula>$D$169&lt;&gt;"Y"</formula>
    </cfRule>
  </conditionalFormatting>
  <conditionalFormatting sqref="D197:BG197">
    <cfRule type="expression" dxfId="4" priority="1008">
      <formula>$E$169&lt;&gt;"Y"</formula>
    </cfRule>
  </conditionalFormatting>
  <conditionalFormatting sqref="D198:BG198">
    <cfRule type="expression" dxfId="4" priority="1011">
      <formula>$F$169&lt;&gt;"Y"</formula>
    </cfRule>
  </conditionalFormatting>
  <conditionalFormatting sqref="D199:BG199">
    <cfRule type="expression" dxfId="4" priority="1014">
      <formula>$G$169&lt;&gt;"Y"</formula>
    </cfRule>
  </conditionalFormatting>
  <conditionalFormatting sqref="D19:BG19">
    <cfRule type="expression" dxfId="4" priority="267">
      <formula>$B$5&lt;&gt;"Y"</formula>
    </cfRule>
  </conditionalFormatting>
  <conditionalFormatting sqref="D200:BG200">
    <cfRule type="expression" dxfId="4" priority="1017">
      <formula>$H$169&lt;&gt;"Y"</formula>
    </cfRule>
  </conditionalFormatting>
  <conditionalFormatting sqref="D201:BG201">
    <cfRule type="expression" dxfId="4" priority="1020">
      <formula>$I$169&lt;&gt;"Y"</formula>
    </cfRule>
  </conditionalFormatting>
  <conditionalFormatting sqref="D202:BG202">
    <cfRule type="expression" dxfId="4" priority="1023">
      <formula>$J$169&lt;&gt;"Y"</formula>
    </cfRule>
  </conditionalFormatting>
  <conditionalFormatting sqref="D203:BG203">
    <cfRule type="expression" dxfId="4" priority="1026">
      <formula>$K$169&lt;&gt;"Y"</formula>
    </cfRule>
  </conditionalFormatting>
  <conditionalFormatting sqref="D204:BG204">
    <cfRule type="expression" dxfId="4" priority="1029">
      <formula>$L$169&lt;&gt;"Y"</formula>
    </cfRule>
  </conditionalFormatting>
  <conditionalFormatting sqref="D205:BG205">
    <cfRule type="expression" dxfId="4" priority="1032">
      <formula>$M$169&lt;&gt;"Y"</formula>
    </cfRule>
  </conditionalFormatting>
  <conditionalFormatting sqref="D206:BG206">
    <cfRule type="expression" dxfId="4" priority="1035">
      <formula>$B$170&lt;&gt;"Y"</formula>
    </cfRule>
  </conditionalFormatting>
  <conditionalFormatting sqref="D207:BG207">
    <cfRule type="expression" dxfId="4" priority="1038">
      <formula>$C$170&lt;&gt;"Y"</formula>
    </cfRule>
  </conditionalFormatting>
  <conditionalFormatting sqref="D208:BG208">
    <cfRule type="expression" dxfId="4" priority="1041">
      <formula>$D$170&lt;&gt;"Y"</formula>
    </cfRule>
  </conditionalFormatting>
  <conditionalFormatting sqref="D209:BG209">
    <cfRule type="expression" dxfId="4" priority="1044">
      <formula>$E$170&lt;&gt;"Y"</formula>
    </cfRule>
  </conditionalFormatting>
  <conditionalFormatting sqref="D20:BG20">
    <cfRule type="expression" dxfId="4" priority="270">
      <formula>$C$5&lt;&gt;"Y"</formula>
    </cfRule>
  </conditionalFormatting>
  <conditionalFormatting sqref="D210:BG210">
    <cfRule type="expression" dxfId="4" priority="1047">
      <formula>$F$170&lt;&gt;"Y"</formula>
    </cfRule>
  </conditionalFormatting>
  <conditionalFormatting sqref="D211:BG211">
    <cfRule type="expression" dxfId="4" priority="1050">
      <formula>$G$170&lt;&gt;"Y"</formula>
    </cfRule>
  </conditionalFormatting>
  <conditionalFormatting sqref="D212:BG212">
    <cfRule type="expression" dxfId="4" priority="1053">
      <formula>$H$170&lt;&gt;"Y"</formula>
    </cfRule>
  </conditionalFormatting>
  <conditionalFormatting sqref="D213:BG213">
    <cfRule type="expression" dxfId="4" priority="1056">
      <formula>$I$170&lt;&gt;"Y"</formula>
    </cfRule>
  </conditionalFormatting>
  <conditionalFormatting sqref="D214:BG214">
    <cfRule type="expression" dxfId="4" priority="1059">
      <formula>$J$170&lt;&gt;"Y"</formula>
    </cfRule>
  </conditionalFormatting>
  <conditionalFormatting sqref="D215:BG215">
    <cfRule type="expression" dxfId="4" priority="1062">
      <formula>$K$170&lt;&gt;"Y"</formula>
    </cfRule>
  </conditionalFormatting>
  <conditionalFormatting sqref="D216:BG216">
    <cfRule type="expression" dxfId="4" priority="1065">
      <formula>$L$170&lt;&gt;"Y"</formula>
    </cfRule>
  </conditionalFormatting>
  <conditionalFormatting sqref="D217:BG217">
    <cfRule type="expression" dxfId="4" priority="1068">
      <formula>$M$170&lt;&gt;"Y"</formula>
    </cfRule>
  </conditionalFormatting>
  <conditionalFormatting sqref="D218:BG218">
    <cfRule type="expression" dxfId="4" priority="1071">
      <formula>$B$171&lt;&gt;"Y"</formula>
    </cfRule>
  </conditionalFormatting>
  <conditionalFormatting sqref="D219:BG219">
    <cfRule type="expression" dxfId="4" priority="1074">
      <formula>$C$171&lt;&gt;"Y"</formula>
    </cfRule>
  </conditionalFormatting>
  <conditionalFormatting sqref="D21:BG21">
    <cfRule type="expression" dxfId="4" priority="273">
      <formula>$D$5&lt;&gt;"Y"</formula>
    </cfRule>
  </conditionalFormatting>
  <conditionalFormatting sqref="D220:BG220">
    <cfRule type="expression" dxfId="4" priority="1077">
      <formula>$D$171&lt;&gt;"Y"</formula>
    </cfRule>
  </conditionalFormatting>
  <conditionalFormatting sqref="D221:BG221">
    <cfRule type="expression" dxfId="4" priority="1080">
      <formula>$E$171&lt;&gt;"Y"</formula>
    </cfRule>
  </conditionalFormatting>
  <conditionalFormatting sqref="D222:BG222">
    <cfRule type="expression" dxfId="4" priority="1083">
      <formula>$F$171&lt;&gt;"Y"</formula>
    </cfRule>
  </conditionalFormatting>
  <conditionalFormatting sqref="D223:BG223">
    <cfRule type="expression" dxfId="4" priority="1086">
      <formula>$G$171&lt;&gt;"Y"</formula>
    </cfRule>
  </conditionalFormatting>
  <conditionalFormatting sqref="D224:BG224">
    <cfRule type="expression" dxfId="4" priority="1089">
      <formula>$H$171&lt;&gt;"Y"</formula>
    </cfRule>
  </conditionalFormatting>
  <conditionalFormatting sqref="D225:BG225">
    <cfRule type="expression" dxfId="4" priority="1092">
      <formula>$I$171&lt;&gt;"Y"</formula>
    </cfRule>
  </conditionalFormatting>
  <conditionalFormatting sqref="D226:BG226">
    <cfRule type="expression" dxfId="4" priority="1095">
      <formula>$J$171&lt;&gt;"Y"</formula>
    </cfRule>
  </conditionalFormatting>
  <conditionalFormatting sqref="D227:BG227">
    <cfRule type="expression" dxfId="4" priority="1098">
      <formula>$K$171&lt;&gt;"Y"</formula>
    </cfRule>
  </conditionalFormatting>
  <conditionalFormatting sqref="D228:BG228">
    <cfRule type="expression" dxfId="4" priority="1101">
      <formula>$L$171&lt;&gt;"Y"</formula>
    </cfRule>
  </conditionalFormatting>
  <conditionalFormatting sqref="D229:BG229">
    <cfRule type="expression" dxfId="4" priority="1104">
      <formula>$M$171&lt;&gt;"Y"</formula>
    </cfRule>
  </conditionalFormatting>
  <conditionalFormatting sqref="D22:BG22">
    <cfRule type="expression" dxfId="4" priority="276">
      <formula>$E$5&lt;&gt;"Y"</formula>
    </cfRule>
  </conditionalFormatting>
  <conditionalFormatting sqref="D230:BG230">
    <cfRule type="expression" dxfId="4" priority="1107">
      <formula>$B$172&lt;&gt;"Y"</formula>
    </cfRule>
  </conditionalFormatting>
  <conditionalFormatting sqref="D231:BG231">
    <cfRule type="expression" dxfId="4" priority="1110">
      <formula>$C$172&lt;&gt;"Y"</formula>
    </cfRule>
  </conditionalFormatting>
  <conditionalFormatting sqref="D232:BG232">
    <cfRule type="expression" dxfId="4" priority="1113">
      <formula>$D$172&lt;&gt;"Y"</formula>
    </cfRule>
  </conditionalFormatting>
  <conditionalFormatting sqref="D233:BG233">
    <cfRule type="expression" dxfId="4" priority="1116">
      <formula>$E$172&lt;&gt;"Y"</formula>
    </cfRule>
  </conditionalFormatting>
  <conditionalFormatting sqref="D234:BG234">
    <cfRule type="expression" dxfId="4" priority="1119">
      <formula>$F$172&lt;&gt;"Y"</formula>
    </cfRule>
  </conditionalFormatting>
  <conditionalFormatting sqref="D235:BG235">
    <cfRule type="expression" dxfId="4" priority="1122">
      <formula>$G$172&lt;&gt;"Y"</formula>
    </cfRule>
  </conditionalFormatting>
  <conditionalFormatting sqref="D236:BG236">
    <cfRule type="expression" dxfId="4" priority="1125">
      <formula>$H$172&lt;&gt;"Y"</formula>
    </cfRule>
  </conditionalFormatting>
  <conditionalFormatting sqref="D237:BG237">
    <cfRule type="expression" dxfId="4" priority="1128">
      <formula>$I$172&lt;&gt;"Y"</formula>
    </cfRule>
  </conditionalFormatting>
  <conditionalFormatting sqref="D238:BG238">
    <cfRule type="expression" dxfId="4" priority="1131">
      <formula>$J$172&lt;&gt;"Y"</formula>
    </cfRule>
  </conditionalFormatting>
  <conditionalFormatting sqref="D239:BG239">
    <cfRule type="expression" dxfId="4" priority="1134">
      <formula>$K$172&lt;&gt;"Y"</formula>
    </cfRule>
  </conditionalFormatting>
  <conditionalFormatting sqref="D23:BG23">
    <cfRule type="expression" dxfId="4" priority="279">
      <formula>$F$5&lt;&gt;"Y"</formula>
    </cfRule>
  </conditionalFormatting>
  <conditionalFormatting sqref="D240:BG240">
    <cfRule type="expression" dxfId="4" priority="1137">
      <formula>$L$172&lt;&gt;"Y"</formula>
    </cfRule>
  </conditionalFormatting>
  <conditionalFormatting sqref="D241:BG241">
    <cfRule type="expression" dxfId="4" priority="1140">
      <formula>$M$172&lt;&gt;"Y"</formula>
    </cfRule>
  </conditionalFormatting>
  <conditionalFormatting sqref="D242:BG242">
    <cfRule type="expression" dxfId="4" priority="1143">
      <formula>$B$173&lt;&gt;"Y"</formula>
    </cfRule>
  </conditionalFormatting>
  <conditionalFormatting sqref="D243:BG243">
    <cfRule type="expression" dxfId="4" priority="1146">
      <formula>$C$173&lt;&gt;"Y"</formula>
    </cfRule>
  </conditionalFormatting>
  <conditionalFormatting sqref="D244:BG244">
    <cfRule type="expression" dxfId="4" priority="1149">
      <formula>$D$173&lt;&gt;"Y"</formula>
    </cfRule>
  </conditionalFormatting>
  <conditionalFormatting sqref="D245:BG245">
    <cfRule type="expression" dxfId="4" priority="1152">
      <formula>$E$173&lt;&gt;"Y"</formula>
    </cfRule>
  </conditionalFormatting>
  <conditionalFormatting sqref="D246:BG246">
    <cfRule type="expression" dxfId="4" priority="1155">
      <formula>$F$173&lt;&gt;"Y"</formula>
    </cfRule>
  </conditionalFormatting>
  <conditionalFormatting sqref="D247:BG247">
    <cfRule type="expression" dxfId="4" priority="1158">
      <formula>$G$173&lt;&gt;"Y"</formula>
    </cfRule>
  </conditionalFormatting>
  <conditionalFormatting sqref="D248:BG248">
    <cfRule type="expression" dxfId="4" priority="1161">
      <formula>$H$173&lt;&gt;"Y"</formula>
    </cfRule>
  </conditionalFormatting>
  <conditionalFormatting sqref="D249:BG249">
    <cfRule type="expression" dxfId="4" priority="1164">
      <formula>$I$173&lt;&gt;"Y"</formula>
    </cfRule>
  </conditionalFormatting>
  <conditionalFormatting sqref="D24:BG24">
    <cfRule type="expression" dxfId="4" priority="282">
      <formula>$G$5&lt;&gt;"Y"</formula>
    </cfRule>
  </conditionalFormatting>
  <conditionalFormatting sqref="D250:BG250">
    <cfRule type="expression" dxfId="4" priority="1167">
      <formula>$J$173&lt;&gt;"Y"</formula>
    </cfRule>
  </conditionalFormatting>
  <conditionalFormatting sqref="D251:BG251">
    <cfRule type="expression" dxfId="4" priority="1170">
      <formula>$K$173&lt;&gt;"Y"</formula>
    </cfRule>
  </conditionalFormatting>
  <conditionalFormatting sqref="D252:BG252">
    <cfRule type="expression" dxfId="4" priority="1173">
      <formula>$L$173&lt;&gt;"Y"</formula>
    </cfRule>
  </conditionalFormatting>
  <conditionalFormatting sqref="D253:BG253">
    <cfRule type="expression" dxfId="4" priority="1176">
      <formula>$M$173&lt;&gt;"Y"</formula>
    </cfRule>
  </conditionalFormatting>
  <conditionalFormatting sqref="D254:BG254">
    <cfRule type="expression" dxfId="4" priority="1179">
      <formula>$B$174&lt;&gt;"Y"</formula>
    </cfRule>
  </conditionalFormatting>
  <conditionalFormatting sqref="D255:BG255">
    <cfRule type="expression" dxfId="4" priority="1182">
      <formula>$C$174&lt;&gt;"Y"</formula>
    </cfRule>
  </conditionalFormatting>
  <conditionalFormatting sqref="D256:BG256">
    <cfRule type="expression" dxfId="4" priority="1185">
      <formula>$D$174&lt;&gt;"Y"</formula>
    </cfRule>
  </conditionalFormatting>
  <conditionalFormatting sqref="D257:BG257">
    <cfRule type="expression" dxfId="4" priority="1188">
      <formula>$E$174&lt;&gt;"Y"</formula>
    </cfRule>
  </conditionalFormatting>
  <conditionalFormatting sqref="D258:BG258">
    <cfRule type="expression" dxfId="4" priority="1191">
      <formula>$F$174&lt;&gt;"Y"</formula>
    </cfRule>
  </conditionalFormatting>
  <conditionalFormatting sqref="D259:BG259">
    <cfRule type="expression" dxfId="4" priority="1194">
      <formula>$G$174&lt;&gt;"Y"</formula>
    </cfRule>
  </conditionalFormatting>
  <conditionalFormatting sqref="D25:BG25">
    <cfRule type="expression" dxfId="4" priority="285">
      <formula>$H$5&lt;&gt;"Y"</formula>
    </cfRule>
  </conditionalFormatting>
  <conditionalFormatting sqref="D260:BG260">
    <cfRule type="expression" dxfId="4" priority="1197">
      <formula>$H$174&lt;&gt;"Y"</formula>
    </cfRule>
  </conditionalFormatting>
  <conditionalFormatting sqref="D261:BG261">
    <cfRule type="expression" dxfId="4" priority="1200">
      <formula>$I$174&lt;&gt;"Y"</formula>
    </cfRule>
  </conditionalFormatting>
  <conditionalFormatting sqref="D262:BG262">
    <cfRule type="expression" dxfId="4" priority="1203">
      <formula>$J$174&lt;&gt;"Y"</formula>
    </cfRule>
  </conditionalFormatting>
  <conditionalFormatting sqref="D263:BG263">
    <cfRule type="expression" dxfId="4" priority="1206">
      <formula>$K$174&lt;&gt;"Y"</formula>
    </cfRule>
  </conditionalFormatting>
  <conditionalFormatting sqref="D264:BG264">
    <cfRule type="expression" dxfId="4" priority="1209">
      <formula>$L$174&lt;&gt;"Y"</formula>
    </cfRule>
  </conditionalFormatting>
  <conditionalFormatting sqref="D265:BG265">
    <cfRule type="expression" dxfId="4" priority="1212">
      <formula>$M$174&lt;&gt;"Y"</formula>
    </cfRule>
  </conditionalFormatting>
  <conditionalFormatting sqref="D266:BG266">
    <cfRule type="expression" dxfId="4" priority="1215">
      <formula>$B$175&lt;&gt;"Y"</formula>
    </cfRule>
  </conditionalFormatting>
  <conditionalFormatting sqref="D267:BG267">
    <cfRule type="expression" dxfId="4" priority="1218">
      <formula>$C$175&lt;&gt;"Y"</formula>
    </cfRule>
  </conditionalFormatting>
  <conditionalFormatting sqref="D268:BG268">
    <cfRule type="expression" dxfId="4" priority="1221">
      <formula>$D$175&lt;&gt;"Y"</formula>
    </cfRule>
  </conditionalFormatting>
  <conditionalFormatting sqref="D269:BG269">
    <cfRule type="expression" dxfId="4" priority="1224">
      <formula>$E$175&lt;&gt;"Y"</formula>
    </cfRule>
  </conditionalFormatting>
  <conditionalFormatting sqref="D26:BG26">
    <cfRule type="expression" dxfId="4" priority="288">
      <formula>$I$5&lt;&gt;"Y"</formula>
    </cfRule>
  </conditionalFormatting>
  <conditionalFormatting sqref="D270:BG270">
    <cfRule type="expression" dxfId="4" priority="1227">
      <formula>$F$175&lt;&gt;"Y"</formula>
    </cfRule>
  </conditionalFormatting>
  <conditionalFormatting sqref="D271:BG271">
    <cfRule type="expression" dxfId="4" priority="1230">
      <formula>$G$175&lt;&gt;"Y"</formula>
    </cfRule>
  </conditionalFormatting>
  <conditionalFormatting sqref="D272:BG272">
    <cfRule type="expression" dxfId="4" priority="1233">
      <formula>$H$175&lt;&gt;"Y"</formula>
    </cfRule>
  </conditionalFormatting>
  <conditionalFormatting sqref="D273:BG273">
    <cfRule type="expression" dxfId="4" priority="1236">
      <formula>$I$175&lt;&gt;"Y"</formula>
    </cfRule>
  </conditionalFormatting>
  <conditionalFormatting sqref="D274:BG274">
    <cfRule type="expression" dxfId="4" priority="1239">
      <formula>$J$175&lt;&gt;"Y"</formula>
    </cfRule>
  </conditionalFormatting>
  <conditionalFormatting sqref="D275:BG275">
    <cfRule type="expression" dxfId="4" priority="1242">
      <formula>$K$175&lt;&gt;"Y"</formula>
    </cfRule>
  </conditionalFormatting>
  <conditionalFormatting sqref="D276:BG276">
    <cfRule type="expression" dxfId="4" priority="1245">
      <formula>$L$175&lt;&gt;"Y"</formula>
    </cfRule>
  </conditionalFormatting>
  <conditionalFormatting sqref="D277:BG277">
    <cfRule type="expression" dxfId="4" priority="1248">
      <formula>$M$175&lt;&gt;"Y"</formula>
    </cfRule>
  </conditionalFormatting>
  <conditionalFormatting sqref="D278:BG278">
    <cfRule type="expression" dxfId="4" priority="1251">
      <formula>$B$176&lt;&gt;"Y"</formula>
    </cfRule>
  </conditionalFormatting>
  <conditionalFormatting sqref="D279:BG279">
    <cfRule type="expression" dxfId="4" priority="1254">
      <formula>$C$176&lt;&gt;"Y"</formula>
    </cfRule>
  </conditionalFormatting>
  <conditionalFormatting sqref="D27:BG27">
    <cfRule type="expression" dxfId="4" priority="291">
      <formula>$J$5&lt;&gt;"Y"</formula>
    </cfRule>
  </conditionalFormatting>
  <conditionalFormatting sqref="D280:BG280">
    <cfRule type="expression" dxfId="4" priority="1257">
      <formula>$D$176&lt;&gt;"Y"</formula>
    </cfRule>
  </conditionalFormatting>
  <conditionalFormatting sqref="D281:BG281">
    <cfRule type="expression" dxfId="4" priority="1260">
      <formula>$E$176&lt;&gt;"Y"</formula>
    </cfRule>
  </conditionalFormatting>
  <conditionalFormatting sqref="D282:BG282">
    <cfRule type="expression" dxfId="4" priority="1263">
      <formula>$F$176&lt;&gt;"Y"</formula>
    </cfRule>
  </conditionalFormatting>
  <conditionalFormatting sqref="D283:BG283">
    <cfRule type="expression" dxfId="4" priority="1266">
      <formula>$G$176&lt;&gt;"Y"</formula>
    </cfRule>
  </conditionalFormatting>
  <conditionalFormatting sqref="D284:BG284">
    <cfRule type="expression" dxfId="4" priority="1269">
      <formula>$H$176&lt;&gt;"Y"</formula>
    </cfRule>
  </conditionalFormatting>
  <conditionalFormatting sqref="D285:BG285">
    <cfRule type="expression" dxfId="4" priority="1272">
      <formula>$I$176&lt;&gt;"Y"</formula>
    </cfRule>
  </conditionalFormatting>
  <conditionalFormatting sqref="D286:BG286">
    <cfRule type="expression" dxfId="4" priority="1275">
      <formula>$J$176&lt;&gt;"Y"</formula>
    </cfRule>
  </conditionalFormatting>
  <conditionalFormatting sqref="D287:BG287">
    <cfRule type="expression" dxfId="4" priority="1278">
      <formula>$K$176&lt;&gt;"Y"</formula>
    </cfRule>
  </conditionalFormatting>
  <conditionalFormatting sqref="D288:BG288">
    <cfRule type="expression" dxfId="4" priority="1281">
      <formula>$L$176&lt;&gt;"Y"</formula>
    </cfRule>
  </conditionalFormatting>
  <conditionalFormatting sqref="D289:BG289">
    <cfRule type="expression" dxfId="4" priority="1284">
      <formula>$M$176&lt;&gt;"Y"</formula>
    </cfRule>
  </conditionalFormatting>
  <conditionalFormatting sqref="D28:BG28">
    <cfRule type="expression" dxfId="4" priority="294">
      <formula>$K$5&lt;&gt;"Y"</formula>
    </cfRule>
  </conditionalFormatting>
  <conditionalFormatting sqref="D290:BG290">
    <cfRule type="expression" dxfId="4" priority="1287">
      <formula>$B$177&lt;&gt;"Y"</formula>
    </cfRule>
  </conditionalFormatting>
  <conditionalFormatting sqref="D291:BG291">
    <cfRule type="expression" dxfId="4" priority="1290">
      <formula>$C$177&lt;&gt;"Y"</formula>
    </cfRule>
  </conditionalFormatting>
  <conditionalFormatting sqref="D292:BG292">
    <cfRule type="expression" dxfId="4" priority="1293">
      <formula>$D$177&lt;&gt;"Y"</formula>
    </cfRule>
  </conditionalFormatting>
  <conditionalFormatting sqref="D293:BG293">
    <cfRule type="expression" dxfId="4" priority="1296">
      <formula>$E$177&lt;&gt;"Y"</formula>
    </cfRule>
  </conditionalFormatting>
  <conditionalFormatting sqref="D294:BG294">
    <cfRule type="expression" dxfId="4" priority="1299">
      <formula>$F$177&lt;&gt;"Y"</formula>
    </cfRule>
  </conditionalFormatting>
  <conditionalFormatting sqref="D295:BG295">
    <cfRule type="expression" dxfId="4" priority="1302">
      <formula>$G$177&lt;&gt;"Y"</formula>
    </cfRule>
  </conditionalFormatting>
  <conditionalFormatting sqref="D296:BG296">
    <cfRule type="expression" dxfId="4" priority="1305">
      <formula>$H$177&lt;&gt;"Y"</formula>
    </cfRule>
  </conditionalFormatting>
  <conditionalFormatting sqref="D297:BG297">
    <cfRule type="expression" dxfId="4" priority="1308">
      <formula>$I$177&lt;&gt;"Y"</formula>
    </cfRule>
  </conditionalFormatting>
  <conditionalFormatting sqref="D298:BG298">
    <cfRule type="expression" dxfId="4" priority="1311">
      <formula>$J$177&lt;&gt;"Y"</formula>
    </cfRule>
  </conditionalFormatting>
  <conditionalFormatting sqref="D299:BG299">
    <cfRule type="expression" dxfId="4" priority="1314">
      <formula>$K$177&lt;&gt;"Y"</formula>
    </cfRule>
  </conditionalFormatting>
  <conditionalFormatting sqref="D29:BG29">
    <cfRule type="expression" dxfId="4" priority="297">
      <formula>$L$5&lt;&gt;"Y"</formula>
    </cfRule>
  </conditionalFormatting>
  <conditionalFormatting sqref="D300:BG300">
    <cfRule type="expression" dxfId="4" priority="1317">
      <formula>$L$177&lt;&gt;"Y"</formula>
    </cfRule>
  </conditionalFormatting>
  <conditionalFormatting sqref="D301:BG301">
    <cfRule type="expression" dxfId="4" priority="1320">
      <formula>$M$177&lt;&gt;"Y"</formula>
    </cfRule>
  </conditionalFormatting>
  <conditionalFormatting sqref="D302:BG302">
    <cfRule type="expression" dxfId="4" priority="1323">
      <formula>$B$178&lt;&gt;"Y"</formula>
    </cfRule>
  </conditionalFormatting>
  <conditionalFormatting sqref="D303:BG303">
    <cfRule type="expression" dxfId="4" priority="1326">
      <formula>$C$178&lt;&gt;"Y"</formula>
    </cfRule>
  </conditionalFormatting>
  <conditionalFormatting sqref="D304:BG304">
    <cfRule type="expression" dxfId="4" priority="1329">
      <formula>$D$178&lt;&gt;"Y"</formula>
    </cfRule>
  </conditionalFormatting>
  <conditionalFormatting sqref="D305:BG305">
    <cfRule type="expression" dxfId="4" priority="1332">
      <formula>$E$178&lt;&gt;"Y"</formula>
    </cfRule>
  </conditionalFormatting>
  <conditionalFormatting sqref="D306:BG306">
    <cfRule type="expression" dxfId="4" priority="1335">
      <formula>$F$178&lt;&gt;"Y"</formula>
    </cfRule>
  </conditionalFormatting>
  <conditionalFormatting sqref="D307:BG307">
    <cfRule type="expression" dxfId="4" priority="1338">
      <formula>$G$178&lt;&gt;"Y"</formula>
    </cfRule>
  </conditionalFormatting>
  <conditionalFormatting sqref="D308:BG308">
    <cfRule type="expression" dxfId="4" priority="1341">
      <formula>$H$178&lt;&gt;"Y"</formula>
    </cfRule>
  </conditionalFormatting>
  <conditionalFormatting sqref="D309:BG309">
    <cfRule type="expression" dxfId="4" priority="1344">
      <formula>$I$178&lt;&gt;"Y"</formula>
    </cfRule>
  </conditionalFormatting>
  <conditionalFormatting sqref="D30:BG30">
    <cfRule type="expression" dxfId="4" priority="300">
      <formula>$M$5&lt;&gt;"Y"</formula>
    </cfRule>
  </conditionalFormatting>
  <conditionalFormatting sqref="D310:BG310">
    <cfRule type="expression" dxfId="4" priority="1347">
      <formula>$J$178&lt;&gt;"Y"</formula>
    </cfRule>
  </conditionalFormatting>
  <conditionalFormatting sqref="D311:BG311">
    <cfRule type="expression" dxfId="4" priority="1350">
      <formula>$K$178&lt;&gt;"Y"</formula>
    </cfRule>
  </conditionalFormatting>
  <conditionalFormatting sqref="D312:BG312">
    <cfRule type="expression" dxfId="4" priority="1353">
      <formula>$L$178&lt;&gt;"Y"</formula>
    </cfRule>
  </conditionalFormatting>
  <conditionalFormatting sqref="D313:BG313">
    <cfRule type="expression" dxfId="4" priority="1356">
      <formula>$M$178&lt;&gt;"Y"</formula>
    </cfRule>
  </conditionalFormatting>
  <conditionalFormatting sqref="D314:BG314">
    <cfRule type="expression" dxfId="4" priority="1359">
      <formula>$B$179&lt;&gt;"Y"</formula>
    </cfRule>
  </conditionalFormatting>
  <conditionalFormatting sqref="D315:BG315">
    <cfRule type="expression" dxfId="4" priority="1362">
      <formula>$C$179&lt;&gt;"Y"</formula>
    </cfRule>
  </conditionalFormatting>
  <conditionalFormatting sqref="D316:BG316">
    <cfRule type="expression" dxfId="4" priority="1365">
      <formula>$D$179&lt;&gt;"Y"</formula>
    </cfRule>
  </conditionalFormatting>
  <conditionalFormatting sqref="D317:BG317">
    <cfRule type="expression" dxfId="4" priority="1368">
      <formula>$E$179&lt;&gt;"Y"</formula>
    </cfRule>
  </conditionalFormatting>
  <conditionalFormatting sqref="D318:BG318">
    <cfRule type="expression" dxfId="4" priority="1371">
      <formula>$F$179&lt;&gt;"Y"</formula>
    </cfRule>
  </conditionalFormatting>
  <conditionalFormatting sqref="D319:BG319">
    <cfRule type="expression" dxfId="4" priority="1374">
      <formula>$G$179&lt;&gt;"Y"</formula>
    </cfRule>
  </conditionalFormatting>
  <conditionalFormatting sqref="D31:BG31">
    <cfRule type="expression" dxfId="4" priority="303">
      <formula>$B$6&lt;&gt;"Y"</formula>
    </cfRule>
  </conditionalFormatting>
  <conditionalFormatting sqref="D320:BG320">
    <cfRule type="expression" dxfId="4" priority="1377">
      <formula>$H$179&lt;&gt;"Y"</formula>
    </cfRule>
  </conditionalFormatting>
  <conditionalFormatting sqref="D321:BG321">
    <cfRule type="expression" dxfId="4" priority="1380">
      <formula>$I$179&lt;&gt;"Y"</formula>
    </cfRule>
  </conditionalFormatting>
  <conditionalFormatting sqref="D322:BG322">
    <cfRule type="expression" dxfId="4" priority="1383">
      <formula>$J$179&lt;&gt;"Y"</formula>
    </cfRule>
  </conditionalFormatting>
  <conditionalFormatting sqref="D323:BG323">
    <cfRule type="expression" dxfId="4" priority="1386">
      <formula>$K$179&lt;&gt;"Y"</formula>
    </cfRule>
  </conditionalFormatting>
  <conditionalFormatting sqref="D324:BG324">
    <cfRule type="expression" dxfId="4" priority="1389">
      <formula>$L$179&lt;&gt;"Y"</formula>
    </cfRule>
  </conditionalFormatting>
  <conditionalFormatting sqref="D325:BG325">
    <cfRule type="expression" dxfId="4" priority="1392">
      <formula>$M$179&lt;&gt;"Y"</formula>
    </cfRule>
  </conditionalFormatting>
  <conditionalFormatting sqref="D32:BG32">
    <cfRule type="expression" dxfId="4" priority="306">
      <formula>$C$6&lt;&gt;"Y"</formula>
    </cfRule>
  </conditionalFormatting>
  <conditionalFormatting sqref="D331">
    <cfRule type="cellIs" dxfId="2" priority="1395" operator="equal">
      <formula>"Y"</formula>
    </cfRule>
    <cfRule type="cellIs" dxfId="3" priority="1396" operator="equal">
      <formula>"N"</formula>
    </cfRule>
  </conditionalFormatting>
  <conditionalFormatting sqref="D332">
    <cfRule type="cellIs" dxfId="2" priority="1417" operator="equal">
      <formula>"Y"</formula>
    </cfRule>
    <cfRule type="cellIs" dxfId="3" priority="1418" operator="equal">
      <formula>"N"</formula>
    </cfRule>
  </conditionalFormatting>
  <conditionalFormatting sqref="D334">
    <cfRule type="cellIs" dxfId="2" priority="1463" operator="equal">
      <formula>"Y"</formula>
    </cfRule>
    <cfRule type="cellIs" dxfId="3" priority="1464" operator="equal">
      <formula>"N"</formula>
    </cfRule>
  </conditionalFormatting>
  <conditionalFormatting sqref="D335">
    <cfRule type="cellIs" dxfId="2" priority="1485" operator="equal">
      <formula>"Y"</formula>
    </cfRule>
    <cfRule type="cellIs" dxfId="3" priority="1486" operator="equal">
      <formula>"N"</formula>
    </cfRule>
  </conditionalFormatting>
  <conditionalFormatting sqref="D336">
    <cfRule type="cellIs" dxfId="2" priority="1507" operator="equal">
      <formula>"Y"</formula>
    </cfRule>
    <cfRule type="cellIs" dxfId="3" priority="1508" operator="equal">
      <formula>"N"</formula>
    </cfRule>
  </conditionalFormatting>
  <conditionalFormatting sqref="D337">
    <cfRule type="cellIs" dxfId="2" priority="1529" operator="equal">
      <formula>"Y"</formula>
    </cfRule>
    <cfRule type="cellIs" dxfId="3" priority="1530" operator="equal">
      <formula>"N"</formula>
    </cfRule>
  </conditionalFormatting>
  <conditionalFormatting sqref="D338">
    <cfRule type="cellIs" dxfId="2" priority="1551" operator="equal">
      <formula>"Y"</formula>
    </cfRule>
    <cfRule type="cellIs" dxfId="3" priority="1552" operator="equal">
      <formula>"N"</formula>
    </cfRule>
  </conditionalFormatting>
  <conditionalFormatting sqref="D339">
    <cfRule type="cellIs" dxfId="2" priority="1573" operator="equal">
      <formula>"Y"</formula>
    </cfRule>
    <cfRule type="cellIs" dxfId="3" priority="1574" operator="equal">
      <formula>"N"</formula>
    </cfRule>
  </conditionalFormatting>
  <conditionalFormatting sqref="D33:BG33">
    <cfRule type="expression" dxfId="4" priority="309">
      <formula>$D$6&lt;&gt;"Y"</formula>
    </cfRule>
  </conditionalFormatting>
  <conditionalFormatting sqref="D340">
    <cfRule type="cellIs" dxfId="2" priority="1595" operator="equal">
      <formula>"Y"</formula>
    </cfRule>
    <cfRule type="cellIs" dxfId="3" priority="1596" operator="equal">
      <formula>"N"</formula>
    </cfRule>
  </conditionalFormatting>
  <conditionalFormatting sqref="D341">
    <cfRule type="cellIs" dxfId="2" priority="1617" operator="equal">
      <formula>"Y"</formula>
    </cfRule>
    <cfRule type="cellIs" dxfId="3" priority="1618" operator="equal">
      <formula>"N"</formula>
    </cfRule>
  </conditionalFormatting>
  <conditionalFormatting sqref="D342">
    <cfRule type="cellIs" dxfId="2" priority="1639" operator="equal">
      <formula>"Y"</formula>
    </cfRule>
    <cfRule type="cellIs" dxfId="3" priority="1640" operator="equal">
      <formula>"N"</formula>
    </cfRule>
  </conditionalFormatting>
  <conditionalFormatting sqref="D345:BG345">
    <cfRule type="expression" dxfId="4" priority="1659">
      <formula>$B$331&lt;&gt;"Y"</formula>
    </cfRule>
  </conditionalFormatting>
  <conditionalFormatting sqref="D346:BG346">
    <cfRule type="expression" dxfId="4" priority="1662">
      <formula>$C$331&lt;&gt;"Y"</formula>
    </cfRule>
  </conditionalFormatting>
  <conditionalFormatting sqref="D347:BG347">
    <cfRule type="expression" dxfId="4" priority="1665">
      <formula>$D$331&lt;&gt;"Y"</formula>
    </cfRule>
  </conditionalFormatting>
  <conditionalFormatting sqref="D348:BG348">
    <cfRule type="expression" dxfId="4" priority="1668">
      <formula>$E$331&lt;&gt;"Y"</formula>
    </cfRule>
  </conditionalFormatting>
  <conditionalFormatting sqref="D349:BG349">
    <cfRule type="expression" dxfId="4" priority="1671">
      <formula>$F$331&lt;&gt;"Y"</formula>
    </cfRule>
  </conditionalFormatting>
  <conditionalFormatting sqref="D34:BG34">
    <cfRule type="expression" dxfId="4" priority="312">
      <formula>$E$6&lt;&gt;"Y"</formula>
    </cfRule>
  </conditionalFormatting>
  <conditionalFormatting sqref="D350:BG350">
    <cfRule type="expression" dxfId="4" priority="1674">
      <formula>$G$331&lt;&gt;"Y"</formula>
    </cfRule>
  </conditionalFormatting>
  <conditionalFormatting sqref="D351:BG351">
    <cfRule type="expression" dxfId="4" priority="1677">
      <formula>$H$331&lt;&gt;"Y"</formula>
    </cfRule>
  </conditionalFormatting>
  <conditionalFormatting sqref="D352:BG352">
    <cfRule type="expression" dxfId="4" priority="1680">
      <formula>$I$331&lt;&gt;"Y"</formula>
    </cfRule>
  </conditionalFormatting>
  <conditionalFormatting sqref="D353:BG353">
    <cfRule type="expression" dxfId="4" priority="1683">
      <formula>$J$331&lt;&gt;"Y"</formula>
    </cfRule>
  </conditionalFormatting>
  <conditionalFormatting sqref="D354:BG354">
    <cfRule type="expression" dxfId="4" priority="1686">
      <formula>$K$331&lt;&gt;"Y"</formula>
    </cfRule>
  </conditionalFormatting>
  <conditionalFormatting sqref="D355:BG355">
    <cfRule type="expression" dxfId="4" priority="1689">
      <formula>$L$331&lt;&gt;"Y"</formula>
    </cfRule>
  </conditionalFormatting>
  <conditionalFormatting sqref="D356:BG356">
    <cfRule type="expression" dxfId="4" priority="1692">
      <formula>$M$331&lt;&gt;"Y"</formula>
    </cfRule>
  </conditionalFormatting>
  <conditionalFormatting sqref="D357:BG357">
    <cfRule type="expression" dxfId="4" priority="1695">
      <formula>$B$332&lt;&gt;"Y"</formula>
    </cfRule>
  </conditionalFormatting>
  <conditionalFormatting sqref="D358:BG358">
    <cfRule type="expression" dxfId="4" priority="1698">
      <formula>$C$332&lt;&gt;"Y"</formula>
    </cfRule>
  </conditionalFormatting>
  <conditionalFormatting sqref="D359:BG359">
    <cfRule type="expression" dxfId="4" priority="1701">
      <formula>$D$332&lt;&gt;"Y"</formula>
    </cfRule>
  </conditionalFormatting>
  <conditionalFormatting sqref="D35:BG35">
    <cfRule type="expression" dxfId="4" priority="315">
      <formula>$F$6&lt;&gt;"Y"</formula>
    </cfRule>
  </conditionalFormatting>
  <conditionalFormatting sqref="D360:BG360">
    <cfRule type="expression" dxfId="4" priority="1704">
      <formula>$E$332&lt;&gt;"Y"</formula>
    </cfRule>
  </conditionalFormatting>
  <conditionalFormatting sqref="D361:BG361">
    <cfRule type="expression" dxfId="4" priority="1707">
      <formula>$F$332&lt;&gt;"Y"</formula>
    </cfRule>
  </conditionalFormatting>
  <conditionalFormatting sqref="D362:BG362">
    <cfRule type="expression" dxfId="4" priority="1710">
      <formula>$G$332&lt;&gt;"Y"</formula>
    </cfRule>
  </conditionalFormatting>
  <conditionalFormatting sqref="D363:BG363">
    <cfRule type="expression" dxfId="4" priority="1713">
      <formula>$H$332&lt;&gt;"Y"</formula>
    </cfRule>
  </conditionalFormatting>
  <conditionalFormatting sqref="D364:BG364">
    <cfRule type="expression" dxfId="4" priority="1716">
      <formula>$I$332&lt;&gt;"Y"</formula>
    </cfRule>
  </conditionalFormatting>
  <conditionalFormatting sqref="D365:BG365">
    <cfRule type="expression" dxfId="4" priority="1719">
      <formula>$J$332&lt;&gt;"Y"</formula>
    </cfRule>
  </conditionalFormatting>
  <conditionalFormatting sqref="D366:BG366">
    <cfRule type="expression" dxfId="4" priority="1722">
      <formula>$K$332&lt;&gt;"Y"</formula>
    </cfRule>
  </conditionalFormatting>
  <conditionalFormatting sqref="D367:BG367">
    <cfRule type="expression" dxfId="4" priority="1725">
      <formula>$L$332&lt;&gt;"Y"</formula>
    </cfRule>
  </conditionalFormatting>
  <conditionalFormatting sqref="D368:BG368">
    <cfRule type="expression" dxfId="4" priority="1728">
      <formula>$M$332&lt;&gt;"Y"</formula>
    </cfRule>
  </conditionalFormatting>
  <conditionalFormatting sqref="D369:BG369">
    <cfRule type="expression" dxfId="4" priority="1731">
      <formula>$B$333&lt;&gt;"Y"</formula>
    </cfRule>
  </conditionalFormatting>
  <conditionalFormatting sqref="D36:BG36">
    <cfRule type="expression" dxfId="4" priority="318">
      <formula>$G$6&lt;&gt;"Y"</formula>
    </cfRule>
  </conditionalFormatting>
  <conditionalFormatting sqref="D370:BG370">
    <cfRule type="expression" dxfId="4" priority="1734">
      <formula>$C$333&lt;&gt;"Y"</formula>
    </cfRule>
  </conditionalFormatting>
  <conditionalFormatting sqref="D371:BG371">
    <cfRule type="expression" dxfId="4" priority="1737">
      <formula>$D$333&lt;&gt;"Y"</formula>
    </cfRule>
  </conditionalFormatting>
  <conditionalFormatting sqref="D372:BG372">
    <cfRule type="expression" dxfId="4" priority="1740">
      <formula>$E$333&lt;&gt;"Y"</formula>
    </cfRule>
  </conditionalFormatting>
  <conditionalFormatting sqref="D373:BG373">
    <cfRule type="expression" dxfId="4" priority="1743">
      <formula>$F$333&lt;&gt;"Y"</formula>
    </cfRule>
  </conditionalFormatting>
  <conditionalFormatting sqref="D374:BG374">
    <cfRule type="expression" dxfId="4" priority="1746">
      <formula>$G$333&lt;&gt;"Y"</formula>
    </cfRule>
  </conditionalFormatting>
  <conditionalFormatting sqref="D375:BG375">
    <cfRule type="expression" dxfId="4" priority="1749">
      <formula>$H$333&lt;&gt;"Y"</formula>
    </cfRule>
  </conditionalFormatting>
  <conditionalFormatting sqref="D376:BG376">
    <cfRule type="expression" dxfId="4" priority="1752">
      <formula>$I$333&lt;&gt;"Y"</formula>
    </cfRule>
  </conditionalFormatting>
  <conditionalFormatting sqref="D377:BG377">
    <cfRule type="expression" dxfId="4" priority="1755">
      <formula>$J$333&lt;&gt;"Y"</formula>
    </cfRule>
  </conditionalFormatting>
  <conditionalFormatting sqref="D378:BG378">
    <cfRule type="expression" dxfId="4" priority="1758">
      <formula>$K$333&lt;&gt;"Y"</formula>
    </cfRule>
  </conditionalFormatting>
  <conditionalFormatting sqref="D379:BG379">
    <cfRule type="expression" dxfId="4" priority="1761">
      <formula>$L$333&lt;&gt;"Y"</formula>
    </cfRule>
  </conditionalFormatting>
  <conditionalFormatting sqref="D37:BG37">
    <cfRule type="expression" dxfId="4" priority="321">
      <formula>$H$6&lt;&gt;"Y"</formula>
    </cfRule>
  </conditionalFormatting>
  <conditionalFormatting sqref="D380:BG380">
    <cfRule type="expression" dxfId="4" priority="1764">
      <formula>$M$333&lt;&gt;"Y"</formula>
    </cfRule>
  </conditionalFormatting>
  <conditionalFormatting sqref="D381:BG381">
    <cfRule type="expression" dxfId="4" priority="1767">
      <formula>$B$334&lt;&gt;"Y"</formula>
    </cfRule>
  </conditionalFormatting>
  <conditionalFormatting sqref="D382:BG382">
    <cfRule type="expression" dxfId="4" priority="1770">
      <formula>$C$334&lt;&gt;"Y"</formula>
    </cfRule>
  </conditionalFormatting>
  <conditionalFormatting sqref="D383:BG383">
    <cfRule type="expression" dxfId="4" priority="1773">
      <formula>$D$334&lt;&gt;"Y"</formula>
    </cfRule>
  </conditionalFormatting>
  <conditionalFormatting sqref="D384:BG384">
    <cfRule type="expression" dxfId="4" priority="1776">
      <formula>$E$334&lt;&gt;"Y"</formula>
    </cfRule>
  </conditionalFormatting>
  <conditionalFormatting sqref="D385:BG385">
    <cfRule type="expression" dxfId="4" priority="1779">
      <formula>$F$334&lt;&gt;"Y"</formula>
    </cfRule>
  </conditionalFormatting>
  <conditionalFormatting sqref="D386:BG386">
    <cfRule type="expression" dxfId="4" priority="1782">
      <formula>$G$334&lt;&gt;"Y"</formula>
    </cfRule>
  </conditionalFormatting>
  <conditionalFormatting sqref="D387:BG387">
    <cfRule type="expression" dxfId="4" priority="1785">
      <formula>$H$334&lt;&gt;"Y"</formula>
    </cfRule>
  </conditionalFormatting>
  <conditionalFormatting sqref="D388:BG388">
    <cfRule type="expression" dxfId="4" priority="1788">
      <formula>$I$334&lt;&gt;"Y"</formula>
    </cfRule>
  </conditionalFormatting>
  <conditionalFormatting sqref="D389:BG389">
    <cfRule type="expression" dxfId="4" priority="1791">
      <formula>$J$334&lt;&gt;"Y"</formula>
    </cfRule>
  </conditionalFormatting>
  <conditionalFormatting sqref="D38:BG38">
    <cfRule type="expression" dxfId="4" priority="324">
      <formula>$I$6&lt;&gt;"Y"</formula>
    </cfRule>
  </conditionalFormatting>
  <conditionalFormatting sqref="D390:BG390">
    <cfRule type="expression" dxfId="4" priority="1794">
      <formula>$K$334&lt;&gt;"Y"</formula>
    </cfRule>
  </conditionalFormatting>
  <conditionalFormatting sqref="D391:BG391">
    <cfRule type="expression" dxfId="4" priority="1797">
      <formula>$L$334&lt;&gt;"Y"</formula>
    </cfRule>
  </conditionalFormatting>
  <conditionalFormatting sqref="D392:BG392">
    <cfRule type="expression" dxfId="4" priority="1800">
      <formula>$M$334&lt;&gt;"Y"</formula>
    </cfRule>
  </conditionalFormatting>
  <conditionalFormatting sqref="D393:BG393">
    <cfRule type="expression" dxfId="4" priority="1803">
      <formula>$B$335&lt;&gt;"Y"</formula>
    </cfRule>
  </conditionalFormatting>
  <conditionalFormatting sqref="D394:BG394">
    <cfRule type="expression" dxfId="4" priority="1806">
      <formula>$C$335&lt;&gt;"Y"</formula>
    </cfRule>
  </conditionalFormatting>
  <conditionalFormatting sqref="D395:BG395">
    <cfRule type="expression" dxfId="4" priority="1809">
      <formula>$D$335&lt;&gt;"Y"</formula>
    </cfRule>
  </conditionalFormatting>
  <conditionalFormatting sqref="D396:BG396">
    <cfRule type="expression" dxfId="4" priority="1812">
      <formula>$E$335&lt;&gt;"Y"</formula>
    </cfRule>
  </conditionalFormatting>
  <conditionalFormatting sqref="D397:BG397">
    <cfRule type="expression" dxfId="4" priority="1815">
      <formula>$F$335&lt;&gt;"Y"</formula>
    </cfRule>
  </conditionalFormatting>
  <conditionalFormatting sqref="D398:BG398">
    <cfRule type="expression" dxfId="4" priority="1818">
      <formula>$G$335&lt;&gt;"Y"</formula>
    </cfRule>
  </conditionalFormatting>
  <conditionalFormatting sqref="D399:BG399">
    <cfRule type="expression" dxfId="4" priority="1821">
      <formula>$H$335&lt;&gt;"Y"</formula>
    </cfRule>
  </conditionalFormatting>
  <conditionalFormatting sqref="D39:BG39">
    <cfRule type="expression" dxfId="4" priority="327">
      <formula>$J$6&lt;&gt;"Y"</formula>
    </cfRule>
  </conditionalFormatting>
  <conditionalFormatting sqref="D400:BG400">
    <cfRule type="expression" dxfId="4" priority="1824">
      <formula>$I$335&lt;&gt;"Y"</formula>
    </cfRule>
  </conditionalFormatting>
  <conditionalFormatting sqref="D401:BG401">
    <cfRule type="expression" dxfId="4" priority="1827">
      <formula>$J$335&lt;&gt;"Y"</formula>
    </cfRule>
  </conditionalFormatting>
  <conditionalFormatting sqref="D402:BG402">
    <cfRule type="expression" dxfId="4" priority="1830">
      <formula>$K$335&lt;&gt;"Y"</formula>
    </cfRule>
  </conditionalFormatting>
  <conditionalFormatting sqref="D403:BG403">
    <cfRule type="expression" dxfId="4" priority="1833">
      <formula>$L$335&lt;&gt;"Y"</formula>
    </cfRule>
  </conditionalFormatting>
  <conditionalFormatting sqref="D404:BG404">
    <cfRule type="expression" dxfId="4" priority="1836">
      <formula>$M$335&lt;&gt;"Y"</formula>
    </cfRule>
  </conditionalFormatting>
  <conditionalFormatting sqref="D405:BG405">
    <cfRule type="expression" dxfId="4" priority="1839">
      <formula>$B$336&lt;&gt;"Y"</formula>
    </cfRule>
  </conditionalFormatting>
  <conditionalFormatting sqref="D406:BG406">
    <cfRule type="expression" dxfId="4" priority="1842">
      <formula>$C$336&lt;&gt;"Y"</formula>
    </cfRule>
  </conditionalFormatting>
  <conditionalFormatting sqref="D407:BG407">
    <cfRule type="expression" dxfId="4" priority="1845">
      <formula>$D$336&lt;&gt;"Y"</formula>
    </cfRule>
  </conditionalFormatting>
  <conditionalFormatting sqref="D408:BG408">
    <cfRule type="expression" dxfId="4" priority="1848">
      <formula>$E$336&lt;&gt;"Y"</formula>
    </cfRule>
  </conditionalFormatting>
  <conditionalFormatting sqref="D409:BG409">
    <cfRule type="expression" dxfId="4" priority="1851">
      <formula>$F$336&lt;&gt;"Y"</formula>
    </cfRule>
  </conditionalFormatting>
  <conditionalFormatting sqref="D40:BG40">
    <cfRule type="expression" dxfId="4" priority="330">
      <formula>$K$6&lt;&gt;"Y"</formula>
    </cfRule>
  </conditionalFormatting>
  <conditionalFormatting sqref="D410:BG410">
    <cfRule type="expression" dxfId="4" priority="1854">
      <formula>$G$336&lt;&gt;"Y"</formula>
    </cfRule>
  </conditionalFormatting>
  <conditionalFormatting sqref="D411:BG411">
    <cfRule type="expression" dxfId="4" priority="1857">
      <formula>$H$336&lt;&gt;"Y"</formula>
    </cfRule>
  </conditionalFormatting>
  <conditionalFormatting sqref="D412:BG412">
    <cfRule type="expression" dxfId="4" priority="1860">
      <formula>$I$336&lt;&gt;"Y"</formula>
    </cfRule>
  </conditionalFormatting>
  <conditionalFormatting sqref="D413:BG413">
    <cfRule type="expression" dxfId="4" priority="1863">
      <formula>$J$336&lt;&gt;"Y"</formula>
    </cfRule>
  </conditionalFormatting>
  <conditionalFormatting sqref="D414:BG414">
    <cfRule type="expression" dxfId="4" priority="1866">
      <formula>$K$336&lt;&gt;"Y"</formula>
    </cfRule>
  </conditionalFormatting>
  <conditionalFormatting sqref="D415:BG415">
    <cfRule type="expression" dxfId="4" priority="1869">
      <formula>$L$336&lt;&gt;"Y"</formula>
    </cfRule>
  </conditionalFormatting>
  <conditionalFormatting sqref="D416:BG416">
    <cfRule type="expression" dxfId="4" priority="1872">
      <formula>$M$336&lt;&gt;"Y"</formula>
    </cfRule>
  </conditionalFormatting>
  <conditionalFormatting sqref="D417:BG417">
    <cfRule type="expression" dxfId="4" priority="1875">
      <formula>$B$337&lt;&gt;"Y"</formula>
    </cfRule>
  </conditionalFormatting>
  <conditionalFormatting sqref="D418:BG418">
    <cfRule type="expression" dxfId="4" priority="1878">
      <formula>$C$337&lt;&gt;"Y"</formula>
    </cfRule>
  </conditionalFormatting>
  <conditionalFormatting sqref="D419:BG419">
    <cfRule type="expression" dxfId="4" priority="1881">
      <formula>$D$337&lt;&gt;"Y"</formula>
    </cfRule>
  </conditionalFormatting>
  <conditionalFormatting sqref="D41:BG41">
    <cfRule type="expression" dxfId="4" priority="333">
      <formula>$L$6&lt;&gt;"Y"</formula>
    </cfRule>
  </conditionalFormatting>
  <conditionalFormatting sqref="D420:BG420">
    <cfRule type="expression" dxfId="4" priority="1884">
      <formula>$E$337&lt;&gt;"Y"</formula>
    </cfRule>
  </conditionalFormatting>
  <conditionalFormatting sqref="D421:BG421">
    <cfRule type="expression" dxfId="4" priority="1887">
      <formula>$F$337&lt;&gt;"Y"</formula>
    </cfRule>
  </conditionalFormatting>
  <conditionalFormatting sqref="D422:BG422">
    <cfRule type="expression" dxfId="4" priority="1890">
      <formula>$G$337&lt;&gt;"Y"</formula>
    </cfRule>
  </conditionalFormatting>
  <conditionalFormatting sqref="D423:BG423">
    <cfRule type="expression" dxfId="4" priority="1893">
      <formula>$H$337&lt;&gt;"Y"</formula>
    </cfRule>
  </conditionalFormatting>
  <conditionalFormatting sqref="D424:BG424">
    <cfRule type="expression" dxfId="4" priority="1896">
      <formula>$I$337&lt;&gt;"Y"</formula>
    </cfRule>
  </conditionalFormatting>
  <conditionalFormatting sqref="D425:BG425">
    <cfRule type="expression" dxfId="4" priority="1899">
      <formula>$J$337&lt;&gt;"Y"</formula>
    </cfRule>
  </conditionalFormatting>
  <conditionalFormatting sqref="D426:BG426">
    <cfRule type="expression" dxfId="4" priority="1902">
      <formula>$K$337&lt;&gt;"Y"</formula>
    </cfRule>
  </conditionalFormatting>
  <conditionalFormatting sqref="D427:BG427">
    <cfRule type="expression" dxfId="4" priority="1905">
      <formula>$L$337&lt;&gt;"Y"</formula>
    </cfRule>
  </conditionalFormatting>
  <conditionalFormatting sqref="D428:BG428">
    <cfRule type="expression" dxfId="4" priority="1908">
      <formula>$M$337&lt;&gt;"Y"</formula>
    </cfRule>
  </conditionalFormatting>
  <conditionalFormatting sqref="D429:BG429">
    <cfRule type="expression" dxfId="4" priority="1911">
      <formula>$B$338&lt;&gt;"Y"</formula>
    </cfRule>
  </conditionalFormatting>
  <conditionalFormatting sqref="D42:BG42">
    <cfRule type="expression" dxfId="4" priority="336">
      <formula>$M$6&lt;&gt;"Y"</formula>
    </cfRule>
  </conditionalFormatting>
  <conditionalFormatting sqref="D430:BG430">
    <cfRule type="expression" dxfId="4" priority="1914">
      <formula>$C$338&lt;&gt;"Y"</formula>
    </cfRule>
  </conditionalFormatting>
  <conditionalFormatting sqref="D431:BG431">
    <cfRule type="expression" dxfId="4" priority="1917">
      <formula>$D$338&lt;&gt;"Y"</formula>
    </cfRule>
  </conditionalFormatting>
  <conditionalFormatting sqref="D432:BG432">
    <cfRule type="expression" dxfId="4" priority="1920">
      <formula>$E$338&lt;&gt;"Y"</formula>
    </cfRule>
  </conditionalFormatting>
  <conditionalFormatting sqref="D433:BG433">
    <cfRule type="expression" dxfId="4" priority="1923">
      <formula>$F$338&lt;&gt;"Y"</formula>
    </cfRule>
  </conditionalFormatting>
  <conditionalFormatting sqref="D434:BG434">
    <cfRule type="expression" dxfId="4" priority="1926">
      <formula>$G$338&lt;&gt;"Y"</formula>
    </cfRule>
  </conditionalFormatting>
  <conditionalFormatting sqref="D435:BG435">
    <cfRule type="expression" dxfId="4" priority="1929">
      <formula>$H$338&lt;&gt;"Y"</formula>
    </cfRule>
  </conditionalFormatting>
  <conditionalFormatting sqref="D436:BG436">
    <cfRule type="expression" dxfId="4" priority="1932">
      <formula>$I$338&lt;&gt;"Y"</formula>
    </cfRule>
  </conditionalFormatting>
  <conditionalFormatting sqref="D437:BG437">
    <cfRule type="expression" dxfId="4" priority="1935">
      <formula>$J$338&lt;&gt;"Y"</formula>
    </cfRule>
  </conditionalFormatting>
  <conditionalFormatting sqref="D438:BG438">
    <cfRule type="expression" dxfId="4" priority="1938">
      <formula>$K$338&lt;&gt;"Y"</formula>
    </cfRule>
  </conditionalFormatting>
  <conditionalFormatting sqref="D439:BG439">
    <cfRule type="expression" dxfId="4" priority="1941">
      <formula>$L$338&lt;&gt;"Y"</formula>
    </cfRule>
  </conditionalFormatting>
  <conditionalFormatting sqref="D43:BG43">
    <cfRule type="expression" dxfId="4" priority="339">
      <formula>$B$7&lt;&gt;"Y"</formula>
    </cfRule>
  </conditionalFormatting>
  <conditionalFormatting sqref="D440:BG440">
    <cfRule type="expression" dxfId="4" priority="1944">
      <formula>$M$338&lt;&gt;"Y"</formula>
    </cfRule>
  </conditionalFormatting>
  <conditionalFormatting sqref="D441:BG441">
    <cfRule type="expression" dxfId="4" priority="1947">
      <formula>$B$339&lt;&gt;"Y"</formula>
    </cfRule>
  </conditionalFormatting>
  <conditionalFormatting sqref="D442:BG442">
    <cfRule type="expression" dxfId="4" priority="1950">
      <formula>$C$339&lt;&gt;"Y"</formula>
    </cfRule>
  </conditionalFormatting>
  <conditionalFormatting sqref="D443:BG443">
    <cfRule type="expression" dxfId="4" priority="1953">
      <formula>$D$339&lt;&gt;"Y"</formula>
    </cfRule>
  </conditionalFormatting>
  <conditionalFormatting sqref="D444:BG444">
    <cfRule type="expression" dxfId="4" priority="1956">
      <formula>$E$339&lt;&gt;"Y"</formula>
    </cfRule>
  </conditionalFormatting>
  <conditionalFormatting sqref="D445:BG445">
    <cfRule type="expression" dxfId="4" priority="1959">
      <formula>$F$339&lt;&gt;"Y"</formula>
    </cfRule>
  </conditionalFormatting>
  <conditionalFormatting sqref="D446:BG446">
    <cfRule type="expression" dxfId="4" priority="1962">
      <formula>$G$339&lt;&gt;"Y"</formula>
    </cfRule>
  </conditionalFormatting>
  <conditionalFormatting sqref="D447:BG447">
    <cfRule type="expression" dxfId="4" priority="1965">
      <formula>$H$339&lt;&gt;"Y"</formula>
    </cfRule>
  </conditionalFormatting>
  <conditionalFormatting sqref="D448:BG448">
    <cfRule type="expression" dxfId="4" priority="1968">
      <formula>$I$339&lt;&gt;"Y"</formula>
    </cfRule>
  </conditionalFormatting>
  <conditionalFormatting sqref="D449:BG449">
    <cfRule type="expression" dxfId="4" priority="1971">
      <formula>$J$339&lt;&gt;"Y"</formula>
    </cfRule>
  </conditionalFormatting>
  <conditionalFormatting sqref="D44:BG44">
    <cfRule type="expression" dxfId="4" priority="342">
      <formula>$C$7&lt;&gt;"Y"</formula>
    </cfRule>
  </conditionalFormatting>
  <conditionalFormatting sqref="D450:BG450">
    <cfRule type="expression" dxfId="4" priority="1974">
      <formula>$K$339&lt;&gt;"Y"</formula>
    </cfRule>
  </conditionalFormatting>
  <conditionalFormatting sqref="D451:BG451">
    <cfRule type="expression" dxfId="4" priority="1977">
      <formula>$L$339&lt;&gt;"Y"</formula>
    </cfRule>
  </conditionalFormatting>
  <conditionalFormatting sqref="D452:BG452">
    <cfRule type="expression" dxfId="4" priority="1980">
      <formula>$M$339&lt;&gt;"Y"</formula>
    </cfRule>
  </conditionalFormatting>
  <conditionalFormatting sqref="D453:BG453">
    <cfRule type="expression" dxfId="4" priority="1983">
      <formula>$B$340&lt;&gt;"Y"</formula>
    </cfRule>
  </conditionalFormatting>
  <conditionalFormatting sqref="D454:BG454">
    <cfRule type="expression" dxfId="4" priority="1986">
      <formula>$C$340&lt;&gt;"Y"</formula>
    </cfRule>
  </conditionalFormatting>
  <conditionalFormatting sqref="D455:BG455">
    <cfRule type="expression" dxfId="4" priority="1989">
      <formula>$D$340&lt;&gt;"Y"</formula>
    </cfRule>
  </conditionalFormatting>
  <conditionalFormatting sqref="D456:BG456">
    <cfRule type="expression" dxfId="4" priority="1992">
      <formula>$E$340&lt;&gt;"Y"</formula>
    </cfRule>
  </conditionalFormatting>
  <conditionalFormatting sqref="D457:BG457">
    <cfRule type="expression" dxfId="4" priority="1995">
      <formula>$F$340&lt;&gt;"Y"</formula>
    </cfRule>
  </conditionalFormatting>
  <conditionalFormatting sqref="D458:BG458">
    <cfRule type="expression" dxfId="4" priority="1998">
      <formula>$G$340&lt;&gt;"Y"</formula>
    </cfRule>
  </conditionalFormatting>
  <conditionalFormatting sqref="D459:BG459">
    <cfRule type="expression" dxfId="4" priority="2001">
      <formula>$H$340&lt;&gt;"Y"</formula>
    </cfRule>
  </conditionalFormatting>
  <conditionalFormatting sqref="D45:BG45">
    <cfRule type="expression" dxfId="4" priority="345">
      <formula>$D$7&lt;&gt;"Y"</formula>
    </cfRule>
  </conditionalFormatting>
  <conditionalFormatting sqref="D460:BG460">
    <cfRule type="expression" dxfId="4" priority="2004">
      <formula>$I$340&lt;&gt;"Y"</formula>
    </cfRule>
  </conditionalFormatting>
  <conditionalFormatting sqref="D461:BG461">
    <cfRule type="expression" dxfId="4" priority="2007">
      <formula>$J$340&lt;&gt;"Y"</formula>
    </cfRule>
  </conditionalFormatting>
  <conditionalFormatting sqref="D462:BG462">
    <cfRule type="expression" dxfId="4" priority="2010">
      <formula>$K$340&lt;&gt;"Y"</formula>
    </cfRule>
  </conditionalFormatting>
  <conditionalFormatting sqref="D463:BG463">
    <cfRule type="expression" dxfId="4" priority="2013">
      <formula>$L$340&lt;&gt;"Y"</formula>
    </cfRule>
  </conditionalFormatting>
  <conditionalFormatting sqref="D464:BG464">
    <cfRule type="expression" dxfId="4" priority="2016">
      <formula>$M$340&lt;&gt;"Y"</formula>
    </cfRule>
  </conditionalFormatting>
  <conditionalFormatting sqref="D465:BG465">
    <cfRule type="expression" dxfId="4" priority="2019">
      <formula>$B$341&lt;&gt;"Y"</formula>
    </cfRule>
  </conditionalFormatting>
  <conditionalFormatting sqref="D466:BG466">
    <cfRule type="expression" dxfId="4" priority="2022">
      <formula>$C$341&lt;&gt;"Y"</formula>
    </cfRule>
  </conditionalFormatting>
  <conditionalFormatting sqref="D467:BG467">
    <cfRule type="expression" dxfId="4" priority="2025">
      <formula>$D$341&lt;&gt;"Y"</formula>
    </cfRule>
  </conditionalFormatting>
  <conditionalFormatting sqref="D468:BG468">
    <cfRule type="expression" dxfId="4" priority="2028">
      <formula>$E$341&lt;&gt;"Y"</formula>
    </cfRule>
  </conditionalFormatting>
  <conditionalFormatting sqref="D469:BG469">
    <cfRule type="expression" dxfId="4" priority="2031">
      <formula>$F$341&lt;&gt;"Y"</formula>
    </cfRule>
  </conditionalFormatting>
  <conditionalFormatting sqref="D46:BG46">
    <cfRule type="expression" dxfId="4" priority="348">
      <formula>$E$7&lt;&gt;"Y"</formula>
    </cfRule>
  </conditionalFormatting>
  <conditionalFormatting sqref="D470:BG470">
    <cfRule type="expression" dxfId="4" priority="2034">
      <formula>$G$341&lt;&gt;"Y"</formula>
    </cfRule>
  </conditionalFormatting>
  <conditionalFormatting sqref="D471:BG471">
    <cfRule type="expression" dxfId="4" priority="2037">
      <formula>$H$341&lt;&gt;"Y"</formula>
    </cfRule>
  </conditionalFormatting>
  <conditionalFormatting sqref="D472:BG472">
    <cfRule type="expression" dxfId="4" priority="2040">
      <formula>$I$341&lt;&gt;"Y"</formula>
    </cfRule>
  </conditionalFormatting>
  <conditionalFormatting sqref="D473:BG473">
    <cfRule type="expression" dxfId="4" priority="2043">
      <formula>$J$341&lt;&gt;"Y"</formula>
    </cfRule>
  </conditionalFormatting>
  <conditionalFormatting sqref="D474:BG474">
    <cfRule type="expression" dxfId="4" priority="2046">
      <formula>$K$341&lt;&gt;"Y"</formula>
    </cfRule>
  </conditionalFormatting>
  <conditionalFormatting sqref="D475:BG475">
    <cfRule type="expression" dxfId="4" priority="2049">
      <formula>$L$341&lt;&gt;"Y"</formula>
    </cfRule>
  </conditionalFormatting>
  <conditionalFormatting sqref="D476:BG476">
    <cfRule type="expression" dxfId="4" priority="2052">
      <formula>$M$341&lt;&gt;"Y"</formula>
    </cfRule>
  </conditionalFormatting>
  <conditionalFormatting sqref="D477:BG477">
    <cfRule type="expression" dxfId="4" priority="2055">
      <formula>$B$342&lt;&gt;"Y"</formula>
    </cfRule>
  </conditionalFormatting>
  <conditionalFormatting sqref="D478:BG478">
    <cfRule type="expression" dxfId="4" priority="2058">
      <formula>$C$342&lt;&gt;"Y"</formula>
    </cfRule>
  </conditionalFormatting>
  <conditionalFormatting sqref="D479:BG479">
    <cfRule type="expression" dxfId="4" priority="2061">
      <formula>$D$342&lt;&gt;"Y"</formula>
    </cfRule>
  </conditionalFormatting>
  <conditionalFormatting sqref="D47:BG47">
    <cfRule type="expression" dxfId="4" priority="351">
      <formula>$F$7&lt;&gt;"Y"</formula>
    </cfRule>
  </conditionalFormatting>
  <conditionalFormatting sqref="D480:BG480">
    <cfRule type="expression" dxfId="4" priority="2064">
      <formula>$E$342&lt;&gt;"Y"</formula>
    </cfRule>
  </conditionalFormatting>
  <conditionalFormatting sqref="D481:BG481">
    <cfRule type="expression" dxfId="4" priority="2067">
      <formula>$F$342&lt;&gt;"Y"</formula>
    </cfRule>
  </conditionalFormatting>
  <conditionalFormatting sqref="D482:BG482">
    <cfRule type="expression" dxfId="4" priority="2070">
      <formula>$G$342&lt;&gt;"Y"</formula>
    </cfRule>
  </conditionalFormatting>
  <conditionalFormatting sqref="D483:BG483">
    <cfRule type="expression" dxfId="4" priority="2073">
      <formula>$H$342&lt;&gt;"Y"</formula>
    </cfRule>
  </conditionalFormatting>
  <conditionalFormatting sqref="D484:BG484">
    <cfRule type="expression" dxfId="4" priority="2076">
      <formula>$I$342&lt;&gt;"Y"</formula>
    </cfRule>
  </conditionalFormatting>
  <conditionalFormatting sqref="D485:BG485">
    <cfRule type="expression" dxfId="4" priority="2079">
      <formula>$J$342&lt;&gt;"Y"</formula>
    </cfRule>
  </conditionalFormatting>
  <conditionalFormatting sqref="D486:BG486">
    <cfRule type="expression" dxfId="4" priority="2082">
      <formula>$K$342&lt;&gt;"Y"</formula>
    </cfRule>
  </conditionalFormatting>
  <conditionalFormatting sqref="D487:BG487">
    <cfRule type="expression" dxfId="4" priority="2085">
      <formula>$L$342&lt;&gt;"Y"</formula>
    </cfRule>
  </conditionalFormatting>
  <conditionalFormatting sqref="D488:BG488">
    <cfRule type="expression" dxfId="4" priority="2088">
      <formula>$M$342&lt;&gt;"Y"</formula>
    </cfRule>
  </conditionalFormatting>
  <conditionalFormatting sqref="D48:BG48">
    <cfRule type="expression" dxfId="4" priority="354">
      <formula>$G$7&lt;&gt;"Y"</formula>
    </cfRule>
  </conditionalFormatting>
  <conditionalFormatting sqref="D49:BG49">
    <cfRule type="expression" dxfId="4" priority="357">
      <formula>$H$7&lt;&gt;"Y"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:BG50">
    <cfRule type="expression" dxfId="4" priority="360">
      <formula>$I$7&lt;&gt;"Y"</formula>
    </cfRule>
  </conditionalFormatting>
  <conditionalFormatting sqref="D51:BG51">
    <cfRule type="expression" dxfId="4" priority="363">
      <formula>$J$7&lt;&gt;"Y"</formula>
    </cfRule>
  </conditionalFormatting>
  <conditionalFormatting sqref="D52:BG52">
    <cfRule type="expression" dxfId="4" priority="366">
      <formula>$K$7&lt;&gt;"Y"</formula>
    </cfRule>
  </conditionalFormatting>
  <conditionalFormatting sqref="D53:BG53">
    <cfRule type="expression" dxfId="4" priority="369">
      <formula>$L$7&lt;&gt;"Y"</formula>
    </cfRule>
  </conditionalFormatting>
  <conditionalFormatting sqref="D54:BG54">
    <cfRule type="expression" dxfId="4" priority="372">
      <formula>$M$7&lt;&gt;"Y"</formula>
    </cfRule>
  </conditionalFormatting>
  <conditionalFormatting sqref="D55:BG55">
    <cfRule type="expression" dxfId="4" priority="375">
      <formula>$B$8&lt;&gt;"Y"</formula>
    </cfRule>
  </conditionalFormatting>
  <conditionalFormatting sqref="D56:BG56">
    <cfRule type="expression" dxfId="4" priority="378">
      <formula>$C$8&lt;&gt;"Y"</formula>
    </cfRule>
  </conditionalFormatting>
  <conditionalFormatting sqref="D57:BG57">
    <cfRule type="expression" dxfId="4" priority="381">
      <formula>$D$8&lt;&gt;"Y"</formula>
    </cfRule>
  </conditionalFormatting>
  <conditionalFormatting sqref="D58:BG58">
    <cfRule type="expression" dxfId="4" priority="384">
      <formula>$E$8&lt;&gt;"Y"</formula>
    </cfRule>
  </conditionalFormatting>
  <conditionalFormatting sqref="D59:BG59">
    <cfRule type="expression" dxfId="4" priority="387">
      <formula>$F$8&lt;&gt;"Y"</formula>
    </cfRule>
  </conditionalFormatting>
  <conditionalFormatting sqref="D6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D60:BG60">
    <cfRule type="expression" dxfId="4" priority="390">
      <formula>$G$8&lt;&gt;"Y"</formula>
    </cfRule>
  </conditionalFormatting>
  <conditionalFormatting sqref="D61:BG61">
    <cfRule type="expression" dxfId="4" priority="393">
      <formula>$H$8&lt;&gt;"Y"</formula>
    </cfRule>
  </conditionalFormatting>
  <conditionalFormatting sqref="D62:BG62">
    <cfRule type="expression" dxfId="4" priority="396">
      <formula>$I$8&lt;&gt;"Y"</formula>
    </cfRule>
  </conditionalFormatting>
  <conditionalFormatting sqref="D63:BG63">
    <cfRule type="expression" dxfId="4" priority="399">
      <formula>$J$8&lt;&gt;"Y"</formula>
    </cfRule>
  </conditionalFormatting>
  <conditionalFormatting sqref="D64:BG64">
    <cfRule type="expression" dxfId="4" priority="402">
      <formula>$K$8&lt;&gt;"Y"</formula>
    </cfRule>
  </conditionalFormatting>
  <conditionalFormatting sqref="D65:BG65">
    <cfRule type="expression" dxfId="4" priority="405">
      <formula>$L$8&lt;&gt;"Y"</formula>
    </cfRule>
  </conditionalFormatting>
  <conditionalFormatting sqref="D66:BG66">
    <cfRule type="expression" dxfId="4" priority="408">
      <formula>$M$8&lt;&gt;"Y"</formula>
    </cfRule>
  </conditionalFormatting>
  <conditionalFormatting sqref="D67:BG67">
    <cfRule type="expression" dxfId="4" priority="411">
      <formula>$B$9&lt;&gt;"Y"</formula>
    </cfRule>
  </conditionalFormatting>
  <conditionalFormatting sqref="D68:BG68">
    <cfRule type="expression" dxfId="4" priority="414">
      <formula>$C$9&lt;&gt;"Y"</formula>
    </cfRule>
  </conditionalFormatting>
  <conditionalFormatting sqref="D69:BG69">
    <cfRule type="expression" dxfId="4" priority="417">
      <formula>$D$9&lt;&gt;"Y"</formula>
    </cfRule>
  </conditionalFormatting>
  <conditionalFormatting sqref="D70:BG70">
    <cfRule type="expression" dxfId="4" priority="420">
      <formula>$E$9&lt;&gt;"Y"</formula>
    </cfRule>
  </conditionalFormatting>
  <conditionalFormatting sqref="D71:BG71">
    <cfRule type="expression" dxfId="4" priority="423">
      <formula>$F$9&lt;&gt;"Y"</formula>
    </cfRule>
  </conditionalFormatting>
  <conditionalFormatting sqref="D72:BG72">
    <cfRule type="expression" dxfId="4" priority="426">
      <formula>$G$9&lt;&gt;"Y"</formula>
    </cfRule>
  </conditionalFormatting>
  <conditionalFormatting sqref="D73:BG73">
    <cfRule type="expression" dxfId="4" priority="429">
      <formula>$H$9&lt;&gt;"Y"</formula>
    </cfRule>
  </conditionalFormatting>
  <conditionalFormatting sqref="D74:BG74">
    <cfRule type="expression" dxfId="4" priority="432">
      <formula>$I$9&lt;&gt;"Y"</formula>
    </cfRule>
  </conditionalFormatting>
  <conditionalFormatting sqref="D75:BG75">
    <cfRule type="expression" dxfId="4" priority="435">
      <formula>$J$9&lt;&gt;"Y"</formula>
    </cfRule>
  </conditionalFormatting>
  <conditionalFormatting sqref="D76:BG76">
    <cfRule type="expression" dxfId="4" priority="438">
      <formula>$K$9&lt;&gt;"Y"</formula>
    </cfRule>
  </conditionalFormatting>
  <conditionalFormatting sqref="D77:BG77">
    <cfRule type="expression" dxfId="4" priority="441">
      <formula>$L$9&lt;&gt;"Y"</formula>
    </cfRule>
  </conditionalFormatting>
  <conditionalFormatting sqref="D78:BG78">
    <cfRule type="expression" dxfId="4" priority="444">
      <formula>$M$9&lt;&gt;"Y"</formula>
    </cfRule>
  </conditionalFormatting>
  <conditionalFormatting sqref="D79:BG79">
    <cfRule type="expression" dxfId="4" priority="447">
      <formula>$B$10&lt;&gt;"Y"</formula>
    </cfRule>
  </conditionalFormatting>
  <conditionalFormatting sqref="D8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D80:BG80">
    <cfRule type="expression" dxfId="4" priority="450">
      <formula>$C$10&lt;&gt;"Y"</formula>
    </cfRule>
  </conditionalFormatting>
  <conditionalFormatting sqref="D81:BG81">
    <cfRule type="expression" dxfId="4" priority="453">
      <formula>$D$10&lt;&gt;"Y"</formula>
    </cfRule>
  </conditionalFormatting>
  <conditionalFormatting sqref="D82:BG82">
    <cfRule type="expression" dxfId="4" priority="456">
      <formula>$E$10&lt;&gt;"Y"</formula>
    </cfRule>
  </conditionalFormatting>
  <conditionalFormatting sqref="D83:BG83">
    <cfRule type="expression" dxfId="4" priority="459">
      <formula>$F$10&lt;&gt;"Y"</formula>
    </cfRule>
  </conditionalFormatting>
  <conditionalFormatting sqref="D84:BG84">
    <cfRule type="expression" dxfId="4" priority="462">
      <formula>$G$10&lt;&gt;"Y"</formula>
    </cfRule>
  </conditionalFormatting>
  <conditionalFormatting sqref="D85:BG85">
    <cfRule type="expression" dxfId="4" priority="465">
      <formula>$H$10&lt;&gt;"Y"</formula>
    </cfRule>
  </conditionalFormatting>
  <conditionalFormatting sqref="D86:BG86">
    <cfRule type="expression" dxfId="4" priority="468">
      <formula>$I$10&lt;&gt;"Y"</formula>
    </cfRule>
  </conditionalFormatting>
  <conditionalFormatting sqref="D87:BG87">
    <cfRule type="expression" dxfId="4" priority="471">
      <formula>$J$10&lt;&gt;"Y"</formula>
    </cfRule>
  </conditionalFormatting>
  <conditionalFormatting sqref="D88:BG88">
    <cfRule type="expression" dxfId="4" priority="474">
      <formula>$K$10&lt;&gt;"Y"</formula>
    </cfRule>
  </conditionalFormatting>
  <conditionalFormatting sqref="D89:BG89">
    <cfRule type="expression" dxfId="4" priority="477">
      <formula>$L$10&lt;&gt;"Y"</formula>
    </cfRule>
  </conditionalFormatting>
  <conditionalFormatting sqref="D9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D90:BG90">
    <cfRule type="expression" dxfId="4" priority="480">
      <formula>$M$10&lt;&gt;"Y"</formula>
    </cfRule>
  </conditionalFormatting>
  <conditionalFormatting sqref="D91:BG91">
    <cfRule type="expression" dxfId="4" priority="483">
      <formula>$B$11&lt;&gt;"Y"</formula>
    </cfRule>
  </conditionalFormatting>
  <conditionalFormatting sqref="D92:BG92">
    <cfRule type="expression" dxfId="4" priority="486">
      <formula>$C$11&lt;&gt;"Y"</formula>
    </cfRule>
  </conditionalFormatting>
  <conditionalFormatting sqref="D93:BG93">
    <cfRule type="expression" dxfId="4" priority="489">
      <formula>$D$11&lt;&gt;"Y"</formula>
    </cfRule>
  </conditionalFormatting>
  <conditionalFormatting sqref="D94:BG94">
    <cfRule type="expression" dxfId="4" priority="492">
      <formula>$E$11&lt;&gt;"Y"</formula>
    </cfRule>
  </conditionalFormatting>
  <conditionalFormatting sqref="D95:BG95">
    <cfRule type="expression" dxfId="4" priority="495">
      <formula>$F$11&lt;&gt;"Y"</formula>
    </cfRule>
  </conditionalFormatting>
  <conditionalFormatting sqref="D96:BG96">
    <cfRule type="expression" dxfId="4" priority="498">
      <formula>$G$11&lt;&gt;"Y"</formula>
    </cfRule>
  </conditionalFormatting>
  <conditionalFormatting sqref="D97:BG97">
    <cfRule type="expression" dxfId="4" priority="501">
      <formula>$H$11&lt;&gt;"Y"</formula>
    </cfRule>
  </conditionalFormatting>
  <conditionalFormatting sqref="D98:BG98">
    <cfRule type="expression" dxfId="4" priority="504">
      <formula>$I$11&lt;&gt;"Y"</formula>
    </cfRule>
  </conditionalFormatting>
  <conditionalFormatting sqref="D99:BG99">
    <cfRule type="expression" dxfId="4" priority="507">
      <formula>$J$11&lt;&gt;"Y"</formula>
    </cfRule>
  </conditionalFormatting>
  <conditionalFormatting sqref="E10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E11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E12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E13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E14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E15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E16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E168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E169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E17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E17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E173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E174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175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E176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E177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E178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E179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E331">
    <cfRule type="cellIs" dxfId="2" priority="1397" operator="equal">
      <formula>"Y"</formula>
    </cfRule>
    <cfRule type="cellIs" dxfId="3" priority="1398" operator="equal">
      <formula>"N"</formula>
    </cfRule>
  </conditionalFormatting>
  <conditionalFormatting sqref="E332">
    <cfRule type="cellIs" dxfId="2" priority="1419" operator="equal">
      <formula>"Y"</formula>
    </cfRule>
    <cfRule type="cellIs" dxfId="3" priority="1420" operator="equal">
      <formula>"N"</formula>
    </cfRule>
  </conditionalFormatting>
  <conditionalFormatting sqref="E333">
    <cfRule type="cellIs" dxfId="2" priority="1441" operator="equal">
      <formula>"Y"</formula>
    </cfRule>
    <cfRule type="cellIs" dxfId="3" priority="1442" operator="equal">
      <formula>"N"</formula>
    </cfRule>
  </conditionalFormatting>
  <conditionalFormatting sqref="E335">
    <cfRule type="cellIs" dxfId="2" priority="1487" operator="equal">
      <formula>"Y"</formula>
    </cfRule>
    <cfRule type="cellIs" dxfId="3" priority="1488" operator="equal">
      <formula>"N"</formula>
    </cfRule>
  </conditionalFormatting>
  <conditionalFormatting sqref="E336">
    <cfRule type="cellIs" dxfId="2" priority="1509" operator="equal">
      <formula>"Y"</formula>
    </cfRule>
    <cfRule type="cellIs" dxfId="3" priority="1510" operator="equal">
      <formula>"N"</formula>
    </cfRule>
  </conditionalFormatting>
  <conditionalFormatting sqref="E337">
    <cfRule type="cellIs" dxfId="2" priority="1531" operator="equal">
      <formula>"Y"</formula>
    </cfRule>
    <cfRule type="cellIs" dxfId="3" priority="1532" operator="equal">
      <formula>"N"</formula>
    </cfRule>
  </conditionalFormatting>
  <conditionalFormatting sqref="E338">
    <cfRule type="cellIs" dxfId="2" priority="1553" operator="equal">
      <formula>"Y"</formula>
    </cfRule>
    <cfRule type="cellIs" dxfId="3" priority="1554" operator="equal">
      <formula>"N"</formula>
    </cfRule>
  </conditionalFormatting>
  <conditionalFormatting sqref="E339">
    <cfRule type="cellIs" dxfId="2" priority="1575" operator="equal">
      <formula>"Y"</formula>
    </cfRule>
    <cfRule type="cellIs" dxfId="3" priority="1576" operator="equal">
      <formula>"N"</formula>
    </cfRule>
  </conditionalFormatting>
  <conditionalFormatting sqref="E340">
    <cfRule type="cellIs" dxfId="2" priority="1597" operator="equal">
      <formula>"Y"</formula>
    </cfRule>
    <cfRule type="cellIs" dxfId="3" priority="1598" operator="equal">
      <formula>"N"</formula>
    </cfRule>
  </conditionalFormatting>
  <conditionalFormatting sqref="E341">
    <cfRule type="cellIs" dxfId="2" priority="1619" operator="equal">
      <formula>"Y"</formula>
    </cfRule>
    <cfRule type="cellIs" dxfId="3" priority="1620" operator="equal">
      <formula>"N"</formula>
    </cfRule>
  </conditionalFormatting>
  <conditionalFormatting sqref="E342">
    <cfRule type="cellIs" dxfId="2" priority="1641" operator="equal">
      <formula>"Y"</formula>
    </cfRule>
    <cfRule type="cellIs" dxfId="3" priority="1642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E7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E9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F10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1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F12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F13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F14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F15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F16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F168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F169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F17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F17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F173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F174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175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F176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F177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F178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F179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F331">
    <cfRule type="cellIs" dxfId="2" priority="1399" operator="equal">
      <formula>"Y"</formula>
    </cfRule>
    <cfRule type="cellIs" dxfId="3" priority="1400" operator="equal">
      <formula>"N"</formula>
    </cfRule>
  </conditionalFormatting>
  <conditionalFormatting sqref="F332">
    <cfRule type="cellIs" dxfId="2" priority="1421" operator="equal">
      <formula>"Y"</formula>
    </cfRule>
    <cfRule type="cellIs" dxfId="3" priority="1422" operator="equal">
      <formula>"N"</formula>
    </cfRule>
  </conditionalFormatting>
  <conditionalFormatting sqref="F333">
    <cfRule type="cellIs" dxfId="2" priority="1443" operator="equal">
      <formula>"Y"</formula>
    </cfRule>
    <cfRule type="cellIs" dxfId="3" priority="1444" operator="equal">
      <formula>"N"</formula>
    </cfRule>
  </conditionalFormatting>
  <conditionalFormatting sqref="F334">
    <cfRule type="cellIs" dxfId="2" priority="1465" operator="equal">
      <formula>"Y"</formula>
    </cfRule>
    <cfRule type="cellIs" dxfId="3" priority="1466" operator="equal">
      <formula>"N"</formula>
    </cfRule>
  </conditionalFormatting>
  <conditionalFormatting sqref="F336">
    <cfRule type="cellIs" dxfId="2" priority="1511" operator="equal">
      <formula>"Y"</formula>
    </cfRule>
    <cfRule type="cellIs" dxfId="3" priority="1512" operator="equal">
      <formula>"N"</formula>
    </cfRule>
  </conditionalFormatting>
  <conditionalFormatting sqref="F337">
    <cfRule type="cellIs" dxfId="2" priority="1533" operator="equal">
      <formula>"Y"</formula>
    </cfRule>
    <cfRule type="cellIs" dxfId="3" priority="1534" operator="equal">
      <formula>"N"</formula>
    </cfRule>
  </conditionalFormatting>
  <conditionalFormatting sqref="F338">
    <cfRule type="cellIs" dxfId="2" priority="1555" operator="equal">
      <formula>"Y"</formula>
    </cfRule>
    <cfRule type="cellIs" dxfId="3" priority="1556" operator="equal">
      <formula>"N"</formula>
    </cfRule>
  </conditionalFormatting>
  <conditionalFormatting sqref="F339">
    <cfRule type="cellIs" dxfId="2" priority="1577" operator="equal">
      <formula>"Y"</formula>
    </cfRule>
    <cfRule type="cellIs" dxfId="3" priority="1578" operator="equal">
      <formula>"N"</formula>
    </cfRule>
  </conditionalFormatting>
  <conditionalFormatting sqref="F340">
    <cfRule type="cellIs" dxfId="2" priority="1599" operator="equal">
      <formula>"Y"</formula>
    </cfRule>
    <cfRule type="cellIs" dxfId="3" priority="1600" operator="equal">
      <formula>"N"</formula>
    </cfRule>
  </conditionalFormatting>
  <conditionalFormatting sqref="F341">
    <cfRule type="cellIs" dxfId="2" priority="1621" operator="equal">
      <formula>"Y"</formula>
    </cfRule>
    <cfRule type="cellIs" dxfId="3" priority="1622" operator="equal">
      <formula>"N"</formula>
    </cfRule>
  </conditionalFormatting>
  <conditionalFormatting sqref="F342">
    <cfRule type="cellIs" dxfId="2" priority="1643" operator="equal">
      <formula>"Y"</formula>
    </cfRule>
    <cfRule type="cellIs" dxfId="3" priority="1644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F7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F8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G100">
    <cfRule type="expression" dxfId="0" priority="508">
      <formula>COUNTIF(I100:BG100,"&lt;&gt;" &amp; "")&gt;0</formula>
    </cfRule>
    <cfRule type="expression" dxfId="1" priority="509">
      <formula>AND(COUNTIF(I100:BG100,"&lt;&gt;" &amp; "")&gt;0,NOT(ISBLANK(G100)))</formula>
    </cfRule>
  </conditionalFormatting>
  <conditionalFormatting sqref="G101">
    <cfRule type="expression" dxfId="0" priority="511">
      <formula>COUNTIF(I101:BG101,"&lt;&gt;" &amp; "")&gt;0</formula>
    </cfRule>
    <cfRule type="expression" dxfId="1" priority="512">
      <formula>AND(COUNTIF(I101:BG101,"&lt;&gt;" &amp; "")&gt;0,NOT(ISBLANK(G101)))</formula>
    </cfRule>
  </conditionalFormatting>
  <conditionalFormatting sqref="G102">
    <cfRule type="expression" dxfId="0" priority="514">
      <formula>COUNTIF(I102:BG102,"&lt;&gt;" &amp; "")&gt;0</formula>
    </cfRule>
    <cfRule type="expression" dxfId="1" priority="515">
      <formula>AND(COUNTIF(I102:BG102,"&lt;&gt;" &amp; "")&gt;0,NOT(ISBLANK(G102)))</formula>
    </cfRule>
  </conditionalFormatting>
  <conditionalFormatting sqref="G103">
    <cfRule type="expression" dxfId="0" priority="517">
      <formula>COUNTIF(I103:BG103,"&lt;&gt;" &amp; "")&gt;0</formula>
    </cfRule>
    <cfRule type="expression" dxfId="1" priority="518">
      <formula>AND(COUNTIF(I103:BG103,"&lt;&gt;" &amp; "")&gt;0,NOT(ISBLANK(G103)))</formula>
    </cfRule>
  </conditionalFormatting>
  <conditionalFormatting sqref="G104">
    <cfRule type="expression" dxfId="0" priority="520">
      <formula>COUNTIF(I104:BG104,"&lt;&gt;" &amp; "")&gt;0</formula>
    </cfRule>
    <cfRule type="expression" dxfId="1" priority="521">
      <formula>AND(COUNTIF(I104:BG104,"&lt;&gt;" &amp; "")&gt;0,NOT(ISBLANK(G104)))</formula>
    </cfRule>
  </conditionalFormatting>
  <conditionalFormatting sqref="G105">
    <cfRule type="expression" dxfId="0" priority="523">
      <formula>COUNTIF(I105:BG105,"&lt;&gt;" &amp; "")&gt;0</formula>
    </cfRule>
    <cfRule type="expression" dxfId="1" priority="524">
      <formula>AND(COUNTIF(I105:BG105,"&lt;&gt;" &amp; "")&gt;0,NOT(ISBLANK(G105)))</formula>
    </cfRule>
  </conditionalFormatting>
  <conditionalFormatting sqref="G106">
    <cfRule type="expression" dxfId="0" priority="526">
      <formula>COUNTIF(I106:BG106,"&lt;&gt;" &amp; "")&gt;0</formula>
    </cfRule>
    <cfRule type="expression" dxfId="1" priority="527">
      <formula>AND(COUNTIF(I106:BG106,"&lt;&gt;" &amp; "")&gt;0,NOT(ISBLANK(G106)))</formula>
    </cfRule>
  </conditionalFormatting>
  <conditionalFormatting sqref="G107">
    <cfRule type="expression" dxfId="0" priority="529">
      <formula>COUNTIF(I107:BG107,"&lt;&gt;" &amp; "")&gt;0</formula>
    </cfRule>
    <cfRule type="expression" dxfId="1" priority="530">
      <formula>AND(COUNTIF(I107:BG107,"&lt;&gt;" &amp; "")&gt;0,NOT(ISBLANK(G107)))</formula>
    </cfRule>
  </conditionalFormatting>
  <conditionalFormatting sqref="G108">
    <cfRule type="expression" dxfId="0" priority="532">
      <formula>COUNTIF(I108:BG108,"&lt;&gt;" &amp; "")&gt;0</formula>
    </cfRule>
    <cfRule type="expression" dxfId="1" priority="533">
      <formula>AND(COUNTIF(I108:BG108,"&lt;&gt;" &amp; "")&gt;0,NOT(ISBLANK(G108)))</formula>
    </cfRule>
  </conditionalFormatting>
  <conditionalFormatting sqref="G109">
    <cfRule type="expression" dxfId="0" priority="535">
      <formula>COUNTIF(I109:BG109,"&lt;&gt;" &amp; "")&gt;0</formula>
    </cfRule>
    <cfRule type="expression" dxfId="1" priority="536">
      <formula>AND(COUNTIF(I109:BG109,"&lt;&gt;" &amp; "")&gt;0,NOT(ISBLANK(G109)))</formula>
    </cfRule>
  </conditionalFormatting>
  <conditionalFormatting sqref="G11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G110">
    <cfRule type="expression" dxfId="0" priority="538">
      <formula>COUNTIF(I110:BG110,"&lt;&gt;" &amp; "")&gt;0</formula>
    </cfRule>
    <cfRule type="expression" dxfId="1" priority="539">
      <formula>AND(COUNTIF(I110:BG110,"&lt;&gt;" &amp; "")&gt;0,NOT(ISBLANK(G110)))</formula>
    </cfRule>
  </conditionalFormatting>
  <conditionalFormatting sqref="G111">
    <cfRule type="expression" dxfId="0" priority="541">
      <formula>COUNTIF(I111:BG111,"&lt;&gt;" &amp; "")&gt;0</formula>
    </cfRule>
    <cfRule type="expression" dxfId="1" priority="542">
      <formula>AND(COUNTIF(I111:BG111,"&lt;&gt;" &amp; "")&gt;0,NOT(ISBLANK(G111)))</formula>
    </cfRule>
  </conditionalFormatting>
  <conditionalFormatting sqref="G112">
    <cfRule type="expression" dxfId="0" priority="544">
      <formula>COUNTIF(I112:BG112,"&lt;&gt;" &amp; "")&gt;0</formula>
    </cfRule>
    <cfRule type="expression" dxfId="1" priority="545">
      <formula>AND(COUNTIF(I112:BG112,"&lt;&gt;" &amp; "")&gt;0,NOT(ISBLANK(G112)))</formula>
    </cfRule>
  </conditionalFormatting>
  <conditionalFormatting sqref="G113">
    <cfRule type="expression" dxfId="0" priority="547">
      <formula>COUNTIF(I113:BG113,"&lt;&gt;" &amp; "")&gt;0</formula>
    </cfRule>
    <cfRule type="expression" dxfId="1" priority="548">
      <formula>AND(COUNTIF(I113:BG113,"&lt;&gt;" &amp; "")&gt;0,NOT(ISBLANK(G113)))</formula>
    </cfRule>
  </conditionalFormatting>
  <conditionalFormatting sqref="G114">
    <cfRule type="expression" dxfId="0" priority="550">
      <formula>COUNTIF(I114:BG114,"&lt;&gt;" &amp; "")&gt;0</formula>
    </cfRule>
    <cfRule type="expression" dxfId="1" priority="551">
      <formula>AND(COUNTIF(I114:BG114,"&lt;&gt;" &amp; "")&gt;0,NOT(ISBLANK(G114)))</formula>
    </cfRule>
  </conditionalFormatting>
  <conditionalFormatting sqref="G115">
    <cfRule type="expression" dxfId="0" priority="553">
      <formula>COUNTIF(I115:BG115,"&lt;&gt;" &amp; "")&gt;0</formula>
    </cfRule>
    <cfRule type="expression" dxfId="1" priority="554">
      <formula>AND(COUNTIF(I115:BG115,"&lt;&gt;" &amp; "")&gt;0,NOT(ISBLANK(G115)))</formula>
    </cfRule>
  </conditionalFormatting>
  <conditionalFormatting sqref="G116">
    <cfRule type="expression" dxfId="0" priority="556">
      <formula>COUNTIF(I116:BG116,"&lt;&gt;" &amp; "")&gt;0</formula>
    </cfRule>
    <cfRule type="expression" dxfId="1" priority="557">
      <formula>AND(COUNTIF(I116:BG116,"&lt;&gt;" &amp; "")&gt;0,NOT(ISBLANK(G116)))</formula>
    </cfRule>
  </conditionalFormatting>
  <conditionalFormatting sqref="G117">
    <cfRule type="expression" dxfId="0" priority="559">
      <formula>COUNTIF(I117:BG117,"&lt;&gt;" &amp; "")&gt;0</formula>
    </cfRule>
    <cfRule type="expression" dxfId="1" priority="560">
      <formula>AND(COUNTIF(I117:BG117,"&lt;&gt;" &amp; "")&gt;0,NOT(ISBLANK(G117)))</formula>
    </cfRule>
  </conditionalFormatting>
  <conditionalFormatting sqref="G118">
    <cfRule type="expression" dxfId="0" priority="562">
      <formula>COUNTIF(I118:BG118,"&lt;&gt;" &amp; "")&gt;0</formula>
    </cfRule>
    <cfRule type="expression" dxfId="1" priority="563">
      <formula>AND(COUNTIF(I118:BG118,"&lt;&gt;" &amp; "")&gt;0,NOT(ISBLANK(G118)))</formula>
    </cfRule>
  </conditionalFormatting>
  <conditionalFormatting sqref="G119">
    <cfRule type="expression" dxfId="0" priority="565">
      <formula>COUNTIF(I119:BG119,"&lt;&gt;" &amp; "")&gt;0</formula>
    </cfRule>
    <cfRule type="expression" dxfId="1" priority="566">
      <formula>AND(COUNTIF(I119:BG119,"&lt;&gt;" &amp; "")&gt;0,NOT(ISBLANK(G119)))</formula>
    </cfRule>
  </conditionalFormatting>
  <conditionalFormatting sqref="G12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G120">
    <cfRule type="expression" dxfId="0" priority="568">
      <formula>COUNTIF(I120:BG120,"&lt;&gt;" &amp; "")&gt;0</formula>
    </cfRule>
    <cfRule type="expression" dxfId="1" priority="569">
      <formula>AND(COUNTIF(I120:BG120,"&lt;&gt;" &amp; "")&gt;0,NOT(ISBLANK(G120)))</formula>
    </cfRule>
  </conditionalFormatting>
  <conditionalFormatting sqref="G121">
    <cfRule type="expression" dxfId="0" priority="571">
      <formula>COUNTIF(I121:BG121,"&lt;&gt;" &amp; "")&gt;0</formula>
    </cfRule>
    <cfRule type="expression" dxfId="1" priority="572">
      <formula>AND(COUNTIF(I121:BG121,"&lt;&gt;" &amp; "")&gt;0,NOT(ISBLANK(G121)))</formula>
    </cfRule>
  </conditionalFormatting>
  <conditionalFormatting sqref="G122">
    <cfRule type="expression" dxfId="0" priority="574">
      <formula>COUNTIF(I122:BG122,"&lt;&gt;" &amp; "")&gt;0</formula>
    </cfRule>
    <cfRule type="expression" dxfId="1" priority="575">
      <formula>AND(COUNTIF(I122:BG122,"&lt;&gt;" &amp; "")&gt;0,NOT(ISBLANK(G122)))</formula>
    </cfRule>
  </conditionalFormatting>
  <conditionalFormatting sqref="G123">
    <cfRule type="expression" dxfId="0" priority="577">
      <formula>COUNTIF(I123:BG123,"&lt;&gt;" &amp; "")&gt;0</formula>
    </cfRule>
    <cfRule type="expression" dxfId="1" priority="578">
      <formula>AND(COUNTIF(I123:BG123,"&lt;&gt;" &amp; "")&gt;0,NOT(ISBLANK(G123)))</formula>
    </cfRule>
  </conditionalFormatting>
  <conditionalFormatting sqref="G124">
    <cfRule type="expression" dxfId="0" priority="580">
      <formula>COUNTIF(I124:BG124,"&lt;&gt;" &amp; "")&gt;0</formula>
    </cfRule>
    <cfRule type="expression" dxfId="1" priority="581">
      <formula>AND(COUNTIF(I124:BG124,"&lt;&gt;" &amp; "")&gt;0,NOT(ISBLANK(G124)))</formula>
    </cfRule>
  </conditionalFormatting>
  <conditionalFormatting sqref="G125">
    <cfRule type="expression" dxfId="0" priority="583">
      <formula>COUNTIF(I125:BG125,"&lt;&gt;" &amp; "")&gt;0</formula>
    </cfRule>
    <cfRule type="expression" dxfId="1" priority="584">
      <formula>AND(COUNTIF(I125:BG125,"&lt;&gt;" &amp; "")&gt;0,NOT(ISBLANK(G125)))</formula>
    </cfRule>
  </conditionalFormatting>
  <conditionalFormatting sqref="G126">
    <cfRule type="expression" dxfId="0" priority="586">
      <formula>COUNTIF(I126:BG126,"&lt;&gt;" &amp; "")&gt;0</formula>
    </cfRule>
    <cfRule type="expression" dxfId="1" priority="587">
      <formula>AND(COUNTIF(I126:BG126,"&lt;&gt;" &amp; "")&gt;0,NOT(ISBLANK(G126)))</formula>
    </cfRule>
  </conditionalFormatting>
  <conditionalFormatting sqref="G127">
    <cfRule type="expression" dxfId="0" priority="589">
      <formula>COUNTIF(I127:BG127,"&lt;&gt;" &amp; "")&gt;0</formula>
    </cfRule>
    <cfRule type="expression" dxfId="1" priority="590">
      <formula>AND(COUNTIF(I127:BG127,"&lt;&gt;" &amp; "")&gt;0,NOT(ISBLANK(G127)))</formula>
    </cfRule>
  </conditionalFormatting>
  <conditionalFormatting sqref="G128">
    <cfRule type="expression" dxfId="0" priority="592">
      <formula>COUNTIF(I128:BG128,"&lt;&gt;" &amp; "")&gt;0</formula>
    </cfRule>
    <cfRule type="expression" dxfId="1" priority="593">
      <formula>AND(COUNTIF(I128:BG128,"&lt;&gt;" &amp; "")&gt;0,NOT(ISBLANK(G128)))</formula>
    </cfRule>
  </conditionalFormatting>
  <conditionalFormatting sqref="G129">
    <cfRule type="expression" dxfId="0" priority="595">
      <formula>COUNTIF(I129:BG129,"&lt;&gt;" &amp; "")&gt;0</formula>
    </cfRule>
    <cfRule type="expression" dxfId="1" priority="596">
      <formula>AND(COUNTIF(I129:BG129,"&lt;&gt;" &amp; "")&gt;0,NOT(ISBLANK(G129)))</formula>
    </cfRule>
  </conditionalFormatting>
  <conditionalFormatting sqref="G13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G130">
    <cfRule type="expression" dxfId="0" priority="598">
      <formula>COUNTIF(I130:BG130,"&lt;&gt;" &amp; "")&gt;0</formula>
    </cfRule>
    <cfRule type="expression" dxfId="1" priority="599">
      <formula>AND(COUNTIF(I130:BG130,"&lt;&gt;" &amp; "")&gt;0,NOT(ISBLANK(G130)))</formula>
    </cfRule>
  </conditionalFormatting>
  <conditionalFormatting sqref="G131">
    <cfRule type="expression" dxfId="0" priority="601">
      <formula>COUNTIF(I131:BG131,"&lt;&gt;" &amp; "")&gt;0</formula>
    </cfRule>
    <cfRule type="expression" dxfId="1" priority="602">
      <formula>AND(COUNTIF(I131:BG131,"&lt;&gt;" &amp; "")&gt;0,NOT(ISBLANK(G131)))</formula>
    </cfRule>
  </conditionalFormatting>
  <conditionalFormatting sqref="G132">
    <cfRule type="expression" dxfId="0" priority="604">
      <formula>COUNTIF(I132:BG132,"&lt;&gt;" &amp; "")&gt;0</formula>
    </cfRule>
    <cfRule type="expression" dxfId="1" priority="605">
      <formula>AND(COUNTIF(I132:BG132,"&lt;&gt;" &amp; "")&gt;0,NOT(ISBLANK(G132)))</formula>
    </cfRule>
  </conditionalFormatting>
  <conditionalFormatting sqref="G133">
    <cfRule type="expression" dxfId="0" priority="607">
      <formula>COUNTIF(I133:BG133,"&lt;&gt;" &amp; "")&gt;0</formula>
    </cfRule>
    <cfRule type="expression" dxfId="1" priority="608">
      <formula>AND(COUNTIF(I133:BG133,"&lt;&gt;" &amp; "")&gt;0,NOT(ISBLANK(G133)))</formula>
    </cfRule>
  </conditionalFormatting>
  <conditionalFormatting sqref="G134">
    <cfRule type="expression" dxfId="0" priority="610">
      <formula>COUNTIF(I134:BG134,"&lt;&gt;" &amp; "")&gt;0</formula>
    </cfRule>
    <cfRule type="expression" dxfId="1" priority="611">
      <formula>AND(COUNTIF(I134:BG134,"&lt;&gt;" &amp; "")&gt;0,NOT(ISBLANK(G134)))</formula>
    </cfRule>
  </conditionalFormatting>
  <conditionalFormatting sqref="G135">
    <cfRule type="expression" dxfId="0" priority="613">
      <formula>COUNTIF(I135:BG135,"&lt;&gt;" &amp; "")&gt;0</formula>
    </cfRule>
    <cfRule type="expression" dxfId="1" priority="614">
      <formula>AND(COUNTIF(I135:BG135,"&lt;&gt;" &amp; "")&gt;0,NOT(ISBLANK(G135)))</formula>
    </cfRule>
  </conditionalFormatting>
  <conditionalFormatting sqref="G136">
    <cfRule type="expression" dxfId="0" priority="616">
      <formula>COUNTIF(I136:BG136,"&lt;&gt;" &amp; "")&gt;0</formula>
    </cfRule>
    <cfRule type="expression" dxfId="1" priority="617">
      <formula>AND(COUNTIF(I136:BG136,"&lt;&gt;" &amp; "")&gt;0,NOT(ISBLANK(G136)))</formula>
    </cfRule>
  </conditionalFormatting>
  <conditionalFormatting sqref="G137">
    <cfRule type="expression" dxfId="0" priority="619">
      <formula>COUNTIF(I137:BG137,"&lt;&gt;" &amp; "")&gt;0</formula>
    </cfRule>
    <cfRule type="expression" dxfId="1" priority="620">
      <formula>AND(COUNTIF(I137:BG137,"&lt;&gt;" &amp; "")&gt;0,NOT(ISBLANK(G137)))</formula>
    </cfRule>
  </conditionalFormatting>
  <conditionalFormatting sqref="G138">
    <cfRule type="expression" dxfId="0" priority="622">
      <formula>COUNTIF(I138:BG138,"&lt;&gt;" &amp; "")&gt;0</formula>
    </cfRule>
    <cfRule type="expression" dxfId="1" priority="623">
      <formula>AND(COUNTIF(I138:BG138,"&lt;&gt;" &amp; "")&gt;0,NOT(ISBLANK(G138)))</formula>
    </cfRule>
  </conditionalFormatting>
  <conditionalFormatting sqref="G139">
    <cfRule type="expression" dxfId="0" priority="625">
      <formula>COUNTIF(I139:BG139,"&lt;&gt;" &amp; "")&gt;0</formula>
    </cfRule>
    <cfRule type="expression" dxfId="1" priority="626">
      <formula>AND(COUNTIF(I139:BG139,"&lt;&gt;" &amp; "")&gt;0,NOT(ISBLANK(G139)))</formula>
    </cfRule>
  </conditionalFormatting>
  <conditionalFormatting sqref="G14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G140">
    <cfRule type="expression" dxfId="0" priority="628">
      <formula>COUNTIF(I140:BG140,"&lt;&gt;" &amp; "")&gt;0</formula>
    </cfRule>
    <cfRule type="expression" dxfId="1" priority="629">
      <formula>AND(COUNTIF(I140:BG140,"&lt;&gt;" &amp; "")&gt;0,NOT(ISBLANK(G140)))</formula>
    </cfRule>
  </conditionalFormatting>
  <conditionalFormatting sqref="G141">
    <cfRule type="expression" dxfId="0" priority="631">
      <formula>COUNTIF(I141:BG141,"&lt;&gt;" &amp; "")&gt;0</formula>
    </cfRule>
    <cfRule type="expression" dxfId="1" priority="632">
      <formula>AND(COUNTIF(I141:BG141,"&lt;&gt;" &amp; "")&gt;0,NOT(ISBLANK(G141)))</formula>
    </cfRule>
  </conditionalFormatting>
  <conditionalFormatting sqref="G142">
    <cfRule type="expression" dxfId="0" priority="634">
      <formula>COUNTIF(I142:BG142,"&lt;&gt;" &amp; "")&gt;0</formula>
    </cfRule>
    <cfRule type="expression" dxfId="1" priority="635">
      <formula>AND(COUNTIF(I142:BG142,"&lt;&gt;" &amp; "")&gt;0,NOT(ISBLANK(G142)))</formula>
    </cfRule>
  </conditionalFormatting>
  <conditionalFormatting sqref="G143">
    <cfRule type="expression" dxfId="0" priority="637">
      <formula>COUNTIF(I143:BG143,"&lt;&gt;" &amp; "")&gt;0</formula>
    </cfRule>
    <cfRule type="expression" dxfId="1" priority="638">
      <formula>AND(COUNTIF(I143:BG143,"&lt;&gt;" &amp; "")&gt;0,NOT(ISBLANK(G143)))</formula>
    </cfRule>
  </conditionalFormatting>
  <conditionalFormatting sqref="G144">
    <cfRule type="expression" dxfId="0" priority="640">
      <formula>COUNTIF(I144:BG144,"&lt;&gt;" &amp; "")&gt;0</formula>
    </cfRule>
    <cfRule type="expression" dxfId="1" priority="641">
      <formula>AND(COUNTIF(I144:BG144,"&lt;&gt;" &amp; "")&gt;0,NOT(ISBLANK(G144)))</formula>
    </cfRule>
  </conditionalFormatting>
  <conditionalFormatting sqref="G145">
    <cfRule type="expression" dxfId="0" priority="643">
      <formula>COUNTIF(I145:BG145,"&lt;&gt;" &amp; "")&gt;0</formula>
    </cfRule>
    <cfRule type="expression" dxfId="1" priority="644">
      <formula>AND(COUNTIF(I145:BG145,"&lt;&gt;" &amp; "")&gt;0,NOT(ISBLANK(G145)))</formula>
    </cfRule>
  </conditionalFormatting>
  <conditionalFormatting sqref="G146">
    <cfRule type="expression" dxfId="0" priority="646">
      <formula>COUNTIF(I146:BG146,"&lt;&gt;" &amp; "")&gt;0</formula>
    </cfRule>
    <cfRule type="expression" dxfId="1" priority="647">
      <formula>AND(COUNTIF(I146:BG146,"&lt;&gt;" &amp; "")&gt;0,NOT(ISBLANK(G146)))</formula>
    </cfRule>
  </conditionalFormatting>
  <conditionalFormatting sqref="G147">
    <cfRule type="expression" dxfId="0" priority="649">
      <formula>COUNTIF(I147:BG147,"&lt;&gt;" &amp; "")&gt;0</formula>
    </cfRule>
    <cfRule type="expression" dxfId="1" priority="650">
      <formula>AND(COUNTIF(I147:BG147,"&lt;&gt;" &amp; "")&gt;0,NOT(ISBLANK(G147)))</formula>
    </cfRule>
  </conditionalFormatting>
  <conditionalFormatting sqref="G148">
    <cfRule type="expression" dxfId="0" priority="652">
      <formula>COUNTIF(I148:BG148,"&lt;&gt;" &amp; "")&gt;0</formula>
    </cfRule>
    <cfRule type="expression" dxfId="1" priority="653">
      <formula>AND(COUNTIF(I148:BG148,"&lt;&gt;" &amp; "")&gt;0,NOT(ISBLANK(G148)))</formula>
    </cfRule>
  </conditionalFormatting>
  <conditionalFormatting sqref="G149">
    <cfRule type="expression" dxfId="0" priority="655">
      <formula>COUNTIF(I149:BG149,"&lt;&gt;" &amp; "")&gt;0</formula>
    </cfRule>
    <cfRule type="expression" dxfId="1" priority="656">
      <formula>AND(COUNTIF(I149:BG149,"&lt;&gt;" &amp; "")&gt;0,NOT(ISBLANK(G149)))</formula>
    </cfRule>
  </conditionalFormatting>
  <conditionalFormatting sqref="G15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G150">
    <cfRule type="expression" dxfId="0" priority="658">
      <formula>COUNTIF(I150:BG150,"&lt;&gt;" &amp; "")&gt;0</formula>
    </cfRule>
    <cfRule type="expression" dxfId="1" priority="659">
      <formula>AND(COUNTIF(I150:BG150,"&lt;&gt;" &amp; "")&gt;0,NOT(ISBLANK(G150)))</formula>
    </cfRule>
  </conditionalFormatting>
  <conditionalFormatting sqref="G151">
    <cfRule type="expression" dxfId="0" priority="661">
      <formula>COUNTIF(I151:BG151,"&lt;&gt;" &amp; "")&gt;0</formula>
    </cfRule>
    <cfRule type="expression" dxfId="1" priority="662">
      <formula>AND(COUNTIF(I151:BG151,"&lt;&gt;" &amp; "")&gt;0,NOT(ISBLANK(G151)))</formula>
    </cfRule>
  </conditionalFormatting>
  <conditionalFormatting sqref="G152">
    <cfRule type="expression" dxfId="0" priority="664">
      <formula>COUNTIF(I152:BG152,"&lt;&gt;" &amp; "")&gt;0</formula>
    </cfRule>
    <cfRule type="expression" dxfId="1" priority="665">
      <formula>AND(COUNTIF(I152:BG152,"&lt;&gt;" &amp; "")&gt;0,NOT(ISBLANK(G152)))</formula>
    </cfRule>
  </conditionalFormatting>
  <conditionalFormatting sqref="G153">
    <cfRule type="expression" dxfId="0" priority="667">
      <formula>COUNTIF(I153:BG153,"&lt;&gt;" &amp; "")&gt;0</formula>
    </cfRule>
    <cfRule type="expression" dxfId="1" priority="668">
      <formula>AND(COUNTIF(I153:BG153,"&lt;&gt;" &amp; "")&gt;0,NOT(ISBLANK(G153)))</formula>
    </cfRule>
  </conditionalFormatting>
  <conditionalFormatting sqref="G154">
    <cfRule type="expression" dxfId="0" priority="670">
      <formula>COUNTIF(I154:BG154,"&lt;&gt;" &amp; "")&gt;0</formula>
    </cfRule>
    <cfRule type="expression" dxfId="1" priority="671">
      <formula>AND(COUNTIF(I154:BG154,"&lt;&gt;" &amp; "")&gt;0,NOT(ISBLANK(G154)))</formula>
    </cfRule>
  </conditionalFormatting>
  <conditionalFormatting sqref="G155">
    <cfRule type="expression" dxfId="0" priority="673">
      <formula>COUNTIF(I155:BG155,"&lt;&gt;" &amp; "")&gt;0</formula>
    </cfRule>
    <cfRule type="expression" dxfId="1" priority="674">
      <formula>AND(COUNTIF(I155:BG155,"&lt;&gt;" &amp; "")&gt;0,NOT(ISBLANK(G155)))</formula>
    </cfRule>
  </conditionalFormatting>
  <conditionalFormatting sqref="G156">
    <cfRule type="expression" dxfId="0" priority="676">
      <formula>COUNTIF(I156:BG156,"&lt;&gt;" &amp; "")&gt;0</formula>
    </cfRule>
    <cfRule type="expression" dxfId="1" priority="677">
      <formula>AND(COUNTIF(I156:BG156,"&lt;&gt;" &amp; "")&gt;0,NOT(ISBLANK(G156)))</formula>
    </cfRule>
  </conditionalFormatting>
  <conditionalFormatting sqref="G157">
    <cfRule type="expression" dxfId="0" priority="679">
      <formula>COUNTIF(I157:BG157,"&lt;&gt;" &amp; "")&gt;0</formula>
    </cfRule>
    <cfRule type="expression" dxfId="1" priority="680">
      <formula>AND(COUNTIF(I157:BG157,"&lt;&gt;" &amp; "")&gt;0,NOT(ISBLANK(G157)))</formula>
    </cfRule>
  </conditionalFormatting>
  <conditionalFormatting sqref="G158">
    <cfRule type="expression" dxfId="0" priority="682">
      <formula>COUNTIF(I158:BG158,"&lt;&gt;" &amp; "")&gt;0</formula>
    </cfRule>
    <cfRule type="expression" dxfId="1" priority="683">
      <formula>AND(COUNTIF(I158:BG158,"&lt;&gt;" &amp; "")&gt;0,NOT(ISBLANK(G158)))</formula>
    </cfRule>
  </conditionalFormatting>
  <conditionalFormatting sqref="G159">
    <cfRule type="expression" dxfId="0" priority="685">
      <formula>COUNTIF(I159:BG159,"&lt;&gt;" &amp; "")&gt;0</formula>
    </cfRule>
    <cfRule type="expression" dxfId="1" priority="686">
      <formula>AND(COUNTIF(I159:BG159,"&lt;&gt;" &amp; "")&gt;0,NOT(ISBLANK(G159)))</formula>
    </cfRule>
  </conditionalFormatting>
  <conditionalFormatting sqref="G16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G160">
    <cfRule type="expression" dxfId="0" priority="688">
      <formula>COUNTIF(I160:BG160,"&lt;&gt;" &amp; "")&gt;0</formula>
    </cfRule>
    <cfRule type="expression" dxfId="1" priority="689">
      <formula>AND(COUNTIF(I160:BG160,"&lt;&gt;" &amp; "")&gt;0,NOT(ISBLANK(G160)))</formula>
    </cfRule>
  </conditionalFormatting>
  <conditionalFormatting sqref="G161">
    <cfRule type="expression" dxfId="0" priority="691">
      <formula>COUNTIF(I161:BG161,"&lt;&gt;" &amp; "")&gt;0</formula>
    </cfRule>
    <cfRule type="expression" dxfId="1" priority="692">
      <formula>AND(COUNTIF(I161:BG161,"&lt;&gt;" &amp; "")&gt;0,NOT(ISBLANK(G161)))</formula>
    </cfRule>
  </conditionalFormatting>
  <conditionalFormatting sqref="G162">
    <cfRule type="expression" dxfId="0" priority="694">
      <formula>COUNTIF(I162:BG162,"&lt;&gt;" &amp; "")&gt;0</formula>
    </cfRule>
    <cfRule type="expression" dxfId="1" priority="695">
      <formula>AND(COUNTIF(I162:BG162,"&lt;&gt;" &amp; "")&gt;0,NOT(ISBLANK(G162)))</formula>
    </cfRule>
  </conditionalFormatting>
  <conditionalFormatting sqref="G168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G169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G17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G17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G17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174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175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G176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G177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G178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G179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G182">
    <cfRule type="expression" dxfId="0" priority="961">
      <formula>COUNTIF(I182:BG182,"&lt;&gt;" &amp; "")&gt;0</formula>
    </cfRule>
    <cfRule type="expression" dxfId="1" priority="962">
      <formula>AND(COUNTIF(I182:BG182,"&lt;&gt;" &amp; "")&gt;0,NOT(ISBLANK(G182)))</formula>
    </cfRule>
  </conditionalFormatting>
  <conditionalFormatting sqref="G183">
    <cfRule type="expression" dxfId="0" priority="964">
      <formula>COUNTIF(I183:BG183,"&lt;&gt;" &amp; "")&gt;0</formula>
    </cfRule>
    <cfRule type="expression" dxfId="1" priority="965">
      <formula>AND(COUNTIF(I183:BG183,"&lt;&gt;" &amp; "")&gt;0,NOT(ISBLANK(G183)))</formula>
    </cfRule>
  </conditionalFormatting>
  <conditionalFormatting sqref="G184">
    <cfRule type="expression" dxfId="0" priority="967">
      <formula>COUNTIF(I184:BG184,"&lt;&gt;" &amp; "")&gt;0</formula>
    </cfRule>
    <cfRule type="expression" dxfId="1" priority="968">
      <formula>AND(COUNTIF(I184:BG184,"&lt;&gt;" &amp; "")&gt;0,NOT(ISBLANK(G184)))</formula>
    </cfRule>
  </conditionalFormatting>
  <conditionalFormatting sqref="G185">
    <cfRule type="expression" dxfId="0" priority="970">
      <formula>COUNTIF(I185:BG185,"&lt;&gt;" &amp; "")&gt;0</formula>
    </cfRule>
    <cfRule type="expression" dxfId="1" priority="971">
      <formula>AND(COUNTIF(I185:BG185,"&lt;&gt;" &amp; "")&gt;0,NOT(ISBLANK(G185)))</formula>
    </cfRule>
  </conditionalFormatting>
  <conditionalFormatting sqref="G186">
    <cfRule type="expression" dxfId="0" priority="973">
      <formula>COUNTIF(I186:BG186,"&lt;&gt;" &amp; "")&gt;0</formula>
    </cfRule>
    <cfRule type="expression" dxfId="1" priority="974">
      <formula>AND(COUNTIF(I186:BG186,"&lt;&gt;" &amp; "")&gt;0,NOT(ISBLANK(G186)))</formula>
    </cfRule>
  </conditionalFormatting>
  <conditionalFormatting sqref="G187">
    <cfRule type="expression" dxfId="0" priority="976">
      <formula>COUNTIF(I187:BG187,"&lt;&gt;" &amp; "")&gt;0</formula>
    </cfRule>
    <cfRule type="expression" dxfId="1" priority="977">
      <formula>AND(COUNTIF(I187:BG187,"&lt;&gt;" &amp; "")&gt;0,NOT(ISBLANK(G187)))</formula>
    </cfRule>
  </conditionalFormatting>
  <conditionalFormatting sqref="G188">
    <cfRule type="expression" dxfId="0" priority="979">
      <formula>COUNTIF(I188:BG188,"&lt;&gt;" &amp; "")&gt;0</formula>
    </cfRule>
    <cfRule type="expression" dxfId="1" priority="980">
      <formula>AND(COUNTIF(I188:BG188,"&lt;&gt;" &amp; "")&gt;0,NOT(ISBLANK(G188)))</formula>
    </cfRule>
  </conditionalFormatting>
  <conditionalFormatting sqref="G189">
    <cfRule type="expression" dxfId="0" priority="982">
      <formula>COUNTIF(I189:BG189,"&lt;&gt;" &amp; "")&gt;0</formula>
    </cfRule>
    <cfRule type="expression" dxfId="1" priority="983">
      <formula>AND(COUNTIF(I189:BG189,"&lt;&gt;" &amp; "")&gt;0,NOT(ISBLANK(G189)))</formula>
    </cfRule>
  </conditionalFormatting>
  <conditionalFormatting sqref="G19">
    <cfRule type="expression" dxfId="0" priority="265">
      <formula>COUNTIF(I19:BG19,"&lt;&gt;" &amp; "")&gt;0</formula>
    </cfRule>
    <cfRule type="expression" dxfId="1" priority="266">
      <formula>AND(COUNTIF(I19:BG19,"&lt;&gt;" &amp; "")&gt;0,NOT(ISBLANK(G19)))</formula>
    </cfRule>
  </conditionalFormatting>
  <conditionalFormatting sqref="G190">
    <cfRule type="expression" dxfId="0" priority="985">
      <formula>COUNTIF(I190:BG190,"&lt;&gt;" &amp; "")&gt;0</formula>
    </cfRule>
    <cfRule type="expression" dxfId="1" priority="986">
      <formula>AND(COUNTIF(I190:BG190,"&lt;&gt;" &amp; "")&gt;0,NOT(ISBLANK(G190)))</formula>
    </cfRule>
  </conditionalFormatting>
  <conditionalFormatting sqref="G191">
    <cfRule type="expression" dxfId="0" priority="988">
      <formula>COUNTIF(I191:BG191,"&lt;&gt;" &amp; "")&gt;0</formula>
    </cfRule>
    <cfRule type="expression" dxfId="1" priority="989">
      <formula>AND(COUNTIF(I191:BG191,"&lt;&gt;" &amp; "")&gt;0,NOT(ISBLANK(G191)))</formula>
    </cfRule>
  </conditionalFormatting>
  <conditionalFormatting sqref="G192">
    <cfRule type="expression" dxfId="0" priority="991">
      <formula>COUNTIF(I192:BG192,"&lt;&gt;" &amp; "")&gt;0</formula>
    </cfRule>
    <cfRule type="expression" dxfId="1" priority="992">
      <formula>AND(COUNTIF(I192:BG192,"&lt;&gt;" &amp; "")&gt;0,NOT(ISBLANK(G192)))</formula>
    </cfRule>
  </conditionalFormatting>
  <conditionalFormatting sqref="G193">
    <cfRule type="expression" dxfId="0" priority="994">
      <formula>COUNTIF(I193:BG193,"&lt;&gt;" &amp; "")&gt;0</formula>
    </cfRule>
    <cfRule type="expression" dxfId="1" priority="995">
      <formula>AND(COUNTIF(I193:BG193,"&lt;&gt;" &amp; "")&gt;0,NOT(ISBLANK(G193)))</formula>
    </cfRule>
  </conditionalFormatting>
  <conditionalFormatting sqref="G194">
    <cfRule type="expression" dxfId="0" priority="997">
      <formula>COUNTIF(I194:BG194,"&lt;&gt;" &amp; "")&gt;0</formula>
    </cfRule>
    <cfRule type="expression" dxfId="1" priority="998">
      <formula>AND(COUNTIF(I194:BG194,"&lt;&gt;" &amp; "")&gt;0,NOT(ISBLANK(G194)))</formula>
    </cfRule>
  </conditionalFormatting>
  <conditionalFormatting sqref="G195">
    <cfRule type="expression" dxfId="0" priority="1000">
      <formula>COUNTIF(I195:BG195,"&lt;&gt;" &amp; "")&gt;0</formula>
    </cfRule>
    <cfRule type="expression" dxfId="1" priority="1001">
      <formula>AND(COUNTIF(I195:BG195,"&lt;&gt;" &amp; "")&gt;0,NOT(ISBLANK(G195)))</formula>
    </cfRule>
  </conditionalFormatting>
  <conditionalFormatting sqref="G196">
    <cfRule type="expression" dxfId="0" priority="1003">
      <formula>COUNTIF(I196:BG196,"&lt;&gt;" &amp; "")&gt;0</formula>
    </cfRule>
    <cfRule type="expression" dxfId="1" priority="1004">
      <formula>AND(COUNTIF(I196:BG196,"&lt;&gt;" &amp; "")&gt;0,NOT(ISBLANK(G196)))</formula>
    </cfRule>
  </conditionalFormatting>
  <conditionalFormatting sqref="G197">
    <cfRule type="expression" dxfId="0" priority="1006">
      <formula>COUNTIF(I197:BG197,"&lt;&gt;" &amp; "")&gt;0</formula>
    </cfRule>
    <cfRule type="expression" dxfId="1" priority="1007">
      <formula>AND(COUNTIF(I197:BG197,"&lt;&gt;" &amp; "")&gt;0,NOT(ISBLANK(G197)))</formula>
    </cfRule>
  </conditionalFormatting>
  <conditionalFormatting sqref="G198">
    <cfRule type="expression" dxfId="0" priority="1009">
      <formula>COUNTIF(I198:BG198,"&lt;&gt;" &amp; "")&gt;0</formula>
    </cfRule>
    <cfRule type="expression" dxfId="1" priority="1010">
      <formula>AND(COUNTIF(I198:BG198,"&lt;&gt;" &amp; "")&gt;0,NOT(ISBLANK(G198)))</formula>
    </cfRule>
  </conditionalFormatting>
  <conditionalFormatting sqref="G199">
    <cfRule type="expression" dxfId="0" priority="1012">
      <formula>COUNTIF(I199:BG199,"&lt;&gt;" &amp; "")&gt;0</formula>
    </cfRule>
    <cfRule type="expression" dxfId="1" priority="1013">
      <formula>AND(COUNTIF(I199:BG199,"&lt;&gt;" &amp; "")&gt;0,NOT(ISBLANK(G199)))</formula>
    </cfRule>
  </conditionalFormatting>
  <conditionalFormatting sqref="G20">
    <cfRule type="expression" dxfId="0" priority="268">
      <formula>COUNTIF(I20:BG20,"&lt;&gt;" &amp; "")&gt;0</formula>
    </cfRule>
    <cfRule type="expression" dxfId="1" priority="269">
      <formula>AND(COUNTIF(I20:BG20,"&lt;&gt;" &amp; "")&gt;0,NOT(ISBLANK(G20)))</formula>
    </cfRule>
  </conditionalFormatting>
  <conditionalFormatting sqref="G200">
    <cfRule type="expression" dxfId="0" priority="1015">
      <formula>COUNTIF(I200:BG200,"&lt;&gt;" &amp; "")&gt;0</formula>
    </cfRule>
    <cfRule type="expression" dxfId="1" priority="1016">
      <formula>AND(COUNTIF(I200:BG200,"&lt;&gt;" &amp; "")&gt;0,NOT(ISBLANK(G200)))</formula>
    </cfRule>
  </conditionalFormatting>
  <conditionalFormatting sqref="G201">
    <cfRule type="expression" dxfId="0" priority="1018">
      <formula>COUNTIF(I201:BG201,"&lt;&gt;" &amp; "")&gt;0</formula>
    </cfRule>
    <cfRule type="expression" dxfId="1" priority="1019">
      <formula>AND(COUNTIF(I201:BG201,"&lt;&gt;" &amp; "")&gt;0,NOT(ISBLANK(G201)))</formula>
    </cfRule>
  </conditionalFormatting>
  <conditionalFormatting sqref="G202">
    <cfRule type="expression" dxfId="0" priority="1021">
      <formula>COUNTIF(I202:BG202,"&lt;&gt;" &amp; "")&gt;0</formula>
    </cfRule>
    <cfRule type="expression" dxfId="1" priority="1022">
      <formula>AND(COUNTIF(I202:BG202,"&lt;&gt;" &amp; "")&gt;0,NOT(ISBLANK(G202)))</formula>
    </cfRule>
  </conditionalFormatting>
  <conditionalFormatting sqref="G203">
    <cfRule type="expression" dxfId="0" priority="1024">
      <formula>COUNTIF(I203:BG203,"&lt;&gt;" &amp; "")&gt;0</formula>
    </cfRule>
    <cfRule type="expression" dxfId="1" priority="1025">
      <formula>AND(COUNTIF(I203:BG203,"&lt;&gt;" &amp; "")&gt;0,NOT(ISBLANK(G203)))</formula>
    </cfRule>
  </conditionalFormatting>
  <conditionalFormatting sqref="G204">
    <cfRule type="expression" dxfId="0" priority="1027">
      <formula>COUNTIF(I204:BG204,"&lt;&gt;" &amp; "")&gt;0</formula>
    </cfRule>
    <cfRule type="expression" dxfId="1" priority="1028">
      <formula>AND(COUNTIF(I204:BG204,"&lt;&gt;" &amp; "")&gt;0,NOT(ISBLANK(G204)))</formula>
    </cfRule>
  </conditionalFormatting>
  <conditionalFormatting sqref="G205">
    <cfRule type="expression" dxfId="0" priority="1030">
      <formula>COUNTIF(I205:BG205,"&lt;&gt;" &amp; "")&gt;0</formula>
    </cfRule>
    <cfRule type="expression" dxfId="1" priority="1031">
      <formula>AND(COUNTIF(I205:BG205,"&lt;&gt;" &amp; "")&gt;0,NOT(ISBLANK(G205)))</formula>
    </cfRule>
  </conditionalFormatting>
  <conditionalFormatting sqref="G206">
    <cfRule type="expression" dxfId="0" priority="1033">
      <formula>COUNTIF(I206:BG206,"&lt;&gt;" &amp; "")&gt;0</formula>
    </cfRule>
    <cfRule type="expression" dxfId="1" priority="1034">
      <formula>AND(COUNTIF(I206:BG206,"&lt;&gt;" &amp; "")&gt;0,NOT(ISBLANK(G206)))</formula>
    </cfRule>
  </conditionalFormatting>
  <conditionalFormatting sqref="G207">
    <cfRule type="expression" dxfId="0" priority="1036">
      <formula>COUNTIF(I207:BG207,"&lt;&gt;" &amp; "")&gt;0</formula>
    </cfRule>
    <cfRule type="expression" dxfId="1" priority="1037">
      <formula>AND(COUNTIF(I207:BG207,"&lt;&gt;" &amp; "")&gt;0,NOT(ISBLANK(G207)))</formula>
    </cfRule>
  </conditionalFormatting>
  <conditionalFormatting sqref="G208">
    <cfRule type="expression" dxfId="0" priority="1039">
      <formula>COUNTIF(I208:BG208,"&lt;&gt;" &amp; "")&gt;0</formula>
    </cfRule>
    <cfRule type="expression" dxfId="1" priority="1040">
      <formula>AND(COUNTIF(I208:BG208,"&lt;&gt;" &amp; "")&gt;0,NOT(ISBLANK(G208)))</formula>
    </cfRule>
  </conditionalFormatting>
  <conditionalFormatting sqref="G209">
    <cfRule type="expression" dxfId="0" priority="1042">
      <formula>COUNTIF(I209:BG209,"&lt;&gt;" &amp; "")&gt;0</formula>
    </cfRule>
    <cfRule type="expression" dxfId="1" priority="1043">
      <formula>AND(COUNTIF(I209:BG209,"&lt;&gt;" &amp; "")&gt;0,NOT(ISBLANK(G209)))</formula>
    </cfRule>
  </conditionalFormatting>
  <conditionalFormatting sqref="G21">
    <cfRule type="expression" dxfId="0" priority="271">
      <formula>COUNTIF(I21:BG21,"&lt;&gt;" &amp; "")&gt;0</formula>
    </cfRule>
    <cfRule type="expression" dxfId="1" priority="272">
      <formula>AND(COUNTIF(I21:BG21,"&lt;&gt;" &amp; "")&gt;0,NOT(ISBLANK(G21)))</formula>
    </cfRule>
  </conditionalFormatting>
  <conditionalFormatting sqref="G210">
    <cfRule type="expression" dxfId="0" priority="1045">
      <formula>COUNTIF(I210:BG210,"&lt;&gt;" &amp; "")&gt;0</formula>
    </cfRule>
    <cfRule type="expression" dxfId="1" priority="1046">
      <formula>AND(COUNTIF(I210:BG210,"&lt;&gt;" &amp; "")&gt;0,NOT(ISBLANK(G210)))</formula>
    </cfRule>
  </conditionalFormatting>
  <conditionalFormatting sqref="G211">
    <cfRule type="expression" dxfId="0" priority="1048">
      <formula>COUNTIF(I211:BG211,"&lt;&gt;" &amp; "")&gt;0</formula>
    </cfRule>
    <cfRule type="expression" dxfId="1" priority="1049">
      <formula>AND(COUNTIF(I211:BG211,"&lt;&gt;" &amp; "")&gt;0,NOT(ISBLANK(G211)))</formula>
    </cfRule>
  </conditionalFormatting>
  <conditionalFormatting sqref="G212">
    <cfRule type="expression" dxfId="0" priority="1051">
      <formula>COUNTIF(I212:BG212,"&lt;&gt;" &amp; "")&gt;0</formula>
    </cfRule>
    <cfRule type="expression" dxfId="1" priority="1052">
      <formula>AND(COUNTIF(I212:BG212,"&lt;&gt;" &amp; "")&gt;0,NOT(ISBLANK(G212)))</formula>
    </cfRule>
  </conditionalFormatting>
  <conditionalFormatting sqref="G213">
    <cfRule type="expression" dxfId="0" priority="1054">
      <formula>COUNTIF(I213:BG213,"&lt;&gt;" &amp; "")&gt;0</formula>
    </cfRule>
    <cfRule type="expression" dxfId="1" priority="1055">
      <formula>AND(COUNTIF(I213:BG213,"&lt;&gt;" &amp; "")&gt;0,NOT(ISBLANK(G213)))</formula>
    </cfRule>
  </conditionalFormatting>
  <conditionalFormatting sqref="G214">
    <cfRule type="expression" dxfId="0" priority="1057">
      <formula>COUNTIF(I214:BG214,"&lt;&gt;" &amp; "")&gt;0</formula>
    </cfRule>
    <cfRule type="expression" dxfId="1" priority="1058">
      <formula>AND(COUNTIF(I214:BG214,"&lt;&gt;" &amp; "")&gt;0,NOT(ISBLANK(G214)))</formula>
    </cfRule>
  </conditionalFormatting>
  <conditionalFormatting sqref="G215">
    <cfRule type="expression" dxfId="0" priority="1060">
      <formula>COUNTIF(I215:BG215,"&lt;&gt;" &amp; "")&gt;0</formula>
    </cfRule>
    <cfRule type="expression" dxfId="1" priority="1061">
      <formula>AND(COUNTIF(I215:BG215,"&lt;&gt;" &amp; "")&gt;0,NOT(ISBLANK(G215)))</formula>
    </cfRule>
  </conditionalFormatting>
  <conditionalFormatting sqref="G216">
    <cfRule type="expression" dxfId="0" priority="1063">
      <formula>COUNTIF(I216:BG216,"&lt;&gt;" &amp; "")&gt;0</formula>
    </cfRule>
    <cfRule type="expression" dxfId="1" priority="1064">
      <formula>AND(COUNTIF(I216:BG216,"&lt;&gt;" &amp; "")&gt;0,NOT(ISBLANK(G216)))</formula>
    </cfRule>
  </conditionalFormatting>
  <conditionalFormatting sqref="G217">
    <cfRule type="expression" dxfId="0" priority="1066">
      <formula>COUNTIF(I217:BG217,"&lt;&gt;" &amp; "")&gt;0</formula>
    </cfRule>
    <cfRule type="expression" dxfId="1" priority="1067">
      <formula>AND(COUNTIF(I217:BG217,"&lt;&gt;" &amp; "")&gt;0,NOT(ISBLANK(G217)))</formula>
    </cfRule>
  </conditionalFormatting>
  <conditionalFormatting sqref="G218">
    <cfRule type="expression" dxfId="0" priority="1069">
      <formula>COUNTIF(I218:BG218,"&lt;&gt;" &amp; "")&gt;0</formula>
    </cfRule>
    <cfRule type="expression" dxfId="1" priority="1070">
      <formula>AND(COUNTIF(I218:BG218,"&lt;&gt;" &amp; "")&gt;0,NOT(ISBLANK(G218)))</formula>
    </cfRule>
  </conditionalFormatting>
  <conditionalFormatting sqref="G219">
    <cfRule type="expression" dxfId="0" priority="1072">
      <formula>COUNTIF(I219:BG219,"&lt;&gt;" &amp; "")&gt;0</formula>
    </cfRule>
    <cfRule type="expression" dxfId="1" priority="1073">
      <formula>AND(COUNTIF(I219:BG219,"&lt;&gt;" &amp; "")&gt;0,NOT(ISBLANK(G219)))</formula>
    </cfRule>
  </conditionalFormatting>
  <conditionalFormatting sqref="G22">
    <cfRule type="expression" dxfId="0" priority="274">
      <formula>COUNTIF(I22:BG22,"&lt;&gt;" &amp; "")&gt;0</formula>
    </cfRule>
    <cfRule type="expression" dxfId="1" priority="275">
      <formula>AND(COUNTIF(I22:BG22,"&lt;&gt;" &amp; "")&gt;0,NOT(ISBLANK(G22)))</formula>
    </cfRule>
  </conditionalFormatting>
  <conditionalFormatting sqref="G220">
    <cfRule type="expression" dxfId="0" priority="1075">
      <formula>COUNTIF(I220:BG220,"&lt;&gt;" &amp; "")&gt;0</formula>
    </cfRule>
    <cfRule type="expression" dxfId="1" priority="1076">
      <formula>AND(COUNTIF(I220:BG220,"&lt;&gt;" &amp; "")&gt;0,NOT(ISBLANK(G220)))</formula>
    </cfRule>
  </conditionalFormatting>
  <conditionalFormatting sqref="G221">
    <cfRule type="expression" dxfId="0" priority="1078">
      <formula>COUNTIF(I221:BG221,"&lt;&gt;" &amp; "")&gt;0</formula>
    </cfRule>
    <cfRule type="expression" dxfId="1" priority="1079">
      <formula>AND(COUNTIF(I221:BG221,"&lt;&gt;" &amp; "")&gt;0,NOT(ISBLANK(G221)))</formula>
    </cfRule>
  </conditionalFormatting>
  <conditionalFormatting sqref="G222">
    <cfRule type="expression" dxfId="0" priority="1081">
      <formula>COUNTIF(I222:BG222,"&lt;&gt;" &amp; "")&gt;0</formula>
    </cfRule>
    <cfRule type="expression" dxfId="1" priority="1082">
      <formula>AND(COUNTIF(I222:BG222,"&lt;&gt;" &amp; "")&gt;0,NOT(ISBLANK(G222)))</formula>
    </cfRule>
  </conditionalFormatting>
  <conditionalFormatting sqref="G223">
    <cfRule type="expression" dxfId="0" priority="1084">
      <formula>COUNTIF(I223:BG223,"&lt;&gt;" &amp; "")&gt;0</formula>
    </cfRule>
    <cfRule type="expression" dxfId="1" priority="1085">
      <formula>AND(COUNTIF(I223:BG223,"&lt;&gt;" &amp; "")&gt;0,NOT(ISBLANK(G223)))</formula>
    </cfRule>
  </conditionalFormatting>
  <conditionalFormatting sqref="G224">
    <cfRule type="expression" dxfId="0" priority="1087">
      <formula>COUNTIF(I224:BG224,"&lt;&gt;" &amp; "")&gt;0</formula>
    </cfRule>
    <cfRule type="expression" dxfId="1" priority="1088">
      <formula>AND(COUNTIF(I224:BG224,"&lt;&gt;" &amp; "")&gt;0,NOT(ISBLANK(G224)))</formula>
    </cfRule>
  </conditionalFormatting>
  <conditionalFormatting sqref="G225">
    <cfRule type="expression" dxfId="0" priority="1090">
      <formula>COUNTIF(I225:BG225,"&lt;&gt;" &amp; "")&gt;0</formula>
    </cfRule>
    <cfRule type="expression" dxfId="1" priority="1091">
      <formula>AND(COUNTIF(I225:BG225,"&lt;&gt;" &amp; "")&gt;0,NOT(ISBLANK(G225)))</formula>
    </cfRule>
  </conditionalFormatting>
  <conditionalFormatting sqref="G226">
    <cfRule type="expression" dxfId="0" priority="1093">
      <formula>COUNTIF(I226:BG226,"&lt;&gt;" &amp; "")&gt;0</formula>
    </cfRule>
    <cfRule type="expression" dxfId="1" priority="1094">
      <formula>AND(COUNTIF(I226:BG226,"&lt;&gt;" &amp; "")&gt;0,NOT(ISBLANK(G226)))</formula>
    </cfRule>
  </conditionalFormatting>
  <conditionalFormatting sqref="G227">
    <cfRule type="expression" dxfId="0" priority="1096">
      <formula>COUNTIF(I227:BG227,"&lt;&gt;" &amp; "")&gt;0</formula>
    </cfRule>
    <cfRule type="expression" dxfId="1" priority="1097">
      <formula>AND(COUNTIF(I227:BG227,"&lt;&gt;" &amp; "")&gt;0,NOT(ISBLANK(G227)))</formula>
    </cfRule>
  </conditionalFormatting>
  <conditionalFormatting sqref="G228">
    <cfRule type="expression" dxfId="0" priority="1099">
      <formula>COUNTIF(I228:BG228,"&lt;&gt;" &amp; "")&gt;0</formula>
    </cfRule>
    <cfRule type="expression" dxfId="1" priority="1100">
      <formula>AND(COUNTIF(I228:BG228,"&lt;&gt;" &amp; "")&gt;0,NOT(ISBLANK(G228)))</formula>
    </cfRule>
  </conditionalFormatting>
  <conditionalFormatting sqref="G229">
    <cfRule type="expression" dxfId="0" priority="1102">
      <formula>COUNTIF(I229:BG229,"&lt;&gt;" &amp; "")&gt;0</formula>
    </cfRule>
    <cfRule type="expression" dxfId="1" priority="1103">
      <formula>AND(COUNTIF(I229:BG229,"&lt;&gt;" &amp; "")&gt;0,NOT(ISBLANK(G229)))</formula>
    </cfRule>
  </conditionalFormatting>
  <conditionalFormatting sqref="G23">
    <cfRule type="expression" dxfId="0" priority="277">
      <formula>COUNTIF(I23:BG23,"&lt;&gt;" &amp; "")&gt;0</formula>
    </cfRule>
    <cfRule type="expression" dxfId="1" priority="278">
      <formula>AND(COUNTIF(I23:BG23,"&lt;&gt;" &amp; "")&gt;0,NOT(ISBLANK(G23)))</formula>
    </cfRule>
  </conditionalFormatting>
  <conditionalFormatting sqref="G230">
    <cfRule type="expression" dxfId="0" priority="1105">
      <formula>COUNTIF(I230:BG230,"&lt;&gt;" &amp; "")&gt;0</formula>
    </cfRule>
    <cfRule type="expression" dxfId="1" priority="1106">
      <formula>AND(COUNTIF(I230:BG230,"&lt;&gt;" &amp; "")&gt;0,NOT(ISBLANK(G230)))</formula>
    </cfRule>
  </conditionalFormatting>
  <conditionalFormatting sqref="G231">
    <cfRule type="expression" dxfId="0" priority="1108">
      <formula>COUNTIF(I231:BG231,"&lt;&gt;" &amp; "")&gt;0</formula>
    </cfRule>
    <cfRule type="expression" dxfId="1" priority="1109">
      <formula>AND(COUNTIF(I231:BG231,"&lt;&gt;" &amp; "")&gt;0,NOT(ISBLANK(G231)))</formula>
    </cfRule>
  </conditionalFormatting>
  <conditionalFormatting sqref="G232">
    <cfRule type="expression" dxfId="0" priority="1111">
      <formula>COUNTIF(I232:BG232,"&lt;&gt;" &amp; "")&gt;0</formula>
    </cfRule>
    <cfRule type="expression" dxfId="1" priority="1112">
      <formula>AND(COUNTIF(I232:BG232,"&lt;&gt;" &amp; "")&gt;0,NOT(ISBLANK(G232)))</formula>
    </cfRule>
  </conditionalFormatting>
  <conditionalFormatting sqref="G233">
    <cfRule type="expression" dxfId="0" priority="1114">
      <formula>COUNTIF(I233:BG233,"&lt;&gt;" &amp; "")&gt;0</formula>
    </cfRule>
    <cfRule type="expression" dxfId="1" priority="1115">
      <formula>AND(COUNTIF(I233:BG233,"&lt;&gt;" &amp; "")&gt;0,NOT(ISBLANK(G233)))</formula>
    </cfRule>
  </conditionalFormatting>
  <conditionalFormatting sqref="G234">
    <cfRule type="expression" dxfId="0" priority="1117">
      <formula>COUNTIF(I234:BG234,"&lt;&gt;" &amp; "")&gt;0</formula>
    </cfRule>
    <cfRule type="expression" dxfId="1" priority="1118">
      <formula>AND(COUNTIF(I234:BG234,"&lt;&gt;" &amp; "")&gt;0,NOT(ISBLANK(G234)))</formula>
    </cfRule>
  </conditionalFormatting>
  <conditionalFormatting sqref="G235">
    <cfRule type="expression" dxfId="0" priority="1120">
      <formula>COUNTIF(I235:BG235,"&lt;&gt;" &amp; "")&gt;0</formula>
    </cfRule>
    <cfRule type="expression" dxfId="1" priority="1121">
      <formula>AND(COUNTIF(I235:BG235,"&lt;&gt;" &amp; "")&gt;0,NOT(ISBLANK(G235)))</formula>
    </cfRule>
  </conditionalFormatting>
  <conditionalFormatting sqref="G236">
    <cfRule type="expression" dxfId="0" priority="1123">
      <formula>COUNTIF(I236:BG236,"&lt;&gt;" &amp; "")&gt;0</formula>
    </cfRule>
    <cfRule type="expression" dxfId="1" priority="1124">
      <formula>AND(COUNTIF(I236:BG236,"&lt;&gt;" &amp; "")&gt;0,NOT(ISBLANK(G236)))</formula>
    </cfRule>
  </conditionalFormatting>
  <conditionalFormatting sqref="G237">
    <cfRule type="expression" dxfId="0" priority="1126">
      <formula>COUNTIF(I237:BG237,"&lt;&gt;" &amp; "")&gt;0</formula>
    </cfRule>
    <cfRule type="expression" dxfId="1" priority="1127">
      <formula>AND(COUNTIF(I237:BG237,"&lt;&gt;" &amp; "")&gt;0,NOT(ISBLANK(G237)))</formula>
    </cfRule>
  </conditionalFormatting>
  <conditionalFormatting sqref="G238">
    <cfRule type="expression" dxfId="0" priority="1129">
      <formula>COUNTIF(I238:BG238,"&lt;&gt;" &amp; "")&gt;0</formula>
    </cfRule>
    <cfRule type="expression" dxfId="1" priority="1130">
      <formula>AND(COUNTIF(I238:BG238,"&lt;&gt;" &amp; "")&gt;0,NOT(ISBLANK(G238)))</formula>
    </cfRule>
  </conditionalFormatting>
  <conditionalFormatting sqref="G239">
    <cfRule type="expression" dxfId="0" priority="1132">
      <formula>COUNTIF(I239:BG239,"&lt;&gt;" &amp; "")&gt;0</formula>
    </cfRule>
    <cfRule type="expression" dxfId="1" priority="1133">
      <formula>AND(COUNTIF(I239:BG239,"&lt;&gt;" &amp; "")&gt;0,NOT(ISBLANK(G239)))</formula>
    </cfRule>
  </conditionalFormatting>
  <conditionalFormatting sqref="G24">
    <cfRule type="expression" dxfId="0" priority="280">
      <formula>COUNTIF(I24:BG24,"&lt;&gt;" &amp; "")&gt;0</formula>
    </cfRule>
    <cfRule type="expression" dxfId="1" priority="281">
      <formula>AND(COUNTIF(I24:BG24,"&lt;&gt;" &amp; "")&gt;0,NOT(ISBLANK(G24)))</formula>
    </cfRule>
  </conditionalFormatting>
  <conditionalFormatting sqref="G240">
    <cfRule type="expression" dxfId="0" priority="1135">
      <formula>COUNTIF(I240:BG240,"&lt;&gt;" &amp; "")&gt;0</formula>
    </cfRule>
    <cfRule type="expression" dxfId="1" priority="1136">
      <formula>AND(COUNTIF(I240:BG240,"&lt;&gt;" &amp; "")&gt;0,NOT(ISBLANK(G240)))</formula>
    </cfRule>
  </conditionalFormatting>
  <conditionalFormatting sqref="G241">
    <cfRule type="expression" dxfId="0" priority="1138">
      <formula>COUNTIF(I241:BG241,"&lt;&gt;" &amp; "")&gt;0</formula>
    </cfRule>
    <cfRule type="expression" dxfId="1" priority="1139">
      <formula>AND(COUNTIF(I241:BG241,"&lt;&gt;" &amp; "")&gt;0,NOT(ISBLANK(G241)))</formula>
    </cfRule>
  </conditionalFormatting>
  <conditionalFormatting sqref="G242">
    <cfRule type="expression" dxfId="0" priority="1141">
      <formula>COUNTIF(I242:BG242,"&lt;&gt;" &amp; "")&gt;0</formula>
    </cfRule>
    <cfRule type="expression" dxfId="1" priority="1142">
      <formula>AND(COUNTIF(I242:BG242,"&lt;&gt;" &amp; "")&gt;0,NOT(ISBLANK(G242)))</formula>
    </cfRule>
  </conditionalFormatting>
  <conditionalFormatting sqref="G243">
    <cfRule type="expression" dxfId="0" priority="1144">
      <formula>COUNTIF(I243:BG243,"&lt;&gt;" &amp; "")&gt;0</formula>
    </cfRule>
    <cfRule type="expression" dxfId="1" priority="1145">
      <formula>AND(COUNTIF(I243:BG243,"&lt;&gt;" &amp; "")&gt;0,NOT(ISBLANK(G243)))</formula>
    </cfRule>
  </conditionalFormatting>
  <conditionalFormatting sqref="G244">
    <cfRule type="expression" dxfId="0" priority="1147">
      <formula>COUNTIF(I244:BG244,"&lt;&gt;" &amp; "")&gt;0</formula>
    </cfRule>
    <cfRule type="expression" dxfId="1" priority="1148">
      <formula>AND(COUNTIF(I244:BG244,"&lt;&gt;" &amp; "")&gt;0,NOT(ISBLANK(G244)))</formula>
    </cfRule>
  </conditionalFormatting>
  <conditionalFormatting sqref="G245">
    <cfRule type="expression" dxfId="0" priority="1150">
      <formula>COUNTIF(I245:BG245,"&lt;&gt;" &amp; "")&gt;0</formula>
    </cfRule>
    <cfRule type="expression" dxfId="1" priority="1151">
      <formula>AND(COUNTIF(I245:BG245,"&lt;&gt;" &amp; "")&gt;0,NOT(ISBLANK(G245)))</formula>
    </cfRule>
  </conditionalFormatting>
  <conditionalFormatting sqref="G246">
    <cfRule type="expression" dxfId="0" priority="1153">
      <formula>COUNTIF(I246:BG246,"&lt;&gt;" &amp; "")&gt;0</formula>
    </cfRule>
    <cfRule type="expression" dxfId="1" priority="1154">
      <formula>AND(COUNTIF(I246:BG246,"&lt;&gt;" &amp; "")&gt;0,NOT(ISBLANK(G246)))</formula>
    </cfRule>
  </conditionalFormatting>
  <conditionalFormatting sqref="G247">
    <cfRule type="expression" dxfId="0" priority="1156">
      <formula>COUNTIF(I247:BG247,"&lt;&gt;" &amp; "")&gt;0</formula>
    </cfRule>
    <cfRule type="expression" dxfId="1" priority="1157">
      <formula>AND(COUNTIF(I247:BG247,"&lt;&gt;" &amp; "")&gt;0,NOT(ISBLANK(G247)))</formula>
    </cfRule>
  </conditionalFormatting>
  <conditionalFormatting sqref="G248">
    <cfRule type="expression" dxfId="0" priority="1159">
      <formula>COUNTIF(I248:BG248,"&lt;&gt;" &amp; "")&gt;0</formula>
    </cfRule>
    <cfRule type="expression" dxfId="1" priority="1160">
      <formula>AND(COUNTIF(I248:BG248,"&lt;&gt;" &amp; "")&gt;0,NOT(ISBLANK(G248)))</formula>
    </cfRule>
  </conditionalFormatting>
  <conditionalFormatting sqref="G249">
    <cfRule type="expression" dxfId="0" priority="1162">
      <formula>COUNTIF(I249:BG249,"&lt;&gt;" &amp; "")&gt;0</formula>
    </cfRule>
    <cfRule type="expression" dxfId="1" priority="1163">
      <formula>AND(COUNTIF(I249:BG249,"&lt;&gt;" &amp; "")&gt;0,NOT(ISBLANK(G249)))</formula>
    </cfRule>
  </conditionalFormatting>
  <conditionalFormatting sqref="G25">
    <cfRule type="expression" dxfId="0" priority="283">
      <formula>COUNTIF(I25:BG25,"&lt;&gt;" &amp; "")&gt;0</formula>
    </cfRule>
    <cfRule type="expression" dxfId="1" priority="284">
      <formula>AND(COUNTIF(I25:BG25,"&lt;&gt;" &amp; "")&gt;0,NOT(ISBLANK(G25)))</formula>
    </cfRule>
  </conditionalFormatting>
  <conditionalFormatting sqref="G250">
    <cfRule type="expression" dxfId="0" priority="1165">
      <formula>COUNTIF(I250:BG250,"&lt;&gt;" &amp; "")&gt;0</formula>
    </cfRule>
    <cfRule type="expression" dxfId="1" priority="1166">
      <formula>AND(COUNTIF(I250:BG250,"&lt;&gt;" &amp; "")&gt;0,NOT(ISBLANK(G250)))</formula>
    </cfRule>
  </conditionalFormatting>
  <conditionalFormatting sqref="G251">
    <cfRule type="expression" dxfId="0" priority="1168">
      <formula>COUNTIF(I251:BG251,"&lt;&gt;" &amp; "")&gt;0</formula>
    </cfRule>
    <cfRule type="expression" dxfId="1" priority="1169">
      <formula>AND(COUNTIF(I251:BG251,"&lt;&gt;" &amp; "")&gt;0,NOT(ISBLANK(G251)))</formula>
    </cfRule>
  </conditionalFormatting>
  <conditionalFormatting sqref="G252">
    <cfRule type="expression" dxfId="0" priority="1171">
      <formula>COUNTIF(I252:BG252,"&lt;&gt;" &amp; "")&gt;0</formula>
    </cfRule>
    <cfRule type="expression" dxfId="1" priority="1172">
      <formula>AND(COUNTIF(I252:BG252,"&lt;&gt;" &amp; "")&gt;0,NOT(ISBLANK(G252)))</formula>
    </cfRule>
  </conditionalFormatting>
  <conditionalFormatting sqref="G253">
    <cfRule type="expression" dxfId="0" priority="1174">
      <formula>COUNTIF(I253:BG253,"&lt;&gt;" &amp; "")&gt;0</formula>
    </cfRule>
    <cfRule type="expression" dxfId="1" priority="1175">
      <formula>AND(COUNTIF(I253:BG253,"&lt;&gt;" &amp; "")&gt;0,NOT(ISBLANK(G253)))</formula>
    </cfRule>
  </conditionalFormatting>
  <conditionalFormatting sqref="G254">
    <cfRule type="expression" dxfId="0" priority="1177">
      <formula>COUNTIF(I254:BG254,"&lt;&gt;" &amp; "")&gt;0</formula>
    </cfRule>
    <cfRule type="expression" dxfId="1" priority="1178">
      <formula>AND(COUNTIF(I254:BG254,"&lt;&gt;" &amp; "")&gt;0,NOT(ISBLANK(G254)))</formula>
    </cfRule>
  </conditionalFormatting>
  <conditionalFormatting sqref="G255">
    <cfRule type="expression" dxfId="0" priority="1180">
      <formula>COUNTIF(I255:BG255,"&lt;&gt;" &amp; "")&gt;0</formula>
    </cfRule>
    <cfRule type="expression" dxfId="1" priority="1181">
      <formula>AND(COUNTIF(I255:BG255,"&lt;&gt;" &amp; "")&gt;0,NOT(ISBLANK(G255)))</formula>
    </cfRule>
  </conditionalFormatting>
  <conditionalFormatting sqref="G256">
    <cfRule type="expression" dxfId="0" priority="1183">
      <formula>COUNTIF(I256:BG256,"&lt;&gt;" &amp; "")&gt;0</formula>
    </cfRule>
    <cfRule type="expression" dxfId="1" priority="1184">
      <formula>AND(COUNTIF(I256:BG256,"&lt;&gt;" &amp; "")&gt;0,NOT(ISBLANK(G256)))</formula>
    </cfRule>
  </conditionalFormatting>
  <conditionalFormatting sqref="G257">
    <cfRule type="expression" dxfId="0" priority="1186">
      <formula>COUNTIF(I257:BG257,"&lt;&gt;" &amp; "")&gt;0</formula>
    </cfRule>
    <cfRule type="expression" dxfId="1" priority="1187">
      <formula>AND(COUNTIF(I257:BG257,"&lt;&gt;" &amp; "")&gt;0,NOT(ISBLANK(G257)))</formula>
    </cfRule>
  </conditionalFormatting>
  <conditionalFormatting sqref="G258">
    <cfRule type="expression" dxfId="0" priority="1189">
      <formula>COUNTIF(I258:BG258,"&lt;&gt;" &amp; "")&gt;0</formula>
    </cfRule>
    <cfRule type="expression" dxfId="1" priority="1190">
      <formula>AND(COUNTIF(I258:BG258,"&lt;&gt;" &amp; "")&gt;0,NOT(ISBLANK(G258)))</formula>
    </cfRule>
  </conditionalFormatting>
  <conditionalFormatting sqref="G259">
    <cfRule type="expression" dxfId="0" priority="1192">
      <formula>COUNTIF(I259:BG259,"&lt;&gt;" &amp; "")&gt;0</formula>
    </cfRule>
    <cfRule type="expression" dxfId="1" priority="1193">
      <formula>AND(COUNTIF(I259:BG259,"&lt;&gt;" &amp; "")&gt;0,NOT(ISBLANK(G259)))</formula>
    </cfRule>
  </conditionalFormatting>
  <conditionalFormatting sqref="G26">
    <cfRule type="expression" dxfId="0" priority="286">
      <formula>COUNTIF(I26:BG26,"&lt;&gt;" &amp; "")&gt;0</formula>
    </cfRule>
    <cfRule type="expression" dxfId="1" priority="287">
      <formula>AND(COUNTIF(I26:BG26,"&lt;&gt;" &amp; "")&gt;0,NOT(ISBLANK(G26)))</formula>
    </cfRule>
  </conditionalFormatting>
  <conditionalFormatting sqref="G260">
    <cfRule type="expression" dxfId="0" priority="1195">
      <formula>COUNTIF(I260:BG260,"&lt;&gt;" &amp; "")&gt;0</formula>
    </cfRule>
    <cfRule type="expression" dxfId="1" priority="1196">
      <formula>AND(COUNTIF(I260:BG260,"&lt;&gt;" &amp; "")&gt;0,NOT(ISBLANK(G260)))</formula>
    </cfRule>
  </conditionalFormatting>
  <conditionalFormatting sqref="G261">
    <cfRule type="expression" dxfId="0" priority="1198">
      <formula>COUNTIF(I261:BG261,"&lt;&gt;" &amp; "")&gt;0</formula>
    </cfRule>
    <cfRule type="expression" dxfId="1" priority="1199">
      <formula>AND(COUNTIF(I261:BG261,"&lt;&gt;" &amp; "")&gt;0,NOT(ISBLANK(G261)))</formula>
    </cfRule>
  </conditionalFormatting>
  <conditionalFormatting sqref="G262">
    <cfRule type="expression" dxfId="0" priority="1201">
      <formula>COUNTIF(I262:BG262,"&lt;&gt;" &amp; "")&gt;0</formula>
    </cfRule>
    <cfRule type="expression" dxfId="1" priority="1202">
      <formula>AND(COUNTIF(I262:BG262,"&lt;&gt;" &amp; "")&gt;0,NOT(ISBLANK(G262)))</formula>
    </cfRule>
  </conditionalFormatting>
  <conditionalFormatting sqref="G263">
    <cfRule type="expression" dxfId="0" priority="1204">
      <formula>COUNTIF(I263:BG263,"&lt;&gt;" &amp; "")&gt;0</formula>
    </cfRule>
    <cfRule type="expression" dxfId="1" priority="1205">
      <formula>AND(COUNTIF(I263:BG263,"&lt;&gt;" &amp; "")&gt;0,NOT(ISBLANK(G263)))</formula>
    </cfRule>
  </conditionalFormatting>
  <conditionalFormatting sqref="G264">
    <cfRule type="expression" dxfId="0" priority="1207">
      <formula>COUNTIF(I264:BG264,"&lt;&gt;" &amp; "")&gt;0</formula>
    </cfRule>
    <cfRule type="expression" dxfId="1" priority="1208">
      <formula>AND(COUNTIF(I264:BG264,"&lt;&gt;" &amp; "")&gt;0,NOT(ISBLANK(G264)))</formula>
    </cfRule>
  </conditionalFormatting>
  <conditionalFormatting sqref="G265">
    <cfRule type="expression" dxfId="0" priority="1210">
      <formula>COUNTIF(I265:BG265,"&lt;&gt;" &amp; "")&gt;0</formula>
    </cfRule>
    <cfRule type="expression" dxfId="1" priority="1211">
      <formula>AND(COUNTIF(I265:BG265,"&lt;&gt;" &amp; "")&gt;0,NOT(ISBLANK(G265)))</formula>
    </cfRule>
  </conditionalFormatting>
  <conditionalFormatting sqref="G266">
    <cfRule type="expression" dxfId="0" priority="1213">
      <formula>COUNTIF(I266:BG266,"&lt;&gt;" &amp; "")&gt;0</formula>
    </cfRule>
    <cfRule type="expression" dxfId="1" priority="1214">
      <formula>AND(COUNTIF(I266:BG266,"&lt;&gt;" &amp; "")&gt;0,NOT(ISBLANK(G266)))</formula>
    </cfRule>
  </conditionalFormatting>
  <conditionalFormatting sqref="G267">
    <cfRule type="expression" dxfId="0" priority="1216">
      <formula>COUNTIF(I267:BG267,"&lt;&gt;" &amp; "")&gt;0</formula>
    </cfRule>
    <cfRule type="expression" dxfId="1" priority="1217">
      <formula>AND(COUNTIF(I267:BG267,"&lt;&gt;" &amp; "")&gt;0,NOT(ISBLANK(G267)))</formula>
    </cfRule>
  </conditionalFormatting>
  <conditionalFormatting sqref="G268">
    <cfRule type="expression" dxfId="0" priority="1219">
      <formula>COUNTIF(I268:BG268,"&lt;&gt;" &amp; "")&gt;0</formula>
    </cfRule>
    <cfRule type="expression" dxfId="1" priority="1220">
      <formula>AND(COUNTIF(I268:BG268,"&lt;&gt;" &amp; "")&gt;0,NOT(ISBLANK(G268)))</formula>
    </cfRule>
  </conditionalFormatting>
  <conditionalFormatting sqref="G269">
    <cfRule type="expression" dxfId="0" priority="1222">
      <formula>COUNTIF(I269:BG269,"&lt;&gt;" &amp; "")&gt;0</formula>
    </cfRule>
    <cfRule type="expression" dxfId="1" priority="1223">
      <formula>AND(COUNTIF(I269:BG269,"&lt;&gt;" &amp; "")&gt;0,NOT(ISBLANK(G269)))</formula>
    </cfRule>
  </conditionalFormatting>
  <conditionalFormatting sqref="G27">
    <cfRule type="expression" dxfId="0" priority="289">
      <formula>COUNTIF(I27:BG27,"&lt;&gt;" &amp; "")&gt;0</formula>
    </cfRule>
    <cfRule type="expression" dxfId="1" priority="290">
      <formula>AND(COUNTIF(I27:BG27,"&lt;&gt;" &amp; "")&gt;0,NOT(ISBLANK(G27)))</formula>
    </cfRule>
  </conditionalFormatting>
  <conditionalFormatting sqref="G270">
    <cfRule type="expression" dxfId="0" priority="1225">
      <formula>COUNTIF(I270:BG270,"&lt;&gt;" &amp; "")&gt;0</formula>
    </cfRule>
    <cfRule type="expression" dxfId="1" priority="1226">
      <formula>AND(COUNTIF(I270:BG270,"&lt;&gt;" &amp; "")&gt;0,NOT(ISBLANK(G270)))</formula>
    </cfRule>
  </conditionalFormatting>
  <conditionalFormatting sqref="G271">
    <cfRule type="expression" dxfId="0" priority="1228">
      <formula>COUNTIF(I271:BG271,"&lt;&gt;" &amp; "")&gt;0</formula>
    </cfRule>
    <cfRule type="expression" dxfId="1" priority="1229">
      <formula>AND(COUNTIF(I271:BG271,"&lt;&gt;" &amp; "")&gt;0,NOT(ISBLANK(G271)))</formula>
    </cfRule>
  </conditionalFormatting>
  <conditionalFormatting sqref="G272">
    <cfRule type="expression" dxfId="0" priority="1231">
      <formula>COUNTIF(I272:BG272,"&lt;&gt;" &amp; "")&gt;0</formula>
    </cfRule>
    <cfRule type="expression" dxfId="1" priority="1232">
      <formula>AND(COUNTIF(I272:BG272,"&lt;&gt;" &amp; "")&gt;0,NOT(ISBLANK(G272)))</formula>
    </cfRule>
  </conditionalFormatting>
  <conditionalFormatting sqref="G273">
    <cfRule type="expression" dxfId="0" priority="1234">
      <formula>COUNTIF(I273:BG273,"&lt;&gt;" &amp; "")&gt;0</formula>
    </cfRule>
    <cfRule type="expression" dxfId="1" priority="1235">
      <formula>AND(COUNTIF(I273:BG273,"&lt;&gt;" &amp; "")&gt;0,NOT(ISBLANK(G273)))</formula>
    </cfRule>
  </conditionalFormatting>
  <conditionalFormatting sqref="G274">
    <cfRule type="expression" dxfId="0" priority="1237">
      <formula>COUNTIF(I274:BG274,"&lt;&gt;" &amp; "")&gt;0</formula>
    </cfRule>
    <cfRule type="expression" dxfId="1" priority="1238">
      <formula>AND(COUNTIF(I274:BG274,"&lt;&gt;" &amp; "")&gt;0,NOT(ISBLANK(G274)))</formula>
    </cfRule>
  </conditionalFormatting>
  <conditionalFormatting sqref="G275">
    <cfRule type="expression" dxfId="0" priority="1240">
      <formula>COUNTIF(I275:BG275,"&lt;&gt;" &amp; "")&gt;0</formula>
    </cfRule>
    <cfRule type="expression" dxfId="1" priority="1241">
      <formula>AND(COUNTIF(I275:BG275,"&lt;&gt;" &amp; "")&gt;0,NOT(ISBLANK(G275)))</formula>
    </cfRule>
  </conditionalFormatting>
  <conditionalFormatting sqref="G276">
    <cfRule type="expression" dxfId="0" priority="1243">
      <formula>COUNTIF(I276:BG276,"&lt;&gt;" &amp; "")&gt;0</formula>
    </cfRule>
    <cfRule type="expression" dxfId="1" priority="1244">
      <formula>AND(COUNTIF(I276:BG276,"&lt;&gt;" &amp; "")&gt;0,NOT(ISBLANK(G276)))</formula>
    </cfRule>
  </conditionalFormatting>
  <conditionalFormatting sqref="G277">
    <cfRule type="expression" dxfId="0" priority="1246">
      <formula>COUNTIF(I277:BG277,"&lt;&gt;" &amp; "")&gt;0</formula>
    </cfRule>
    <cfRule type="expression" dxfId="1" priority="1247">
      <formula>AND(COUNTIF(I277:BG277,"&lt;&gt;" &amp; "")&gt;0,NOT(ISBLANK(G277)))</formula>
    </cfRule>
  </conditionalFormatting>
  <conditionalFormatting sqref="G278">
    <cfRule type="expression" dxfId="0" priority="1249">
      <formula>COUNTIF(I278:BG278,"&lt;&gt;" &amp; "")&gt;0</formula>
    </cfRule>
    <cfRule type="expression" dxfId="1" priority="1250">
      <formula>AND(COUNTIF(I278:BG278,"&lt;&gt;" &amp; "")&gt;0,NOT(ISBLANK(G278)))</formula>
    </cfRule>
  </conditionalFormatting>
  <conditionalFormatting sqref="G279">
    <cfRule type="expression" dxfId="0" priority="1252">
      <formula>COUNTIF(I279:BG279,"&lt;&gt;" &amp; "")&gt;0</formula>
    </cfRule>
    <cfRule type="expression" dxfId="1" priority="1253">
      <formula>AND(COUNTIF(I279:BG279,"&lt;&gt;" &amp; "")&gt;0,NOT(ISBLANK(G279)))</formula>
    </cfRule>
  </conditionalFormatting>
  <conditionalFormatting sqref="G28">
    <cfRule type="expression" dxfId="0" priority="292">
      <formula>COUNTIF(I28:BG28,"&lt;&gt;" &amp; "")&gt;0</formula>
    </cfRule>
    <cfRule type="expression" dxfId="1" priority="293">
      <formula>AND(COUNTIF(I28:BG28,"&lt;&gt;" &amp; "")&gt;0,NOT(ISBLANK(G28)))</formula>
    </cfRule>
  </conditionalFormatting>
  <conditionalFormatting sqref="G280">
    <cfRule type="expression" dxfId="0" priority="1255">
      <formula>COUNTIF(I280:BG280,"&lt;&gt;" &amp; "")&gt;0</formula>
    </cfRule>
    <cfRule type="expression" dxfId="1" priority="1256">
      <formula>AND(COUNTIF(I280:BG280,"&lt;&gt;" &amp; "")&gt;0,NOT(ISBLANK(G280)))</formula>
    </cfRule>
  </conditionalFormatting>
  <conditionalFormatting sqref="G281">
    <cfRule type="expression" dxfId="0" priority="1258">
      <formula>COUNTIF(I281:BG281,"&lt;&gt;" &amp; "")&gt;0</formula>
    </cfRule>
    <cfRule type="expression" dxfId="1" priority="1259">
      <formula>AND(COUNTIF(I281:BG281,"&lt;&gt;" &amp; "")&gt;0,NOT(ISBLANK(G281)))</formula>
    </cfRule>
  </conditionalFormatting>
  <conditionalFormatting sqref="G282">
    <cfRule type="expression" dxfId="0" priority="1261">
      <formula>COUNTIF(I282:BG282,"&lt;&gt;" &amp; "")&gt;0</formula>
    </cfRule>
    <cfRule type="expression" dxfId="1" priority="1262">
      <formula>AND(COUNTIF(I282:BG282,"&lt;&gt;" &amp; "")&gt;0,NOT(ISBLANK(G282)))</formula>
    </cfRule>
  </conditionalFormatting>
  <conditionalFormatting sqref="G283">
    <cfRule type="expression" dxfId="0" priority="1264">
      <formula>COUNTIF(I283:BG283,"&lt;&gt;" &amp; "")&gt;0</formula>
    </cfRule>
    <cfRule type="expression" dxfId="1" priority="1265">
      <formula>AND(COUNTIF(I283:BG283,"&lt;&gt;" &amp; "")&gt;0,NOT(ISBLANK(G283)))</formula>
    </cfRule>
  </conditionalFormatting>
  <conditionalFormatting sqref="G284">
    <cfRule type="expression" dxfId="0" priority="1267">
      <formula>COUNTIF(I284:BG284,"&lt;&gt;" &amp; "")&gt;0</formula>
    </cfRule>
    <cfRule type="expression" dxfId="1" priority="1268">
      <formula>AND(COUNTIF(I284:BG284,"&lt;&gt;" &amp; "")&gt;0,NOT(ISBLANK(G284)))</formula>
    </cfRule>
  </conditionalFormatting>
  <conditionalFormatting sqref="G285">
    <cfRule type="expression" dxfId="0" priority="1270">
      <formula>COUNTIF(I285:BG285,"&lt;&gt;" &amp; "")&gt;0</formula>
    </cfRule>
    <cfRule type="expression" dxfId="1" priority="1271">
      <formula>AND(COUNTIF(I285:BG285,"&lt;&gt;" &amp; "")&gt;0,NOT(ISBLANK(G285)))</formula>
    </cfRule>
  </conditionalFormatting>
  <conditionalFormatting sqref="G286">
    <cfRule type="expression" dxfId="0" priority="1273">
      <formula>COUNTIF(I286:BG286,"&lt;&gt;" &amp; "")&gt;0</formula>
    </cfRule>
    <cfRule type="expression" dxfId="1" priority="1274">
      <formula>AND(COUNTIF(I286:BG286,"&lt;&gt;" &amp; "")&gt;0,NOT(ISBLANK(G286)))</formula>
    </cfRule>
  </conditionalFormatting>
  <conditionalFormatting sqref="G287">
    <cfRule type="expression" dxfId="0" priority="1276">
      <formula>COUNTIF(I287:BG287,"&lt;&gt;" &amp; "")&gt;0</formula>
    </cfRule>
    <cfRule type="expression" dxfId="1" priority="1277">
      <formula>AND(COUNTIF(I287:BG287,"&lt;&gt;" &amp; "")&gt;0,NOT(ISBLANK(G287)))</formula>
    </cfRule>
  </conditionalFormatting>
  <conditionalFormatting sqref="G288">
    <cfRule type="expression" dxfId="0" priority="1279">
      <formula>COUNTIF(I288:BG288,"&lt;&gt;" &amp; "")&gt;0</formula>
    </cfRule>
    <cfRule type="expression" dxfId="1" priority="1280">
      <formula>AND(COUNTIF(I288:BG288,"&lt;&gt;" &amp; "")&gt;0,NOT(ISBLANK(G288)))</formula>
    </cfRule>
  </conditionalFormatting>
  <conditionalFormatting sqref="G289">
    <cfRule type="expression" dxfId="0" priority="1282">
      <formula>COUNTIF(I289:BG289,"&lt;&gt;" &amp; "")&gt;0</formula>
    </cfRule>
    <cfRule type="expression" dxfId="1" priority="1283">
      <formula>AND(COUNTIF(I289:BG289,"&lt;&gt;" &amp; "")&gt;0,NOT(ISBLANK(G289)))</formula>
    </cfRule>
  </conditionalFormatting>
  <conditionalFormatting sqref="G29">
    <cfRule type="expression" dxfId="0" priority="295">
      <formula>COUNTIF(I29:BG29,"&lt;&gt;" &amp; "")&gt;0</formula>
    </cfRule>
    <cfRule type="expression" dxfId="1" priority="296">
      <formula>AND(COUNTIF(I29:BG29,"&lt;&gt;" &amp; "")&gt;0,NOT(ISBLANK(G29)))</formula>
    </cfRule>
  </conditionalFormatting>
  <conditionalFormatting sqref="G290">
    <cfRule type="expression" dxfId="0" priority="1285">
      <formula>COUNTIF(I290:BG290,"&lt;&gt;" &amp; "")&gt;0</formula>
    </cfRule>
    <cfRule type="expression" dxfId="1" priority="1286">
      <formula>AND(COUNTIF(I290:BG290,"&lt;&gt;" &amp; "")&gt;0,NOT(ISBLANK(G290)))</formula>
    </cfRule>
  </conditionalFormatting>
  <conditionalFormatting sqref="G291">
    <cfRule type="expression" dxfId="0" priority="1288">
      <formula>COUNTIF(I291:BG291,"&lt;&gt;" &amp; "")&gt;0</formula>
    </cfRule>
    <cfRule type="expression" dxfId="1" priority="1289">
      <formula>AND(COUNTIF(I291:BG291,"&lt;&gt;" &amp; "")&gt;0,NOT(ISBLANK(G291)))</formula>
    </cfRule>
  </conditionalFormatting>
  <conditionalFormatting sqref="G292">
    <cfRule type="expression" dxfId="0" priority="1291">
      <formula>COUNTIF(I292:BG292,"&lt;&gt;" &amp; "")&gt;0</formula>
    </cfRule>
    <cfRule type="expression" dxfId="1" priority="1292">
      <formula>AND(COUNTIF(I292:BG292,"&lt;&gt;" &amp; "")&gt;0,NOT(ISBLANK(G292)))</formula>
    </cfRule>
  </conditionalFormatting>
  <conditionalFormatting sqref="G293">
    <cfRule type="expression" dxfId="0" priority="1294">
      <formula>COUNTIF(I293:BG293,"&lt;&gt;" &amp; "")&gt;0</formula>
    </cfRule>
    <cfRule type="expression" dxfId="1" priority="1295">
      <formula>AND(COUNTIF(I293:BG293,"&lt;&gt;" &amp; "")&gt;0,NOT(ISBLANK(G293)))</formula>
    </cfRule>
  </conditionalFormatting>
  <conditionalFormatting sqref="G294">
    <cfRule type="expression" dxfId="0" priority="1297">
      <formula>COUNTIF(I294:BG294,"&lt;&gt;" &amp; "")&gt;0</formula>
    </cfRule>
    <cfRule type="expression" dxfId="1" priority="1298">
      <formula>AND(COUNTIF(I294:BG294,"&lt;&gt;" &amp; "")&gt;0,NOT(ISBLANK(G294)))</formula>
    </cfRule>
  </conditionalFormatting>
  <conditionalFormatting sqref="G295">
    <cfRule type="expression" dxfId="0" priority="1300">
      <formula>COUNTIF(I295:BG295,"&lt;&gt;" &amp; "")&gt;0</formula>
    </cfRule>
    <cfRule type="expression" dxfId="1" priority="1301">
      <formula>AND(COUNTIF(I295:BG295,"&lt;&gt;" &amp; "")&gt;0,NOT(ISBLANK(G295)))</formula>
    </cfRule>
  </conditionalFormatting>
  <conditionalFormatting sqref="G296">
    <cfRule type="expression" dxfId="0" priority="1303">
      <formula>COUNTIF(I296:BG296,"&lt;&gt;" &amp; "")&gt;0</formula>
    </cfRule>
    <cfRule type="expression" dxfId="1" priority="1304">
      <formula>AND(COUNTIF(I296:BG296,"&lt;&gt;" &amp; "")&gt;0,NOT(ISBLANK(G296)))</formula>
    </cfRule>
  </conditionalFormatting>
  <conditionalFormatting sqref="G297">
    <cfRule type="expression" dxfId="0" priority="1306">
      <formula>COUNTIF(I297:BG297,"&lt;&gt;" &amp; "")&gt;0</formula>
    </cfRule>
    <cfRule type="expression" dxfId="1" priority="1307">
      <formula>AND(COUNTIF(I297:BG297,"&lt;&gt;" &amp; "")&gt;0,NOT(ISBLANK(G297)))</formula>
    </cfRule>
  </conditionalFormatting>
  <conditionalFormatting sqref="G298">
    <cfRule type="expression" dxfId="0" priority="1309">
      <formula>COUNTIF(I298:BG298,"&lt;&gt;" &amp; "")&gt;0</formula>
    </cfRule>
    <cfRule type="expression" dxfId="1" priority="1310">
      <formula>AND(COUNTIF(I298:BG298,"&lt;&gt;" &amp; "")&gt;0,NOT(ISBLANK(G298)))</formula>
    </cfRule>
  </conditionalFormatting>
  <conditionalFormatting sqref="G299">
    <cfRule type="expression" dxfId="0" priority="1312">
      <formula>COUNTIF(I299:BG299,"&lt;&gt;" &amp; "")&gt;0</formula>
    </cfRule>
    <cfRule type="expression" dxfId="1" priority="1313">
      <formula>AND(COUNTIF(I299:BG299,"&lt;&gt;" &amp; "")&gt;0,NOT(ISBLANK(G299)))</formula>
    </cfRule>
  </conditionalFormatting>
  <conditionalFormatting sqref="G30">
    <cfRule type="expression" dxfId="0" priority="298">
      <formula>COUNTIF(I30:BG30,"&lt;&gt;" &amp; "")&gt;0</formula>
    </cfRule>
    <cfRule type="expression" dxfId="1" priority="299">
      <formula>AND(COUNTIF(I30:BG30,"&lt;&gt;" &amp; "")&gt;0,NOT(ISBLANK(G30)))</formula>
    </cfRule>
  </conditionalFormatting>
  <conditionalFormatting sqref="G300">
    <cfRule type="expression" dxfId="0" priority="1315">
      <formula>COUNTIF(I300:BG300,"&lt;&gt;" &amp; "")&gt;0</formula>
    </cfRule>
    <cfRule type="expression" dxfId="1" priority="1316">
      <formula>AND(COUNTIF(I300:BG300,"&lt;&gt;" &amp; "")&gt;0,NOT(ISBLANK(G300)))</formula>
    </cfRule>
  </conditionalFormatting>
  <conditionalFormatting sqref="G301">
    <cfRule type="expression" dxfId="0" priority="1318">
      <formula>COUNTIF(I301:BG301,"&lt;&gt;" &amp; "")&gt;0</formula>
    </cfRule>
    <cfRule type="expression" dxfId="1" priority="1319">
      <formula>AND(COUNTIF(I301:BG301,"&lt;&gt;" &amp; "")&gt;0,NOT(ISBLANK(G301)))</formula>
    </cfRule>
  </conditionalFormatting>
  <conditionalFormatting sqref="G302">
    <cfRule type="expression" dxfId="0" priority="1321">
      <formula>COUNTIF(I302:BG302,"&lt;&gt;" &amp; "")&gt;0</formula>
    </cfRule>
    <cfRule type="expression" dxfId="1" priority="1322">
      <formula>AND(COUNTIF(I302:BG302,"&lt;&gt;" &amp; "")&gt;0,NOT(ISBLANK(G302)))</formula>
    </cfRule>
  </conditionalFormatting>
  <conditionalFormatting sqref="G303">
    <cfRule type="expression" dxfId="0" priority="1324">
      <formula>COUNTIF(I303:BG303,"&lt;&gt;" &amp; "")&gt;0</formula>
    </cfRule>
    <cfRule type="expression" dxfId="1" priority="1325">
      <formula>AND(COUNTIF(I303:BG303,"&lt;&gt;" &amp; "")&gt;0,NOT(ISBLANK(G303)))</formula>
    </cfRule>
  </conditionalFormatting>
  <conditionalFormatting sqref="G304">
    <cfRule type="expression" dxfId="0" priority="1327">
      <formula>COUNTIF(I304:BG304,"&lt;&gt;" &amp; "")&gt;0</formula>
    </cfRule>
    <cfRule type="expression" dxfId="1" priority="1328">
      <formula>AND(COUNTIF(I304:BG304,"&lt;&gt;" &amp; "")&gt;0,NOT(ISBLANK(G304)))</formula>
    </cfRule>
  </conditionalFormatting>
  <conditionalFormatting sqref="G305">
    <cfRule type="expression" dxfId="0" priority="1330">
      <formula>COUNTIF(I305:BG305,"&lt;&gt;" &amp; "")&gt;0</formula>
    </cfRule>
    <cfRule type="expression" dxfId="1" priority="1331">
      <formula>AND(COUNTIF(I305:BG305,"&lt;&gt;" &amp; "")&gt;0,NOT(ISBLANK(G305)))</formula>
    </cfRule>
  </conditionalFormatting>
  <conditionalFormatting sqref="G306">
    <cfRule type="expression" dxfId="0" priority="1333">
      <formula>COUNTIF(I306:BG306,"&lt;&gt;" &amp; "")&gt;0</formula>
    </cfRule>
    <cfRule type="expression" dxfId="1" priority="1334">
      <formula>AND(COUNTIF(I306:BG306,"&lt;&gt;" &amp; "")&gt;0,NOT(ISBLANK(G306)))</formula>
    </cfRule>
  </conditionalFormatting>
  <conditionalFormatting sqref="G307">
    <cfRule type="expression" dxfId="0" priority="1336">
      <formula>COUNTIF(I307:BG307,"&lt;&gt;" &amp; "")&gt;0</formula>
    </cfRule>
    <cfRule type="expression" dxfId="1" priority="1337">
      <formula>AND(COUNTIF(I307:BG307,"&lt;&gt;" &amp; "")&gt;0,NOT(ISBLANK(G307)))</formula>
    </cfRule>
  </conditionalFormatting>
  <conditionalFormatting sqref="G308">
    <cfRule type="expression" dxfId="0" priority="1339">
      <formula>COUNTIF(I308:BG308,"&lt;&gt;" &amp; "")&gt;0</formula>
    </cfRule>
    <cfRule type="expression" dxfId="1" priority="1340">
      <formula>AND(COUNTIF(I308:BG308,"&lt;&gt;" &amp; "")&gt;0,NOT(ISBLANK(G308)))</formula>
    </cfRule>
  </conditionalFormatting>
  <conditionalFormatting sqref="G309">
    <cfRule type="expression" dxfId="0" priority="1342">
      <formula>COUNTIF(I309:BG309,"&lt;&gt;" &amp; "")&gt;0</formula>
    </cfRule>
    <cfRule type="expression" dxfId="1" priority="1343">
      <formula>AND(COUNTIF(I309:BG309,"&lt;&gt;" &amp; "")&gt;0,NOT(ISBLANK(G309)))</formula>
    </cfRule>
  </conditionalFormatting>
  <conditionalFormatting sqref="G31">
    <cfRule type="expression" dxfId="0" priority="301">
      <formula>COUNTIF(I31:BG31,"&lt;&gt;" &amp; "")&gt;0</formula>
    </cfRule>
    <cfRule type="expression" dxfId="1" priority="302">
      <formula>AND(COUNTIF(I31:BG31,"&lt;&gt;" &amp; "")&gt;0,NOT(ISBLANK(G31)))</formula>
    </cfRule>
  </conditionalFormatting>
  <conditionalFormatting sqref="G310">
    <cfRule type="expression" dxfId="0" priority="1345">
      <formula>COUNTIF(I310:BG310,"&lt;&gt;" &amp; "")&gt;0</formula>
    </cfRule>
    <cfRule type="expression" dxfId="1" priority="1346">
      <formula>AND(COUNTIF(I310:BG310,"&lt;&gt;" &amp; "")&gt;0,NOT(ISBLANK(G310)))</formula>
    </cfRule>
  </conditionalFormatting>
  <conditionalFormatting sqref="G311">
    <cfRule type="expression" dxfId="0" priority="1348">
      <formula>COUNTIF(I311:BG311,"&lt;&gt;" &amp; "")&gt;0</formula>
    </cfRule>
    <cfRule type="expression" dxfId="1" priority="1349">
      <formula>AND(COUNTIF(I311:BG311,"&lt;&gt;" &amp; "")&gt;0,NOT(ISBLANK(G311)))</formula>
    </cfRule>
  </conditionalFormatting>
  <conditionalFormatting sqref="G312">
    <cfRule type="expression" dxfId="0" priority="1351">
      <formula>COUNTIF(I312:BG312,"&lt;&gt;" &amp; "")&gt;0</formula>
    </cfRule>
    <cfRule type="expression" dxfId="1" priority="1352">
      <formula>AND(COUNTIF(I312:BG312,"&lt;&gt;" &amp; "")&gt;0,NOT(ISBLANK(G312)))</formula>
    </cfRule>
  </conditionalFormatting>
  <conditionalFormatting sqref="G313">
    <cfRule type="expression" dxfId="0" priority="1354">
      <formula>COUNTIF(I313:BG313,"&lt;&gt;" &amp; "")&gt;0</formula>
    </cfRule>
    <cfRule type="expression" dxfId="1" priority="1355">
      <formula>AND(COUNTIF(I313:BG313,"&lt;&gt;" &amp; "")&gt;0,NOT(ISBLANK(G313)))</formula>
    </cfRule>
  </conditionalFormatting>
  <conditionalFormatting sqref="G314">
    <cfRule type="expression" dxfId="0" priority="1357">
      <formula>COUNTIF(I314:BG314,"&lt;&gt;" &amp; "")&gt;0</formula>
    </cfRule>
    <cfRule type="expression" dxfId="1" priority="1358">
      <formula>AND(COUNTIF(I314:BG314,"&lt;&gt;" &amp; "")&gt;0,NOT(ISBLANK(G314)))</formula>
    </cfRule>
  </conditionalFormatting>
  <conditionalFormatting sqref="G315">
    <cfRule type="expression" dxfId="0" priority="1360">
      <formula>COUNTIF(I315:BG315,"&lt;&gt;" &amp; "")&gt;0</formula>
    </cfRule>
    <cfRule type="expression" dxfId="1" priority="1361">
      <formula>AND(COUNTIF(I315:BG315,"&lt;&gt;" &amp; "")&gt;0,NOT(ISBLANK(G315)))</formula>
    </cfRule>
  </conditionalFormatting>
  <conditionalFormatting sqref="G316">
    <cfRule type="expression" dxfId="0" priority="1363">
      <formula>COUNTIF(I316:BG316,"&lt;&gt;" &amp; "")&gt;0</formula>
    </cfRule>
    <cfRule type="expression" dxfId="1" priority="1364">
      <formula>AND(COUNTIF(I316:BG316,"&lt;&gt;" &amp; "")&gt;0,NOT(ISBLANK(G316)))</formula>
    </cfRule>
  </conditionalFormatting>
  <conditionalFormatting sqref="G317">
    <cfRule type="expression" dxfId="0" priority="1366">
      <formula>COUNTIF(I317:BG317,"&lt;&gt;" &amp; "")&gt;0</formula>
    </cfRule>
    <cfRule type="expression" dxfId="1" priority="1367">
      <formula>AND(COUNTIF(I317:BG317,"&lt;&gt;" &amp; "")&gt;0,NOT(ISBLANK(G317)))</formula>
    </cfRule>
  </conditionalFormatting>
  <conditionalFormatting sqref="G318">
    <cfRule type="expression" dxfId="0" priority="1369">
      <formula>COUNTIF(I318:BG318,"&lt;&gt;" &amp; "")&gt;0</formula>
    </cfRule>
    <cfRule type="expression" dxfId="1" priority="1370">
      <formula>AND(COUNTIF(I318:BG318,"&lt;&gt;" &amp; "")&gt;0,NOT(ISBLANK(G318)))</formula>
    </cfRule>
  </conditionalFormatting>
  <conditionalFormatting sqref="G319">
    <cfRule type="expression" dxfId="0" priority="1372">
      <formula>COUNTIF(I319:BG319,"&lt;&gt;" &amp; "")&gt;0</formula>
    </cfRule>
    <cfRule type="expression" dxfId="1" priority="1373">
      <formula>AND(COUNTIF(I319:BG319,"&lt;&gt;" &amp; "")&gt;0,NOT(ISBLANK(G319)))</formula>
    </cfRule>
  </conditionalFormatting>
  <conditionalFormatting sqref="G32">
    <cfRule type="expression" dxfId="0" priority="304">
      <formula>COUNTIF(I32:BG32,"&lt;&gt;" &amp; "")&gt;0</formula>
    </cfRule>
    <cfRule type="expression" dxfId="1" priority="305">
      <formula>AND(COUNTIF(I32:BG32,"&lt;&gt;" &amp; "")&gt;0,NOT(ISBLANK(G32)))</formula>
    </cfRule>
  </conditionalFormatting>
  <conditionalFormatting sqref="G320">
    <cfRule type="expression" dxfId="0" priority="1375">
      <formula>COUNTIF(I320:BG320,"&lt;&gt;" &amp; "")&gt;0</formula>
    </cfRule>
    <cfRule type="expression" dxfId="1" priority="1376">
      <formula>AND(COUNTIF(I320:BG320,"&lt;&gt;" &amp; "")&gt;0,NOT(ISBLANK(G320)))</formula>
    </cfRule>
  </conditionalFormatting>
  <conditionalFormatting sqref="G321">
    <cfRule type="expression" dxfId="0" priority="1378">
      <formula>COUNTIF(I321:BG321,"&lt;&gt;" &amp; "")&gt;0</formula>
    </cfRule>
    <cfRule type="expression" dxfId="1" priority="1379">
      <formula>AND(COUNTIF(I321:BG321,"&lt;&gt;" &amp; "")&gt;0,NOT(ISBLANK(G321)))</formula>
    </cfRule>
  </conditionalFormatting>
  <conditionalFormatting sqref="G322">
    <cfRule type="expression" dxfId="0" priority="1381">
      <formula>COUNTIF(I322:BG322,"&lt;&gt;" &amp; "")&gt;0</formula>
    </cfRule>
    <cfRule type="expression" dxfId="1" priority="1382">
      <formula>AND(COUNTIF(I322:BG322,"&lt;&gt;" &amp; "")&gt;0,NOT(ISBLANK(G322)))</formula>
    </cfRule>
  </conditionalFormatting>
  <conditionalFormatting sqref="G323">
    <cfRule type="expression" dxfId="0" priority="1384">
      <formula>COUNTIF(I323:BG323,"&lt;&gt;" &amp; "")&gt;0</formula>
    </cfRule>
    <cfRule type="expression" dxfId="1" priority="1385">
      <formula>AND(COUNTIF(I323:BG323,"&lt;&gt;" &amp; "")&gt;0,NOT(ISBLANK(G323)))</formula>
    </cfRule>
  </conditionalFormatting>
  <conditionalFormatting sqref="G324">
    <cfRule type="expression" dxfId="0" priority="1387">
      <formula>COUNTIF(I324:BG324,"&lt;&gt;" &amp; "")&gt;0</formula>
    </cfRule>
    <cfRule type="expression" dxfId="1" priority="1388">
      <formula>AND(COUNTIF(I324:BG324,"&lt;&gt;" &amp; "")&gt;0,NOT(ISBLANK(G324)))</formula>
    </cfRule>
  </conditionalFormatting>
  <conditionalFormatting sqref="G325">
    <cfRule type="expression" dxfId="0" priority="1390">
      <formula>COUNTIF(I325:BG325,"&lt;&gt;" &amp; "")&gt;0</formula>
    </cfRule>
    <cfRule type="expression" dxfId="1" priority="1391">
      <formula>AND(COUNTIF(I325:BG325,"&lt;&gt;" &amp; "")&gt;0,NOT(ISBLANK(G325)))</formula>
    </cfRule>
  </conditionalFormatting>
  <conditionalFormatting sqref="G33">
    <cfRule type="expression" dxfId="0" priority="307">
      <formula>COUNTIF(I33:BG33,"&lt;&gt;" &amp; "")&gt;0</formula>
    </cfRule>
    <cfRule type="expression" dxfId="1" priority="308">
      <formula>AND(COUNTIF(I33:BG33,"&lt;&gt;" &amp; "")&gt;0,NOT(ISBLANK(G33)))</formula>
    </cfRule>
  </conditionalFormatting>
  <conditionalFormatting sqref="G331">
    <cfRule type="cellIs" dxfId="2" priority="1401" operator="equal">
      <formula>"Y"</formula>
    </cfRule>
    <cfRule type="cellIs" dxfId="3" priority="1402" operator="equal">
      <formula>"N"</formula>
    </cfRule>
  </conditionalFormatting>
  <conditionalFormatting sqref="G332">
    <cfRule type="cellIs" dxfId="2" priority="1423" operator="equal">
      <formula>"Y"</formula>
    </cfRule>
    <cfRule type="cellIs" dxfId="3" priority="1424" operator="equal">
      <formula>"N"</formula>
    </cfRule>
  </conditionalFormatting>
  <conditionalFormatting sqref="G333">
    <cfRule type="cellIs" dxfId="2" priority="1445" operator="equal">
      <formula>"Y"</formula>
    </cfRule>
    <cfRule type="cellIs" dxfId="3" priority="1446" operator="equal">
      <formula>"N"</formula>
    </cfRule>
  </conditionalFormatting>
  <conditionalFormatting sqref="G334">
    <cfRule type="cellIs" dxfId="2" priority="1467" operator="equal">
      <formula>"Y"</formula>
    </cfRule>
    <cfRule type="cellIs" dxfId="3" priority="1468" operator="equal">
      <formula>"N"</formula>
    </cfRule>
  </conditionalFormatting>
  <conditionalFormatting sqref="G335">
    <cfRule type="cellIs" dxfId="2" priority="1489" operator="equal">
      <formula>"Y"</formula>
    </cfRule>
    <cfRule type="cellIs" dxfId="3" priority="1490" operator="equal">
      <formula>"N"</formula>
    </cfRule>
  </conditionalFormatting>
  <conditionalFormatting sqref="G337">
    <cfRule type="cellIs" dxfId="2" priority="1535" operator="equal">
      <formula>"Y"</formula>
    </cfRule>
    <cfRule type="cellIs" dxfId="3" priority="1536" operator="equal">
      <formula>"N"</formula>
    </cfRule>
  </conditionalFormatting>
  <conditionalFormatting sqref="G338">
    <cfRule type="cellIs" dxfId="2" priority="1557" operator="equal">
      <formula>"Y"</formula>
    </cfRule>
    <cfRule type="cellIs" dxfId="3" priority="1558" operator="equal">
      <formula>"N"</formula>
    </cfRule>
  </conditionalFormatting>
  <conditionalFormatting sqref="G339">
    <cfRule type="cellIs" dxfId="2" priority="1579" operator="equal">
      <formula>"Y"</formula>
    </cfRule>
    <cfRule type="cellIs" dxfId="3" priority="1580" operator="equal">
      <formula>"N"</formula>
    </cfRule>
  </conditionalFormatting>
  <conditionalFormatting sqref="G34">
    <cfRule type="expression" dxfId="0" priority="310">
      <formula>COUNTIF(I34:BG34,"&lt;&gt;" &amp; "")&gt;0</formula>
    </cfRule>
    <cfRule type="expression" dxfId="1" priority="311">
      <formula>AND(COUNTIF(I34:BG34,"&lt;&gt;" &amp; "")&gt;0,NOT(ISBLANK(G34)))</formula>
    </cfRule>
  </conditionalFormatting>
  <conditionalFormatting sqref="G340">
    <cfRule type="cellIs" dxfId="2" priority="1601" operator="equal">
      <formula>"Y"</formula>
    </cfRule>
    <cfRule type="cellIs" dxfId="3" priority="1602" operator="equal">
      <formula>"N"</formula>
    </cfRule>
  </conditionalFormatting>
  <conditionalFormatting sqref="G341">
    <cfRule type="cellIs" dxfId="2" priority="1623" operator="equal">
      <formula>"Y"</formula>
    </cfRule>
    <cfRule type="cellIs" dxfId="3" priority="1624" operator="equal">
      <formula>"N"</formula>
    </cfRule>
  </conditionalFormatting>
  <conditionalFormatting sqref="G342">
    <cfRule type="cellIs" dxfId="2" priority="1645" operator="equal">
      <formula>"Y"</formula>
    </cfRule>
    <cfRule type="cellIs" dxfId="3" priority="1646" operator="equal">
      <formula>"N"</formula>
    </cfRule>
  </conditionalFormatting>
  <conditionalFormatting sqref="G345">
    <cfRule type="expression" dxfId="0" priority="1657">
      <formula>COUNTIF(I345:BG345,"&lt;&gt;" &amp; "")&gt;0</formula>
    </cfRule>
    <cfRule type="expression" dxfId="1" priority="1658">
      <formula>AND(COUNTIF(I345:BG345,"&lt;&gt;" &amp; "")&gt;0,NOT(ISBLANK(G345)))</formula>
    </cfRule>
  </conditionalFormatting>
  <conditionalFormatting sqref="G346">
    <cfRule type="expression" dxfId="0" priority="1660">
      <formula>COUNTIF(I346:BG346,"&lt;&gt;" &amp; "")&gt;0</formula>
    </cfRule>
    <cfRule type="expression" dxfId="1" priority="1661">
      <formula>AND(COUNTIF(I346:BG346,"&lt;&gt;" &amp; "")&gt;0,NOT(ISBLANK(G346)))</formula>
    </cfRule>
  </conditionalFormatting>
  <conditionalFormatting sqref="G347">
    <cfRule type="expression" dxfId="0" priority="1663">
      <formula>COUNTIF(I347:BG347,"&lt;&gt;" &amp; "")&gt;0</formula>
    </cfRule>
    <cfRule type="expression" dxfId="1" priority="1664">
      <formula>AND(COUNTIF(I347:BG347,"&lt;&gt;" &amp; "")&gt;0,NOT(ISBLANK(G347)))</formula>
    </cfRule>
  </conditionalFormatting>
  <conditionalFormatting sqref="G348">
    <cfRule type="expression" dxfId="0" priority="1666">
      <formula>COUNTIF(I348:BG348,"&lt;&gt;" &amp; "")&gt;0</formula>
    </cfRule>
    <cfRule type="expression" dxfId="1" priority="1667">
      <formula>AND(COUNTIF(I348:BG348,"&lt;&gt;" &amp; "")&gt;0,NOT(ISBLANK(G348)))</formula>
    </cfRule>
  </conditionalFormatting>
  <conditionalFormatting sqref="G349">
    <cfRule type="expression" dxfId="0" priority="1669">
      <formula>COUNTIF(I349:BG349,"&lt;&gt;" &amp; "")&gt;0</formula>
    </cfRule>
    <cfRule type="expression" dxfId="1" priority="1670">
      <formula>AND(COUNTIF(I349:BG349,"&lt;&gt;" &amp; "")&gt;0,NOT(ISBLANK(G349)))</formula>
    </cfRule>
  </conditionalFormatting>
  <conditionalFormatting sqref="G35">
    <cfRule type="expression" dxfId="0" priority="313">
      <formula>COUNTIF(I35:BG35,"&lt;&gt;" &amp; "")&gt;0</formula>
    </cfRule>
    <cfRule type="expression" dxfId="1" priority="314">
      <formula>AND(COUNTIF(I35:BG35,"&lt;&gt;" &amp; "")&gt;0,NOT(ISBLANK(G35)))</formula>
    </cfRule>
  </conditionalFormatting>
  <conditionalFormatting sqref="G350">
    <cfRule type="expression" dxfId="0" priority="1672">
      <formula>COUNTIF(I350:BG350,"&lt;&gt;" &amp; "")&gt;0</formula>
    </cfRule>
    <cfRule type="expression" dxfId="1" priority="1673">
      <formula>AND(COUNTIF(I350:BG350,"&lt;&gt;" &amp; "")&gt;0,NOT(ISBLANK(G350)))</formula>
    </cfRule>
  </conditionalFormatting>
  <conditionalFormatting sqref="G351">
    <cfRule type="expression" dxfId="0" priority="1675">
      <formula>COUNTIF(I351:BG351,"&lt;&gt;" &amp; "")&gt;0</formula>
    </cfRule>
    <cfRule type="expression" dxfId="1" priority="1676">
      <formula>AND(COUNTIF(I351:BG351,"&lt;&gt;" &amp; "")&gt;0,NOT(ISBLANK(G351)))</formula>
    </cfRule>
  </conditionalFormatting>
  <conditionalFormatting sqref="G352">
    <cfRule type="expression" dxfId="0" priority="1678">
      <formula>COUNTIF(I352:BG352,"&lt;&gt;" &amp; "")&gt;0</formula>
    </cfRule>
    <cfRule type="expression" dxfId="1" priority="1679">
      <formula>AND(COUNTIF(I352:BG352,"&lt;&gt;" &amp; "")&gt;0,NOT(ISBLANK(G352)))</formula>
    </cfRule>
  </conditionalFormatting>
  <conditionalFormatting sqref="G353">
    <cfRule type="expression" dxfId="0" priority="1681">
      <formula>COUNTIF(I353:BG353,"&lt;&gt;" &amp; "")&gt;0</formula>
    </cfRule>
    <cfRule type="expression" dxfId="1" priority="1682">
      <formula>AND(COUNTIF(I353:BG353,"&lt;&gt;" &amp; "")&gt;0,NOT(ISBLANK(G353)))</formula>
    </cfRule>
  </conditionalFormatting>
  <conditionalFormatting sqref="G354">
    <cfRule type="expression" dxfId="0" priority="1684">
      <formula>COUNTIF(I354:BG354,"&lt;&gt;" &amp; "")&gt;0</formula>
    </cfRule>
    <cfRule type="expression" dxfId="1" priority="1685">
      <formula>AND(COUNTIF(I354:BG354,"&lt;&gt;" &amp; "")&gt;0,NOT(ISBLANK(G354)))</formula>
    </cfRule>
  </conditionalFormatting>
  <conditionalFormatting sqref="G355">
    <cfRule type="expression" dxfId="0" priority="1687">
      <formula>COUNTIF(I355:BG355,"&lt;&gt;" &amp; "")&gt;0</formula>
    </cfRule>
    <cfRule type="expression" dxfId="1" priority="1688">
      <formula>AND(COUNTIF(I355:BG355,"&lt;&gt;" &amp; "")&gt;0,NOT(ISBLANK(G355)))</formula>
    </cfRule>
  </conditionalFormatting>
  <conditionalFormatting sqref="G356">
    <cfRule type="expression" dxfId="0" priority="1690">
      <formula>COUNTIF(I356:BG356,"&lt;&gt;" &amp; "")&gt;0</formula>
    </cfRule>
    <cfRule type="expression" dxfId="1" priority="1691">
      <formula>AND(COUNTIF(I356:BG356,"&lt;&gt;" &amp; "")&gt;0,NOT(ISBLANK(G356)))</formula>
    </cfRule>
  </conditionalFormatting>
  <conditionalFormatting sqref="G357">
    <cfRule type="expression" dxfId="0" priority="1693">
      <formula>COUNTIF(I357:BG357,"&lt;&gt;" &amp; "")&gt;0</formula>
    </cfRule>
    <cfRule type="expression" dxfId="1" priority="1694">
      <formula>AND(COUNTIF(I357:BG357,"&lt;&gt;" &amp; "")&gt;0,NOT(ISBLANK(G357)))</formula>
    </cfRule>
  </conditionalFormatting>
  <conditionalFormatting sqref="G358">
    <cfRule type="expression" dxfId="0" priority="1696">
      <formula>COUNTIF(I358:BG358,"&lt;&gt;" &amp; "")&gt;0</formula>
    </cfRule>
    <cfRule type="expression" dxfId="1" priority="1697">
      <formula>AND(COUNTIF(I358:BG358,"&lt;&gt;" &amp; "")&gt;0,NOT(ISBLANK(G358)))</formula>
    </cfRule>
  </conditionalFormatting>
  <conditionalFormatting sqref="G359">
    <cfRule type="expression" dxfId="0" priority="1699">
      <formula>COUNTIF(I359:BG359,"&lt;&gt;" &amp; "")&gt;0</formula>
    </cfRule>
    <cfRule type="expression" dxfId="1" priority="1700">
      <formula>AND(COUNTIF(I359:BG359,"&lt;&gt;" &amp; "")&gt;0,NOT(ISBLANK(G359)))</formula>
    </cfRule>
  </conditionalFormatting>
  <conditionalFormatting sqref="G36">
    <cfRule type="expression" dxfId="0" priority="316">
      <formula>COUNTIF(I36:BG36,"&lt;&gt;" &amp; "")&gt;0</formula>
    </cfRule>
    <cfRule type="expression" dxfId="1" priority="317">
      <formula>AND(COUNTIF(I36:BG36,"&lt;&gt;" &amp; "")&gt;0,NOT(ISBLANK(G36)))</formula>
    </cfRule>
  </conditionalFormatting>
  <conditionalFormatting sqref="G360">
    <cfRule type="expression" dxfId="0" priority="1702">
      <formula>COUNTIF(I360:BG360,"&lt;&gt;" &amp; "")&gt;0</formula>
    </cfRule>
    <cfRule type="expression" dxfId="1" priority="1703">
      <formula>AND(COUNTIF(I360:BG360,"&lt;&gt;" &amp; "")&gt;0,NOT(ISBLANK(G360)))</formula>
    </cfRule>
  </conditionalFormatting>
  <conditionalFormatting sqref="G361">
    <cfRule type="expression" dxfId="0" priority="1705">
      <formula>COUNTIF(I361:BG361,"&lt;&gt;" &amp; "")&gt;0</formula>
    </cfRule>
    <cfRule type="expression" dxfId="1" priority="1706">
      <formula>AND(COUNTIF(I361:BG361,"&lt;&gt;" &amp; "")&gt;0,NOT(ISBLANK(G361)))</formula>
    </cfRule>
  </conditionalFormatting>
  <conditionalFormatting sqref="G362">
    <cfRule type="expression" dxfId="0" priority="1708">
      <formula>COUNTIF(I362:BG362,"&lt;&gt;" &amp; "")&gt;0</formula>
    </cfRule>
    <cfRule type="expression" dxfId="1" priority="1709">
      <formula>AND(COUNTIF(I362:BG362,"&lt;&gt;" &amp; "")&gt;0,NOT(ISBLANK(G362)))</formula>
    </cfRule>
  </conditionalFormatting>
  <conditionalFormatting sqref="G363">
    <cfRule type="expression" dxfId="0" priority="1711">
      <formula>COUNTIF(I363:BG363,"&lt;&gt;" &amp; "")&gt;0</formula>
    </cfRule>
    <cfRule type="expression" dxfId="1" priority="1712">
      <formula>AND(COUNTIF(I363:BG363,"&lt;&gt;" &amp; "")&gt;0,NOT(ISBLANK(G363)))</formula>
    </cfRule>
  </conditionalFormatting>
  <conditionalFormatting sqref="G364">
    <cfRule type="expression" dxfId="0" priority="1714">
      <formula>COUNTIF(I364:BG364,"&lt;&gt;" &amp; "")&gt;0</formula>
    </cfRule>
    <cfRule type="expression" dxfId="1" priority="1715">
      <formula>AND(COUNTIF(I364:BG364,"&lt;&gt;" &amp; "")&gt;0,NOT(ISBLANK(G364)))</formula>
    </cfRule>
  </conditionalFormatting>
  <conditionalFormatting sqref="G365">
    <cfRule type="expression" dxfId="0" priority="1717">
      <formula>COUNTIF(I365:BG365,"&lt;&gt;" &amp; "")&gt;0</formula>
    </cfRule>
    <cfRule type="expression" dxfId="1" priority="1718">
      <formula>AND(COUNTIF(I365:BG365,"&lt;&gt;" &amp; "")&gt;0,NOT(ISBLANK(G365)))</formula>
    </cfRule>
  </conditionalFormatting>
  <conditionalFormatting sqref="G366">
    <cfRule type="expression" dxfId="0" priority="1720">
      <formula>COUNTIF(I366:BG366,"&lt;&gt;" &amp; "")&gt;0</formula>
    </cfRule>
    <cfRule type="expression" dxfId="1" priority="1721">
      <formula>AND(COUNTIF(I366:BG366,"&lt;&gt;" &amp; "")&gt;0,NOT(ISBLANK(G366)))</formula>
    </cfRule>
  </conditionalFormatting>
  <conditionalFormatting sqref="G367">
    <cfRule type="expression" dxfId="0" priority="1723">
      <formula>COUNTIF(I367:BG367,"&lt;&gt;" &amp; "")&gt;0</formula>
    </cfRule>
    <cfRule type="expression" dxfId="1" priority="1724">
      <formula>AND(COUNTIF(I367:BG367,"&lt;&gt;" &amp; "")&gt;0,NOT(ISBLANK(G367)))</formula>
    </cfRule>
  </conditionalFormatting>
  <conditionalFormatting sqref="G368">
    <cfRule type="expression" dxfId="0" priority="1726">
      <formula>COUNTIF(I368:BG368,"&lt;&gt;" &amp; "")&gt;0</formula>
    </cfRule>
    <cfRule type="expression" dxfId="1" priority="1727">
      <formula>AND(COUNTIF(I368:BG368,"&lt;&gt;" &amp; "")&gt;0,NOT(ISBLANK(G368)))</formula>
    </cfRule>
  </conditionalFormatting>
  <conditionalFormatting sqref="G369">
    <cfRule type="expression" dxfId="0" priority="1729">
      <formula>COUNTIF(I369:BG369,"&lt;&gt;" &amp; "")&gt;0</formula>
    </cfRule>
    <cfRule type="expression" dxfId="1" priority="1730">
      <formula>AND(COUNTIF(I369:BG369,"&lt;&gt;" &amp; "")&gt;0,NOT(ISBLANK(G369)))</formula>
    </cfRule>
  </conditionalFormatting>
  <conditionalFormatting sqref="G37">
    <cfRule type="expression" dxfId="0" priority="319">
      <formula>COUNTIF(I37:BG37,"&lt;&gt;" &amp; "")&gt;0</formula>
    </cfRule>
    <cfRule type="expression" dxfId="1" priority="320">
      <formula>AND(COUNTIF(I37:BG37,"&lt;&gt;" &amp; "")&gt;0,NOT(ISBLANK(G37)))</formula>
    </cfRule>
  </conditionalFormatting>
  <conditionalFormatting sqref="G370">
    <cfRule type="expression" dxfId="0" priority="1732">
      <formula>COUNTIF(I370:BG370,"&lt;&gt;" &amp; "")&gt;0</formula>
    </cfRule>
    <cfRule type="expression" dxfId="1" priority="1733">
      <formula>AND(COUNTIF(I370:BG370,"&lt;&gt;" &amp; "")&gt;0,NOT(ISBLANK(G370)))</formula>
    </cfRule>
  </conditionalFormatting>
  <conditionalFormatting sqref="G371">
    <cfRule type="expression" dxfId="0" priority="1735">
      <formula>COUNTIF(I371:BG371,"&lt;&gt;" &amp; "")&gt;0</formula>
    </cfRule>
    <cfRule type="expression" dxfId="1" priority="1736">
      <formula>AND(COUNTIF(I371:BG371,"&lt;&gt;" &amp; "")&gt;0,NOT(ISBLANK(G371)))</formula>
    </cfRule>
  </conditionalFormatting>
  <conditionalFormatting sqref="G372">
    <cfRule type="expression" dxfId="0" priority="1738">
      <formula>COUNTIF(I372:BG372,"&lt;&gt;" &amp; "")&gt;0</formula>
    </cfRule>
    <cfRule type="expression" dxfId="1" priority="1739">
      <formula>AND(COUNTIF(I372:BG372,"&lt;&gt;" &amp; "")&gt;0,NOT(ISBLANK(G372)))</formula>
    </cfRule>
  </conditionalFormatting>
  <conditionalFormatting sqref="G373">
    <cfRule type="expression" dxfId="0" priority="1741">
      <formula>COUNTIF(I373:BG373,"&lt;&gt;" &amp; "")&gt;0</formula>
    </cfRule>
    <cfRule type="expression" dxfId="1" priority="1742">
      <formula>AND(COUNTIF(I373:BG373,"&lt;&gt;" &amp; "")&gt;0,NOT(ISBLANK(G373)))</formula>
    </cfRule>
  </conditionalFormatting>
  <conditionalFormatting sqref="G374">
    <cfRule type="expression" dxfId="0" priority="1744">
      <formula>COUNTIF(I374:BG374,"&lt;&gt;" &amp; "")&gt;0</formula>
    </cfRule>
    <cfRule type="expression" dxfId="1" priority="1745">
      <formula>AND(COUNTIF(I374:BG374,"&lt;&gt;" &amp; "")&gt;0,NOT(ISBLANK(G374)))</formula>
    </cfRule>
  </conditionalFormatting>
  <conditionalFormatting sqref="G375">
    <cfRule type="expression" dxfId="0" priority="1747">
      <formula>COUNTIF(I375:BG375,"&lt;&gt;" &amp; "")&gt;0</formula>
    </cfRule>
    <cfRule type="expression" dxfId="1" priority="1748">
      <formula>AND(COUNTIF(I375:BG375,"&lt;&gt;" &amp; "")&gt;0,NOT(ISBLANK(G375)))</formula>
    </cfRule>
  </conditionalFormatting>
  <conditionalFormatting sqref="G376">
    <cfRule type="expression" dxfId="0" priority="1750">
      <formula>COUNTIF(I376:BG376,"&lt;&gt;" &amp; "")&gt;0</formula>
    </cfRule>
    <cfRule type="expression" dxfId="1" priority="1751">
      <formula>AND(COUNTIF(I376:BG376,"&lt;&gt;" &amp; "")&gt;0,NOT(ISBLANK(G376)))</formula>
    </cfRule>
  </conditionalFormatting>
  <conditionalFormatting sqref="G377">
    <cfRule type="expression" dxfId="0" priority="1753">
      <formula>COUNTIF(I377:BG377,"&lt;&gt;" &amp; "")&gt;0</formula>
    </cfRule>
    <cfRule type="expression" dxfId="1" priority="1754">
      <formula>AND(COUNTIF(I377:BG377,"&lt;&gt;" &amp; "")&gt;0,NOT(ISBLANK(G377)))</formula>
    </cfRule>
  </conditionalFormatting>
  <conditionalFormatting sqref="G378">
    <cfRule type="expression" dxfId="0" priority="1756">
      <formula>COUNTIF(I378:BG378,"&lt;&gt;" &amp; "")&gt;0</formula>
    </cfRule>
    <cfRule type="expression" dxfId="1" priority="1757">
      <formula>AND(COUNTIF(I378:BG378,"&lt;&gt;" &amp; "")&gt;0,NOT(ISBLANK(G378)))</formula>
    </cfRule>
  </conditionalFormatting>
  <conditionalFormatting sqref="G379">
    <cfRule type="expression" dxfId="0" priority="1759">
      <formula>COUNTIF(I379:BG379,"&lt;&gt;" &amp; "")&gt;0</formula>
    </cfRule>
    <cfRule type="expression" dxfId="1" priority="1760">
      <formula>AND(COUNTIF(I379:BG379,"&lt;&gt;" &amp; "")&gt;0,NOT(ISBLANK(G379)))</formula>
    </cfRule>
  </conditionalFormatting>
  <conditionalFormatting sqref="G38">
    <cfRule type="expression" dxfId="0" priority="322">
      <formula>COUNTIF(I38:BG38,"&lt;&gt;" &amp; "")&gt;0</formula>
    </cfRule>
    <cfRule type="expression" dxfId="1" priority="323">
      <formula>AND(COUNTIF(I38:BG38,"&lt;&gt;" &amp; "")&gt;0,NOT(ISBLANK(G38)))</formula>
    </cfRule>
  </conditionalFormatting>
  <conditionalFormatting sqref="G380">
    <cfRule type="expression" dxfId="0" priority="1762">
      <formula>COUNTIF(I380:BG380,"&lt;&gt;" &amp; "")&gt;0</formula>
    </cfRule>
    <cfRule type="expression" dxfId="1" priority="1763">
      <formula>AND(COUNTIF(I380:BG380,"&lt;&gt;" &amp; "")&gt;0,NOT(ISBLANK(G380)))</formula>
    </cfRule>
  </conditionalFormatting>
  <conditionalFormatting sqref="G381">
    <cfRule type="expression" dxfId="0" priority="1765">
      <formula>COUNTIF(I381:BG381,"&lt;&gt;" &amp; "")&gt;0</formula>
    </cfRule>
    <cfRule type="expression" dxfId="1" priority="1766">
      <formula>AND(COUNTIF(I381:BG381,"&lt;&gt;" &amp; "")&gt;0,NOT(ISBLANK(G381)))</formula>
    </cfRule>
  </conditionalFormatting>
  <conditionalFormatting sqref="G382">
    <cfRule type="expression" dxfId="0" priority="1768">
      <formula>COUNTIF(I382:BG382,"&lt;&gt;" &amp; "")&gt;0</formula>
    </cfRule>
    <cfRule type="expression" dxfId="1" priority="1769">
      <formula>AND(COUNTIF(I382:BG382,"&lt;&gt;" &amp; "")&gt;0,NOT(ISBLANK(G382)))</formula>
    </cfRule>
  </conditionalFormatting>
  <conditionalFormatting sqref="G383">
    <cfRule type="expression" dxfId="0" priority="1771">
      <formula>COUNTIF(I383:BG383,"&lt;&gt;" &amp; "")&gt;0</formula>
    </cfRule>
    <cfRule type="expression" dxfId="1" priority="1772">
      <formula>AND(COUNTIF(I383:BG383,"&lt;&gt;" &amp; "")&gt;0,NOT(ISBLANK(G383)))</formula>
    </cfRule>
  </conditionalFormatting>
  <conditionalFormatting sqref="G384">
    <cfRule type="expression" dxfId="0" priority="1774">
      <formula>COUNTIF(I384:BG384,"&lt;&gt;" &amp; "")&gt;0</formula>
    </cfRule>
    <cfRule type="expression" dxfId="1" priority="1775">
      <formula>AND(COUNTIF(I384:BG384,"&lt;&gt;" &amp; "")&gt;0,NOT(ISBLANK(G384)))</formula>
    </cfRule>
  </conditionalFormatting>
  <conditionalFormatting sqref="G385">
    <cfRule type="expression" dxfId="0" priority="1777">
      <formula>COUNTIF(I385:BG385,"&lt;&gt;" &amp; "")&gt;0</formula>
    </cfRule>
    <cfRule type="expression" dxfId="1" priority="1778">
      <formula>AND(COUNTIF(I385:BG385,"&lt;&gt;" &amp; "")&gt;0,NOT(ISBLANK(G385)))</formula>
    </cfRule>
  </conditionalFormatting>
  <conditionalFormatting sqref="G386">
    <cfRule type="expression" dxfId="0" priority="1780">
      <formula>COUNTIF(I386:BG386,"&lt;&gt;" &amp; "")&gt;0</formula>
    </cfRule>
    <cfRule type="expression" dxfId="1" priority="1781">
      <formula>AND(COUNTIF(I386:BG386,"&lt;&gt;" &amp; "")&gt;0,NOT(ISBLANK(G386)))</formula>
    </cfRule>
  </conditionalFormatting>
  <conditionalFormatting sqref="G387">
    <cfRule type="expression" dxfId="0" priority="1783">
      <formula>COUNTIF(I387:BG387,"&lt;&gt;" &amp; "")&gt;0</formula>
    </cfRule>
    <cfRule type="expression" dxfId="1" priority="1784">
      <formula>AND(COUNTIF(I387:BG387,"&lt;&gt;" &amp; "")&gt;0,NOT(ISBLANK(G387)))</formula>
    </cfRule>
  </conditionalFormatting>
  <conditionalFormatting sqref="G388">
    <cfRule type="expression" dxfId="0" priority="1786">
      <formula>COUNTIF(I388:BG388,"&lt;&gt;" &amp; "")&gt;0</formula>
    </cfRule>
    <cfRule type="expression" dxfId="1" priority="1787">
      <formula>AND(COUNTIF(I388:BG388,"&lt;&gt;" &amp; "")&gt;0,NOT(ISBLANK(G388)))</formula>
    </cfRule>
  </conditionalFormatting>
  <conditionalFormatting sqref="G389">
    <cfRule type="expression" dxfId="0" priority="1789">
      <formula>COUNTIF(I389:BG389,"&lt;&gt;" &amp; "")&gt;0</formula>
    </cfRule>
    <cfRule type="expression" dxfId="1" priority="1790">
      <formula>AND(COUNTIF(I389:BG389,"&lt;&gt;" &amp; "")&gt;0,NOT(ISBLANK(G389)))</formula>
    </cfRule>
  </conditionalFormatting>
  <conditionalFormatting sqref="G39">
    <cfRule type="expression" dxfId="0" priority="325">
      <formula>COUNTIF(I39:BG39,"&lt;&gt;" &amp; "")&gt;0</formula>
    </cfRule>
    <cfRule type="expression" dxfId="1" priority="326">
      <formula>AND(COUNTIF(I39:BG39,"&lt;&gt;" &amp; "")&gt;0,NOT(ISBLANK(G39)))</formula>
    </cfRule>
  </conditionalFormatting>
  <conditionalFormatting sqref="G390">
    <cfRule type="expression" dxfId="0" priority="1792">
      <formula>COUNTIF(I390:BG390,"&lt;&gt;" &amp; "")&gt;0</formula>
    </cfRule>
    <cfRule type="expression" dxfId="1" priority="1793">
      <formula>AND(COUNTIF(I390:BG390,"&lt;&gt;" &amp; "")&gt;0,NOT(ISBLANK(G390)))</formula>
    </cfRule>
  </conditionalFormatting>
  <conditionalFormatting sqref="G391">
    <cfRule type="expression" dxfId="0" priority="1795">
      <formula>COUNTIF(I391:BG391,"&lt;&gt;" &amp; "")&gt;0</formula>
    </cfRule>
    <cfRule type="expression" dxfId="1" priority="1796">
      <formula>AND(COUNTIF(I391:BG391,"&lt;&gt;" &amp; "")&gt;0,NOT(ISBLANK(G391)))</formula>
    </cfRule>
  </conditionalFormatting>
  <conditionalFormatting sqref="G392">
    <cfRule type="expression" dxfId="0" priority="1798">
      <formula>COUNTIF(I392:BG392,"&lt;&gt;" &amp; "")&gt;0</formula>
    </cfRule>
    <cfRule type="expression" dxfId="1" priority="1799">
      <formula>AND(COUNTIF(I392:BG392,"&lt;&gt;" &amp; "")&gt;0,NOT(ISBLANK(G392)))</formula>
    </cfRule>
  </conditionalFormatting>
  <conditionalFormatting sqref="G393">
    <cfRule type="expression" dxfId="0" priority="1801">
      <formula>COUNTIF(I393:BG393,"&lt;&gt;" &amp; "")&gt;0</formula>
    </cfRule>
    <cfRule type="expression" dxfId="1" priority="1802">
      <formula>AND(COUNTIF(I393:BG393,"&lt;&gt;" &amp; "")&gt;0,NOT(ISBLANK(G393)))</formula>
    </cfRule>
  </conditionalFormatting>
  <conditionalFormatting sqref="G394">
    <cfRule type="expression" dxfId="0" priority="1804">
      <formula>COUNTIF(I394:BG394,"&lt;&gt;" &amp; "")&gt;0</formula>
    </cfRule>
    <cfRule type="expression" dxfId="1" priority="1805">
      <formula>AND(COUNTIF(I394:BG394,"&lt;&gt;" &amp; "")&gt;0,NOT(ISBLANK(G394)))</formula>
    </cfRule>
  </conditionalFormatting>
  <conditionalFormatting sqref="G395">
    <cfRule type="expression" dxfId="0" priority="1807">
      <formula>COUNTIF(I395:BG395,"&lt;&gt;" &amp; "")&gt;0</formula>
    </cfRule>
    <cfRule type="expression" dxfId="1" priority="1808">
      <formula>AND(COUNTIF(I395:BG395,"&lt;&gt;" &amp; "")&gt;0,NOT(ISBLANK(G395)))</formula>
    </cfRule>
  </conditionalFormatting>
  <conditionalFormatting sqref="G396">
    <cfRule type="expression" dxfId="0" priority="1810">
      <formula>COUNTIF(I396:BG396,"&lt;&gt;" &amp; "")&gt;0</formula>
    </cfRule>
    <cfRule type="expression" dxfId="1" priority="1811">
      <formula>AND(COUNTIF(I396:BG396,"&lt;&gt;" &amp; "")&gt;0,NOT(ISBLANK(G396)))</formula>
    </cfRule>
  </conditionalFormatting>
  <conditionalFormatting sqref="G397">
    <cfRule type="expression" dxfId="0" priority="1813">
      <formula>COUNTIF(I397:BG397,"&lt;&gt;" &amp; "")&gt;0</formula>
    </cfRule>
    <cfRule type="expression" dxfId="1" priority="1814">
      <formula>AND(COUNTIF(I397:BG397,"&lt;&gt;" &amp; "")&gt;0,NOT(ISBLANK(G397)))</formula>
    </cfRule>
  </conditionalFormatting>
  <conditionalFormatting sqref="G398">
    <cfRule type="expression" dxfId="0" priority="1816">
      <formula>COUNTIF(I398:BG398,"&lt;&gt;" &amp; "")&gt;0</formula>
    </cfRule>
    <cfRule type="expression" dxfId="1" priority="1817">
      <formula>AND(COUNTIF(I398:BG398,"&lt;&gt;" &amp; "")&gt;0,NOT(ISBLANK(G398)))</formula>
    </cfRule>
  </conditionalFormatting>
  <conditionalFormatting sqref="G399">
    <cfRule type="expression" dxfId="0" priority="1819">
      <formula>COUNTIF(I399:BG399,"&lt;&gt;" &amp; "")&gt;0</formula>
    </cfRule>
    <cfRule type="expression" dxfId="1" priority="1820">
      <formula>AND(COUNTIF(I399:BG399,"&lt;&gt;" &amp; "")&gt;0,NOT(ISBLANK(G399)))</formula>
    </cfRule>
  </conditionalFormatting>
  <conditionalFormatting sqref="G40">
    <cfRule type="expression" dxfId="0" priority="328">
      <formula>COUNTIF(I40:BG40,"&lt;&gt;" &amp; "")&gt;0</formula>
    </cfRule>
    <cfRule type="expression" dxfId="1" priority="329">
      <formula>AND(COUNTIF(I40:BG40,"&lt;&gt;" &amp; "")&gt;0,NOT(ISBLANK(G40)))</formula>
    </cfRule>
  </conditionalFormatting>
  <conditionalFormatting sqref="G400">
    <cfRule type="expression" dxfId="0" priority="1822">
      <formula>COUNTIF(I400:BG400,"&lt;&gt;" &amp; "")&gt;0</formula>
    </cfRule>
    <cfRule type="expression" dxfId="1" priority="1823">
      <formula>AND(COUNTIF(I400:BG400,"&lt;&gt;" &amp; "")&gt;0,NOT(ISBLANK(G400)))</formula>
    </cfRule>
  </conditionalFormatting>
  <conditionalFormatting sqref="G401">
    <cfRule type="expression" dxfId="0" priority="1825">
      <formula>COUNTIF(I401:BG401,"&lt;&gt;" &amp; "")&gt;0</formula>
    </cfRule>
    <cfRule type="expression" dxfId="1" priority="1826">
      <formula>AND(COUNTIF(I401:BG401,"&lt;&gt;" &amp; "")&gt;0,NOT(ISBLANK(G401)))</formula>
    </cfRule>
  </conditionalFormatting>
  <conditionalFormatting sqref="G402">
    <cfRule type="expression" dxfId="0" priority="1828">
      <formula>COUNTIF(I402:BG402,"&lt;&gt;" &amp; "")&gt;0</formula>
    </cfRule>
    <cfRule type="expression" dxfId="1" priority="1829">
      <formula>AND(COUNTIF(I402:BG402,"&lt;&gt;" &amp; "")&gt;0,NOT(ISBLANK(G402)))</formula>
    </cfRule>
  </conditionalFormatting>
  <conditionalFormatting sqref="G403">
    <cfRule type="expression" dxfId="0" priority="1831">
      <formula>COUNTIF(I403:BG403,"&lt;&gt;" &amp; "")&gt;0</formula>
    </cfRule>
    <cfRule type="expression" dxfId="1" priority="1832">
      <formula>AND(COUNTIF(I403:BG403,"&lt;&gt;" &amp; "")&gt;0,NOT(ISBLANK(G403)))</formula>
    </cfRule>
  </conditionalFormatting>
  <conditionalFormatting sqref="G404">
    <cfRule type="expression" dxfId="0" priority="1834">
      <formula>COUNTIF(I404:BG404,"&lt;&gt;" &amp; "")&gt;0</formula>
    </cfRule>
    <cfRule type="expression" dxfId="1" priority="1835">
      <formula>AND(COUNTIF(I404:BG404,"&lt;&gt;" &amp; "")&gt;0,NOT(ISBLANK(G404)))</formula>
    </cfRule>
  </conditionalFormatting>
  <conditionalFormatting sqref="G405">
    <cfRule type="expression" dxfId="0" priority="1837">
      <formula>COUNTIF(I405:BG405,"&lt;&gt;" &amp; "")&gt;0</formula>
    </cfRule>
    <cfRule type="expression" dxfId="1" priority="1838">
      <formula>AND(COUNTIF(I405:BG405,"&lt;&gt;" &amp; "")&gt;0,NOT(ISBLANK(G405)))</formula>
    </cfRule>
  </conditionalFormatting>
  <conditionalFormatting sqref="G406">
    <cfRule type="expression" dxfId="0" priority="1840">
      <formula>COUNTIF(I406:BG406,"&lt;&gt;" &amp; "")&gt;0</formula>
    </cfRule>
    <cfRule type="expression" dxfId="1" priority="1841">
      <formula>AND(COUNTIF(I406:BG406,"&lt;&gt;" &amp; "")&gt;0,NOT(ISBLANK(G406)))</formula>
    </cfRule>
  </conditionalFormatting>
  <conditionalFormatting sqref="G407">
    <cfRule type="expression" dxfId="0" priority="1843">
      <formula>COUNTIF(I407:BG407,"&lt;&gt;" &amp; "")&gt;0</formula>
    </cfRule>
    <cfRule type="expression" dxfId="1" priority="1844">
      <formula>AND(COUNTIF(I407:BG407,"&lt;&gt;" &amp; "")&gt;0,NOT(ISBLANK(G407)))</formula>
    </cfRule>
  </conditionalFormatting>
  <conditionalFormatting sqref="G408">
    <cfRule type="expression" dxfId="0" priority="1846">
      <formula>COUNTIF(I408:BG408,"&lt;&gt;" &amp; "")&gt;0</formula>
    </cfRule>
    <cfRule type="expression" dxfId="1" priority="1847">
      <formula>AND(COUNTIF(I408:BG408,"&lt;&gt;" &amp; "")&gt;0,NOT(ISBLANK(G408)))</formula>
    </cfRule>
  </conditionalFormatting>
  <conditionalFormatting sqref="G409">
    <cfRule type="expression" dxfId="0" priority="1849">
      <formula>COUNTIF(I409:BG409,"&lt;&gt;" &amp; "")&gt;0</formula>
    </cfRule>
    <cfRule type="expression" dxfId="1" priority="1850">
      <formula>AND(COUNTIF(I409:BG409,"&lt;&gt;" &amp; "")&gt;0,NOT(ISBLANK(G409)))</formula>
    </cfRule>
  </conditionalFormatting>
  <conditionalFormatting sqref="G41">
    <cfRule type="expression" dxfId="0" priority="331">
      <formula>COUNTIF(I41:BG41,"&lt;&gt;" &amp; "")&gt;0</formula>
    </cfRule>
    <cfRule type="expression" dxfId="1" priority="332">
      <formula>AND(COUNTIF(I41:BG41,"&lt;&gt;" &amp; "")&gt;0,NOT(ISBLANK(G41)))</formula>
    </cfRule>
  </conditionalFormatting>
  <conditionalFormatting sqref="G410">
    <cfRule type="expression" dxfId="0" priority="1852">
      <formula>COUNTIF(I410:BG410,"&lt;&gt;" &amp; "")&gt;0</formula>
    </cfRule>
    <cfRule type="expression" dxfId="1" priority="1853">
      <formula>AND(COUNTIF(I410:BG410,"&lt;&gt;" &amp; "")&gt;0,NOT(ISBLANK(G410)))</formula>
    </cfRule>
  </conditionalFormatting>
  <conditionalFormatting sqref="G411">
    <cfRule type="expression" dxfId="0" priority="1855">
      <formula>COUNTIF(I411:BG411,"&lt;&gt;" &amp; "")&gt;0</formula>
    </cfRule>
    <cfRule type="expression" dxfId="1" priority="1856">
      <formula>AND(COUNTIF(I411:BG411,"&lt;&gt;" &amp; "")&gt;0,NOT(ISBLANK(G411)))</formula>
    </cfRule>
  </conditionalFormatting>
  <conditionalFormatting sqref="G412">
    <cfRule type="expression" dxfId="0" priority="1858">
      <formula>COUNTIF(I412:BG412,"&lt;&gt;" &amp; "")&gt;0</formula>
    </cfRule>
    <cfRule type="expression" dxfId="1" priority="1859">
      <formula>AND(COUNTIF(I412:BG412,"&lt;&gt;" &amp; "")&gt;0,NOT(ISBLANK(G412)))</formula>
    </cfRule>
  </conditionalFormatting>
  <conditionalFormatting sqref="G413">
    <cfRule type="expression" dxfId="0" priority="1861">
      <formula>COUNTIF(I413:BG413,"&lt;&gt;" &amp; "")&gt;0</formula>
    </cfRule>
    <cfRule type="expression" dxfId="1" priority="1862">
      <formula>AND(COUNTIF(I413:BG413,"&lt;&gt;" &amp; "")&gt;0,NOT(ISBLANK(G413)))</formula>
    </cfRule>
  </conditionalFormatting>
  <conditionalFormatting sqref="G414">
    <cfRule type="expression" dxfId="0" priority="1864">
      <formula>COUNTIF(I414:BG414,"&lt;&gt;" &amp; "")&gt;0</formula>
    </cfRule>
    <cfRule type="expression" dxfId="1" priority="1865">
      <formula>AND(COUNTIF(I414:BG414,"&lt;&gt;" &amp; "")&gt;0,NOT(ISBLANK(G414)))</formula>
    </cfRule>
  </conditionalFormatting>
  <conditionalFormatting sqref="G415">
    <cfRule type="expression" dxfId="0" priority="1867">
      <formula>COUNTIF(I415:BG415,"&lt;&gt;" &amp; "")&gt;0</formula>
    </cfRule>
    <cfRule type="expression" dxfId="1" priority="1868">
      <formula>AND(COUNTIF(I415:BG415,"&lt;&gt;" &amp; "")&gt;0,NOT(ISBLANK(G415)))</formula>
    </cfRule>
  </conditionalFormatting>
  <conditionalFormatting sqref="G416">
    <cfRule type="expression" dxfId="0" priority="1870">
      <formula>COUNTIF(I416:BG416,"&lt;&gt;" &amp; "")&gt;0</formula>
    </cfRule>
    <cfRule type="expression" dxfId="1" priority="1871">
      <formula>AND(COUNTIF(I416:BG416,"&lt;&gt;" &amp; "")&gt;0,NOT(ISBLANK(G416)))</formula>
    </cfRule>
  </conditionalFormatting>
  <conditionalFormatting sqref="G417">
    <cfRule type="expression" dxfId="0" priority="1873">
      <formula>COUNTIF(I417:BG417,"&lt;&gt;" &amp; "")&gt;0</formula>
    </cfRule>
    <cfRule type="expression" dxfId="1" priority="1874">
      <formula>AND(COUNTIF(I417:BG417,"&lt;&gt;" &amp; "")&gt;0,NOT(ISBLANK(G417)))</formula>
    </cfRule>
  </conditionalFormatting>
  <conditionalFormatting sqref="G418">
    <cfRule type="expression" dxfId="0" priority="1876">
      <formula>COUNTIF(I418:BG418,"&lt;&gt;" &amp; "")&gt;0</formula>
    </cfRule>
    <cfRule type="expression" dxfId="1" priority="1877">
      <formula>AND(COUNTIF(I418:BG418,"&lt;&gt;" &amp; "")&gt;0,NOT(ISBLANK(G418)))</formula>
    </cfRule>
  </conditionalFormatting>
  <conditionalFormatting sqref="G419">
    <cfRule type="expression" dxfId="0" priority="1879">
      <formula>COUNTIF(I419:BG419,"&lt;&gt;" &amp; "")&gt;0</formula>
    </cfRule>
    <cfRule type="expression" dxfId="1" priority="1880">
      <formula>AND(COUNTIF(I419:BG419,"&lt;&gt;" &amp; "")&gt;0,NOT(ISBLANK(G419)))</formula>
    </cfRule>
  </conditionalFormatting>
  <conditionalFormatting sqref="G42">
    <cfRule type="expression" dxfId="0" priority="334">
      <formula>COUNTIF(I42:BG42,"&lt;&gt;" &amp; "")&gt;0</formula>
    </cfRule>
    <cfRule type="expression" dxfId="1" priority="335">
      <formula>AND(COUNTIF(I42:BG42,"&lt;&gt;" &amp; "")&gt;0,NOT(ISBLANK(G42)))</formula>
    </cfRule>
  </conditionalFormatting>
  <conditionalFormatting sqref="G420">
    <cfRule type="expression" dxfId="0" priority="1882">
      <formula>COUNTIF(I420:BG420,"&lt;&gt;" &amp; "")&gt;0</formula>
    </cfRule>
    <cfRule type="expression" dxfId="1" priority="1883">
      <formula>AND(COUNTIF(I420:BG420,"&lt;&gt;" &amp; "")&gt;0,NOT(ISBLANK(G420)))</formula>
    </cfRule>
  </conditionalFormatting>
  <conditionalFormatting sqref="G421">
    <cfRule type="expression" dxfId="0" priority="1885">
      <formula>COUNTIF(I421:BG421,"&lt;&gt;" &amp; "")&gt;0</formula>
    </cfRule>
    <cfRule type="expression" dxfId="1" priority="1886">
      <formula>AND(COUNTIF(I421:BG421,"&lt;&gt;" &amp; "")&gt;0,NOT(ISBLANK(G421)))</formula>
    </cfRule>
  </conditionalFormatting>
  <conditionalFormatting sqref="G422">
    <cfRule type="expression" dxfId="0" priority="1888">
      <formula>COUNTIF(I422:BG422,"&lt;&gt;" &amp; "")&gt;0</formula>
    </cfRule>
    <cfRule type="expression" dxfId="1" priority="1889">
      <formula>AND(COUNTIF(I422:BG422,"&lt;&gt;" &amp; "")&gt;0,NOT(ISBLANK(G422)))</formula>
    </cfRule>
  </conditionalFormatting>
  <conditionalFormatting sqref="G423">
    <cfRule type="expression" dxfId="0" priority="1891">
      <formula>COUNTIF(I423:BG423,"&lt;&gt;" &amp; "")&gt;0</formula>
    </cfRule>
    <cfRule type="expression" dxfId="1" priority="1892">
      <formula>AND(COUNTIF(I423:BG423,"&lt;&gt;" &amp; "")&gt;0,NOT(ISBLANK(G423)))</formula>
    </cfRule>
  </conditionalFormatting>
  <conditionalFormatting sqref="G424">
    <cfRule type="expression" dxfId="0" priority="1894">
      <formula>COUNTIF(I424:BG424,"&lt;&gt;" &amp; "")&gt;0</formula>
    </cfRule>
    <cfRule type="expression" dxfId="1" priority="1895">
      <formula>AND(COUNTIF(I424:BG424,"&lt;&gt;" &amp; "")&gt;0,NOT(ISBLANK(G424)))</formula>
    </cfRule>
  </conditionalFormatting>
  <conditionalFormatting sqref="G425">
    <cfRule type="expression" dxfId="0" priority="1897">
      <formula>COUNTIF(I425:BG425,"&lt;&gt;" &amp; "")&gt;0</formula>
    </cfRule>
    <cfRule type="expression" dxfId="1" priority="1898">
      <formula>AND(COUNTIF(I425:BG425,"&lt;&gt;" &amp; "")&gt;0,NOT(ISBLANK(G425)))</formula>
    </cfRule>
  </conditionalFormatting>
  <conditionalFormatting sqref="G426">
    <cfRule type="expression" dxfId="0" priority="1900">
      <formula>COUNTIF(I426:BG426,"&lt;&gt;" &amp; "")&gt;0</formula>
    </cfRule>
    <cfRule type="expression" dxfId="1" priority="1901">
      <formula>AND(COUNTIF(I426:BG426,"&lt;&gt;" &amp; "")&gt;0,NOT(ISBLANK(G426)))</formula>
    </cfRule>
  </conditionalFormatting>
  <conditionalFormatting sqref="G427">
    <cfRule type="expression" dxfId="0" priority="1903">
      <formula>COUNTIF(I427:BG427,"&lt;&gt;" &amp; "")&gt;0</formula>
    </cfRule>
    <cfRule type="expression" dxfId="1" priority="1904">
      <formula>AND(COUNTIF(I427:BG427,"&lt;&gt;" &amp; "")&gt;0,NOT(ISBLANK(G427)))</formula>
    </cfRule>
  </conditionalFormatting>
  <conditionalFormatting sqref="G428">
    <cfRule type="expression" dxfId="0" priority="1906">
      <formula>COUNTIF(I428:BG428,"&lt;&gt;" &amp; "")&gt;0</formula>
    </cfRule>
    <cfRule type="expression" dxfId="1" priority="1907">
      <formula>AND(COUNTIF(I428:BG428,"&lt;&gt;" &amp; "")&gt;0,NOT(ISBLANK(G428)))</formula>
    </cfRule>
  </conditionalFormatting>
  <conditionalFormatting sqref="G429">
    <cfRule type="expression" dxfId="0" priority="1909">
      <formula>COUNTIF(I429:BG429,"&lt;&gt;" &amp; "")&gt;0</formula>
    </cfRule>
    <cfRule type="expression" dxfId="1" priority="1910">
      <formula>AND(COUNTIF(I429:BG429,"&lt;&gt;" &amp; "")&gt;0,NOT(ISBLANK(G429)))</formula>
    </cfRule>
  </conditionalFormatting>
  <conditionalFormatting sqref="G43">
    <cfRule type="expression" dxfId="0" priority="337">
      <formula>COUNTIF(I43:BG43,"&lt;&gt;" &amp; "")&gt;0</formula>
    </cfRule>
    <cfRule type="expression" dxfId="1" priority="338">
      <formula>AND(COUNTIF(I43:BG43,"&lt;&gt;" &amp; "")&gt;0,NOT(ISBLANK(G43)))</formula>
    </cfRule>
  </conditionalFormatting>
  <conditionalFormatting sqref="G430">
    <cfRule type="expression" dxfId="0" priority="1912">
      <formula>COUNTIF(I430:BG430,"&lt;&gt;" &amp; "")&gt;0</formula>
    </cfRule>
    <cfRule type="expression" dxfId="1" priority="1913">
      <formula>AND(COUNTIF(I430:BG430,"&lt;&gt;" &amp; "")&gt;0,NOT(ISBLANK(G430)))</formula>
    </cfRule>
  </conditionalFormatting>
  <conditionalFormatting sqref="G431">
    <cfRule type="expression" dxfId="0" priority="1915">
      <formula>COUNTIF(I431:BG431,"&lt;&gt;" &amp; "")&gt;0</formula>
    </cfRule>
    <cfRule type="expression" dxfId="1" priority="1916">
      <formula>AND(COUNTIF(I431:BG431,"&lt;&gt;" &amp; "")&gt;0,NOT(ISBLANK(G431)))</formula>
    </cfRule>
  </conditionalFormatting>
  <conditionalFormatting sqref="G432">
    <cfRule type="expression" dxfId="0" priority="1918">
      <formula>COUNTIF(I432:BG432,"&lt;&gt;" &amp; "")&gt;0</formula>
    </cfRule>
    <cfRule type="expression" dxfId="1" priority="1919">
      <formula>AND(COUNTIF(I432:BG432,"&lt;&gt;" &amp; "")&gt;0,NOT(ISBLANK(G432)))</formula>
    </cfRule>
  </conditionalFormatting>
  <conditionalFormatting sqref="G433">
    <cfRule type="expression" dxfId="0" priority="1921">
      <formula>COUNTIF(I433:BG433,"&lt;&gt;" &amp; "")&gt;0</formula>
    </cfRule>
    <cfRule type="expression" dxfId="1" priority="1922">
      <formula>AND(COUNTIF(I433:BG433,"&lt;&gt;" &amp; "")&gt;0,NOT(ISBLANK(G433)))</formula>
    </cfRule>
  </conditionalFormatting>
  <conditionalFormatting sqref="G434">
    <cfRule type="expression" dxfId="0" priority="1924">
      <formula>COUNTIF(I434:BG434,"&lt;&gt;" &amp; "")&gt;0</formula>
    </cfRule>
    <cfRule type="expression" dxfId="1" priority="1925">
      <formula>AND(COUNTIF(I434:BG434,"&lt;&gt;" &amp; "")&gt;0,NOT(ISBLANK(G434)))</formula>
    </cfRule>
  </conditionalFormatting>
  <conditionalFormatting sqref="G435">
    <cfRule type="expression" dxfId="0" priority="1927">
      <formula>COUNTIF(I435:BG435,"&lt;&gt;" &amp; "")&gt;0</formula>
    </cfRule>
    <cfRule type="expression" dxfId="1" priority="1928">
      <formula>AND(COUNTIF(I435:BG435,"&lt;&gt;" &amp; "")&gt;0,NOT(ISBLANK(G435)))</formula>
    </cfRule>
  </conditionalFormatting>
  <conditionalFormatting sqref="G436">
    <cfRule type="expression" dxfId="0" priority="1930">
      <formula>COUNTIF(I436:BG436,"&lt;&gt;" &amp; "")&gt;0</formula>
    </cfRule>
    <cfRule type="expression" dxfId="1" priority="1931">
      <formula>AND(COUNTIF(I436:BG436,"&lt;&gt;" &amp; "")&gt;0,NOT(ISBLANK(G436)))</formula>
    </cfRule>
  </conditionalFormatting>
  <conditionalFormatting sqref="G437">
    <cfRule type="expression" dxfId="0" priority="1933">
      <formula>COUNTIF(I437:BG437,"&lt;&gt;" &amp; "")&gt;0</formula>
    </cfRule>
    <cfRule type="expression" dxfId="1" priority="1934">
      <formula>AND(COUNTIF(I437:BG437,"&lt;&gt;" &amp; "")&gt;0,NOT(ISBLANK(G437)))</formula>
    </cfRule>
  </conditionalFormatting>
  <conditionalFormatting sqref="G438">
    <cfRule type="expression" dxfId="0" priority="1936">
      <formula>COUNTIF(I438:BG438,"&lt;&gt;" &amp; "")&gt;0</formula>
    </cfRule>
    <cfRule type="expression" dxfId="1" priority="1937">
      <formula>AND(COUNTIF(I438:BG438,"&lt;&gt;" &amp; "")&gt;0,NOT(ISBLANK(G438)))</formula>
    </cfRule>
  </conditionalFormatting>
  <conditionalFormatting sqref="G439">
    <cfRule type="expression" dxfId="0" priority="1939">
      <formula>COUNTIF(I439:BG439,"&lt;&gt;" &amp; "")&gt;0</formula>
    </cfRule>
    <cfRule type="expression" dxfId="1" priority="1940">
      <formula>AND(COUNTIF(I439:BG439,"&lt;&gt;" &amp; "")&gt;0,NOT(ISBLANK(G439)))</formula>
    </cfRule>
  </conditionalFormatting>
  <conditionalFormatting sqref="G44">
    <cfRule type="expression" dxfId="0" priority="340">
      <formula>COUNTIF(I44:BG44,"&lt;&gt;" &amp; "")&gt;0</formula>
    </cfRule>
    <cfRule type="expression" dxfId="1" priority="341">
      <formula>AND(COUNTIF(I44:BG44,"&lt;&gt;" &amp; "")&gt;0,NOT(ISBLANK(G44)))</formula>
    </cfRule>
  </conditionalFormatting>
  <conditionalFormatting sqref="G440">
    <cfRule type="expression" dxfId="0" priority="1942">
      <formula>COUNTIF(I440:BG440,"&lt;&gt;" &amp; "")&gt;0</formula>
    </cfRule>
    <cfRule type="expression" dxfId="1" priority="1943">
      <formula>AND(COUNTIF(I440:BG440,"&lt;&gt;" &amp; "")&gt;0,NOT(ISBLANK(G440)))</formula>
    </cfRule>
  </conditionalFormatting>
  <conditionalFormatting sqref="G441">
    <cfRule type="expression" dxfId="0" priority="1945">
      <formula>COUNTIF(I441:BG441,"&lt;&gt;" &amp; "")&gt;0</formula>
    </cfRule>
    <cfRule type="expression" dxfId="1" priority="1946">
      <formula>AND(COUNTIF(I441:BG441,"&lt;&gt;" &amp; "")&gt;0,NOT(ISBLANK(G441)))</formula>
    </cfRule>
  </conditionalFormatting>
  <conditionalFormatting sqref="G442">
    <cfRule type="expression" dxfId="0" priority="1948">
      <formula>COUNTIF(I442:BG442,"&lt;&gt;" &amp; "")&gt;0</formula>
    </cfRule>
    <cfRule type="expression" dxfId="1" priority="1949">
      <formula>AND(COUNTIF(I442:BG442,"&lt;&gt;" &amp; "")&gt;0,NOT(ISBLANK(G442)))</formula>
    </cfRule>
  </conditionalFormatting>
  <conditionalFormatting sqref="G443">
    <cfRule type="expression" dxfId="0" priority="1951">
      <formula>COUNTIF(I443:BG443,"&lt;&gt;" &amp; "")&gt;0</formula>
    </cfRule>
    <cfRule type="expression" dxfId="1" priority="1952">
      <formula>AND(COUNTIF(I443:BG443,"&lt;&gt;" &amp; "")&gt;0,NOT(ISBLANK(G443)))</formula>
    </cfRule>
  </conditionalFormatting>
  <conditionalFormatting sqref="G444">
    <cfRule type="expression" dxfId="0" priority="1954">
      <formula>COUNTIF(I444:BG444,"&lt;&gt;" &amp; "")&gt;0</formula>
    </cfRule>
    <cfRule type="expression" dxfId="1" priority="1955">
      <formula>AND(COUNTIF(I444:BG444,"&lt;&gt;" &amp; "")&gt;0,NOT(ISBLANK(G444)))</formula>
    </cfRule>
  </conditionalFormatting>
  <conditionalFormatting sqref="G445">
    <cfRule type="expression" dxfId="0" priority="1957">
      <formula>COUNTIF(I445:BG445,"&lt;&gt;" &amp; "")&gt;0</formula>
    </cfRule>
    <cfRule type="expression" dxfId="1" priority="1958">
      <formula>AND(COUNTIF(I445:BG445,"&lt;&gt;" &amp; "")&gt;0,NOT(ISBLANK(G445)))</formula>
    </cfRule>
  </conditionalFormatting>
  <conditionalFormatting sqref="G446">
    <cfRule type="expression" dxfId="0" priority="1960">
      <formula>COUNTIF(I446:BG446,"&lt;&gt;" &amp; "")&gt;0</formula>
    </cfRule>
    <cfRule type="expression" dxfId="1" priority="1961">
      <formula>AND(COUNTIF(I446:BG446,"&lt;&gt;" &amp; "")&gt;0,NOT(ISBLANK(G446)))</formula>
    </cfRule>
  </conditionalFormatting>
  <conditionalFormatting sqref="G447">
    <cfRule type="expression" dxfId="0" priority="1963">
      <formula>COUNTIF(I447:BG447,"&lt;&gt;" &amp; "")&gt;0</formula>
    </cfRule>
    <cfRule type="expression" dxfId="1" priority="1964">
      <formula>AND(COUNTIF(I447:BG447,"&lt;&gt;" &amp; "")&gt;0,NOT(ISBLANK(G447)))</formula>
    </cfRule>
  </conditionalFormatting>
  <conditionalFormatting sqref="G448">
    <cfRule type="expression" dxfId="0" priority="1966">
      <formula>COUNTIF(I448:BG448,"&lt;&gt;" &amp; "")&gt;0</formula>
    </cfRule>
    <cfRule type="expression" dxfId="1" priority="1967">
      <formula>AND(COUNTIF(I448:BG448,"&lt;&gt;" &amp; "")&gt;0,NOT(ISBLANK(G448)))</formula>
    </cfRule>
  </conditionalFormatting>
  <conditionalFormatting sqref="G449">
    <cfRule type="expression" dxfId="0" priority="1969">
      <formula>COUNTIF(I449:BG449,"&lt;&gt;" &amp; "")&gt;0</formula>
    </cfRule>
    <cfRule type="expression" dxfId="1" priority="1970">
      <formula>AND(COUNTIF(I449:BG449,"&lt;&gt;" &amp; "")&gt;0,NOT(ISBLANK(G449)))</formula>
    </cfRule>
  </conditionalFormatting>
  <conditionalFormatting sqref="G45">
    <cfRule type="expression" dxfId="0" priority="343">
      <formula>COUNTIF(I45:BG45,"&lt;&gt;" &amp; "")&gt;0</formula>
    </cfRule>
    <cfRule type="expression" dxfId="1" priority="344">
      <formula>AND(COUNTIF(I45:BG45,"&lt;&gt;" &amp; "")&gt;0,NOT(ISBLANK(G45)))</formula>
    </cfRule>
  </conditionalFormatting>
  <conditionalFormatting sqref="G450">
    <cfRule type="expression" dxfId="0" priority="1972">
      <formula>COUNTIF(I450:BG450,"&lt;&gt;" &amp; "")&gt;0</formula>
    </cfRule>
    <cfRule type="expression" dxfId="1" priority="1973">
      <formula>AND(COUNTIF(I450:BG450,"&lt;&gt;" &amp; "")&gt;0,NOT(ISBLANK(G450)))</formula>
    </cfRule>
  </conditionalFormatting>
  <conditionalFormatting sqref="G451">
    <cfRule type="expression" dxfId="0" priority="1975">
      <formula>COUNTIF(I451:BG451,"&lt;&gt;" &amp; "")&gt;0</formula>
    </cfRule>
    <cfRule type="expression" dxfId="1" priority="1976">
      <formula>AND(COUNTIF(I451:BG451,"&lt;&gt;" &amp; "")&gt;0,NOT(ISBLANK(G451)))</formula>
    </cfRule>
  </conditionalFormatting>
  <conditionalFormatting sqref="G452">
    <cfRule type="expression" dxfId="0" priority="1978">
      <formula>COUNTIF(I452:BG452,"&lt;&gt;" &amp; "")&gt;0</formula>
    </cfRule>
    <cfRule type="expression" dxfId="1" priority="1979">
      <formula>AND(COUNTIF(I452:BG452,"&lt;&gt;" &amp; "")&gt;0,NOT(ISBLANK(G452)))</formula>
    </cfRule>
  </conditionalFormatting>
  <conditionalFormatting sqref="G453">
    <cfRule type="expression" dxfId="0" priority="1981">
      <formula>COUNTIF(I453:BG453,"&lt;&gt;" &amp; "")&gt;0</formula>
    </cfRule>
    <cfRule type="expression" dxfId="1" priority="1982">
      <formula>AND(COUNTIF(I453:BG453,"&lt;&gt;" &amp; "")&gt;0,NOT(ISBLANK(G453)))</formula>
    </cfRule>
  </conditionalFormatting>
  <conditionalFormatting sqref="G454">
    <cfRule type="expression" dxfId="0" priority="1984">
      <formula>COUNTIF(I454:BG454,"&lt;&gt;" &amp; "")&gt;0</formula>
    </cfRule>
    <cfRule type="expression" dxfId="1" priority="1985">
      <formula>AND(COUNTIF(I454:BG454,"&lt;&gt;" &amp; "")&gt;0,NOT(ISBLANK(G454)))</formula>
    </cfRule>
  </conditionalFormatting>
  <conditionalFormatting sqref="G455">
    <cfRule type="expression" dxfId="0" priority="1987">
      <formula>COUNTIF(I455:BG455,"&lt;&gt;" &amp; "")&gt;0</formula>
    </cfRule>
    <cfRule type="expression" dxfId="1" priority="1988">
      <formula>AND(COUNTIF(I455:BG455,"&lt;&gt;" &amp; "")&gt;0,NOT(ISBLANK(G455)))</formula>
    </cfRule>
  </conditionalFormatting>
  <conditionalFormatting sqref="G456">
    <cfRule type="expression" dxfId="0" priority="1990">
      <formula>COUNTIF(I456:BG456,"&lt;&gt;" &amp; "")&gt;0</formula>
    </cfRule>
    <cfRule type="expression" dxfId="1" priority="1991">
      <formula>AND(COUNTIF(I456:BG456,"&lt;&gt;" &amp; "")&gt;0,NOT(ISBLANK(G456)))</formula>
    </cfRule>
  </conditionalFormatting>
  <conditionalFormatting sqref="G457">
    <cfRule type="expression" dxfId="0" priority="1993">
      <formula>COUNTIF(I457:BG457,"&lt;&gt;" &amp; "")&gt;0</formula>
    </cfRule>
    <cfRule type="expression" dxfId="1" priority="1994">
      <formula>AND(COUNTIF(I457:BG457,"&lt;&gt;" &amp; "")&gt;0,NOT(ISBLANK(G457)))</formula>
    </cfRule>
  </conditionalFormatting>
  <conditionalFormatting sqref="G458">
    <cfRule type="expression" dxfId="0" priority="1996">
      <formula>COUNTIF(I458:BG458,"&lt;&gt;" &amp; "")&gt;0</formula>
    </cfRule>
    <cfRule type="expression" dxfId="1" priority="1997">
      <formula>AND(COUNTIF(I458:BG458,"&lt;&gt;" &amp; "")&gt;0,NOT(ISBLANK(G458)))</formula>
    </cfRule>
  </conditionalFormatting>
  <conditionalFormatting sqref="G459">
    <cfRule type="expression" dxfId="0" priority="1999">
      <formula>COUNTIF(I459:BG459,"&lt;&gt;" &amp; "")&gt;0</formula>
    </cfRule>
    <cfRule type="expression" dxfId="1" priority="2000">
      <formula>AND(COUNTIF(I459:BG459,"&lt;&gt;" &amp; "")&gt;0,NOT(ISBLANK(G459)))</formula>
    </cfRule>
  </conditionalFormatting>
  <conditionalFormatting sqref="G46">
    <cfRule type="expression" dxfId="0" priority="346">
      <formula>COUNTIF(I46:BG46,"&lt;&gt;" &amp; "")&gt;0</formula>
    </cfRule>
    <cfRule type="expression" dxfId="1" priority="347">
      <formula>AND(COUNTIF(I46:BG46,"&lt;&gt;" &amp; "")&gt;0,NOT(ISBLANK(G46)))</formula>
    </cfRule>
  </conditionalFormatting>
  <conditionalFormatting sqref="G460">
    <cfRule type="expression" dxfId="0" priority="2002">
      <formula>COUNTIF(I460:BG460,"&lt;&gt;" &amp; "")&gt;0</formula>
    </cfRule>
    <cfRule type="expression" dxfId="1" priority="2003">
      <formula>AND(COUNTIF(I460:BG460,"&lt;&gt;" &amp; "")&gt;0,NOT(ISBLANK(G460)))</formula>
    </cfRule>
  </conditionalFormatting>
  <conditionalFormatting sqref="G461">
    <cfRule type="expression" dxfId="0" priority="2005">
      <formula>COUNTIF(I461:BG461,"&lt;&gt;" &amp; "")&gt;0</formula>
    </cfRule>
    <cfRule type="expression" dxfId="1" priority="2006">
      <formula>AND(COUNTIF(I461:BG461,"&lt;&gt;" &amp; "")&gt;0,NOT(ISBLANK(G461)))</formula>
    </cfRule>
  </conditionalFormatting>
  <conditionalFormatting sqref="G462">
    <cfRule type="expression" dxfId="0" priority="2008">
      <formula>COUNTIF(I462:BG462,"&lt;&gt;" &amp; "")&gt;0</formula>
    </cfRule>
    <cfRule type="expression" dxfId="1" priority="2009">
      <formula>AND(COUNTIF(I462:BG462,"&lt;&gt;" &amp; "")&gt;0,NOT(ISBLANK(G462)))</formula>
    </cfRule>
  </conditionalFormatting>
  <conditionalFormatting sqref="G463">
    <cfRule type="expression" dxfId="0" priority="2011">
      <formula>COUNTIF(I463:BG463,"&lt;&gt;" &amp; "")&gt;0</formula>
    </cfRule>
    <cfRule type="expression" dxfId="1" priority="2012">
      <formula>AND(COUNTIF(I463:BG463,"&lt;&gt;" &amp; "")&gt;0,NOT(ISBLANK(G463)))</formula>
    </cfRule>
  </conditionalFormatting>
  <conditionalFormatting sqref="G464">
    <cfRule type="expression" dxfId="0" priority="2014">
      <formula>COUNTIF(I464:BG464,"&lt;&gt;" &amp; "")&gt;0</formula>
    </cfRule>
    <cfRule type="expression" dxfId="1" priority="2015">
      <formula>AND(COUNTIF(I464:BG464,"&lt;&gt;" &amp; "")&gt;0,NOT(ISBLANK(G464)))</formula>
    </cfRule>
  </conditionalFormatting>
  <conditionalFormatting sqref="G465">
    <cfRule type="expression" dxfId="0" priority="2017">
      <formula>COUNTIF(I465:BG465,"&lt;&gt;" &amp; "")&gt;0</formula>
    </cfRule>
    <cfRule type="expression" dxfId="1" priority="2018">
      <formula>AND(COUNTIF(I465:BG465,"&lt;&gt;" &amp; "")&gt;0,NOT(ISBLANK(G465)))</formula>
    </cfRule>
  </conditionalFormatting>
  <conditionalFormatting sqref="G466">
    <cfRule type="expression" dxfId="0" priority="2020">
      <formula>COUNTIF(I466:BG466,"&lt;&gt;" &amp; "")&gt;0</formula>
    </cfRule>
    <cfRule type="expression" dxfId="1" priority="2021">
      <formula>AND(COUNTIF(I466:BG466,"&lt;&gt;" &amp; "")&gt;0,NOT(ISBLANK(G466)))</formula>
    </cfRule>
  </conditionalFormatting>
  <conditionalFormatting sqref="G467">
    <cfRule type="expression" dxfId="0" priority="2023">
      <formula>COUNTIF(I467:BG467,"&lt;&gt;" &amp; "")&gt;0</formula>
    </cfRule>
    <cfRule type="expression" dxfId="1" priority="2024">
      <formula>AND(COUNTIF(I467:BG467,"&lt;&gt;" &amp; "")&gt;0,NOT(ISBLANK(G467)))</formula>
    </cfRule>
  </conditionalFormatting>
  <conditionalFormatting sqref="G468">
    <cfRule type="expression" dxfId="0" priority="2026">
      <formula>COUNTIF(I468:BG468,"&lt;&gt;" &amp; "")&gt;0</formula>
    </cfRule>
    <cfRule type="expression" dxfId="1" priority="2027">
      <formula>AND(COUNTIF(I468:BG468,"&lt;&gt;" &amp; "")&gt;0,NOT(ISBLANK(G468)))</formula>
    </cfRule>
  </conditionalFormatting>
  <conditionalFormatting sqref="G469">
    <cfRule type="expression" dxfId="0" priority="2029">
      <formula>COUNTIF(I469:BG469,"&lt;&gt;" &amp; "")&gt;0</formula>
    </cfRule>
    <cfRule type="expression" dxfId="1" priority="2030">
      <formula>AND(COUNTIF(I469:BG469,"&lt;&gt;" &amp; "")&gt;0,NOT(ISBLANK(G469)))</formula>
    </cfRule>
  </conditionalFormatting>
  <conditionalFormatting sqref="G47">
    <cfRule type="expression" dxfId="0" priority="349">
      <formula>COUNTIF(I47:BG47,"&lt;&gt;" &amp; "")&gt;0</formula>
    </cfRule>
    <cfRule type="expression" dxfId="1" priority="350">
      <formula>AND(COUNTIF(I47:BG47,"&lt;&gt;" &amp; "")&gt;0,NOT(ISBLANK(G47)))</formula>
    </cfRule>
  </conditionalFormatting>
  <conditionalFormatting sqref="G470">
    <cfRule type="expression" dxfId="0" priority="2032">
      <formula>COUNTIF(I470:BG470,"&lt;&gt;" &amp; "")&gt;0</formula>
    </cfRule>
    <cfRule type="expression" dxfId="1" priority="2033">
      <formula>AND(COUNTIF(I470:BG470,"&lt;&gt;" &amp; "")&gt;0,NOT(ISBLANK(G470)))</formula>
    </cfRule>
  </conditionalFormatting>
  <conditionalFormatting sqref="G471">
    <cfRule type="expression" dxfId="0" priority="2035">
      <formula>COUNTIF(I471:BG471,"&lt;&gt;" &amp; "")&gt;0</formula>
    </cfRule>
    <cfRule type="expression" dxfId="1" priority="2036">
      <formula>AND(COUNTIF(I471:BG471,"&lt;&gt;" &amp; "")&gt;0,NOT(ISBLANK(G471)))</formula>
    </cfRule>
  </conditionalFormatting>
  <conditionalFormatting sqref="G472">
    <cfRule type="expression" dxfId="0" priority="2038">
      <formula>COUNTIF(I472:BG472,"&lt;&gt;" &amp; "")&gt;0</formula>
    </cfRule>
    <cfRule type="expression" dxfId="1" priority="2039">
      <formula>AND(COUNTIF(I472:BG472,"&lt;&gt;" &amp; "")&gt;0,NOT(ISBLANK(G472)))</formula>
    </cfRule>
  </conditionalFormatting>
  <conditionalFormatting sqref="G473">
    <cfRule type="expression" dxfId="0" priority="2041">
      <formula>COUNTIF(I473:BG473,"&lt;&gt;" &amp; "")&gt;0</formula>
    </cfRule>
    <cfRule type="expression" dxfId="1" priority="2042">
      <formula>AND(COUNTIF(I473:BG473,"&lt;&gt;" &amp; "")&gt;0,NOT(ISBLANK(G473)))</formula>
    </cfRule>
  </conditionalFormatting>
  <conditionalFormatting sqref="G474">
    <cfRule type="expression" dxfId="0" priority="2044">
      <formula>COUNTIF(I474:BG474,"&lt;&gt;" &amp; "")&gt;0</formula>
    </cfRule>
    <cfRule type="expression" dxfId="1" priority="2045">
      <formula>AND(COUNTIF(I474:BG474,"&lt;&gt;" &amp; "")&gt;0,NOT(ISBLANK(G474)))</formula>
    </cfRule>
  </conditionalFormatting>
  <conditionalFormatting sqref="G475">
    <cfRule type="expression" dxfId="0" priority="2047">
      <formula>COUNTIF(I475:BG475,"&lt;&gt;" &amp; "")&gt;0</formula>
    </cfRule>
    <cfRule type="expression" dxfId="1" priority="2048">
      <formula>AND(COUNTIF(I475:BG475,"&lt;&gt;" &amp; "")&gt;0,NOT(ISBLANK(G475)))</formula>
    </cfRule>
  </conditionalFormatting>
  <conditionalFormatting sqref="G476">
    <cfRule type="expression" dxfId="0" priority="2050">
      <formula>COUNTIF(I476:BG476,"&lt;&gt;" &amp; "")&gt;0</formula>
    </cfRule>
    <cfRule type="expression" dxfId="1" priority="2051">
      <formula>AND(COUNTIF(I476:BG476,"&lt;&gt;" &amp; "")&gt;0,NOT(ISBLANK(G476)))</formula>
    </cfRule>
  </conditionalFormatting>
  <conditionalFormatting sqref="G477">
    <cfRule type="expression" dxfId="0" priority="2053">
      <formula>COUNTIF(I477:BG477,"&lt;&gt;" &amp; "")&gt;0</formula>
    </cfRule>
    <cfRule type="expression" dxfId="1" priority="2054">
      <formula>AND(COUNTIF(I477:BG477,"&lt;&gt;" &amp; "")&gt;0,NOT(ISBLANK(G477)))</formula>
    </cfRule>
  </conditionalFormatting>
  <conditionalFormatting sqref="G478">
    <cfRule type="expression" dxfId="0" priority="2056">
      <formula>COUNTIF(I478:BG478,"&lt;&gt;" &amp; "")&gt;0</formula>
    </cfRule>
    <cfRule type="expression" dxfId="1" priority="2057">
      <formula>AND(COUNTIF(I478:BG478,"&lt;&gt;" &amp; "")&gt;0,NOT(ISBLANK(G478)))</formula>
    </cfRule>
  </conditionalFormatting>
  <conditionalFormatting sqref="G479">
    <cfRule type="expression" dxfId="0" priority="2059">
      <formula>COUNTIF(I479:BG479,"&lt;&gt;" &amp; "")&gt;0</formula>
    </cfRule>
    <cfRule type="expression" dxfId="1" priority="2060">
      <formula>AND(COUNTIF(I479:BG479,"&lt;&gt;" &amp; "")&gt;0,NOT(ISBLANK(G479)))</formula>
    </cfRule>
  </conditionalFormatting>
  <conditionalFormatting sqref="G48">
    <cfRule type="expression" dxfId="0" priority="352">
      <formula>COUNTIF(I48:BG48,"&lt;&gt;" &amp; "")&gt;0</formula>
    </cfRule>
    <cfRule type="expression" dxfId="1" priority="353">
      <formula>AND(COUNTIF(I48:BG48,"&lt;&gt;" &amp; "")&gt;0,NOT(ISBLANK(G48)))</formula>
    </cfRule>
  </conditionalFormatting>
  <conditionalFormatting sqref="G480">
    <cfRule type="expression" dxfId="0" priority="2062">
      <formula>COUNTIF(I480:BG480,"&lt;&gt;" &amp; "")&gt;0</formula>
    </cfRule>
    <cfRule type="expression" dxfId="1" priority="2063">
      <formula>AND(COUNTIF(I480:BG480,"&lt;&gt;" &amp; "")&gt;0,NOT(ISBLANK(G480)))</formula>
    </cfRule>
  </conditionalFormatting>
  <conditionalFormatting sqref="G481">
    <cfRule type="expression" dxfId="0" priority="2065">
      <formula>COUNTIF(I481:BG481,"&lt;&gt;" &amp; "")&gt;0</formula>
    </cfRule>
    <cfRule type="expression" dxfId="1" priority="2066">
      <formula>AND(COUNTIF(I481:BG481,"&lt;&gt;" &amp; "")&gt;0,NOT(ISBLANK(G481)))</formula>
    </cfRule>
  </conditionalFormatting>
  <conditionalFormatting sqref="G482">
    <cfRule type="expression" dxfId="0" priority="2068">
      <formula>COUNTIF(I482:BG482,"&lt;&gt;" &amp; "")&gt;0</formula>
    </cfRule>
    <cfRule type="expression" dxfId="1" priority="2069">
      <formula>AND(COUNTIF(I482:BG482,"&lt;&gt;" &amp; "")&gt;0,NOT(ISBLANK(G482)))</formula>
    </cfRule>
  </conditionalFormatting>
  <conditionalFormatting sqref="G483">
    <cfRule type="expression" dxfId="0" priority="2071">
      <formula>COUNTIF(I483:BG483,"&lt;&gt;" &amp; "")&gt;0</formula>
    </cfRule>
    <cfRule type="expression" dxfId="1" priority="2072">
      <formula>AND(COUNTIF(I483:BG483,"&lt;&gt;" &amp; "")&gt;0,NOT(ISBLANK(G483)))</formula>
    </cfRule>
  </conditionalFormatting>
  <conditionalFormatting sqref="G484">
    <cfRule type="expression" dxfId="0" priority="2074">
      <formula>COUNTIF(I484:BG484,"&lt;&gt;" &amp; "")&gt;0</formula>
    </cfRule>
    <cfRule type="expression" dxfId="1" priority="2075">
      <formula>AND(COUNTIF(I484:BG484,"&lt;&gt;" &amp; "")&gt;0,NOT(ISBLANK(G484)))</formula>
    </cfRule>
  </conditionalFormatting>
  <conditionalFormatting sqref="G485">
    <cfRule type="expression" dxfId="0" priority="2077">
      <formula>COUNTIF(I485:BG485,"&lt;&gt;" &amp; "")&gt;0</formula>
    </cfRule>
    <cfRule type="expression" dxfId="1" priority="2078">
      <formula>AND(COUNTIF(I485:BG485,"&lt;&gt;" &amp; "")&gt;0,NOT(ISBLANK(G485)))</formula>
    </cfRule>
  </conditionalFormatting>
  <conditionalFormatting sqref="G486">
    <cfRule type="expression" dxfId="0" priority="2080">
      <formula>COUNTIF(I486:BG486,"&lt;&gt;" &amp; "")&gt;0</formula>
    </cfRule>
    <cfRule type="expression" dxfId="1" priority="2081">
      <formula>AND(COUNTIF(I486:BG486,"&lt;&gt;" &amp; "")&gt;0,NOT(ISBLANK(G486)))</formula>
    </cfRule>
  </conditionalFormatting>
  <conditionalFormatting sqref="G487">
    <cfRule type="expression" dxfId="0" priority="2083">
      <formula>COUNTIF(I487:BG487,"&lt;&gt;" &amp; "")&gt;0</formula>
    </cfRule>
    <cfRule type="expression" dxfId="1" priority="2084">
      <formula>AND(COUNTIF(I487:BG487,"&lt;&gt;" &amp; "")&gt;0,NOT(ISBLANK(G487)))</formula>
    </cfRule>
  </conditionalFormatting>
  <conditionalFormatting sqref="G488">
    <cfRule type="expression" dxfId="0" priority="2086">
      <formula>COUNTIF(I488:BG488,"&lt;&gt;" &amp; "")&gt;0</formula>
    </cfRule>
    <cfRule type="expression" dxfId="1" priority="2087">
      <formula>AND(COUNTIF(I488:BG488,"&lt;&gt;" &amp; "")&gt;0,NOT(ISBLANK(G488)))</formula>
    </cfRule>
  </conditionalFormatting>
  <conditionalFormatting sqref="G49">
    <cfRule type="expression" dxfId="0" priority="355">
      <formula>COUNTIF(I49:BG49,"&lt;&gt;" &amp; "")&gt;0</formula>
    </cfRule>
    <cfRule type="expression" dxfId="1" priority="356">
      <formula>AND(COUNTIF(I49:BG49,"&lt;&gt;" &amp; "")&gt;0,NOT(ISBLANK(G49)))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358">
      <formula>COUNTIF(I50:BG50,"&lt;&gt;" &amp; "")&gt;0</formula>
    </cfRule>
    <cfRule type="expression" dxfId="1" priority="359">
      <formula>AND(COUNTIF(I50:BG50,"&lt;&gt;" &amp; "")&gt;0,NOT(ISBLANK(G50)))</formula>
    </cfRule>
  </conditionalFormatting>
  <conditionalFormatting sqref="G51">
    <cfRule type="expression" dxfId="0" priority="361">
      <formula>COUNTIF(I51:BG51,"&lt;&gt;" &amp; "")&gt;0</formula>
    </cfRule>
    <cfRule type="expression" dxfId="1" priority="362">
      <formula>AND(COUNTIF(I51:BG51,"&lt;&gt;" &amp; "")&gt;0,NOT(ISBLANK(G51)))</formula>
    </cfRule>
  </conditionalFormatting>
  <conditionalFormatting sqref="G52">
    <cfRule type="expression" dxfId="0" priority="364">
      <formula>COUNTIF(I52:BG52,"&lt;&gt;" &amp; "")&gt;0</formula>
    </cfRule>
    <cfRule type="expression" dxfId="1" priority="365">
      <formula>AND(COUNTIF(I52:BG52,"&lt;&gt;" &amp; "")&gt;0,NOT(ISBLANK(G52)))</formula>
    </cfRule>
  </conditionalFormatting>
  <conditionalFormatting sqref="G53">
    <cfRule type="expression" dxfId="0" priority="367">
      <formula>COUNTIF(I53:BG53,"&lt;&gt;" &amp; "")&gt;0</formula>
    </cfRule>
    <cfRule type="expression" dxfId="1" priority="368">
      <formula>AND(COUNTIF(I53:BG53,"&lt;&gt;" &amp; "")&gt;0,NOT(ISBLANK(G53)))</formula>
    </cfRule>
  </conditionalFormatting>
  <conditionalFormatting sqref="G54">
    <cfRule type="expression" dxfId="0" priority="370">
      <formula>COUNTIF(I54:BG54,"&lt;&gt;" &amp; "")&gt;0</formula>
    </cfRule>
    <cfRule type="expression" dxfId="1" priority="371">
      <formula>AND(COUNTIF(I54:BG54,"&lt;&gt;" &amp; "")&gt;0,NOT(ISBLANK(G54)))</formula>
    </cfRule>
  </conditionalFormatting>
  <conditionalFormatting sqref="G55">
    <cfRule type="expression" dxfId="0" priority="373">
      <formula>COUNTIF(I55:BG55,"&lt;&gt;" &amp; "")&gt;0</formula>
    </cfRule>
    <cfRule type="expression" dxfId="1" priority="374">
      <formula>AND(COUNTIF(I55:BG55,"&lt;&gt;" &amp; "")&gt;0,NOT(ISBLANK(G55)))</formula>
    </cfRule>
  </conditionalFormatting>
  <conditionalFormatting sqref="G56">
    <cfRule type="expression" dxfId="0" priority="376">
      <formula>COUNTIF(I56:BG56,"&lt;&gt;" &amp; "")&gt;0</formula>
    </cfRule>
    <cfRule type="expression" dxfId="1" priority="377">
      <formula>AND(COUNTIF(I56:BG56,"&lt;&gt;" &amp; "")&gt;0,NOT(ISBLANK(G56)))</formula>
    </cfRule>
  </conditionalFormatting>
  <conditionalFormatting sqref="G57">
    <cfRule type="expression" dxfId="0" priority="379">
      <formula>COUNTIF(I57:BG57,"&lt;&gt;" &amp; "")&gt;0</formula>
    </cfRule>
    <cfRule type="expression" dxfId="1" priority="380">
      <formula>AND(COUNTIF(I57:BG57,"&lt;&gt;" &amp; "")&gt;0,NOT(ISBLANK(G57)))</formula>
    </cfRule>
  </conditionalFormatting>
  <conditionalFormatting sqref="G58">
    <cfRule type="expression" dxfId="0" priority="382">
      <formula>COUNTIF(I58:BG58,"&lt;&gt;" &amp; "")&gt;0</formula>
    </cfRule>
    <cfRule type="expression" dxfId="1" priority="383">
      <formula>AND(COUNTIF(I58:BG58,"&lt;&gt;" &amp; "")&gt;0,NOT(ISBLANK(G58)))</formula>
    </cfRule>
  </conditionalFormatting>
  <conditionalFormatting sqref="G59">
    <cfRule type="expression" dxfId="0" priority="385">
      <formula>COUNTIF(I59:BG59,"&lt;&gt;" &amp; "")&gt;0</formula>
    </cfRule>
    <cfRule type="expression" dxfId="1" priority="386">
      <formula>AND(COUNTIF(I59:BG59,"&lt;&gt;" &amp; "")&gt;0,NOT(ISBLANK(G59)))</formula>
    </cfRule>
  </conditionalFormatting>
  <conditionalFormatting sqref="G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G60">
    <cfRule type="expression" dxfId="0" priority="388">
      <formula>COUNTIF(I60:BG60,"&lt;&gt;" &amp; "")&gt;0</formula>
    </cfRule>
    <cfRule type="expression" dxfId="1" priority="389">
      <formula>AND(COUNTIF(I60:BG60,"&lt;&gt;" &amp; "")&gt;0,NOT(ISBLANK(G60)))</formula>
    </cfRule>
  </conditionalFormatting>
  <conditionalFormatting sqref="G61">
    <cfRule type="expression" dxfId="0" priority="391">
      <formula>COUNTIF(I61:BG61,"&lt;&gt;" &amp; "")&gt;0</formula>
    </cfRule>
    <cfRule type="expression" dxfId="1" priority="392">
      <formula>AND(COUNTIF(I61:BG61,"&lt;&gt;" &amp; "")&gt;0,NOT(ISBLANK(G61)))</formula>
    </cfRule>
  </conditionalFormatting>
  <conditionalFormatting sqref="G62">
    <cfRule type="expression" dxfId="0" priority="394">
      <formula>COUNTIF(I62:BG62,"&lt;&gt;" &amp; "")&gt;0</formula>
    </cfRule>
    <cfRule type="expression" dxfId="1" priority="395">
      <formula>AND(COUNTIF(I62:BG62,"&lt;&gt;" &amp; "")&gt;0,NOT(ISBLANK(G62)))</formula>
    </cfRule>
  </conditionalFormatting>
  <conditionalFormatting sqref="G63">
    <cfRule type="expression" dxfId="0" priority="397">
      <formula>COUNTIF(I63:BG63,"&lt;&gt;" &amp; "")&gt;0</formula>
    </cfRule>
    <cfRule type="expression" dxfId="1" priority="398">
      <formula>AND(COUNTIF(I63:BG63,"&lt;&gt;" &amp; "")&gt;0,NOT(ISBLANK(G63)))</formula>
    </cfRule>
  </conditionalFormatting>
  <conditionalFormatting sqref="G64">
    <cfRule type="expression" dxfId="0" priority="400">
      <formula>COUNTIF(I64:BG64,"&lt;&gt;" &amp; "")&gt;0</formula>
    </cfRule>
    <cfRule type="expression" dxfId="1" priority="401">
      <formula>AND(COUNTIF(I64:BG64,"&lt;&gt;" &amp; "")&gt;0,NOT(ISBLANK(G64)))</formula>
    </cfRule>
  </conditionalFormatting>
  <conditionalFormatting sqref="G65">
    <cfRule type="expression" dxfId="0" priority="403">
      <formula>COUNTIF(I65:BG65,"&lt;&gt;" &amp; "")&gt;0</formula>
    </cfRule>
    <cfRule type="expression" dxfId="1" priority="404">
      <formula>AND(COUNTIF(I65:BG65,"&lt;&gt;" &amp; "")&gt;0,NOT(ISBLANK(G65)))</formula>
    </cfRule>
  </conditionalFormatting>
  <conditionalFormatting sqref="G66">
    <cfRule type="expression" dxfId="0" priority="406">
      <formula>COUNTIF(I66:BG66,"&lt;&gt;" &amp; "")&gt;0</formula>
    </cfRule>
    <cfRule type="expression" dxfId="1" priority="407">
      <formula>AND(COUNTIF(I66:BG66,"&lt;&gt;" &amp; "")&gt;0,NOT(ISBLANK(G66)))</formula>
    </cfRule>
  </conditionalFormatting>
  <conditionalFormatting sqref="G67">
    <cfRule type="expression" dxfId="0" priority="409">
      <formula>COUNTIF(I67:BG67,"&lt;&gt;" &amp; "")&gt;0</formula>
    </cfRule>
    <cfRule type="expression" dxfId="1" priority="410">
      <formula>AND(COUNTIF(I67:BG67,"&lt;&gt;" &amp; "")&gt;0,NOT(ISBLANK(G67)))</formula>
    </cfRule>
  </conditionalFormatting>
  <conditionalFormatting sqref="G68">
    <cfRule type="expression" dxfId="0" priority="412">
      <formula>COUNTIF(I68:BG68,"&lt;&gt;" &amp; "")&gt;0</formula>
    </cfRule>
    <cfRule type="expression" dxfId="1" priority="413">
      <formula>AND(COUNTIF(I68:BG68,"&lt;&gt;" &amp; "")&gt;0,NOT(ISBLANK(G68)))</formula>
    </cfRule>
  </conditionalFormatting>
  <conditionalFormatting sqref="G69">
    <cfRule type="expression" dxfId="0" priority="415">
      <formula>COUNTIF(I69:BG69,"&lt;&gt;" &amp; "")&gt;0</formula>
    </cfRule>
    <cfRule type="expression" dxfId="1" priority="416">
      <formula>AND(COUNTIF(I69:BG69,"&lt;&gt;" &amp; "")&gt;0,NOT(ISBLANK(G69)))</formula>
    </cfRule>
  </conditionalFormatting>
  <conditionalFormatting sqref="G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G70">
    <cfRule type="expression" dxfId="0" priority="418">
      <formula>COUNTIF(I70:BG70,"&lt;&gt;" &amp; "")&gt;0</formula>
    </cfRule>
    <cfRule type="expression" dxfId="1" priority="419">
      <formula>AND(COUNTIF(I70:BG70,"&lt;&gt;" &amp; "")&gt;0,NOT(ISBLANK(G70)))</formula>
    </cfRule>
  </conditionalFormatting>
  <conditionalFormatting sqref="G71">
    <cfRule type="expression" dxfId="0" priority="421">
      <formula>COUNTIF(I71:BG71,"&lt;&gt;" &amp; "")&gt;0</formula>
    </cfRule>
    <cfRule type="expression" dxfId="1" priority="422">
      <formula>AND(COUNTIF(I71:BG71,"&lt;&gt;" &amp; "")&gt;0,NOT(ISBLANK(G71)))</formula>
    </cfRule>
  </conditionalFormatting>
  <conditionalFormatting sqref="G72">
    <cfRule type="expression" dxfId="0" priority="424">
      <formula>COUNTIF(I72:BG72,"&lt;&gt;" &amp; "")&gt;0</formula>
    </cfRule>
    <cfRule type="expression" dxfId="1" priority="425">
      <formula>AND(COUNTIF(I72:BG72,"&lt;&gt;" &amp; "")&gt;0,NOT(ISBLANK(G72)))</formula>
    </cfRule>
  </conditionalFormatting>
  <conditionalFormatting sqref="G73">
    <cfRule type="expression" dxfId="0" priority="427">
      <formula>COUNTIF(I73:BG73,"&lt;&gt;" &amp; "")&gt;0</formula>
    </cfRule>
    <cfRule type="expression" dxfId="1" priority="428">
      <formula>AND(COUNTIF(I73:BG73,"&lt;&gt;" &amp; "")&gt;0,NOT(ISBLANK(G73)))</formula>
    </cfRule>
  </conditionalFormatting>
  <conditionalFormatting sqref="G74">
    <cfRule type="expression" dxfId="0" priority="430">
      <formula>COUNTIF(I74:BG74,"&lt;&gt;" &amp; "")&gt;0</formula>
    </cfRule>
    <cfRule type="expression" dxfId="1" priority="431">
      <formula>AND(COUNTIF(I74:BG74,"&lt;&gt;" &amp; "")&gt;0,NOT(ISBLANK(G74)))</formula>
    </cfRule>
  </conditionalFormatting>
  <conditionalFormatting sqref="G75">
    <cfRule type="expression" dxfId="0" priority="433">
      <formula>COUNTIF(I75:BG75,"&lt;&gt;" &amp; "")&gt;0</formula>
    </cfRule>
    <cfRule type="expression" dxfId="1" priority="434">
      <formula>AND(COUNTIF(I75:BG75,"&lt;&gt;" &amp; "")&gt;0,NOT(ISBLANK(G75)))</formula>
    </cfRule>
  </conditionalFormatting>
  <conditionalFormatting sqref="G76">
    <cfRule type="expression" dxfId="0" priority="436">
      <formula>COUNTIF(I76:BG76,"&lt;&gt;" &amp; "")&gt;0</formula>
    </cfRule>
    <cfRule type="expression" dxfId="1" priority="437">
      <formula>AND(COUNTIF(I76:BG76,"&lt;&gt;" &amp; "")&gt;0,NOT(ISBLANK(G76)))</formula>
    </cfRule>
  </conditionalFormatting>
  <conditionalFormatting sqref="G77">
    <cfRule type="expression" dxfId="0" priority="439">
      <formula>COUNTIF(I77:BG77,"&lt;&gt;" &amp; "")&gt;0</formula>
    </cfRule>
    <cfRule type="expression" dxfId="1" priority="440">
      <formula>AND(COUNTIF(I77:BG77,"&lt;&gt;" &amp; "")&gt;0,NOT(ISBLANK(G77)))</formula>
    </cfRule>
  </conditionalFormatting>
  <conditionalFormatting sqref="G78">
    <cfRule type="expression" dxfId="0" priority="442">
      <formula>COUNTIF(I78:BG78,"&lt;&gt;" &amp; "")&gt;0</formula>
    </cfRule>
    <cfRule type="expression" dxfId="1" priority="443">
      <formula>AND(COUNTIF(I78:BG78,"&lt;&gt;" &amp; "")&gt;0,NOT(ISBLANK(G78)))</formula>
    </cfRule>
  </conditionalFormatting>
  <conditionalFormatting sqref="G79">
    <cfRule type="expression" dxfId="0" priority="445">
      <formula>COUNTIF(I79:BG79,"&lt;&gt;" &amp; "")&gt;0</formula>
    </cfRule>
    <cfRule type="expression" dxfId="1" priority="446">
      <formula>AND(COUNTIF(I79:BG79,"&lt;&gt;" &amp; "")&gt;0,NOT(ISBLANK(G79)))</formula>
    </cfRule>
  </conditionalFormatting>
  <conditionalFormatting sqref="G8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G80">
    <cfRule type="expression" dxfId="0" priority="448">
      <formula>COUNTIF(I80:BG80,"&lt;&gt;" &amp; "")&gt;0</formula>
    </cfRule>
    <cfRule type="expression" dxfId="1" priority="449">
      <formula>AND(COUNTIF(I80:BG80,"&lt;&gt;" &amp; "")&gt;0,NOT(ISBLANK(G80)))</formula>
    </cfRule>
  </conditionalFormatting>
  <conditionalFormatting sqref="G81">
    <cfRule type="expression" dxfId="0" priority="451">
      <formula>COUNTIF(I81:BG81,"&lt;&gt;" &amp; "")&gt;0</formula>
    </cfRule>
    <cfRule type="expression" dxfId="1" priority="452">
      <formula>AND(COUNTIF(I81:BG81,"&lt;&gt;" &amp; "")&gt;0,NOT(ISBLANK(G81)))</formula>
    </cfRule>
  </conditionalFormatting>
  <conditionalFormatting sqref="G82">
    <cfRule type="expression" dxfId="0" priority="454">
      <formula>COUNTIF(I82:BG82,"&lt;&gt;" &amp; "")&gt;0</formula>
    </cfRule>
    <cfRule type="expression" dxfId="1" priority="455">
      <formula>AND(COUNTIF(I82:BG82,"&lt;&gt;" &amp; "")&gt;0,NOT(ISBLANK(G82)))</formula>
    </cfRule>
  </conditionalFormatting>
  <conditionalFormatting sqref="G83">
    <cfRule type="expression" dxfId="0" priority="457">
      <formula>COUNTIF(I83:BG83,"&lt;&gt;" &amp; "")&gt;0</formula>
    </cfRule>
    <cfRule type="expression" dxfId="1" priority="458">
      <formula>AND(COUNTIF(I83:BG83,"&lt;&gt;" &amp; "")&gt;0,NOT(ISBLANK(G83)))</formula>
    </cfRule>
  </conditionalFormatting>
  <conditionalFormatting sqref="G84">
    <cfRule type="expression" dxfId="0" priority="460">
      <formula>COUNTIF(I84:BG84,"&lt;&gt;" &amp; "")&gt;0</formula>
    </cfRule>
    <cfRule type="expression" dxfId="1" priority="461">
      <formula>AND(COUNTIF(I84:BG84,"&lt;&gt;" &amp; "")&gt;0,NOT(ISBLANK(G84)))</formula>
    </cfRule>
  </conditionalFormatting>
  <conditionalFormatting sqref="G85">
    <cfRule type="expression" dxfId="0" priority="463">
      <formula>COUNTIF(I85:BG85,"&lt;&gt;" &amp; "")&gt;0</formula>
    </cfRule>
    <cfRule type="expression" dxfId="1" priority="464">
      <formula>AND(COUNTIF(I85:BG85,"&lt;&gt;" &amp; "")&gt;0,NOT(ISBLANK(G85)))</formula>
    </cfRule>
  </conditionalFormatting>
  <conditionalFormatting sqref="G86">
    <cfRule type="expression" dxfId="0" priority="466">
      <formula>COUNTIF(I86:BG86,"&lt;&gt;" &amp; "")&gt;0</formula>
    </cfRule>
    <cfRule type="expression" dxfId="1" priority="467">
      <formula>AND(COUNTIF(I86:BG86,"&lt;&gt;" &amp; "")&gt;0,NOT(ISBLANK(G86)))</formula>
    </cfRule>
  </conditionalFormatting>
  <conditionalFormatting sqref="G87">
    <cfRule type="expression" dxfId="0" priority="469">
      <formula>COUNTIF(I87:BG87,"&lt;&gt;" &amp; "")&gt;0</formula>
    </cfRule>
    <cfRule type="expression" dxfId="1" priority="470">
      <formula>AND(COUNTIF(I87:BG87,"&lt;&gt;" &amp; "")&gt;0,NOT(ISBLANK(G87)))</formula>
    </cfRule>
  </conditionalFormatting>
  <conditionalFormatting sqref="G88">
    <cfRule type="expression" dxfId="0" priority="472">
      <formula>COUNTIF(I88:BG88,"&lt;&gt;" &amp; "")&gt;0</formula>
    </cfRule>
    <cfRule type="expression" dxfId="1" priority="473">
      <formula>AND(COUNTIF(I88:BG88,"&lt;&gt;" &amp; "")&gt;0,NOT(ISBLANK(G88)))</formula>
    </cfRule>
  </conditionalFormatting>
  <conditionalFormatting sqref="G89">
    <cfRule type="expression" dxfId="0" priority="475">
      <formula>COUNTIF(I89:BG89,"&lt;&gt;" &amp; "")&gt;0</formula>
    </cfRule>
    <cfRule type="expression" dxfId="1" priority="476">
      <formula>AND(COUNTIF(I89:BG89,"&lt;&gt;" &amp; "")&gt;0,NOT(ISBLANK(G89)))</formula>
    </cfRule>
  </conditionalFormatting>
  <conditionalFormatting sqref="G9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G90">
    <cfRule type="expression" dxfId="0" priority="478">
      <formula>COUNTIF(I90:BG90,"&lt;&gt;" &amp; "")&gt;0</formula>
    </cfRule>
    <cfRule type="expression" dxfId="1" priority="479">
      <formula>AND(COUNTIF(I90:BG90,"&lt;&gt;" &amp; "")&gt;0,NOT(ISBLANK(G90)))</formula>
    </cfRule>
  </conditionalFormatting>
  <conditionalFormatting sqref="G91">
    <cfRule type="expression" dxfId="0" priority="481">
      <formula>COUNTIF(I91:BG91,"&lt;&gt;" &amp; "")&gt;0</formula>
    </cfRule>
    <cfRule type="expression" dxfId="1" priority="482">
      <formula>AND(COUNTIF(I91:BG91,"&lt;&gt;" &amp; "")&gt;0,NOT(ISBLANK(G91)))</formula>
    </cfRule>
  </conditionalFormatting>
  <conditionalFormatting sqref="G92">
    <cfRule type="expression" dxfId="0" priority="484">
      <formula>COUNTIF(I92:BG92,"&lt;&gt;" &amp; "")&gt;0</formula>
    </cfRule>
    <cfRule type="expression" dxfId="1" priority="485">
      <formula>AND(COUNTIF(I92:BG92,"&lt;&gt;" &amp; "")&gt;0,NOT(ISBLANK(G92)))</formula>
    </cfRule>
  </conditionalFormatting>
  <conditionalFormatting sqref="G93">
    <cfRule type="expression" dxfId="0" priority="487">
      <formula>COUNTIF(I93:BG93,"&lt;&gt;" &amp; "")&gt;0</formula>
    </cfRule>
    <cfRule type="expression" dxfId="1" priority="488">
      <formula>AND(COUNTIF(I93:BG93,"&lt;&gt;" &amp; "")&gt;0,NOT(ISBLANK(G93)))</formula>
    </cfRule>
  </conditionalFormatting>
  <conditionalFormatting sqref="G94">
    <cfRule type="expression" dxfId="0" priority="490">
      <formula>COUNTIF(I94:BG94,"&lt;&gt;" &amp; "")&gt;0</formula>
    </cfRule>
    <cfRule type="expression" dxfId="1" priority="491">
      <formula>AND(COUNTIF(I94:BG94,"&lt;&gt;" &amp; "")&gt;0,NOT(ISBLANK(G94)))</formula>
    </cfRule>
  </conditionalFormatting>
  <conditionalFormatting sqref="G95">
    <cfRule type="expression" dxfId="0" priority="493">
      <formula>COUNTIF(I95:BG95,"&lt;&gt;" &amp; "")&gt;0</formula>
    </cfRule>
    <cfRule type="expression" dxfId="1" priority="494">
      <formula>AND(COUNTIF(I95:BG95,"&lt;&gt;" &amp; "")&gt;0,NOT(ISBLANK(G95)))</formula>
    </cfRule>
  </conditionalFormatting>
  <conditionalFormatting sqref="G96">
    <cfRule type="expression" dxfId="0" priority="496">
      <formula>COUNTIF(I96:BG96,"&lt;&gt;" &amp; "")&gt;0</formula>
    </cfRule>
    <cfRule type="expression" dxfId="1" priority="497">
      <formula>AND(COUNTIF(I96:BG96,"&lt;&gt;" &amp; "")&gt;0,NOT(ISBLANK(G96)))</formula>
    </cfRule>
  </conditionalFormatting>
  <conditionalFormatting sqref="G97">
    <cfRule type="expression" dxfId="0" priority="499">
      <formula>COUNTIF(I97:BG97,"&lt;&gt;" &amp; "")&gt;0</formula>
    </cfRule>
    <cfRule type="expression" dxfId="1" priority="500">
      <formula>AND(COUNTIF(I97:BG97,"&lt;&gt;" &amp; "")&gt;0,NOT(ISBLANK(G97)))</formula>
    </cfRule>
  </conditionalFormatting>
  <conditionalFormatting sqref="G98">
    <cfRule type="expression" dxfId="0" priority="502">
      <formula>COUNTIF(I98:BG98,"&lt;&gt;" &amp; "")&gt;0</formula>
    </cfRule>
    <cfRule type="expression" dxfId="1" priority="503">
      <formula>AND(COUNTIF(I98:BG98,"&lt;&gt;" &amp; "")&gt;0,NOT(ISBLANK(G98)))</formula>
    </cfRule>
  </conditionalFormatting>
  <conditionalFormatting sqref="G99">
    <cfRule type="expression" dxfId="0" priority="505">
      <formula>COUNTIF(I99:BG99,"&lt;&gt;" &amp; "")&gt;0</formula>
    </cfRule>
    <cfRule type="expression" dxfId="1" priority="506">
      <formula>AND(COUNTIF(I99:BG99,"&lt;&gt;" &amp; "")&gt;0,NOT(ISBLANK(G99)))</formula>
    </cfRule>
  </conditionalFormatting>
  <conditionalFormatting sqref="H10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H12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H13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H14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H15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H16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H168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H169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H17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H17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H17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173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H175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H176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H177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H178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H179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H331">
    <cfRule type="cellIs" dxfId="2" priority="1403" operator="equal">
      <formula>"Y"</formula>
    </cfRule>
    <cfRule type="cellIs" dxfId="3" priority="1404" operator="equal">
      <formula>"N"</formula>
    </cfRule>
  </conditionalFormatting>
  <conditionalFormatting sqref="H332">
    <cfRule type="cellIs" dxfId="2" priority="1425" operator="equal">
      <formula>"Y"</formula>
    </cfRule>
    <cfRule type="cellIs" dxfId="3" priority="1426" operator="equal">
      <formula>"N"</formula>
    </cfRule>
  </conditionalFormatting>
  <conditionalFormatting sqref="H333">
    <cfRule type="cellIs" dxfId="2" priority="1447" operator="equal">
      <formula>"Y"</formula>
    </cfRule>
    <cfRule type="cellIs" dxfId="3" priority="1448" operator="equal">
      <formula>"N"</formula>
    </cfRule>
  </conditionalFormatting>
  <conditionalFormatting sqref="H334">
    <cfRule type="cellIs" dxfId="2" priority="1469" operator="equal">
      <formula>"Y"</formula>
    </cfRule>
    <cfRule type="cellIs" dxfId="3" priority="1470" operator="equal">
      <formula>"N"</formula>
    </cfRule>
  </conditionalFormatting>
  <conditionalFormatting sqref="H335">
    <cfRule type="cellIs" dxfId="2" priority="1491" operator="equal">
      <formula>"Y"</formula>
    </cfRule>
    <cfRule type="cellIs" dxfId="3" priority="1492" operator="equal">
      <formula>"N"</formula>
    </cfRule>
  </conditionalFormatting>
  <conditionalFormatting sqref="H336">
    <cfRule type="cellIs" dxfId="2" priority="1513" operator="equal">
      <formula>"Y"</formula>
    </cfRule>
    <cfRule type="cellIs" dxfId="3" priority="1514" operator="equal">
      <formula>"N"</formula>
    </cfRule>
  </conditionalFormatting>
  <conditionalFormatting sqref="H338">
    <cfRule type="cellIs" dxfId="2" priority="1559" operator="equal">
      <formula>"Y"</formula>
    </cfRule>
    <cfRule type="cellIs" dxfId="3" priority="1560" operator="equal">
      <formula>"N"</formula>
    </cfRule>
  </conditionalFormatting>
  <conditionalFormatting sqref="H339">
    <cfRule type="cellIs" dxfId="2" priority="1581" operator="equal">
      <formula>"Y"</formula>
    </cfRule>
    <cfRule type="cellIs" dxfId="3" priority="1582" operator="equal">
      <formula>"N"</formula>
    </cfRule>
  </conditionalFormatting>
  <conditionalFormatting sqref="H340">
    <cfRule type="cellIs" dxfId="2" priority="1603" operator="equal">
      <formula>"Y"</formula>
    </cfRule>
    <cfRule type="cellIs" dxfId="3" priority="1604" operator="equal">
      <formula>"N"</formula>
    </cfRule>
  </conditionalFormatting>
  <conditionalFormatting sqref="H341">
    <cfRule type="cellIs" dxfId="2" priority="1625" operator="equal">
      <formula>"Y"</formula>
    </cfRule>
    <cfRule type="cellIs" dxfId="3" priority="1626" operator="equal">
      <formula>"N"</formula>
    </cfRule>
  </conditionalFormatting>
  <conditionalFormatting sqref="H342">
    <cfRule type="cellIs" dxfId="2" priority="1647" operator="equal">
      <formula>"Y"</formula>
    </cfRule>
    <cfRule type="cellIs" dxfId="3" priority="1648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H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H8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H9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10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I11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I13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I14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I15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I16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I168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I169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I17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I17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I17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173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I174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I176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I177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I178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I179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I331">
    <cfRule type="cellIs" dxfId="2" priority="1405" operator="equal">
      <formula>"Y"</formula>
    </cfRule>
    <cfRule type="cellIs" dxfId="3" priority="1406" operator="equal">
      <formula>"N"</formula>
    </cfRule>
  </conditionalFormatting>
  <conditionalFormatting sqref="I332">
    <cfRule type="cellIs" dxfId="2" priority="1427" operator="equal">
      <formula>"Y"</formula>
    </cfRule>
    <cfRule type="cellIs" dxfId="3" priority="1428" operator="equal">
      <formula>"N"</formula>
    </cfRule>
  </conditionalFormatting>
  <conditionalFormatting sqref="I333">
    <cfRule type="cellIs" dxfId="2" priority="1449" operator="equal">
      <formula>"Y"</formula>
    </cfRule>
    <cfRule type="cellIs" dxfId="3" priority="1450" operator="equal">
      <formula>"N"</formula>
    </cfRule>
  </conditionalFormatting>
  <conditionalFormatting sqref="I334">
    <cfRule type="cellIs" dxfId="2" priority="1471" operator="equal">
      <formula>"Y"</formula>
    </cfRule>
    <cfRule type="cellIs" dxfId="3" priority="1472" operator="equal">
      <formula>"N"</formula>
    </cfRule>
  </conditionalFormatting>
  <conditionalFormatting sqref="I335">
    <cfRule type="cellIs" dxfId="2" priority="1493" operator="equal">
      <formula>"Y"</formula>
    </cfRule>
    <cfRule type="cellIs" dxfId="3" priority="1494" operator="equal">
      <formula>"N"</formula>
    </cfRule>
  </conditionalFormatting>
  <conditionalFormatting sqref="I336">
    <cfRule type="cellIs" dxfId="2" priority="1515" operator="equal">
      <formula>"Y"</formula>
    </cfRule>
    <cfRule type="cellIs" dxfId="3" priority="1516" operator="equal">
      <formula>"N"</formula>
    </cfRule>
  </conditionalFormatting>
  <conditionalFormatting sqref="I337">
    <cfRule type="cellIs" dxfId="2" priority="1537" operator="equal">
      <formula>"Y"</formula>
    </cfRule>
    <cfRule type="cellIs" dxfId="3" priority="1538" operator="equal">
      <formula>"N"</formula>
    </cfRule>
  </conditionalFormatting>
  <conditionalFormatting sqref="I339">
    <cfRule type="cellIs" dxfId="2" priority="1583" operator="equal">
      <formula>"Y"</formula>
    </cfRule>
    <cfRule type="cellIs" dxfId="3" priority="1584" operator="equal">
      <formula>"N"</formula>
    </cfRule>
  </conditionalFormatting>
  <conditionalFormatting sqref="I340">
    <cfRule type="cellIs" dxfId="2" priority="1605" operator="equal">
      <formula>"Y"</formula>
    </cfRule>
    <cfRule type="cellIs" dxfId="3" priority="1606" operator="equal">
      <formula>"N"</formula>
    </cfRule>
  </conditionalFormatting>
  <conditionalFormatting sqref="I341">
    <cfRule type="cellIs" dxfId="2" priority="1627" operator="equal">
      <formula>"Y"</formula>
    </cfRule>
    <cfRule type="cellIs" dxfId="3" priority="1628" operator="equal">
      <formula>"N"</formula>
    </cfRule>
  </conditionalFormatting>
  <conditionalFormatting sqref="I342">
    <cfRule type="cellIs" dxfId="2" priority="1649" operator="equal">
      <formula>"Y"</formula>
    </cfRule>
    <cfRule type="cellIs" dxfId="3" priority="1650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I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I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I9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10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J11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J12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J14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J15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J16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J168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J169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J17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J17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J17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173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J174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J175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J177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J178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J179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J331">
    <cfRule type="cellIs" dxfId="2" priority="1407" operator="equal">
      <formula>"Y"</formula>
    </cfRule>
    <cfRule type="cellIs" dxfId="3" priority="1408" operator="equal">
      <formula>"N"</formula>
    </cfRule>
  </conditionalFormatting>
  <conditionalFormatting sqref="J332">
    <cfRule type="cellIs" dxfId="2" priority="1429" operator="equal">
      <formula>"Y"</formula>
    </cfRule>
    <cfRule type="cellIs" dxfId="3" priority="1430" operator="equal">
      <formula>"N"</formula>
    </cfRule>
  </conditionalFormatting>
  <conditionalFormatting sqref="J333">
    <cfRule type="cellIs" dxfId="2" priority="1451" operator="equal">
      <formula>"Y"</formula>
    </cfRule>
    <cfRule type="cellIs" dxfId="3" priority="1452" operator="equal">
      <formula>"N"</formula>
    </cfRule>
  </conditionalFormatting>
  <conditionalFormatting sqref="J334">
    <cfRule type="cellIs" dxfId="2" priority="1473" operator="equal">
      <formula>"Y"</formula>
    </cfRule>
    <cfRule type="cellIs" dxfId="3" priority="1474" operator="equal">
      <formula>"N"</formula>
    </cfRule>
  </conditionalFormatting>
  <conditionalFormatting sqref="J335">
    <cfRule type="cellIs" dxfId="2" priority="1495" operator="equal">
      <formula>"Y"</formula>
    </cfRule>
    <cfRule type="cellIs" dxfId="3" priority="1496" operator="equal">
      <formula>"N"</formula>
    </cfRule>
  </conditionalFormatting>
  <conditionalFormatting sqref="J336">
    <cfRule type="cellIs" dxfId="2" priority="1517" operator="equal">
      <formula>"Y"</formula>
    </cfRule>
    <cfRule type="cellIs" dxfId="3" priority="1518" operator="equal">
      <formula>"N"</formula>
    </cfRule>
  </conditionalFormatting>
  <conditionalFormatting sqref="J337">
    <cfRule type="cellIs" dxfId="2" priority="1539" operator="equal">
      <formula>"Y"</formula>
    </cfRule>
    <cfRule type="cellIs" dxfId="3" priority="1540" operator="equal">
      <formula>"N"</formula>
    </cfRule>
  </conditionalFormatting>
  <conditionalFormatting sqref="J338">
    <cfRule type="cellIs" dxfId="2" priority="1561" operator="equal">
      <formula>"Y"</formula>
    </cfRule>
    <cfRule type="cellIs" dxfId="3" priority="1562" operator="equal">
      <formula>"N"</formula>
    </cfRule>
  </conditionalFormatting>
  <conditionalFormatting sqref="J340">
    <cfRule type="cellIs" dxfId="2" priority="1607" operator="equal">
      <formula>"Y"</formula>
    </cfRule>
    <cfRule type="cellIs" dxfId="3" priority="1608" operator="equal">
      <formula>"N"</formula>
    </cfRule>
  </conditionalFormatting>
  <conditionalFormatting sqref="J341">
    <cfRule type="cellIs" dxfId="2" priority="1629" operator="equal">
      <formula>"Y"</formula>
    </cfRule>
    <cfRule type="cellIs" dxfId="3" priority="1630" operator="equal">
      <formula>"N"</formula>
    </cfRule>
  </conditionalFormatting>
  <conditionalFormatting sqref="J342">
    <cfRule type="cellIs" dxfId="2" priority="1651" operator="equal">
      <formula>"Y"</formula>
    </cfRule>
    <cfRule type="cellIs" dxfId="3" priority="1652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J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J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J9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10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K11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K12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K13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K15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K16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K168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K169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K17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K17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K17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173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K174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K175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K176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K178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K179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K331">
    <cfRule type="cellIs" dxfId="2" priority="1409" operator="equal">
      <formula>"Y"</formula>
    </cfRule>
    <cfRule type="cellIs" dxfId="3" priority="1410" operator="equal">
      <formula>"N"</formula>
    </cfRule>
  </conditionalFormatting>
  <conditionalFormatting sqref="K332">
    <cfRule type="cellIs" dxfId="2" priority="1431" operator="equal">
      <formula>"Y"</formula>
    </cfRule>
    <cfRule type="cellIs" dxfId="3" priority="1432" operator="equal">
      <formula>"N"</formula>
    </cfRule>
  </conditionalFormatting>
  <conditionalFormatting sqref="K333">
    <cfRule type="cellIs" dxfId="2" priority="1453" operator="equal">
      <formula>"Y"</formula>
    </cfRule>
    <cfRule type="cellIs" dxfId="3" priority="1454" operator="equal">
      <formula>"N"</formula>
    </cfRule>
  </conditionalFormatting>
  <conditionalFormatting sqref="K334">
    <cfRule type="cellIs" dxfId="2" priority="1475" operator="equal">
      <formula>"Y"</formula>
    </cfRule>
    <cfRule type="cellIs" dxfId="3" priority="1476" operator="equal">
      <formula>"N"</formula>
    </cfRule>
  </conditionalFormatting>
  <conditionalFormatting sqref="K335">
    <cfRule type="cellIs" dxfId="2" priority="1497" operator="equal">
      <formula>"Y"</formula>
    </cfRule>
    <cfRule type="cellIs" dxfId="3" priority="1498" operator="equal">
      <formula>"N"</formula>
    </cfRule>
  </conditionalFormatting>
  <conditionalFormatting sqref="K336">
    <cfRule type="cellIs" dxfId="2" priority="1519" operator="equal">
      <formula>"Y"</formula>
    </cfRule>
    <cfRule type="cellIs" dxfId="3" priority="1520" operator="equal">
      <formula>"N"</formula>
    </cfRule>
  </conditionalFormatting>
  <conditionalFormatting sqref="K337">
    <cfRule type="cellIs" dxfId="2" priority="1541" operator="equal">
      <formula>"Y"</formula>
    </cfRule>
    <cfRule type="cellIs" dxfId="3" priority="1542" operator="equal">
      <formula>"N"</formula>
    </cfRule>
  </conditionalFormatting>
  <conditionalFormatting sqref="K338">
    <cfRule type="cellIs" dxfId="2" priority="1563" operator="equal">
      <formula>"Y"</formula>
    </cfRule>
    <cfRule type="cellIs" dxfId="3" priority="1564" operator="equal">
      <formula>"N"</formula>
    </cfRule>
  </conditionalFormatting>
  <conditionalFormatting sqref="K339">
    <cfRule type="cellIs" dxfId="2" priority="1585" operator="equal">
      <formula>"Y"</formula>
    </cfRule>
    <cfRule type="cellIs" dxfId="3" priority="1586" operator="equal">
      <formula>"N"</formula>
    </cfRule>
  </conditionalFormatting>
  <conditionalFormatting sqref="K341">
    <cfRule type="cellIs" dxfId="2" priority="1631" operator="equal">
      <formula>"Y"</formula>
    </cfRule>
    <cfRule type="cellIs" dxfId="3" priority="1632" operator="equal">
      <formula>"N"</formula>
    </cfRule>
  </conditionalFormatting>
  <conditionalFormatting sqref="K342">
    <cfRule type="cellIs" dxfId="2" priority="1653" operator="equal">
      <formula>"Y"</formula>
    </cfRule>
    <cfRule type="cellIs" dxfId="3" priority="1654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K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K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K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10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L11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L12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L13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L14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6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L168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L169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L17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L17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L17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173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L174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L175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L176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L177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L179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L331">
    <cfRule type="cellIs" dxfId="2" priority="1411" operator="equal">
      <formula>"Y"</formula>
    </cfRule>
    <cfRule type="cellIs" dxfId="3" priority="1412" operator="equal">
      <formula>"N"</formula>
    </cfRule>
  </conditionalFormatting>
  <conditionalFormatting sqref="L332">
    <cfRule type="cellIs" dxfId="2" priority="1433" operator="equal">
      <formula>"Y"</formula>
    </cfRule>
    <cfRule type="cellIs" dxfId="3" priority="1434" operator="equal">
      <formula>"N"</formula>
    </cfRule>
  </conditionalFormatting>
  <conditionalFormatting sqref="L333">
    <cfRule type="cellIs" dxfId="2" priority="1455" operator="equal">
      <formula>"Y"</formula>
    </cfRule>
    <cfRule type="cellIs" dxfId="3" priority="1456" operator="equal">
      <formula>"N"</formula>
    </cfRule>
  </conditionalFormatting>
  <conditionalFormatting sqref="L334">
    <cfRule type="cellIs" dxfId="2" priority="1477" operator="equal">
      <formula>"Y"</formula>
    </cfRule>
    <cfRule type="cellIs" dxfId="3" priority="1478" operator="equal">
      <formula>"N"</formula>
    </cfRule>
  </conditionalFormatting>
  <conditionalFormatting sqref="L335">
    <cfRule type="cellIs" dxfId="2" priority="1499" operator="equal">
      <formula>"Y"</formula>
    </cfRule>
    <cfRule type="cellIs" dxfId="3" priority="1500" operator="equal">
      <formula>"N"</formula>
    </cfRule>
  </conditionalFormatting>
  <conditionalFormatting sqref="L336">
    <cfRule type="cellIs" dxfId="2" priority="1521" operator="equal">
      <formula>"Y"</formula>
    </cfRule>
    <cfRule type="cellIs" dxfId="3" priority="1522" operator="equal">
      <formula>"N"</formula>
    </cfRule>
  </conditionalFormatting>
  <conditionalFormatting sqref="L337">
    <cfRule type="cellIs" dxfId="2" priority="1543" operator="equal">
      <formula>"Y"</formula>
    </cfRule>
    <cfRule type="cellIs" dxfId="3" priority="1544" operator="equal">
      <formula>"N"</formula>
    </cfRule>
  </conditionalFormatting>
  <conditionalFormatting sqref="L338">
    <cfRule type="cellIs" dxfId="2" priority="1565" operator="equal">
      <formula>"Y"</formula>
    </cfRule>
    <cfRule type="cellIs" dxfId="3" priority="1566" operator="equal">
      <formula>"N"</formula>
    </cfRule>
  </conditionalFormatting>
  <conditionalFormatting sqref="L339">
    <cfRule type="cellIs" dxfId="2" priority="1587" operator="equal">
      <formula>"Y"</formula>
    </cfRule>
    <cfRule type="cellIs" dxfId="3" priority="1588" operator="equal">
      <formula>"N"</formula>
    </cfRule>
  </conditionalFormatting>
  <conditionalFormatting sqref="L340">
    <cfRule type="cellIs" dxfId="2" priority="1609" operator="equal">
      <formula>"Y"</formula>
    </cfRule>
    <cfRule type="cellIs" dxfId="3" priority="1610" operator="equal">
      <formula>"N"</formula>
    </cfRule>
  </conditionalFormatting>
  <conditionalFormatting sqref="L342">
    <cfRule type="cellIs" dxfId="2" priority="1655" operator="equal">
      <formula>"Y"</formula>
    </cfRule>
    <cfRule type="cellIs" dxfId="3" priority="1656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L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L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L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M11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M12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M13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M14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5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M168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M169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M17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M17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M17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173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M174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M175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M176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M177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M178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M331">
    <cfRule type="cellIs" dxfId="2" priority="1413" operator="equal">
      <formula>"Y"</formula>
    </cfRule>
    <cfRule type="cellIs" dxfId="3" priority="1414" operator="equal">
      <formula>"N"</formula>
    </cfRule>
  </conditionalFormatting>
  <conditionalFormatting sqref="M332">
    <cfRule type="cellIs" dxfId="2" priority="1435" operator="equal">
      <formula>"Y"</formula>
    </cfRule>
    <cfRule type="cellIs" dxfId="3" priority="1436" operator="equal">
      <formula>"N"</formula>
    </cfRule>
  </conditionalFormatting>
  <conditionalFormatting sqref="M333">
    <cfRule type="cellIs" dxfId="2" priority="1457" operator="equal">
      <formula>"Y"</formula>
    </cfRule>
    <cfRule type="cellIs" dxfId="3" priority="1458" operator="equal">
      <formula>"N"</formula>
    </cfRule>
  </conditionalFormatting>
  <conditionalFormatting sqref="M334">
    <cfRule type="cellIs" dxfId="2" priority="1479" operator="equal">
      <formula>"Y"</formula>
    </cfRule>
    <cfRule type="cellIs" dxfId="3" priority="1480" operator="equal">
      <formula>"N"</formula>
    </cfRule>
  </conditionalFormatting>
  <conditionalFormatting sqref="M335">
    <cfRule type="cellIs" dxfId="2" priority="1501" operator="equal">
      <formula>"Y"</formula>
    </cfRule>
    <cfRule type="cellIs" dxfId="3" priority="1502" operator="equal">
      <formula>"N"</formula>
    </cfRule>
  </conditionalFormatting>
  <conditionalFormatting sqref="M336">
    <cfRule type="cellIs" dxfId="2" priority="1523" operator="equal">
      <formula>"Y"</formula>
    </cfRule>
    <cfRule type="cellIs" dxfId="3" priority="1524" operator="equal">
      <formula>"N"</formula>
    </cfRule>
  </conditionalFormatting>
  <conditionalFormatting sqref="M337">
    <cfRule type="cellIs" dxfId="2" priority="1545" operator="equal">
      <formula>"Y"</formula>
    </cfRule>
    <cfRule type="cellIs" dxfId="3" priority="1546" operator="equal">
      <formula>"N"</formula>
    </cfRule>
  </conditionalFormatting>
  <conditionalFormatting sqref="M338">
    <cfRule type="cellIs" dxfId="2" priority="1567" operator="equal">
      <formula>"Y"</formula>
    </cfRule>
    <cfRule type="cellIs" dxfId="3" priority="1568" operator="equal">
      <formula>"N"</formula>
    </cfRule>
  </conditionalFormatting>
  <conditionalFormatting sqref="M339">
    <cfRule type="cellIs" dxfId="2" priority="1589" operator="equal">
      <formula>"Y"</formula>
    </cfRule>
    <cfRule type="cellIs" dxfId="3" priority="1590" operator="equal">
      <formula>"N"</formula>
    </cfRule>
  </conditionalFormatting>
  <conditionalFormatting sqref="M340">
    <cfRule type="cellIs" dxfId="2" priority="1611" operator="equal">
      <formula>"Y"</formula>
    </cfRule>
    <cfRule type="cellIs" dxfId="3" priority="1612" operator="equal">
      <formula>"N"</formula>
    </cfRule>
  </conditionalFormatting>
  <conditionalFormatting sqref="M341">
    <cfRule type="cellIs" dxfId="2" priority="1633" operator="equal">
      <formula>"Y"</formula>
    </cfRule>
    <cfRule type="cellIs" dxfId="3" priority="1634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M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M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M9">
    <cfRule type="cellIs" dxfId="2" priority="109" operator="equal">
      <formula>"Y"</formula>
    </cfRule>
    <cfRule type="cellIs" dxfId="3" priority="110" operator="equal">
      <formula>"N"</formula>
    </cfRule>
  </conditionalFormatting>
  <dataValidations count="864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E19">
      <formula1>"Number (years),Rate (per year),Duration (years)"</formula1>
    </dataValidation>
    <dataValidation type="list" allowBlank="1" showInputMessage="1" showErrorMessage="1" sqref="E20">
      <formula1>"Number (years),Rate (per year),Duration (years)"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B168">
      <formula1>"N.A."</formula1>
    </dataValidation>
    <dataValidation type="list" allowBlank="1" showInputMessage="1" showErrorMessage="1" sqref="C168">
      <formula1>"Y,N"</formula1>
    </dataValidation>
    <dataValidation type="list" allowBlank="1" showInputMessage="1" showErrorMessage="1" sqref="D168">
      <formula1>"Y,N"</formula1>
    </dataValidation>
    <dataValidation type="list" allowBlank="1" showInputMessage="1" showErrorMessage="1" sqref="E168">
      <formula1>"Y,N"</formula1>
    </dataValidation>
    <dataValidation type="list" allowBlank="1" showInputMessage="1" showErrorMessage="1" sqref="F168">
      <formula1>"Y,N"</formula1>
    </dataValidation>
    <dataValidation type="list" allowBlank="1" showInputMessage="1" showErrorMessage="1" sqref="G168">
      <formula1>"Y,N"</formula1>
    </dataValidation>
    <dataValidation type="list" allowBlank="1" showInputMessage="1" showErrorMessage="1" sqref="H168">
      <formula1>"Y,N"</formula1>
    </dataValidation>
    <dataValidation type="list" allowBlank="1" showInputMessage="1" showErrorMessage="1" sqref="I168">
      <formula1>"Y,N"</formula1>
    </dataValidation>
    <dataValidation type="list" allowBlank="1" showInputMessage="1" showErrorMessage="1" sqref="J168">
      <formula1>"Y,N"</formula1>
    </dataValidation>
    <dataValidation type="list" allowBlank="1" showInputMessage="1" showErrorMessage="1" sqref="K168">
      <formula1>"Y,N"</formula1>
    </dataValidation>
    <dataValidation type="list" allowBlank="1" showInputMessage="1" showErrorMessage="1" sqref="L168">
      <formula1>"Y,N"</formula1>
    </dataValidation>
    <dataValidation type="list" allowBlank="1" showInputMessage="1" showErrorMessage="1" sqref="M168">
      <formula1>"Y,N"</formula1>
    </dataValidation>
    <dataValidation type="list" allowBlank="1" showInputMessage="1" showErrorMessage="1" sqref="B169">
      <formula1>"Y,N"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D169">
      <formula1>"Y,N"</formula1>
    </dataValidation>
    <dataValidation type="list" allowBlank="1" showInputMessage="1" showErrorMessage="1" sqref="E169">
      <formula1>"Y,N"</formula1>
    </dataValidation>
    <dataValidation type="list" allowBlank="1" showInputMessage="1" showErrorMessage="1" sqref="F169">
      <formula1>"Y,N"</formula1>
    </dataValidation>
    <dataValidation type="list" allowBlank="1" showInputMessage="1" showErrorMessage="1" sqref="G169">
      <formula1>"Y,N"</formula1>
    </dataValidation>
    <dataValidation type="list" allowBlank="1" showInputMessage="1" showErrorMessage="1" sqref="H169">
      <formula1>"Y,N"</formula1>
    </dataValidation>
    <dataValidation type="list" allowBlank="1" showInputMessage="1" showErrorMessage="1" sqref="I169">
      <formula1>"Y,N"</formula1>
    </dataValidation>
    <dataValidation type="list" allowBlank="1" showInputMessage="1" showErrorMessage="1" sqref="J169">
      <formula1>"Y,N"</formula1>
    </dataValidation>
    <dataValidation type="list" allowBlank="1" showInputMessage="1" showErrorMessage="1" sqref="K169">
      <formula1>"Y,N"</formula1>
    </dataValidation>
    <dataValidation type="list" allowBlank="1" showInputMessage="1" showErrorMessage="1" sqref="L169">
      <formula1>"Y,N"</formula1>
    </dataValidation>
    <dataValidation type="list" allowBlank="1" showInputMessage="1" showErrorMessage="1" sqref="M169">
      <formula1>"Y,N"</formula1>
    </dataValidation>
    <dataValidation type="list" allowBlank="1" showInputMessage="1" showErrorMessage="1" sqref="B170">
      <formula1>"Y,N"</formula1>
    </dataValidation>
    <dataValidation type="list" allowBlank="1" showInputMessage="1" showErrorMessage="1" sqref="C170">
      <formula1>"Y,N"</formula1>
    </dataValidation>
    <dataValidation type="list" allowBlank="1" showInputMessage="1" showErrorMessage="1" sqref="D170">
      <formula1>"N.A."</formula1>
    </dataValidation>
    <dataValidation type="list" allowBlank="1" showInputMessage="1" showErrorMessage="1" sqref="E170">
      <formula1>"Y,N"</formula1>
    </dataValidation>
    <dataValidation type="list" allowBlank="1" showInputMessage="1" showErrorMessage="1" sqref="F170">
      <formula1>"Y,N"</formula1>
    </dataValidation>
    <dataValidation type="list" allowBlank="1" showInputMessage="1" showErrorMessage="1" sqref="G170">
      <formula1>"Y,N"</formula1>
    </dataValidation>
    <dataValidation type="list" allowBlank="1" showInputMessage="1" showErrorMessage="1" sqref="H170">
      <formula1>"Y,N"</formula1>
    </dataValidation>
    <dataValidation type="list" allowBlank="1" showInputMessage="1" showErrorMessage="1" sqref="I170">
      <formula1>"Y,N"</formula1>
    </dataValidation>
    <dataValidation type="list" allowBlank="1" showInputMessage="1" showErrorMessage="1" sqref="J170">
      <formula1>"Y,N"</formula1>
    </dataValidation>
    <dataValidation type="list" allowBlank="1" showInputMessage="1" showErrorMessage="1" sqref="K170">
      <formula1>"Y,N"</formula1>
    </dataValidation>
    <dataValidation type="list" allowBlank="1" showInputMessage="1" showErrorMessage="1" sqref="L170">
      <formula1>"Y,N"</formula1>
    </dataValidation>
    <dataValidation type="list" allowBlank="1" showInputMessage="1" showErrorMessage="1" sqref="M170">
      <formula1>"Y,N"</formula1>
    </dataValidation>
    <dataValidation type="list" allowBlank="1" showInputMessage="1" showErrorMessage="1" sqref="B171">
      <formula1>"Y,N"</formula1>
    </dataValidation>
    <dataValidation type="list" allowBlank="1" showInputMessage="1" showErrorMessage="1" sqref="C171">
      <formula1>"Y,N"</formula1>
    </dataValidation>
    <dataValidation type="list" allowBlank="1" showInputMessage="1" showErrorMessage="1" sqref="D171">
      <formula1>"Y,N"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F171">
      <formula1>"Y,N"</formula1>
    </dataValidation>
    <dataValidation type="list" allowBlank="1" showInputMessage="1" showErrorMessage="1" sqref="G171">
      <formula1>"Y,N"</formula1>
    </dataValidation>
    <dataValidation type="list" allowBlank="1" showInputMessage="1" showErrorMessage="1" sqref="H171">
      <formula1>"Y,N"</formula1>
    </dataValidation>
    <dataValidation type="list" allowBlank="1" showInputMessage="1" showErrorMessage="1" sqref="I171">
      <formula1>"Y,N"</formula1>
    </dataValidation>
    <dataValidation type="list" allowBlank="1" showInputMessage="1" showErrorMessage="1" sqref="J171">
      <formula1>"Y,N"</formula1>
    </dataValidation>
    <dataValidation type="list" allowBlank="1" showInputMessage="1" showErrorMessage="1" sqref="K171">
      <formula1>"Y,N"</formula1>
    </dataValidation>
    <dataValidation type="list" allowBlank="1" showInputMessage="1" showErrorMessage="1" sqref="L171">
      <formula1>"Y,N"</formula1>
    </dataValidation>
    <dataValidation type="list" allowBlank="1" showInputMessage="1" showErrorMessage="1" sqref="M171">
      <formula1>"Y,N"</formula1>
    </dataValidation>
    <dataValidation type="list" allowBlank="1" showInputMessage="1" showErrorMessage="1" sqref="B172">
      <formula1>"Y,N"</formula1>
    </dataValidation>
    <dataValidation type="list" allowBlank="1" showInputMessage="1" showErrorMessage="1" sqref="C172">
      <formula1>"Y,N"</formula1>
    </dataValidation>
    <dataValidation type="list" allowBlank="1" showInputMessage="1" showErrorMessage="1" sqref="D172">
      <formula1>"Y,N"</formula1>
    </dataValidation>
    <dataValidation type="list" allowBlank="1" showInputMessage="1" showErrorMessage="1" sqref="E172">
      <formula1>"Y,N"</formula1>
    </dataValidation>
    <dataValidation type="list" allowBlank="1" showInputMessage="1" showErrorMessage="1" sqref="F172">
      <formula1>"N.A."</formula1>
    </dataValidation>
    <dataValidation type="list" allowBlank="1" showInputMessage="1" showErrorMessage="1" sqref="G172">
      <formula1>"Y,N"</formula1>
    </dataValidation>
    <dataValidation type="list" allowBlank="1" showInputMessage="1" showErrorMessage="1" sqref="H172">
      <formula1>"Y,N"</formula1>
    </dataValidation>
    <dataValidation type="list" allowBlank="1" showInputMessage="1" showErrorMessage="1" sqref="I172">
      <formula1>"Y,N"</formula1>
    </dataValidation>
    <dataValidation type="list" allowBlank="1" showInputMessage="1" showErrorMessage="1" sqref="J172">
      <formula1>"Y,N"</formula1>
    </dataValidation>
    <dataValidation type="list" allowBlank="1" showInputMessage="1" showErrorMessage="1" sqref="K172">
      <formula1>"Y,N"</formula1>
    </dataValidation>
    <dataValidation type="list" allowBlank="1" showInputMessage="1" showErrorMessage="1" sqref="L172">
      <formula1>"Y,N"</formula1>
    </dataValidation>
    <dataValidation type="list" allowBlank="1" showInputMessage="1" showErrorMessage="1" sqref="M172">
      <formula1>"Y,N"</formula1>
    </dataValidation>
    <dataValidation type="list" allowBlank="1" showInputMessage="1" showErrorMessage="1" sqref="B173">
      <formula1>"Y,N"</formula1>
    </dataValidation>
    <dataValidation type="list" allowBlank="1" showInputMessage="1" showErrorMessage="1" sqref="C173">
      <formula1>"Y,N"</formula1>
    </dataValidation>
    <dataValidation type="list" allowBlank="1" showInputMessage="1" showErrorMessage="1" sqref="D173">
      <formula1>"Y,N"</formula1>
    </dataValidation>
    <dataValidation type="list" allowBlank="1" showInputMessage="1" showErrorMessage="1" sqref="E173">
      <formula1>"Y,N"</formula1>
    </dataValidation>
    <dataValidation type="list" allowBlank="1" showInputMessage="1" showErrorMessage="1" sqref="F173">
      <formula1>"Y,N"</formula1>
    </dataValidation>
    <dataValidation type="list" allowBlank="1" showInputMessage="1" showErrorMessage="1" sqref="G173">
      <formula1>"N.A."</formula1>
    </dataValidation>
    <dataValidation type="list" allowBlank="1" showInputMessage="1" showErrorMessage="1" sqref="H173">
      <formula1>"Y,N"</formula1>
    </dataValidation>
    <dataValidation type="list" allowBlank="1" showInputMessage="1" showErrorMessage="1" sqref="I173">
      <formula1>"Y,N"</formula1>
    </dataValidation>
    <dataValidation type="list" allowBlank="1" showInputMessage="1" showErrorMessage="1" sqref="J173">
      <formula1>"Y,N"</formula1>
    </dataValidation>
    <dataValidation type="list" allowBlank="1" showInputMessage="1" showErrorMessage="1" sqref="K173">
      <formula1>"Y,N"</formula1>
    </dataValidation>
    <dataValidation type="list" allowBlank="1" showInputMessage="1" showErrorMessage="1" sqref="L173">
      <formula1>"Y,N"</formula1>
    </dataValidation>
    <dataValidation type="list" allowBlank="1" showInputMessage="1" showErrorMessage="1" sqref="M173">
      <formula1>"Y,N"</formula1>
    </dataValidation>
    <dataValidation type="list" allowBlank="1" showInputMessage="1" showErrorMessage="1" sqref="B174">
      <formula1>"Y,N"</formula1>
    </dataValidation>
    <dataValidation type="list" allowBlank="1" showInputMessage="1" showErrorMessage="1" sqref="C174">
      <formula1>"Y,N"</formula1>
    </dataValidation>
    <dataValidation type="list" allowBlank="1" showInputMessage="1" showErrorMessage="1" sqref="D174">
      <formula1>"Y,N"</formula1>
    </dataValidation>
    <dataValidation type="list" allowBlank="1" showInputMessage="1" showErrorMessage="1" sqref="E174">
      <formula1>"Y,N"</formula1>
    </dataValidation>
    <dataValidation type="list" allowBlank="1" showInputMessage="1" showErrorMessage="1" sqref="F174">
      <formula1>"Y,N"</formula1>
    </dataValidation>
    <dataValidation type="list" allowBlank="1" showInputMessage="1" showErrorMessage="1" sqref="G174">
      <formula1>"Y,N"</formula1>
    </dataValidation>
    <dataValidation type="list" allowBlank="1" showInputMessage="1" showErrorMessage="1" sqref="H174">
      <formula1>"N.A."</formula1>
    </dataValidation>
    <dataValidation type="list" allowBlank="1" showInputMessage="1" showErrorMessage="1" sqref="I174">
      <formula1>"Y,N"</formula1>
    </dataValidation>
    <dataValidation type="list" allowBlank="1" showInputMessage="1" showErrorMessage="1" sqref="J174">
      <formula1>"Y,N"</formula1>
    </dataValidation>
    <dataValidation type="list" allowBlank="1" showInputMessage="1" showErrorMessage="1" sqref="K174">
      <formula1>"Y,N"</formula1>
    </dataValidation>
    <dataValidation type="list" allowBlank="1" showInputMessage="1" showErrorMessage="1" sqref="L174">
      <formula1>"Y,N"</formula1>
    </dataValidation>
    <dataValidation type="list" allowBlank="1" showInputMessage="1" showErrorMessage="1" sqref="M174">
      <formula1>"Y,N"</formula1>
    </dataValidation>
    <dataValidation type="list" allowBlank="1" showInputMessage="1" showErrorMessage="1" sqref="B175">
      <formula1>"Y,N"</formula1>
    </dataValidation>
    <dataValidation type="list" allowBlank="1" showInputMessage="1" showErrorMessage="1" sqref="C175">
      <formula1>"Y,N"</formula1>
    </dataValidation>
    <dataValidation type="list" allowBlank="1" showInputMessage="1" showErrorMessage="1" sqref="D175">
      <formula1>"Y,N"</formula1>
    </dataValidation>
    <dataValidation type="list" allowBlank="1" showInputMessage="1" showErrorMessage="1" sqref="E175">
      <formula1>"Y,N"</formula1>
    </dataValidation>
    <dataValidation type="list" allowBlank="1" showInputMessage="1" showErrorMessage="1" sqref="F175">
      <formula1>"Y,N"</formula1>
    </dataValidation>
    <dataValidation type="list" allowBlank="1" showInputMessage="1" showErrorMessage="1" sqref="G175">
      <formula1>"Y,N"</formula1>
    </dataValidation>
    <dataValidation type="list" allowBlank="1" showInputMessage="1" showErrorMessage="1" sqref="H175">
      <formula1>"Y,N"</formula1>
    </dataValidation>
    <dataValidation type="list" allowBlank="1" showInputMessage="1" showErrorMessage="1" sqref="I175">
      <formula1>"N.A."</formula1>
    </dataValidation>
    <dataValidation type="list" allowBlank="1" showInputMessage="1" showErrorMessage="1" sqref="J175">
      <formula1>"Y,N"</formula1>
    </dataValidation>
    <dataValidation type="list" allowBlank="1" showInputMessage="1" showErrorMessage="1" sqref="K175">
      <formula1>"Y,N"</formula1>
    </dataValidation>
    <dataValidation type="list" allowBlank="1" showInputMessage="1" showErrorMessage="1" sqref="L175">
      <formula1>"Y,N"</formula1>
    </dataValidation>
    <dataValidation type="list" allowBlank="1" showInputMessage="1" showErrorMessage="1" sqref="M175">
      <formula1>"Y,N"</formula1>
    </dataValidation>
    <dataValidation type="list" allowBlank="1" showInputMessage="1" showErrorMessage="1" sqref="B176">
      <formula1>"Y,N"</formula1>
    </dataValidation>
    <dataValidation type="list" allowBlank="1" showInputMessage="1" showErrorMessage="1" sqref="C176">
      <formula1>"Y,N"</formula1>
    </dataValidation>
    <dataValidation type="list" allowBlank="1" showInputMessage="1" showErrorMessage="1" sqref="D176">
      <formula1>"Y,N"</formula1>
    </dataValidation>
    <dataValidation type="list" allowBlank="1" showInputMessage="1" showErrorMessage="1" sqref="E176">
      <formula1>"Y,N"</formula1>
    </dataValidation>
    <dataValidation type="list" allowBlank="1" showInputMessage="1" showErrorMessage="1" sqref="F176">
      <formula1>"Y,N"</formula1>
    </dataValidation>
    <dataValidation type="list" allowBlank="1" showInputMessage="1" showErrorMessage="1" sqref="G176">
      <formula1>"Y,N"</formula1>
    </dataValidation>
    <dataValidation type="list" allowBlank="1" showInputMessage="1" showErrorMessage="1" sqref="H176">
      <formula1>"Y,N"</formula1>
    </dataValidation>
    <dataValidation type="list" allowBlank="1" showInputMessage="1" showErrorMessage="1" sqref="I176">
      <formula1>"Y,N"</formula1>
    </dataValidation>
    <dataValidation type="list" allowBlank="1" showInputMessage="1" showErrorMessage="1" sqref="J176">
      <formula1>"N.A."</formula1>
    </dataValidation>
    <dataValidation type="list" allowBlank="1" showInputMessage="1" showErrorMessage="1" sqref="K176">
      <formula1>"Y,N"</formula1>
    </dataValidation>
    <dataValidation type="list" allowBlank="1" showInputMessage="1" showErrorMessage="1" sqref="L176">
      <formula1>"Y,N"</formula1>
    </dataValidation>
    <dataValidation type="list" allowBlank="1" showInputMessage="1" showErrorMessage="1" sqref="M176">
      <formula1>"Y,N"</formula1>
    </dataValidation>
    <dataValidation type="list" allowBlank="1" showInputMessage="1" showErrorMessage="1" sqref="B177">
      <formula1>"Y,N"</formula1>
    </dataValidation>
    <dataValidation type="list" allowBlank="1" showInputMessage="1" showErrorMessage="1" sqref="C177">
      <formula1>"Y,N"</formula1>
    </dataValidation>
    <dataValidation type="list" allowBlank="1" showInputMessage="1" showErrorMessage="1" sqref="D177">
      <formula1>"Y,N"</formula1>
    </dataValidation>
    <dataValidation type="list" allowBlank="1" showInputMessage="1" showErrorMessage="1" sqref="E177">
      <formula1>"Y,N"</formula1>
    </dataValidation>
    <dataValidation type="list" allowBlank="1" showInputMessage="1" showErrorMessage="1" sqref="F177">
      <formula1>"Y,N"</formula1>
    </dataValidation>
    <dataValidation type="list" allowBlank="1" showInputMessage="1" showErrorMessage="1" sqref="G177">
      <formula1>"Y,N"</formula1>
    </dataValidation>
    <dataValidation type="list" allowBlank="1" showInputMessage="1" showErrorMessage="1" sqref="H177">
      <formula1>"Y,N"</formula1>
    </dataValidation>
    <dataValidation type="list" allowBlank="1" showInputMessage="1" showErrorMessage="1" sqref="I177">
      <formula1>"Y,N"</formula1>
    </dataValidation>
    <dataValidation type="list" allowBlank="1" showInputMessage="1" showErrorMessage="1" sqref="J177">
      <formula1>"Y,N"</formula1>
    </dataValidation>
    <dataValidation type="list" allowBlank="1" showInputMessage="1" showErrorMessage="1" sqref="K177">
      <formula1>"N.A."</formula1>
    </dataValidation>
    <dataValidation type="list" allowBlank="1" showInputMessage="1" showErrorMessage="1" sqref="L177">
      <formula1>"Y,N"</formula1>
    </dataValidation>
    <dataValidation type="list" allowBlank="1" showInputMessage="1" showErrorMessage="1" sqref="M177">
      <formula1>"Y,N"</formula1>
    </dataValidation>
    <dataValidation type="list" allowBlank="1" showInputMessage="1" showErrorMessage="1" sqref="B178">
      <formula1>"Y,N"</formula1>
    </dataValidation>
    <dataValidation type="list" allowBlank="1" showInputMessage="1" showErrorMessage="1" sqref="C178">
      <formula1>"Y,N"</formula1>
    </dataValidation>
    <dataValidation type="list" allowBlank="1" showInputMessage="1" showErrorMessage="1" sqref="D178">
      <formula1>"Y,N"</formula1>
    </dataValidation>
    <dataValidation type="list" allowBlank="1" showInputMessage="1" showErrorMessage="1" sqref="E178">
      <formula1>"Y,N"</formula1>
    </dataValidation>
    <dataValidation type="list" allowBlank="1" showInputMessage="1" showErrorMessage="1" sqref="F178">
      <formula1>"Y,N"</formula1>
    </dataValidation>
    <dataValidation type="list" allowBlank="1" showInputMessage="1" showErrorMessage="1" sqref="G178">
      <formula1>"Y,N"</formula1>
    </dataValidation>
    <dataValidation type="list" allowBlank="1" showInputMessage="1" showErrorMessage="1" sqref="H178">
      <formula1>"Y,N"</formula1>
    </dataValidation>
    <dataValidation type="list" allowBlank="1" showInputMessage="1" showErrorMessage="1" sqref="I178">
      <formula1>"Y,N"</formula1>
    </dataValidation>
    <dataValidation type="list" allowBlank="1" showInputMessage="1" showErrorMessage="1" sqref="J178">
      <formula1>"Y,N"</formula1>
    </dataValidation>
    <dataValidation type="list" allowBlank="1" showInputMessage="1" showErrorMessage="1" sqref="K178">
      <formula1>"Y,N"</formula1>
    </dataValidation>
    <dataValidation type="list" allowBlank="1" showInputMessage="1" showErrorMessage="1" sqref="L178">
      <formula1>"N.A."</formula1>
    </dataValidation>
    <dataValidation type="list" allowBlank="1" showInputMessage="1" showErrorMessage="1" sqref="M178">
      <formula1>"Y,N"</formula1>
    </dataValidation>
    <dataValidation type="list" allowBlank="1" showInputMessage="1" showErrorMessage="1" sqref="B179">
      <formula1>"Y,N"</formula1>
    </dataValidation>
    <dataValidation type="list" allowBlank="1" showInputMessage="1" showErrorMessage="1" sqref="C179">
      <formula1>"Y,N"</formula1>
    </dataValidation>
    <dataValidation type="list" allowBlank="1" showInputMessage="1" showErrorMessage="1" sqref="D179">
      <formula1>"Y,N"</formula1>
    </dataValidation>
    <dataValidation type="list" allowBlank="1" showInputMessage="1" showErrorMessage="1" sqref="E179">
      <formula1>"Y,N"</formula1>
    </dataValidation>
    <dataValidation type="list" allowBlank="1" showInputMessage="1" showErrorMessage="1" sqref="F179">
      <formula1>"Y,N"</formula1>
    </dataValidation>
    <dataValidation type="list" allowBlank="1" showInputMessage="1" showErrorMessage="1" sqref="G179">
      <formula1>"Y,N"</formula1>
    </dataValidation>
    <dataValidation type="list" allowBlank="1" showInputMessage="1" showErrorMessage="1" sqref="H179">
      <formula1>"Y,N"</formula1>
    </dataValidation>
    <dataValidation type="list" allowBlank="1" showInputMessage="1" showErrorMessage="1" sqref="I179">
      <formula1>"Y,N"</formula1>
    </dataValidation>
    <dataValidation type="list" allowBlank="1" showInputMessage="1" showErrorMessage="1" sqref="J179">
      <formula1>"Y,N"</formula1>
    </dataValidation>
    <dataValidation type="list" allowBlank="1" showInputMessage="1" showErrorMessage="1" sqref="K179">
      <formula1>"Y,N"</formula1>
    </dataValidation>
    <dataValidation type="list" allowBlank="1" showInputMessage="1" showErrorMessage="1" sqref="L179">
      <formula1>"Y,N"</formula1>
    </dataValidation>
    <dataValidation type="list" allowBlank="1" showInputMessage="1" showErrorMessage="1" sqref="M179">
      <formula1>"N.A."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B331">
      <formula1>"N.A."</formula1>
    </dataValidation>
    <dataValidation type="list" allowBlank="1" showInputMessage="1" showErrorMessage="1" sqref="C331">
      <formula1>"Y,N"</formula1>
    </dataValidation>
    <dataValidation type="list" allowBlank="1" showInputMessage="1" showErrorMessage="1" sqref="D331">
      <formula1>"Y,N"</formula1>
    </dataValidation>
    <dataValidation type="list" allowBlank="1" showInputMessage="1" showErrorMessage="1" sqref="E331">
      <formula1>"Y,N"</formula1>
    </dataValidation>
    <dataValidation type="list" allowBlank="1" showInputMessage="1" showErrorMessage="1" sqref="F331">
      <formula1>"Y,N"</formula1>
    </dataValidation>
    <dataValidation type="list" allowBlank="1" showInputMessage="1" showErrorMessage="1" sqref="G331">
      <formula1>"Y,N"</formula1>
    </dataValidation>
    <dataValidation type="list" allowBlank="1" showInputMessage="1" showErrorMessage="1" sqref="H331">
      <formula1>"Y,N"</formula1>
    </dataValidation>
    <dataValidation type="list" allowBlank="1" showInputMessage="1" showErrorMessage="1" sqref="I331">
      <formula1>"Y,N"</formula1>
    </dataValidation>
    <dataValidation type="list" allowBlank="1" showInputMessage="1" showErrorMessage="1" sqref="J331">
      <formula1>"Y,N"</formula1>
    </dataValidation>
    <dataValidation type="list" allowBlank="1" showInputMessage="1" showErrorMessage="1" sqref="K331">
      <formula1>"Y,N"</formula1>
    </dataValidation>
    <dataValidation type="list" allowBlank="1" showInputMessage="1" showErrorMessage="1" sqref="L331">
      <formula1>"Y,N"</formula1>
    </dataValidation>
    <dataValidation type="list" allowBlank="1" showInputMessage="1" showErrorMessage="1" sqref="M331">
      <formula1>"Y,N"</formula1>
    </dataValidation>
    <dataValidation type="list" allowBlank="1" showInputMessage="1" showErrorMessage="1" sqref="B332">
      <formula1>"Y,N"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D332">
      <formula1>"Y,N"</formula1>
    </dataValidation>
    <dataValidation type="list" allowBlank="1" showInputMessage="1" showErrorMessage="1" sqref="E332">
      <formula1>"Y,N"</formula1>
    </dataValidation>
    <dataValidation type="list" allowBlank="1" showInputMessage="1" showErrorMessage="1" sqref="F332">
      <formula1>"Y,N"</formula1>
    </dataValidation>
    <dataValidation type="list" allowBlank="1" showInputMessage="1" showErrorMessage="1" sqref="G332">
      <formula1>"Y,N"</formula1>
    </dataValidation>
    <dataValidation type="list" allowBlank="1" showInputMessage="1" showErrorMessage="1" sqref="H332">
      <formula1>"Y,N"</formula1>
    </dataValidation>
    <dataValidation type="list" allowBlank="1" showInputMessage="1" showErrorMessage="1" sqref="I332">
      <formula1>"Y,N"</formula1>
    </dataValidation>
    <dataValidation type="list" allowBlank="1" showInputMessage="1" showErrorMessage="1" sqref="J332">
      <formula1>"Y,N"</formula1>
    </dataValidation>
    <dataValidation type="list" allowBlank="1" showInputMessage="1" showErrorMessage="1" sqref="K332">
      <formula1>"Y,N"</formula1>
    </dataValidation>
    <dataValidation type="list" allowBlank="1" showInputMessage="1" showErrorMessage="1" sqref="L332">
      <formula1>"Y,N"</formula1>
    </dataValidation>
    <dataValidation type="list" allowBlank="1" showInputMessage="1" showErrorMessage="1" sqref="M332">
      <formula1>"Y,N"</formula1>
    </dataValidation>
    <dataValidation type="list" allowBlank="1" showInputMessage="1" showErrorMessage="1" sqref="B333">
      <formula1>"Y,N"</formula1>
    </dataValidation>
    <dataValidation type="list" allowBlank="1" showInputMessage="1" showErrorMessage="1" sqref="C333">
      <formula1>"Y,N"</formula1>
    </dataValidation>
    <dataValidation type="list" allowBlank="1" showInputMessage="1" showErrorMessage="1" sqref="D333">
      <formula1>"N.A."</formula1>
    </dataValidation>
    <dataValidation type="list" allowBlank="1" showInputMessage="1" showErrorMessage="1" sqref="E333">
      <formula1>"Y,N"</formula1>
    </dataValidation>
    <dataValidation type="list" allowBlank="1" showInputMessage="1" showErrorMessage="1" sqref="F333">
      <formula1>"Y,N"</formula1>
    </dataValidation>
    <dataValidation type="list" allowBlank="1" showInputMessage="1" showErrorMessage="1" sqref="G333">
      <formula1>"Y,N"</formula1>
    </dataValidation>
    <dataValidation type="list" allowBlank="1" showInputMessage="1" showErrorMessage="1" sqref="H333">
      <formula1>"Y,N"</formula1>
    </dataValidation>
    <dataValidation type="list" allowBlank="1" showInputMessage="1" showErrorMessage="1" sqref="I333">
      <formula1>"Y,N"</formula1>
    </dataValidation>
    <dataValidation type="list" allowBlank="1" showInputMessage="1" showErrorMessage="1" sqref="J333">
      <formula1>"Y,N"</formula1>
    </dataValidation>
    <dataValidation type="list" allowBlank="1" showInputMessage="1" showErrorMessage="1" sqref="K333">
      <formula1>"Y,N"</formula1>
    </dataValidation>
    <dataValidation type="list" allowBlank="1" showInputMessage="1" showErrorMessage="1" sqref="L333">
      <formula1>"Y,N"</formula1>
    </dataValidation>
    <dataValidation type="list" allowBlank="1" showInputMessage="1" showErrorMessage="1" sqref="M333">
      <formula1>"Y,N"</formula1>
    </dataValidation>
    <dataValidation type="list" allowBlank="1" showInputMessage="1" showErrorMessage="1" sqref="B334">
      <formula1>"Y,N"</formula1>
    </dataValidation>
    <dataValidation type="list" allowBlank="1" showInputMessage="1" showErrorMessage="1" sqref="C334">
      <formula1>"Y,N"</formula1>
    </dataValidation>
    <dataValidation type="list" allowBlank="1" showInputMessage="1" showErrorMessage="1" sqref="D334">
      <formula1>"Y,N"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F334">
      <formula1>"Y,N"</formula1>
    </dataValidation>
    <dataValidation type="list" allowBlank="1" showInputMessage="1" showErrorMessage="1" sqref="G334">
      <formula1>"Y,N"</formula1>
    </dataValidation>
    <dataValidation type="list" allowBlank="1" showInputMessage="1" showErrorMessage="1" sqref="H334">
      <formula1>"Y,N"</formula1>
    </dataValidation>
    <dataValidation type="list" allowBlank="1" showInputMessage="1" showErrorMessage="1" sqref="I334">
      <formula1>"Y,N"</formula1>
    </dataValidation>
    <dataValidation type="list" allowBlank="1" showInputMessage="1" showErrorMessage="1" sqref="J334">
      <formula1>"Y,N"</formula1>
    </dataValidation>
    <dataValidation type="list" allowBlank="1" showInputMessage="1" showErrorMessage="1" sqref="K334">
      <formula1>"Y,N"</formula1>
    </dataValidation>
    <dataValidation type="list" allowBlank="1" showInputMessage="1" showErrorMessage="1" sqref="L334">
      <formula1>"Y,N"</formula1>
    </dataValidation>
    <dataValidation type="list" allowBlank="1" showInputMessage="1" showErrorMessage="1" sqref="M334">
      <formula1>"Y,N"</formula1>
    </dataValidation>
    <dataValidation type="list" allowBlank="1" showInputMessage="1" showErrorMessage="1" sqref="B335">
      <formula1>"Y,N"</formula1>
    </dataValidation>
    <dataValidation type="list" allowBlank="1" showInputMessage="1" showErrorMessage="1" sqref="C335">
      <formula1>"Y,N"</formula1>
    </dataValidation>
    <dataValidation type="list" allowBlank="1" showInputMessage="1" showErrorMessage="1" sqref="D335">
      <formula1>"Y,N"</formula1>
    </dataValidation>
    <dataValidation type="list" allowBlank="1" showInputMessage="1" showErrorMessage="1" sqref="E335">
      <formula1>"Y,N"</formula1>
    </dataValidation>
    <dataValidation type="list" allowBlank="1" showInputMessage="1" showErrorMessage="1" sqref="F335">
      <formula1>"N.A."</formula1>
    </dataValidation>
    <dataValidation type="list" allowBlank="1" showInputMessage="1" showErrorMessage="1" sqref="G335">
      <formula1>"Y,N"</formula1>
    </dataValidation>
    <dataValidation type="list" allowBlank="1" showInputMessage="1" showErrorMessage="1" sqref="H335">
      <formula1>"Y,N"</formula1>
    </dataValidation>
    <dataValidation type="list" allowBlank="1" showInputMessage="1" showErrorMessage="1" sqref="I335">
      <formula1>"Y,N"</formula1>
    </dataValidation>
    <dataValidation type="list" allowBlank="1" showInputMessage="1" showErrorMessage="1" sqref="J335">
      <formula1>"Y,N"</formula1>
    </dataValidation>
    <dataValidation type="list" allowBlank="1" showInputMessage="1" showErrorMessage="1" sqref="K335">
      <formula1>"Y,N"</formula1>
    </dataValidation>
    <dataValidation type="list" allowBlank="1" showInputMessage="1" showErrorMessage="1" sqref="L335">
      <formula1>"Y,N"</formula1>
    </dataValidation>
    <dataValidation type="list" allowBlank="1" showInputMessage="1" showErrorMessage="1" sqref="M335">
      <formula1>"Y,N"</formula1>
    </dataValidation>
    <dataValidation type="list" allowBlank="1" showInputMessage="1" showErrorMessage="1" sqref="B336">
      <formula1>"Y,N"</formula1>
    </dataValidation>
    <dataValidation type="list" allowBlank="1" showInputMessage="1" showErrorMessage="1" sqref="C336">
      <formula1>"Y,N"</formula1>
    </dataValidation>
    <dataValidation type="list" allowBlank="1" showInputMessage="1" showErrorMessage="1" sqref="D336">
      <formula1>"Y,N"</formula1>
    </dataValidation>
    <dataValidation type="list" allowBlank="1" showInputMessage="1" showErrorMessage="1" sqref="E336">
      <formula1>"Y,N"</formula1>
    </dataValidation>
    <dataValidation type="list" allowBlank="1" showInputMessage="1" showErrorMessage="1" sqref="F336">
      <formula1>"Y,N"</formula1>
    </dataValidation>
    <dataValidation type="list" allowBlank="1" showInputMessage="1" showErrorMessage="1" sqref="G336">
      <formula1>"N.A."</formula1>
    </dataValidation>
    <dataValidation type="list" allowBlank="1" showInputMessage="1" showErrorMessage="1" sqref="H336">
      <formula1>"Y,N"</formula1>
    </dataValidation>
    <dataValidation type="list" allowBlank="1" showInputMessage="1" showErrorMessage="1" sqref="I336">
      <formula1>"Y,N"</formula1>
    </dataValidation>
    <dataValidation type="list" allowBlank="1" showInputMessage="1" showErrorMessage="1" sqref="J336">
      <formula1>"Y,N"</formula1>
    </dataValidation>
    <dataValidation type="list" allowBlank="1" showInputMessage="1" showErrorMessage="1" sqref="K336">
      <formula1>"Y,N"</formula1>
    </dataValidation>
    <dataValidation type="list" allowBlank="1" showInputMessage="1" showErrorMessage="1" sqref="L336">
      <formula1>"Y,N"</formula1>
    </dataValidation>
    <dataValidation type="list" allowBlank="1" showInputMessage="1" showErrorMessage="1" sqref="M336">
      <formula1>"Y,N"</formula1>
    </dataValidation>
    <dataValidation type="list" allowBlank="1" showInputMessage="1" showErrorMessage="1" sqref="B337">
      <formula1>"Y,N"</formula1>
    </dataValidation>
    <dataValidation type="list" allowBlank="1" showInputMessage="1" showErrorMessage="1" sqref="C337">
      <formula1>"Y,N"</formula1>
    </dataValidation>
    <dataValidation type="list" allowBlank="1" showInputMessage="1" showErrorMessage="1" sqref="D337">
      <formula1>"Y,N"</formula1>
    </dataValidation>
    <dataValidation type="list" allowBlank="1" showInputMessage="1" showErrorMessage="1" sqref="E337">
      <formula1>"Y,N"</formula1>
    </dataValidation>
    <dataValidation type="list" allowBlank="1" showInputMessage="1" showErrorMessage="1" sqref="F337">
      <formula1>"Y,N"</formula1>
    </dataValidation>
    <dataValidation type="list" allowBlank="1" showInputMessage="1" showErrorMessage="1" sqref="G337">
      <formula1>"Y,N"</formula1>
    </dataValidation>
    <dataValidation type="list" allowBlank="1" showInputMessage="1" showErrorMessage="1" sqref="H337">
      <formula1>"N.A."</formula1>
    </dataValidation>
    <dataValidation type="list" allowBlank="1" showInputMessage="1" showErrorMessage="1" sqref="I337">
      <formula1>"Y,N"</formula1>
    </dataValidation>
    <dataValidation type="list" allowBlank="1" showInputMessage="1" showErrorMessage="1" sqref="J337">
      <formula1>"Y,N"</formula1>
    </dataValidation>
    <dataValidation type="list" allowBlank="1" showInputMessage="1" showErrorMessage="1" sqref="K337">
      <formula1>"Y,N"</formula1>
    </dataValidation>
    <dataValidation type="list" allowBlank="1" showInputMessage="1" showErrorMessage="1" sqref="L337">
      <formula1>"Y,N"</formula1>
    </dataValidation>
    <dataValidation type="list" allowBlank="1" showInputMessage="1" showErrorMessage="1" sqref="M337">
      <formula1>"Y,N"</formula1>
    </dataValidation>
    <dataValidation type="list" allowBlank="1" showInputMessage="1" showErrorMessage="1" sqref="B338">
      <formula1>"Y,N"</formula1>
    </dataValidation>
    <dataValidation type="list" allowBlank="1" showInputMessage="1" showErrorMessage="1" sqref="C338">
      <formula1>"Y,N"</formula1>
    </dataValidation>
    <dataValidation type="list" allowBlank="1" showInputMessage="1" showErrorMessage="1" sqref="D338">
      <formula1>"Y,N"</formula1>
    </dataValidation>
    <dataValidation type="list" allowBlank="1" showInputMessage="1" showErrorMessage="1" sqref="E338">
      <formula1>"Y,N"</formula1>
    </dataValidation>
    <dataValidation type="list" allowBlank="1" showInputMessage="1" showErrorMessage="1" sqref="F338">
      <formula1>"Y,N"</formula1>
    </dataValidation>
    <dataValidation type="list" allowBlank="1" showInputMessage="1" showErrorMessage="1" sqref="G338">
      <formula1>"Y,N"</formula1>
    </dataValidation>
    <dataValidation type="list" allowBlank="1" showInputMessage="1" showErrorMessage="1" sqref="H338">
      <formula1>"Y,N"</formula1>
    </dataValidation>
    <dataValidation type="list" allowBlank="1" showInputMessage="1" showErrorMessage="1" sqref="I338">
      <formula1>"N.A."</formula1>
    </dataValidation>
    <dataValidation type="list" allowBlank="1" showInputMessage="1" showErrorMessage="1" sqref="J338">
      <formula1>"Y,N"</formula1>
    </dataValidation>
    <dataValidation type="list" allowBlank="1" showInputMessage="1" showErrorMessage="1" sqref="K338">
      <formula1>"Y,N"</formula1>
    </dataValidation>
    <dataValidation type="list" allowBlank="1" showInputMessage="1" showErrorMessage="1" sqref="L338">
      <formula1>"Y,N"</formula1>
    </dataValidation>
    <dataValidation type="list" allowBlank="1" showInputMessage="1" showErrorMessage="1" sqref="M338">
      <formula1>"Y,N"</formula1>
    </dataValidation>
    <dataValidation type="list" allowBlank="1" showInputMessage="1" showErrorMessage="1" sqref="B339">
      <formula1>"Y,N"</formula1>
    </dataValidation>
    <dataValidation type="list" allowBlank="1" showInputMessage="1" showErrorMessage="1" sqref="C339">
      <formula1>"Y,N"</formula1>
    </dataValidation>
    <dataValidation type="list" allowBlank="1" showInputMessage="1" showErrorMessage="1" sqref="D339">
      <formula1>"Y,N"</formula1>
    </dataValidation>
    <dataValidation type="list" allowBlank="1" showInputMessage="1" showErrorMessage="1" sqref="E339">
      <formula1>"Y,N"</formula1>
    </dataValidation>
    <dataValidation type="list" allowBlank="1" showInputMessage="1" showErrorMessage="1" sqref="F339">
      <formula1>"Y,N"</formula1>
    </dataValidation>
    <dataValidation type="list" allowBlank="1" showInputMessage="1" showErrorMessage="1" sqref="G339">
      <formula1>"Y,N"</formula1>
    </dataValidation>
    <dataValidation type="list" allowBlank="1" showInputMessage="1" showErrorMessage="1" sqref="H339">
      <formula1>"Y,N"</formula1>
    </dataValidation>
    <dataValidation type="list" allowBlank="1" showInputMessage="1" showErrorMessage="1" sqref="I339">
      <formula1>"Y,N"</formula1>
    </dataValidation>
    <dataValidation type="list" allowBlank="1" showInputMessage="1" showErrorMessage="1" sqref="J339">
      <formula1>"N.A."</formula1>
    </dataValidation>
    <dataValidation type="list" allowBlank="1" showInputMessage="1" showErrorMessage="1" sqref="K339">
      <formula1>"Y,N"</formula1>
    </dataValidation>
    <dataValidation type="list" allowBlank="1" showInputMessage="1" showErrorMessage="1" sqref="L339">
      <formula1>"Y,N"</formula1>
    </dataValidation>
    <dataValidation type="list" allowBlank="1" showInputMessage="1" showErrorMessage="1" sqref="M339">
      <formula1>"Y,N"</formula1>
    </dataValidation>
    <dataValidation type="list" allowBlank="1" showInputMessage="1" showErrorMessage="1" sqref="B340">
      <formula1>"Y,N"</formula1>
    </dataValidation>
    <dataValidation type="list" allowBlank="1" showInputMessage="1" showErrorMessage="1" sqref="C340">
      <formula1>"Y,N"</formula1>
    </dataValidation>
    <dataValidation type="list" allowBlank="1" showInputMessage="1" showErrorMessage="1" sqref="D340">
      <formula1>"Y,N"</formula1>
    </dataValidation>
    <dataValidation type="list" allowBlank="1" showInputMessage="1" showErrorMessage="1" sqref="E340">
      <formula1>"Y,N"</formula1>
    </dataValidation>
    <dataValidation type="list" allowBlank="1" showInputMessage="1" showErrorMessage="1" sqref="F340">
      <formula1>"Y,N"</formula1>
    </dataValidation>
    <dataValidation type="list" allowBlank="1" showInputMessage="1" showErrorMessage="1" sqref="G340">
      <formula1>"Y,N"</formula1>
    </dataValidation>
    <dataValidation type="list" allowBlank="1" showInputMessage="1" showErrorMessage="1" sqref="H340">
      <formula1>"Y,N"</formula1>
    </dataValidation>
    <dataValidation type="list" allowBlank="1" showInputMessage="1" showErrorMessage="1" sqref="I340">
      <formula1>"Y,N"</formula1>
    </dataValidation>
    <dataValidation type="list" allowBlank="1" showInputMessage="1" showErrorMessage="1" sqref="J340">
      <formula1>"Y,N"</formula1>
    </dataValidation>
    <dataValidation type="list" allowBlank="1" showInputMessage="1" showErrorMessage="1" sqref="K340">
      <formula1>"N.A."</formula1>
    </dataValidation>
    <dataValidation type="list" allowBlank="1" showInputMessage="1" showErrorMessage="1" sqref="L340">
      <formula1>"Y,N"</formula1>
    </dataValidation>
    <dataValidation type="list" allowBlank="1" showInputMessage="1" showErrorMessage="1" sqref="M340">
      <formula1>"Y,N"</formula1>
    </dataValidation>
    <dataValidation type="list" allowBlank="1" showInputMessage="1" showErrorMessage="1" sqref="B341">
      <formula1>"Y,N"</formula1>
    </dataValidation>
    <dataValidation type="list" allowBlank="1" showInputMessage="1" showErrorMessage="1" sqref="C341">
      <formula1>"Y,N"</formula1>
    </dataValidation>
    <dataValidation type="list" allowBlank="1" showInputMessage="1" showErrorMessage="1" sqref="D341">
      <formula1>"Y,N"</formula1>
    </dataValidation>
    <dataValidation type="list" allowBlank="1" showInputMessage="1" showErrorMessage="1" sqref="E341">
      <formula1>"Y,N"</formula1>
    </dataValidation>
    <dataValidation type="list" allowBlank="1" showInputMessage="1" showErrorMessage="1" sqref="F341">
      <formula1>"Y,N"</formula1>
    </dataValidation>
    <dataValidation type="list" allowBlank="1" showInputMessage="1" showErrorMessage="1" sqref="G341">
      <formula1>"Y,N"</formula1>
    </dataValidation>
    <dataValidation type="list" allowBlank="1" showInputMessage="1" showErrorMessage="1" sqref="H341">
      <formula1>"Y,N"</formula1>
    </dataValidation>
    <dataValidation type="list" allowBlank="1" showInputMessage="1" showErrorMessage="1" sqref="I341">
      <formula1>"Y,N"</formula1>
    </dataValidation>
    <dataValidation type="list" allowBlank="1" showInputMessage="1" showErrorMessage="1" sqref="J341">
      <formula1>"Y,N"</formula1>
    </dataValidation>
    <dataValidation type="list" allowBlank="1" showInputMessage="1" showErrorMessage="1" sqref="K341">
      <formula1>"Y,N"</formula1>
    </dataValidation>
    <dataValidation type="list" allowBlank="1" showInputMessage="1" showErrorMessage="1" sqref="L341">
      <formula1>"N.A."</formula1>
    </dataValidation>
    <dataValidation type="list" allowBlank="1" showInputMessage="1" showErrorMessage="1" sqref="M341">
      <formula1>"Y,N"</formula1>
    </dataValidation>
    <dataValidation type="list" allowBlank="1" showInputMessage="1" showErrorMessage="1" sqref="B342">
      <formula1>"Y,N"</formula1>
    </dataValidation>
    <dataValidation type="list" allowBlank="1" showInputMessage="1" showErrorMessage="1" sqref="C342">
      <formula1>"Y,N"</formula1>
    </dataValidation>
    <dataValidation type="list" allowBlank="1" showInputMessage="1" showErrorMessage="1" sqref="D342">
      <formula1>"Y,N"</formula1>
    </dataValidation>
    <dataValidation type="list" allowBlank="1" showInputMessage="1" showErrorMessage="1" sqref="E342">
      <formula1>"Y,N"</formula1>
    </dataValidation>
    <dataValidation type="list" allowBlank="1" showInputMessage="1" showErrorMessage="1" sqref="F342">
      <formula1>"Y,N"</formula1>
    </dataValidation>
    <dataValidation type="list" allowBlank="1" showInputMessage="1" showErrorMessage="1" sqref="G342">
      <formula1>"Y,N"</formula1>
    </dataValidation>
    <dataValidation type="list" allowBlank="1" showInputMessage="1" showErrorMessage="1" sqref="H342">
      <formula1>"Y,N"</formula1>
    </dataValidation>
    <dataValidation type="list" allowBlank="1" showInputMessage="1" showErrorMessage="1" sqref="I342">
      <formula1>"Y,N"</formula1>
    </dataValidation>
    <dataValidation type="list" allowBlank="1" showInputMessage="1" showErrorMessage="1" sqref="J342">
      <formula1>"Y,N"</formula1>
    </dataValidation>
    <dataValidation type="list" allowBlank="1" showInputMessage="1" showErrorMessage="1" sqref="K342">
      <formula1>"Y,N"</formula1>
    </dataValidation>
    <dataValidation type="list" allowBlank="1" showInputMessage="1" showErrorMessage="1" sqref="L342">
      <formula1>"Y,N"</formula1>
    </dataValidation>
    <dataValidation type="list" allowBlank="1" showInputMessage="1" showErrorMessage="1" sqref="M342">
      <formula1>"N.A."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</dataValidations>
  <hyperlinks>
    <hyperlink ref="C5" location="Transfers!B20" display="N"/>
    <hyperlink ref="D5" location="Transfers!B21" display="N"/>
    <hyperlink ref="E5" location="Transfers!B22" display="N"/>
    <hyperlink ref="F5" location="Transfers!B23" display="N"/>
    <hyperlink ref="G5" location="Transfers!B24" display="N"/>
    <hyperlink ref="H5" location="Transfers!B25" display="N"/>
    <hyperlink ref="I5" location="Transfers!B26" display="N"/>
    <hyperlink ref="J5" location="Transfers!B27" display="N"/>
    <hyperlink ref="K5" location="Transfers!B28" display="N"/>
    <hyperlink ref="L5" location="Transfers!B29" display="N"/>
    <hyperlink ref="M5" location="Transfers!B30" display="N"/>
    <hyperlink ref="B6" location="Transfers!B31" display="N"/>
    <hyperlink ref="D6" location="Transfers!B33" display="N"/>
    <hyperlink ref="E6" location="Transfers!B34" display="N"/>
    <hyperlink ref="F6" location="Transfers!B35" display="N"/>
    <hyperlink ref="G6" location="Transfers!B36" display="N"/>
    <hyperlink ref="H6" location="Transfers!B37" display="N"/>
    <hyperlink ref="I6" location="Transfers!B38" display="N"/>
    <hyperlink ref="J6" location="Transfers!B39" display="N"/>
    <hyperlink ref="K6" location="Transfers!B40" display="N"/>
    <hyperlink ref="L6" location="Transfers!B41" display="N"/>
    <hyperlink ref="M6" location="Transfers!B42" display="N"/>
    <hyperlink ref="B7" location="Transfers!B43" display="N"/>
    <hyperlink ref="C7" location="Transfers!B44" display="N"/>
    <hyperlink ref="E7" location="Transfers!B46" display="N"/>
    <hyperlink ref="F7" location="Transfers!B47" display="Y"/>
    <hyperlink ref="G7" location="Transfers!B48" display="N"/>
    <hyperlink ref="H7" location="Transfers!B49" display="N"/>
    <hyperlink ref="I7" location="Transfers!B50" display="N"/>
    <hyperlink ref="J7" location="Transfers!B51" display="N"/>
    <hyperlink ref="K7" location="Transfers!B52" display="N"/>
    <hyperlink ref="L7" location="Transfers!B53" display="N"/>
    <hyperlink ref="M7" location="Transfers!B54" display="N"/>
    <hyperlink ref="B8" location="Transfers!B55" display="N"/>
    <hyperlink ref="C8" location="Transfers!B56" display="N"/>
    <hyperlink ref="D8" location="Transfers!B57" display="N"/>
    <hyperlink ref="F8" location="Transfers!B59" display="N"/>
    <hyperlink ref="G8" location="Transfers!B60" display="Y"/>
    <hyperlink ref="H8" location="Transfers!B61" display="N"/>
    <hyperlink ref="I8" location="Transfers!B62" display="N"/>
    <hyperlink ref="J8" location="Transfers!B63" display="N"/>
    <hyperlink ref="K8" location="Transfers!B64" display="N"/>
    <hyperlink ref="L8" location="Transfers!B65" display="N"/>
    <hyperlink ref="M8" location="Transfers!B66" display="N"/>
    <hyperlink ref="B9" location="Transfers!B67" display="N"/>
    <hyperlink ref="C9" location="Transfers!B68" display="N"/>
    <hyperlink ref="D9" location="Transfers!B69" display="N"/>
    <hyperlink ref="E9" location="Transfers!B70" display="N"/>
    <hyperlink ref="G9" location="Transfers!B72" display="N"/>
    <hyperlink ref="H9" location="Transfers!B73" display="Y"/>
    <hyperlink ref="I9" location="Transfers!B74" display="N"/>
    <hyperlink ref="J9" location="Transfers!B75" display="N"/>
    <hyperlink ref="K9" location="Transfers!B76" display="N"/>
    <hyperlink ref="L9" location="Transfers!B77" display="N"/>
    <hyperlink ref="M9" location="Transfers!B78" display="N"/>
    <hyperlink ref="B10" location="Transfers!B79" display="N"/>
    <hyperlink ref="C10" location="Transfers!B80" display="N"/>
    <hyperlink ref="D10" location="Transfers!B81" display="N"/>
    <hyperlink ref="E10" location="Transfers!B82" display="N"/>
    <hyperlink ref="F10" location="Transfers!B83" display="N"/>
    <hyperlink ref="H10" location="Transfers!B85" display="N"/>
    <hyperlink ref="I10" location="Transfers!B86" display="Y"/>
    <hyperlink ref="J10" location="Transfers!B87" display="N"/>
    <hyperlink ref="K10" location="Transfers!B88" display="N"/>
    <hyperlink ref="L10" location="Transfers!B89" display="N"/>
    <hyperlink ref="M10" location="Transfers!B90" display="N"/>
    <hyperlink ref="B11" location="Transfers!B91" display="N"/>
    <hyperlink ref="C11" location="Transfers!B92" display="N"/>
    <hyperlink ref="D11" location="Transfers!B93" display="N"/>
    <hyperlink ref="E11" location="Transfers!B94" display="N"/>
    <hyperlink ref="F11" location="Transfers!B95" display="N"/>
    <hyperlink ref="G11" location="Transfers!B96" display="N"/>
    <hyperlink ref="I11" location="Transfers!B98" display="N"/>
    <hyperlink ref="J11" location="Transfers!B99" display="Y"/>
    <hyperlink ref="K11" location="Transfers!B100" display="N"/>
    <hyperlink ref="L11" location="Transfers!B101" display="N"/>
    <hyperlink ref="M11" location="Transfers!B102" display="N"/>
    <hyperlink ref="B12" location="Transfers!B103" display="N"/>
    <hyperlink ref="C12" location="Transfers!B104" display="N"/>
    <hyperlink ref="D12" location="Transfers!B105" display="N"/>
    <hyperlink ref="E12" location="Transfers!B106" display="N"/>
    <hyperlink ref="F12" location="Transfers!B107" display="N"/>
    <hyperlink ref="G12" location="Transfers!B108" display="N"/>
    <hyperlink ref="H12" location="Transfers!B109" display="N"/>
    <hyperlink ref="J12" location="Transfers!B111" display="N"/>
    <hyperlink ref="K12" location="Transfers!B112" display="Y"/>
    <hyperlink ref="L12" location="Transfers!B113" display="N"/>
    <hyperlink ref="M12" location="Transfers!B114" display="N"/>
    <hyperlink ref="B13" location="Transfers!B115" display="N"/>
    <hyperlink ref="C13" location="Transfers!B116" display="N"/>
    <hyperlink ref="D13" location="Transfers!B117" display="N"/>
    <hyperlink ref="E13" location="Transfers!B118" display="N"/>
    <hyperlink ref="F13" location="Transfers!B119" display="N"/>
    <hyperlink ref="G13" location="Transfers!B120" display="N"/>
    <hyperlink ref="H13" location="Transfers!B121" display="N"/>
    <hyperlink ref="I13" location="Transfers!B122" display="N"/>
    <hyperlink ref="K13" location="Transfers!B124" display="N"/>
    <hyperlink ref="L13" location="Transfers!B125" display="N"/>
    <hyperlink ref="M13" location="Transfers!B126" display="N"/>
    <hyperlink ref="B14" location="Transfers!B127" display="N"/>
    <hyperlink ref="C14" location="Transfers!B128" display="N"/>
    <hyperlink ref="D14" location="Transfers!B129" display="N"/>
    <hyperlink ref="E14" location="Transfers!B130" display="N"/>
    <hyperlink ref="F14" location="Transfers!B131" display="N"/>
    <hyperlink ref="G14" location="Transfers!B132" display="N"/>
    <hyperlink ref="H14" location="Transfers!B133" display="N"/>
    <hyperlink ref="I14" location="Transfers!B134" display="N"/>
    <hyperlink ref="J14" location="Transfers!B135" display="N"/>
    <hyperlink ref="L14" location="Transfers!B137" display="N"/>
    <hyperlink ref="M14" location="Transfers!B138" display="N"/>
    <hyperlink ref="B15" location="Transfers!B139" display="N"/>
    <hyperlink ref="C15" location="Transfers!B140" display="N"/>
    <hyperlink ref="D15" location="Transfers!B141" display="N"/>
    <hyperlink ref="E15" location="Transfers!B142" display="N"/>
    <hyperlink ref="F15" location="Transfers!B143" display="N"/>
    <hyperlink ref="G15" location="Transfers!B144" display="N"/>
    <hyperlink ref="H15" location="Transfers!B145" display="N"/>
    <hyperlink ref="I15" location="Transfers!B146" display="N"/>
    <hyperlink ref="J15" location="Transfers!B147" display="N"/>
    <hyperlink ref="K15" location="Transfers!B148" display="N"/>
    <hyperlink ref="M15" location="Transfers!B150" display="N"/>
    <hyperlink ref="B16" location="Transfers!B151" display="N"/>
    <hyperlink ref="C16" location="Transfers!B152" display="N"/>
    <hyperlink ref="D16" location="Transfers!B153" display="N"/>
    <hyperlink ref="E16" location="Transfers!B154" display="N"/>
    <hyperlink ref="F16" location="Transfers!B155" display="N"/>
    <hyperlink ref="G16" location="Transfers!B156" display="N"/>
    <hyperlink ref="H16" location="Transfers!B157" display="N"/>
    <hyperlink ref="I16" location="Transfers!B158" display="N"/>
    <hyperlink ref="J16" location="Transfers!B159" display="N"/>
    <hyperlink ref="K16" location="Transfers!B160" display="N"/>
    <hyperlink ref="L16" location="Transfers!B161" display="N"/>
    <hyperlink ref="B20" location="Transfers!$C$5" display="Transfers!$C$5"/>
    <hyperlink ref="B21" location="Transfers!$D$5" display="Transfers!$D$5"/>
    <hyperlink ref="B22" location="Transfers!$E$5" display="Transfers!$E$5"/>
    <hyperlink ref="B23" location="Transfers!$F$5" display="Transfers!$F$5"/>
    <hyperlink ref="B24" location="Transfers!$G$5" display="Transfers!$G$5"/>
    <hyperlink ref="B25" location="Transfers!$H$5" display="Transfers!$H$5"/>
    <hyperlink ref="B26" location="Transfers!$I$5" display="Transfers!$I$5"/>
    <hyperlink ref="B27" location="Transfers!$J$5" display="Transfers!$J$5"/>
    <hyperlink ref="B28" location="Transfers!$K$5" display="Transfers!$K$5"/>
    <hyperlink ref="B29" location="Transfers!$L$5" display="Transfers!$L$5"/>
    <hyperlink ref="B30" location="Transfers!$M$5" display="Transfers!$M$5"/>
    <hyperlink ref="B31" location="Transfers!$B$6" display="Transfers!$B$6"/>
    <hyperlink ref="B33" location="Transfers!$D$6" display="Transfers!$D$6"/>
    <hyperlink ref="B34" location="Transfers!$E$6" display="Transfers!$E$6"/>
    <hyperlink ref="B35" location="Transfers!$F$6" display="Transfers!$F$6"/>
    <hyperlink ref="B36" location="Transfers!$G$6" display="Transfers!$G$6"/>
    <hyperlink ref="B37" location="Transfers!$H$6" display="Transfers!$H$6"/>
    <hyperlink ref="B38" location="Transfers!$I$6" display="Transfers!$I$6"/>
    <hyperlink ref="B39" location="Transfers!$J$6" display="Transfers!$J$6"/>
    <hyperlink ref="B40" location="Transfers!$K$6" display="Transfers!$K$6"/>
    <hyperlink ref="B41" location="Transfers!$L$6" display="Transfers!$L$6"/>
    <hyperlink ref="B42" location="Transfers!$M$6" display="Transfers!$M$6"/>
    <hyperlink ref="B43" location="Transfers!$B$7" display="Transfers!$B$7"/>
    <hyperlink ref="B44" location="Transfers!$C$7" display="Transfers!$C$7"/>
    <hyperlink ref="B46" location="Transfers!$E$7" display="Transfers!$E$7"/>
    <hyperlink ref="B47" location="Transfers!$F$7" display="Transfers!$F$7"/>
    <hyperlink ref="B48" location="Transfers!$G$7" display="Transfers!$G$7"/>
    <hyperlink ref="B49" location="Transfers!$H$7" display="Transfers!$H$7"/>
    <hyperlink ref="B50" location="Transfers!$I$7" display="Transfers!$I$7"/>
    <hyperlink ref="B51" location="Transfers!$J$7" display="Transfers!$J$7"/>
    <hyperlink ref="B52" location="Transfers!$K$7" display="Transfers!$K$7"/>
    <hyperlink ref="B53" location="Transfers!$L$7" display="Transfers!$L$7"/>
    <hyperlink ref="B54" location="Transfers!$M$7" display="Transfers!$M$7"/>
    <hyperlink ref="B55" location="Transfers!$B$8" display="Transfers!$B$8"/>
    <hyperlink ref="B56" location="Transfers!$C$8" display="Transfers!$C$8"/>
    <hyperlink ref="B57" location="Transfers!$D$8" display="Transfers!$D$8"/>
    <hyperlink ref="B59" location="Transfers!$F$8" display="Transfers!$F$8"/>
    <hyperlink ref="B60" location="Transfers!$G$8" display="Transfers!$G$8"/>
    <hyperlink ref="B61" location="Transfers!$H$8" display="Transfers!$H$8"/>
    <hyperlink ref="B62" location="Transfers!$I$8" display="Transfers!$I$8"/>
    <hyperlink ref="B63" location="Transfers!$J$8" display="Transfers!$J$8"/>
    <hyperlink ref="B64" location="Transfers!$K$8" display="Transfers!$K$8"/>
    <hyperlink ref="B65" location="Transfers!$L$8" display="Transfers!$L$8"/>
    <hyperlink ref="B66" location="Transfers!$M$8" display="Transfers!$M$8"/>
    <hyperlink ref="B67" location="Transfers!$B$9" display="Transfers!$B$9"/>
    <hyperlink ref="B68" location="Transfers!$C$9" display="Transfers!$C$9"/>
    <hyperlink ref="B69" location="Transfers!$D$9" display="Transfers!$D$9"/>
    <hyperlink ref="B70" location="Transfers!$E$9" display="Transfers!$E$9"/>
    <hyperlink ref="B72" location="Transfers!$G$9" display="Transfers!$G$9"/>
    <hyperlink ref="B73" location="Transfers!$H$9" display="Transfers!$H$9"/>
    <hyperlink ref="B74" location="Transfers!$I$9" display="Transfers!$I$9"/>
    <hyperlink ref="B75" location="Transfers!$J$9" display="Transfers!$J$9"/>
    <hyperlink ref="B76" location="Transfers!$K$9" display="Transfers!$K$9"/>
    <hyperlink ref="B77" location="Transfers!$L$9" display="Transfers!$L$9"/>
    <hyperlink ref="B78" location="Transfers!$M$9" display="Transfers!$M$9"/>
    <hyperlink ref="B79" location="Transfers!$B$10" display="Transfers!$B$10"/>
    <hyperlink ref="B80" location="Transfers!$C$10" display="Transfers!$C$10"/>
    <hyperlink ref="B81" location="Transfers!$D$10" display="Transfers!$D$10"/>
    <hyperlink ref="B82" location="Transfers!$E$10" display="Transfers!$E$10"/>
    <hyperlink ref="B83" location="Transfers!$F$10" display="Transfers!$F$10"/>
    <hyperlink ref="B85" location="Transfers!$H$10" display="Transfers!$H$10"/>
    <hyperlink ref="B86" location="Transfers!$I$10" display="Transfers!$I$10"/>
    <hyperlink ref="B87" location="Transfers!$J$10" display="Transfers!$J$10"/>
    <hyperlink ref="B88" location="Transfers!$K$10" display="Transfers!$K$10"/>
    <hyperlink ref="B89" location="Transfers!$L$10" display="Transfers!$L$10"/>
    <hyperlink ref="B90" location="Transfers!$M$10" display="Transfers!$M$10"/>
    <hyperlink ref="B91" location="Transfers!$B$11" display="Transfers!$B$11"/>
    <hyperlink ref="B92" location="Transfers!$C$11" display="Transfers!$C$11"/>
    <hyperlink ref="B93" location="Transfers!$D$11" display="Transfers!$D$11"/>
    <hyperlink ref="B94" location="Transfers!$E$11" display="Transfers!$E$11"/>
    <hyperlink ref="B95" location="Transfers!$F$11" display="Transfers!$F$11"/>
    <hyperlink ref="B96" location="Transfers!$G$11" display="Transfers!$G$11"/>
    <hyperlink ref="B98" location="Transfers!$I$11" display="Transfers!$I$11"/>
    <hyperlink ref="B99" location="Transfers!$J$11" display="Transfers!$J$11"/>
    <hyperlink ref="B100" location="Transfers!$K$11" display="Transfers!$K$11"/>
    <hyperlink ref="B101" location="Transfers!$L$11" display="Transfers!$L$11"/>
    <hyperlink ref="B102" location="Transfers!$M$11" display="Transfers!$M$11"/>
    <hyperlink ref="B103" location="Transfers!$B$12" display="Transfers!$B$12"/>
    <hyperlink ref="B104" location="Transfers!$C$12" display="Transfers!$C$12"/>
    <hyperlink ref="B105" location="Transfers!$D$12" display="Transfers!$D$12"/>
    <hyperlink ref="B106" location="Transfers!$E$12" display="Transfers!$E$12"/>
    <hyperlink ref="B107" location="Transfers!$F$12" display="Transfers!$F$12"/>
    <hyperlink ref="B108" location="Transfers!$G$12" display="Transfers!$G$12"/>
    <hyperlink ref="B109" location="Transfers!$H$12" display="Transfers!$H$12"/>
    <hyperlink ref="B111" location="Transfers!$J$12" display="Transfers!$J$12"/>
    <hyperlink ref="B112" location="Transfers!$K$12" display="Transfers!$K$12"/>
    <hyperlink ref="B113" location="Transfers!$L$12" display="Transfers!$L$12"/>
    <hyperlink ref="B114" location="Transfers!$M$12" display="Transfers!$M$12"/>
    <hyperlink ref="B115" location="Transfers!$B$13" display="Transfers!$B$13"/>
    <hyperlink ref="B116" location="Transfers!$C$13" display="Transfers!$C$13"/>
    <hyperlink ref="B117" location="Transfers!$D$13" display="Transfers!$D$13"/>
    <hyperlink ref="B118" location="Transfers!$E$13" display="Transfers!$E$13"/>
    <hyperlink ref="B119" location="Transfers!$F$13" display="Transfers!$F$13"/>
    <hyperlink ref="B120" location="Transfers!$G$13" display="Transfers!$G$13"/>
    <hyperlink ref="B121" location="Transfers!$H$13" display="Transfers!$H$13"/>
    <hyperlink ref="B122" location="Transfers!$I$13" display="Transfers!$I$13"/>
    <hyperlink ref="B124" location="Transfers!$K$13" display="Transfers!$K$13"/>
    <hyperlink ref="B125" location="Transfers!$L$13" display="Transfers!$L$13"/>
    <hyperlink ref="B126" location="Transfers!$M$13" display="Transfers!$M$13"/>
    <hyperlink ref="B127" location="Transfers!$B$14" display="Transfers!$B$14"/>
    <hyperlink ref="B128" location="Transfers!$C$14" display="Transfers!$C$14"/>
    <hyperlink ref="B129" location="Transfers!$D$14" display="Transfers!$D$14"/>
    <hyperlink ref="B130" location="Transfers!$E$14" display="Transfers!$E$14"/>
    <hyperlink ref="B131" location="Transfers!$F$14" display="Transfers!$F$14"/>
    <hyperlink ref="B132" location="Transfers!$G$14" display="Transfers!$G$14"/>
    <hyperlink ref="B133" location="Transfers!$H$14" display="Transfers!$H$14"/>
    <hyperlink ref="B134" location="Transfers!$I$14" display="Transfers!$I$14"/>
    <hyperlink ref="B135" location="Transfers!$J$14" display="Transfers!$J$14"/>
    <hyperlink ref="B137" location="Transfers!$L$14" display="Transfers!$L$14"/>
    <hyperlink ref="B138" location="Transfers!$M$14" display="Transfers!$M$14"/>
    <hyperlink ref="B139" location="Transfers!$B$15" display="Transfers!$B$15"/>
    <hyperlink ref="B140" location="Transfers!$C$15" display="Transfers!$C$15"/>
    <hyperlink ref="B141" location="Transfers!$D$15" display="Transfers!$D$15"/>
    <hyperlink ref="B142" location="Transfers!$E$15" display="Transfers!$E$15"/>
    <hyperlink ref="B143" location="Transfers!$F$15" display="Transfers!$F$15"/>
    <hyperlink ref="B144" location="Transfers!$G$15" display="Transfers!$G$15"/>
    <hyperlink ref="B145" location="Transfers!$H$15" display="Transfers!$H$15"/>
    <hyperlink ref="B146" location="Transfers!$I$15" display="Transfers!$I$15"/>
    <hyperlink ref="B147" location="Transfers!$J$15" display="Transfers!$J$15"/>
    <hyperlink ref="B148" location="Transfers!$K$15" display="Transfers!$K$15"/>
    <hyperlink ref="B150" location="Transfers!$M$15" display="Transfers!$M$15"/>
    <hyperlink ref="B151" location="Transfers!$B$16" display="Transfers!$B$16"/>
    <hyperlink ref="B152" location="Transfers!$C$16" display="Transfers!$C$16"/>
    <hyperlink ref="B153" location="Transfers!$D$16" display="Transfers!$D$16"/>
    <hyperlink ref="B154" location="Transfers!$E$16" display="Transfers!$E$16"/>
    <hyperlink ref="B155" location="Transfers!$F$16" display="Transfers!$F$16"/>
    <hyperlink ref="B156" location="Transfers!$G$16" display="Transfers!$G$16"/>
    <hyperlink ref="B157" location="Transfers!$H$16" display="Transfers!$H$16"/>
    <hyperlink ref="B158" location="Transfers!$I$16" display="Transfers!$I$16"/>
    <hyperlink ref="B159" location="Transfers!$J$16" display="Transfers!$J$16"/>
    <hyperlink ref="B160" location="Transfers!$K$16" display="Transfers!$K$16"/>
    <hyperlink ref="B161" location="Transfers!$L$16" display="Transfers!$L$16"/>
    <hyperlink ref="C168" location="Transfers!B183" display="N"/>
    <hyperlink ref="D168" location="Transfers!B184" display="N"/>
    <hyperlink ref="E168" location="Transfers!B185" display="N"/>
    <hyperlink ref="F168" location="Transfers!B186" display="N"/>
    <hyperlink ref="G168" location="Transfers!B187" display="N"/>
    <hyperlink ref="H168" location="Transfers!B188" display="Y"/>
    <hyperlink ref="I168" location="Transfers!B189" display="N"/>
    <hyperlink ref="J168" location="Transfers!B190" display="N"/>
    <hyperlink ref="K168" location="Transfers!B191" display="N"/>
    <hyperlink ref="L168" location="Transfers!B192" display="N"/>
    <hyperlink ref="M168" location="Transfers!B193" display="N"/>
    <hyperlink ref="B169" location="Transfers!B194" display="N"/>
    <hyperlink ref="D169" location="Transfers!B196" display="N"/>
    <hyperlink ref="E169" location="Transfers!B197" display="N"/>
    <hyperlink ref="F169" location="Transfers!B198" display="N"/>
    <hyperlink ref="G169" location="Transfers!B199" display="N"/>
    <hyperlink ref="H169" location="Transfers!B200" display="N"/>
    <hyperlink ref="I169" location="Transfers!B201" display="Y"/>
    <hyperlink ref="J169" location="Transfers!B202" display="N"/>
    <hyperlink ref="K169" location="Transfers!B203" display="N"/>
    <hyperlink ref="L169" location="Transfers!B204" display="N"/>
    <hyperlink ref="M169" location="Transfers!B205" display="N"/>
    <hyperlink ref="B170" location="Transfers!B206" display="N"/>
    <hyperlink ref="C170" location="Transfers!B207" display="N"/>
    <hyperlink ref="E170" location="Transfers!B209" display="N"/>
    <hyperlink ref="F170" location="Transfers!B210" display="N"/>
    <hyperlink ref="G170" location="Transfers!B211" display="N"/>
    <hyperlink ref="H170" location="Transfers!B212" display="N"/>
    <hyperlink ref="I170" location="Transfers!B213" display="N"/>
    <hyperlink ref="J170" location="Transfers!B214" display="N"/>
    <hyperlink ref="K170" location="Transfers!B215" display="N"/>
    <hyperlink ref="L170" location="Transfers!B216" display="N"/>
    <hyperlink ref="M170" location="Transfers!B217" display="N"/>
    <hyperlink ref="B171" location="Transfers!B218" display="N"/>
    <hyperlink ref="C171" location="Transfers!B219" display="N"/>
    <hyperlink ref="D171" location="Transfers!B220" display="N"/>
    <hyperlink ref="F171" location="Transfers!B222" display="N"/>
    <hyperlink ref="G171" location="Transfers!B223" display="N"/>
    <hyperlink ref="H171" location="Transfers!B224" display="N"/>
    <hyperlink ref="I171" location="Transfers!B225" display="N"/>
    <hyperlink ref="J171" location="Transfers!B226" display="N"/>
    <hyperlink ref="K171" location="Transfers!B227" display="N"/>
    <hyperlink ref="L171" location="Transfers!B228" display="N"/>
    <hyperlink ref="M171" location="Transfers!B229" display="N"/>
    <hyperlink ref="B172" location="Transfers!B230" display="N"/>
    <hyperlink ref="C172" location="Transfers!B231" display="N"/>
    <hyperlink ref="D172" location="Transfers!B232" display="N"/>
    <hyperlink ref="E172" location="Transfers!B233" display="N"/>
    <hyperlink ref="G172" location="Transfers!B235" display="N"/>
    <hyperlink ref="H172" location="Transfers!B236" display="N"/>
    <hyperlink ref="I172" location="Transfers!B237" display="N"/>
    <hyperlink ref="J172" location="Transfers!B238" display="N"/>
    <hyperlink ref="K172" location="Transfers!B239" display="N"/>
    <hyperlink ref="L172" location="Transfers!B240" display="N"/>
    <hyperlink ref="M172" location="Transfers!B241" display="N"/>
    <hyperlink ref="B173" location="Transfers!B242" display="N"/>
    <hyperlink ref="C173" location="Transfers!B243" display="N"/>
    <hyperlink ref="D173" location="Transfers!B244" display="N"/>
    <hyperlink ref="E173" location="Transfers!B245" display="N"/>
    <hyperlink ref="F173" location="Transfers!B246" display="N"/>
    <hyperlink ref="H173" location="Transfers!B248" display="N"/>
    <hyperlink ref="I173" location="Transfers!B249" display="N"/>
    <hyperlink ref="J173" location="Transfers!B250" display="N"/>
    <hyperlink ref="K173" location="Transfers!B251" display="N"/>
    <hyperlink ref="L173" location="Transfers!B252" display="N"/>
    <hyperlink ref="M173" location="Transfers!B253" display="N"/>
    <hyperlink ref="B174" location="Transfers!B254" display="Y"/>
    <hyperlink ref="C174" location="Transfers!B255" display="N"/>
    <hyperlink ref="D174" location="Transfers!B256" display="N"/>
    <hyperlink ref="E174" location="Transfers!B257" display="N"/>
    <hyperlink ref="F174" location="Transfers!B258" display="N"/>
    <hyperlink ref="G174" location="Transfers!B259" display="N"/>
    <hyperlink ref="I174" location="Transfers!B261" display="N"/>
    <hyperlink ref="J174" location="Transfers!B262" display="N"/>
    <hyperlink ref="K174" location="Transfers!B263" display="N"/>
    <hyperlink ref="L174" location="Transfers!B264" display="N"/>
    <hyperlink ref="M174" location="Transfers!B265" display="N"/>
    <hyperlink ref="B175" location="Transfers!B266" display="N"/>
    <hyperlink ref="C175" location="Transfers!B267" display="Y"/>
    <hyperlink ref="D175" location="Transfers!B268" display="N"/>
    <hyperlink ref="E175" location="Transfers!B269" display="N"/>
    <hyperlink ref="F175" location="Transfers!B270" display="N"/>
    <hyperlink ref="G175" location="Transfers!B271" display="N"/>
    <hyperlink ref="H175" location="Transfers!B272" display="N"/>
    <hyperlink ref="J175" location="Transfers!B274" display="N"/>
    <hyperlink ref="K175" location="Transfers!B275" display="N"/>
    <hyperlink ref="L175" location="Transfers!B276" display="N"/>
    <hyperlink ref="M175" location="Transfers!B277" display="N"/>
    <hyperlink ref="B176" location="Transfers!B278" display="N"/>
    <hyperlink ref="C176" location="Transfers!B279" display="N"/>
    <hyperlink ref="D176" location="Transfers!B280" display="N"/>
    <hyperlink ref="E176" location="Transfers!B281" display="N"/>
    <hyperlink ref="F176" location="Transfers!B282" display="N"/>
    <hyperlink ref="G176" location="Transfers!B283" display="N"/>
    <hyperlink ref="H176" location="Transfers!B284" display="N"/>
    <hyperlink ref="I176" location="Transfers!B285" display="N"/>
    <hyperlink ref="K176" location="Transfers!B287" display="N"/>
    <hyperlink ref="L176" location="Transfers!B288" display="N"/>
    <hyperlink ref="M176" location="Transfers!B289" display="N"/>
    <hyperlink ref="B177" location="Transfers!B290" display="N"/>
    <hyperlink ref="C177" location="Transfers!B291" display="N"/>
    <hyperlink ref="D177" location="Transfers!B292" display="N"/>
    <hyperlink ref="E177" location="Transfers!B293" display="N"/>
    <hyperlink ref="F177" location="Transfers!B294" display="N"/>
    <hyperlink ref="G177" location="Transfers!B295" display="N"/>
    <hyperlink ref="H177" location="Transfers!B296" display="N"/>
    <hyperlink ref="I177" location="Transfers!B297" display="N"/>
    <hyperlink ref="J177" location="Transfers!B298" display="N"/>
    <hyperlink ref="L177" location="Transfers!B300" display="N"/>
    <hyperlink ref="M177" location="Transfers!B301" display="N"/>
    <hyperlink ref="B178" location="Transfers!B302" display="N"/>
    <hyperlink ref="C178" location="Transfers!B303" display="N"/>
    <hyperlink ref="D178" location="Transfers!B304" display="N"/>
    <hyperlink ref="E178" location="Transfers!B305" display="N"/>
    <hyperlink ref="F178" location="Transfers!B306" display="N"/>
    <hyperlink ref="G178" location="Transfers!B307" display="N"/>
    <hyperlink ref="H178" location="Transfers!B308" display="N"/>
    <hyperlink ref="I178" location="Transfers!B309" display="N"/>
    <hyperlink ref="J178" location="Transfers!B310" display="N"/>
    <hyperlink ref="K178" location="Transfers!B311" display="N"/>
    <hyperlink ref="M178" location="Transfers!B313" display="N"/>
    <hyperlink ref="B179" location="Transfers!B314" display="N"/>
    <hyperlink ref="C179" location="Transfers!B315" display="N"/>
    <hyperlink ref="D179" location="Transfers!B316" display="N"/>
    <hyperlink ref="E179" location="Transfers!B317" display="N"/>
    <hyperlink ref="F179" location="Transfers!B318" display="N"/>
    <hyperlink ref="G179" location="Transfers!B319" display="N"/>
    <hyperlink ref="H179" location="Transfers!B320" display="N"/>
    <hyperlink ref="I179" location="Transfers!B321" display="N"/>
    <hyperlink ref="J179" location="Transfers!B322" display="N"/>
    <hyperlink ref="K179" location="Transfers!B323" display="N"/>
    <hyperlink ref="L179" location="Transfers!B324" display="N"/>
    <hyperlink ref="B183" location="Transfers!$C$168" display="Transfers!$C$168"/>
    <hyperlink ref="B184" location="Transfers!$D$168" display="Transfers!$D$168"/>
    <hyperlink ref="B185" location="Transfers!$E$168" display="Transfers!$E$168"/>
    <hyperlink ref="B186" location="Transfers!$F$168" display="Transfers!$F$168"/>
    <hyperlink ref="B187" location="Transfers!$G$168" display="Transfers!$G$168"/>
    <hyperlink ref="B188" location="Transfers!$H$168" display="Transfers!$H$168"/>
    <hyperlink ref="B189" location="Transfers!$I$168" display="Transfers!$I$168"/>
    <hyperlink ref="B190" location="Transfers!$J$168" display="Transfers!$J$168"/>
    <hyperlink ref="B191" location="Transfers!$K$168" display="Transfers!$K$168"/>
    <hyperlink ref="B192" location="Transfers!$L$168" display="Transfers!$L$168"/>
    <hyperlink ref="B193" location="Transfers!$M$168" display="Transfers!$M$168"/>
    <hyperlink ref="B194" location="Transfers!$B$169" display="Transfers!$B$169"/>
    <hyperlink ref="B196" location="Transfers!$D$169" display="Transfers!$D$169"/>
    <hyperlink ref="B197" location="Transfers!$E$169" display="Transfers!$E$169"/>
    <hyperlink ref="B198" location="Transfers!$F$169" display="Transfers!$F$169"/>
    <hyperlink ref="B199" location="Transfers!$G$169" display="Transfers!$G$169"/>
    <hyperlink ref="B200" location="Transfers!$H$169" display="Transfers!$H$169"/>
    <hyperlink ref="B201" location="Transfers!$I$169" display="Transfers!$I$169"/>
    <hyperlink ref="B202" location="Transfers!$J$169" display="Transfers!$J$169"/>
    <hyperlink ref="B203" location="Transfers!$K$169" display="Transfers!$K$169"/>
    <hyperlink ref="B204" location="Transfers!$L$169" display="Transfers!$L$169"/>
    <hyperlink ref="B205" location="Transfers!$M$169" display="Transfers!$M$169"/>
    <hyperlink ref="B206" location="Transfers!$B$170" display="Transfers!$B$170"/>
    <hyperlink ref="B207" location="Transfers!$C$170" display="Transfers!$C$170"/>
    <hyperlink ref="B209" location="Transfers!$E$170" display="Transfers!$E$170"/>
    <hyperlink ref="B210" location="Transfers!$F$170" display="Transfers!$F$170"/>
    <hyperlink ref="B211" location="Transfers!$G$170" display="Transfers!$G$170"/>
    <hyperlink ref="B212" location="Transfers!$H$170" display="Transfers!$H$170"/>
    <hyperlink ref="B213" location="Transfers!$I$170" display="Transfers!$I$170"/>
    <hyperlink ref="B214" location="Transfers!$J$170" display="Transfers!$J$170"/>
    <hyperlink ref="B215" location="Transfers!$K$170" display="Transfers!$K$170"/>
    <hyperlink ref="B216" location="Transfers!$L$170" display="Transfers!$L$170"/>
    <hyperlink ref="B217" location="Transfers!$M$170" display="Transfers!$M$170"/>
    <hyperlink ref="B218" location="Transfers!$B$171" display="Transfers!$B$171"/>
    <hyperlink ref="B219" location="Transfers!$C$171" display="Transfers!$C$171"/>
    <hyperlink ref="B220" location="Transfers!$D$171" display="Transfers!$D$171"/>
    <hyperlink ref="B222" location="Transfers!$F$171" display="Transfers!$F$171"/>
    <hyperlink ref="B223" location="Transfers!$G$171" display="Transfers!$G$171"/>
    <hyperlink ref="B224" location="Transfers!$H$171" display="Transfers!$H$171"/>
    <hyperlink ref="B225" location="Transfers!$I$171" display="Transfers!$I$171"/>
    <hyperlink ref="B226" location="Transfers!$J$171" display="Transfers!$J$171"/>
    <hyperlink ref="B227" location="Transfers!$K$171" display="Transfers!$K$171"/>
    <hyperlink ref="B228" location="Transfers!$L$171" display="Transfers!$L$171"/>
    <hyperlink ref="B229" location="Transfers!$M$171" display="Transfers!$M$171"/>
    <hyperlink ref="B230" location="Transfers!$B$172" display="Transfers!$B$172"/>
    <hyperlink ref="B231" location="Transfers!$C$172" display="Transfers!$C$172"/>
    <hyperlink ref="B232" location="Transfers!$D$172" display="Transfers!$D$172"/>
    <hyperlink ref="B233" location="Transfers!$E$172" display="Transfers!$E$172"/>
    <hyperlink ref="B235" location="Transfers!$G$172" display="Transfers!$G$172"/>
    <hyperlink ref="B236" location="Transfers!$H$172" display="Transfers!$H$172"/>
    <hyperlink ref="B237" location="Transfers!$I$172" display="Transfers!$I$172"/>
    <hyperlink ref="B238" location="Transfers!$J$172" display="Transfers!$J$172"/>
    <hyperlink ref="B239" location="Transfers!$K$172" display="Transfers!$K$172"/>
    <hyperlink ref="B240" location="Transfers!$L$172" display="Transfers!$L$172"/>
    <hyperlink ref="B241" location="Transfers!$M$172" display="Transfers!$M$172"/>
    <hyperlink ref="B242" location="Transfers!$B$173" display="Transfers!$B$173"/>
    <hyperlink ref="B243" location="Transfers!$C$173" display="Transfers!$C$173"/>
    <hyperlink ref="B244" location="Transfers!$D$173" display="Transfers!$D$173"/>
    <hyperlink ref="B245" location="Transfers!$E$173" display="Transfers!$E$173"/>
    <hyperlink ref="B246" location="Transfers!$F$173" display="Transfers!$F$173"/>
    <hyperlink ref="B248" location="Transfers!$H$173" display="Transfers!$H$173"/>
    <hyperlink ref="B249" location="Transfers!$I$173" display="Transfers!$I$173"/>
    <hyperlink ref="B250" location="Transfers!$J$173" display="Transfers!$J$173"/>
    <hyperlink ref="B251" location="Transfers!$K$173" display="Transfers!$K$173"/>
    <hyperlink ref="B252" location="Transfers!$L$173" display="Transfers!$L$173"/>
    <hyperlink ref="B253" location="Transfers!$M$173" display="Transfers!$M$173"/>
    <hyperlink ref="B254" location="Transfers!$B$174" display="Transfers!$B$174"/>
    <hyperlink ref="B255" location="Transfers!$C$174" display="Transfers!$C$174"/>
    <hyperlink ref="B256" location="Transfers!$D$174" display="Transfers!$D$174"/>
    <hyperlink ref="B257" location="Transfers!$E$174" display="Transfers!$E$174"/>
    <hyperlink ref="B258" location="Transfers!$F$174" display="Transfers!$F$174"/>
    <hyperlink ref="B259" location="Transfers!$G$174" display="Transfers!$G$174"/>
    <hyperlink ref="B261" location="Transfers!$I$174" display="Transfers!$I$174"/>
    <hyperlink ref="B262" location="Transfers!$J$174" display="Transfers!$J$174"/>
    <hyperlink ref="B263" location="Transfers!$K$174" display="Transfers!$K$174"/>
    <hyperlink ref="B264" location="Transfers!$L$174" display="Transfers!$L$174"/>
    <hyperlink ref="B265" location="Transfers!$M$174" display="Transfers!$M$174"/>
    <hyperlink ref="B266" location="Transfers!$B$175" display="Transfers!$B$175"/>
    <hyperlink ref="B267" location="Transfers!$C$175" display="Transfers!$C$175"/>
    <hyperlink ref="B268" location="Transfers!$D$175" display="Transfers!$D$175"/>
    <hyperlink ref="B269" location="Transfers!$E$175" display="Transfers!$E$175"/>
    <hyperlink ref="B270" location="Transfers!$F$175" display="Transfers!$F$175"/>
    <hyperlink ref="B271" location="Transfers!$G$175" display="Transfers!$G$175"/>
    <hyperlink ref="B272" location="Transfers!$H$175" display="Transfers!$H$175"/>
    <hyperlink ref="B274" location="Transfers!$J$175" display="Transfers!$J$175"/>
    <hyperlink ref="B275" location="Transfers!$K$175" display="Transfers!$K$175"/>
    <hyperlink ref="B276" location="Transfers!$L$175" display="Transfers!$L$175"/>
    <hyperlink ref="B277" location="Transfers!$M$175" display="Transfers!$M$175"/>
    <hyperlink ref="B278" location="Transfers!$B$176" display="Transfers!$B$176"/>
    <hyperlink ref="B279" location="Transfers!$C$176" display="Transfers!$C$176"/>
    <hyperlink ref="B280" location="Transfers!$D$176" display="Transfers!$D$176"/>
    <hyperlink ref="B281" location="Transfers!$E$176" display="Transfers!$E$176"/>
    <hyperlink ref="B282" location="Transfers!$F$176" display="Transfers!$F$176"/>
    <hyperlink ref="B283" location="Transfers!$G$176" display="Transfers!$G$176"/>
    <hyperlink ref="B284" location="Transfers!$H$176" display="Transfers!$H$176"/>
    <hyperlink ref="B285" location="Transfers!$I$176" display="Transfers!$I$176"/>
    <hyperlink ref="B287" location="Transfers!$K$176" display="Transfers!$K$176"/>
    <hyperlink ref="B288" location="Transfers!$L$176" display="Transfers!$L$176"/>
    <hyperlink ref="B289" location="Transfers!$M$176" display="Transfers!$M$176"/>
    <hyperlink ref="B290" location="Transfers!$B$177" display="Transfers!$B$177"/>
    <hyperlink ref="B291" location="Transfers!$C$177" display="Transfers!$C$177"/>
    <hyperlink ref="B292" location="Transfers!$D$177" display="Transfers!$D$177"/>
    <hyperlink ref="B293" location="Transfers!$E$177" display="Transfers!$E$177"/>
    <hyperlink ref="B294" location="Transfers!$F$177" display="Transfers!$F$177"/>
    <hyperlink ref="B295" location="Transfers!$G$177" display="Transfers!$G$177"/>
    <hyperlink ref="B296" location="Transfers!$H$177" display="Transfers!$H$177"/>
    <hyperlink ref="B297" location="Transfers!$I$177" display="Transfers!$I$177"/>
    <hyperlink ref="B298" location="Transfers!$J$177" display="Transfers!$J$177"/>
    <hyperlink ref="B300" location="Transfers!$L$177" display="Transfers!$L$177"/>
    <hyperlink ref="B301" location="Transfers!$M$177" display="Transfers!$M$177"/>
    <hyperlink ref="B302" location="Transfers!$B$178" display="Transfers!$B$178"/>
    <hyperlink ref="B303" location="Transfers!$C$178" display="Transfers!$C$178"/>
    <hyperlink ref="B304" location="Transfers!$D$178" display="Transfers!$D$178"/>
    <hyperlink ref="B305" location="Transfers!$E$178" display="Transfers!$E$178"/>
    <hyperlink ref="B306" location="Transfers!$F$178" display="Transfers!$F$178"/>
    <hyperlink ref="B307" location="Transfers!$G$178" display="Transfers!$G$178"/>
    <hyperlink ref="B308" location="Transfers!$H$178" display="Transfers!$H$178"/>
    <hyperlink ref="B309" location="Transfers!$I$178" display="Transfers!$I$178"/>
    <hyperlink ref="B310" location="Transfers!$J$178" display="Transfers!$J$178"/>
    <hyperlink ref="B311" location="Transfers!$K$178" display="Transfers!$K$178"/>
    <hyperlink ref="B313" location="Transfers!$M$178" display="Transfers!$M$178"/>
    <hyperlink ref="B314" location="Transfers!$B$179" display="Transfers!$B$179"/>
    <hyperlink ref="B315" location="Transfers!$C$179" display="Transfers!$C$179"/>
    <hyperlink ref="B316" location="Transfers!$D$179" display="Transfers!$D$179"/>
    <hyperlink ref="B317" location="Transfers!$E$179" display="Transfers!$E$179"/>
    <hyperlink ref="B318" location="Transfers!$F$179" display="Transfers!$F$179"/>
    <hyperlink ref="B319" location="Transfers!$G$179" display="Transfers!$G$179"/>
    <hyperlink ref="B320" location="Transfers!$H$179" display="Transfers!$H$179"/>
    <hyperlink ref="B321" location="Transfers!$I$179" display="Transfers!$I$179"/>
    <hyperlink ref="B322" location="Transfers!$J$179" display="Transfers!$J$179"/>
    <hyperlink ref="B323" location="Transfers!$K$179" display="Transfers!$K$179"/>
    <hyperlink ref="B324" location="Transfers!$L$179" display="Transfers!$L$179"/>
    <hyperlink ref="C331" location="Transfers!B346" display="N"/>
    <hyperlink ref="D331" location="Transfers!B347" display="N"/>
    <hyperlink ref="E331" location="Transfers!B348" display="N"/>
    <hyperlink ref="F331" location="Transfers!B349" display="N"/>
    <hyperlink ref="G331" location="Transfers!B350" display="N"/>
    <hyperlink ref="H331" location="Transfers!B351" display="N"/>
    <hyperlink ref="I331" location="Transfers!B352" display="N"/>
    <hyperlink ref="J331" location="Transfers!B353" display="N"/>
    <hyperlink ref="K331" location="Transfers!B354" display="N"/>
    <hyperlink ref="L331" location="Transfers!B355" display="Y"/>
    <hyperlink ref="M331" location="Transfers!B356" display="N"/>
    <hyperlink ref="B332" location="Transfers!B357" display="N"/>
    <hyperlink ref="D332" location="Transfers!B359" display="N"/>
    <hyperlink ref="E332" location="Transfers!B360" display="N"/>
    <hyperlink ref="F332" location="Transfers!B361" display="N"/>
    <hyperlink ref="G332" location="Transfers!B362" display="N"/>
    <hyperlink ref="H332" location="Transfers!B363" display="N"/>
    <hyperlink ref="I332" location="Transfers!B364" display="N"/>
    <hyperlink ref="J332" location="Transfers!B365" display="N"/>
    <hyperlink ref="K332" location="Transfers!B366" display="N"/>
    <hyperlink ref="L332" location="Transfers!B367" display="N"/>
    <hyperlink ref="M332" location="Transfers!B368" display="Y"/>
    <hyperlink ref="B333" location="Transfers!B369" display="N"/>
    <hyperlink ref="C333" location="Transfers!B370" display="N"/>
    <hyperlink ref="E333" location="Transfers!B372" display="N"/>
    <hyperlink ref="F333" location="Transfers!B373" display="N"/>
    <hyperlink ref="G333" location="Transfers!B374" display="N"/>
    <hyperlink ref="H333" location="Transfers!B375" display="N"/>
    <hyperlink ref="I333" location="Transfers!B376" display="N"/>
    <hyperlink ref="J333" location="Transfers!B377" display="N"/>
    <hyperlink ref="K333" location="Transfers!B378" display="N"/>
    <hyperlink ref="L333" location="Transfers!B379" display="N"/>
    <hyperlink ref="M333" location="Transfers!B380" display="N"/>
    <hyperlink ref="B334" location="Transfers!B381" display="N"/>
    <hyperlink ref="C334" location="Transfers!B382" display="N"/>
    <hyperlink ref="D334" location="Transfers!B383" display="N"/>
    <hyperlink ref="F334" location="Transfers!B385" display="N"/>
    <hyperlink ref="G334" location="Transfers!B386" display="N"/>
    <hyperlink ref="H334" location="Transfers!B387" display="N"/>
    <hyperlink ref="I334" location="Transfers!B388" display="N"/>
    <hyperlink ref="J334" location="Transfers!B389" display="N"/>
    <hyperlink ref="K334" location="Transfers!B390" display="N"/>
    <hyperlink ref="L334" location="Transfers!B391" display="N"/>
    <hyperlink ref="M334" location="Transfers!B392" display="N"/>
    <hyperlink ref="B335" location="Transfers!B393" display="N"/>
    <hyperlink ref="C335" location="Transfers!B394" display="N"/>
    <hyperlink ref="D335" location="Transfers!B395" display="N"/>
    <hyperlink ref="E335" location="Transfers!B396" display="N"/>
    <hyperlink ref="G335" location="Transfers!B398" display="N"/>
    <hyperlink ref="H335" location="Transfers!B399" display="N"/>
    <hyperlink ref="I335" location="Transfers!B400" display="N"/>
    <hyperlink ref="J335" location="Transfers!B401" display="N"/>
    <hyperlink ref="K335" location="Transfers!B402" display="N"/>
    <hyperlink ref="L335" location="Transfers!B403" display="N"/>
    <hyperlink ref="M335" location="Transfers!B404" display="N"/>
    <hyperlink ref="B336" location="Transfers!B405" display="N"/>
    <hyperlink ref="C336" location="Transfers!B406" display="N"/>
    <hyperlink ref="D336" location="Transfers!B407" display="N"/>
    <hyperlink ref="E336" location="Transfers!B408" display="N"/>
    <hyperlink ref="F336" location="Transfers!B409" display="N"/>
    <hyperlink ref="H336" location="Transfers!B411" display="N"/>
    <hyperlink ref="I336" location="Transfers!B412" display="N"/>
    <hyperlink ref="J336" location="Transfers!B413" display="N"/>
    <hyperlink ref="K336" location="Transfers!B414" display="N"/>
    <hyperlink ref="L336" location="Transfers!B415" display="N"/>
    <hyperlink ref="M336" location="Transfers!B416" display="N"/>
    <hyperlink ref="B337" location="Transfers!B417" display="N"/>
    <hyperlink ref="C337" location="Transfers!B418" display="N"/>
    <hyperlink ref="D337" location="Transfers!B419" display="N"/>
    <hyperlink ref="E337" location="Transfers!B420" display="N"/>
    <hyperlink ref="F337" location="Transfers!B421" display="N"/>
    <hyperlink ref="G337" location="Transfers!B422" display="N"/>
    <hyperlink ref="I337" location="Transfers!B424" display="N"/>
    <hyperlink ref="J337" location="Transfers!B425" display="N"/>
    <hyperlink ref="K337" location="Transfers!B426" display="N"/>
    <hyperlink ref="L337" location="Transfers!B427" display="Y"/>
    <hyperlink ref="M337" location="Transfers!B428" display="N"/>
    <hyperlink ref="B338" location="Transfers!B429" display="N"/>
    <hyperlink ref="C338" location="Transfers!B430" display="N"/>
    <hyperlink ref="D338" location="Transfers!B431" display="N"/>
    <hyperlink ref="E338" location="Transfers!B432" display="N"/>
    <hyperlink ref="F338" location="Transfers!B433" display="N"/>
    <hyperlink ref="G338" location="Transfers!B434" display="N"/>
    <hyperlink ref="H338" location="Transfers!B435" display="N"/>
    <hyperlink ref="J338" location="Transfers!B437" display="N"/>
    <hyperlink ref="K338" location="Transfers!B438" display="N"/>
    <hyperlink ref="L338" location="Transfers!B439" display="N"/>
    <hyperlink ref="M338" location="Transfers!B440" display="Y"/>
    <hyperlink ref="B339" location="Transfers!B441" display="N"/>
    <hyperlink ref="C339" location="Transfers!B442" display="N"/>
    <hyperlink ref="D339" location="Transfers!B443" display="N"/>
    <hyperlink ref="E339" location="Transfers!B444" display="N"/>
    <hyperlink ref="F339" location="Transfers!B445" display="N"/>
    <hyperlink ref="G339" location="Transfers!B446" display="N"/>
    <hyperlink ref="H339" location="Transfers!B447" display="N"/>
    <hyperlink ref="I339" location="Transfers!B448" display="N"/>
    <hyperlink ref="K339" location="Transfers!B450" display="N"/>
    <hyperlink ref="L339" location="Transfers!B451" display="N"/>
    <hyperlink ref="M339" location="Transfers!B452" display="N"/>
    <hyperlink ref="B340" location="Transfers!B453" display="N"/>
    <hyperlink ref="C340" location="Transfers!B454" display="N"/>
    <hyperlink ref="D340" location="Transfers!B455" display="N"/>
    <hyperlink ref="E340" location="Transfers!B456" display="N"/>
    <hyperlink ref="F340" location="Transfers!B457" display="N"/>
    <hyperlink ref="G340" location="Transfers!B458" display="N"/>
    <hyperlink ref="H340" location="Transfers!B459" display="N"/>
    <hyperlink ref="I340" location="Transfers!B460" display="N"/>
    <hyperlink ref="J340" location="Transfers!B461" display="N"/>
    <hyperlink ref="L340" location="Transfers!B463" display="N"/>
    <hyperlink ref="M340" location="Transfers!B464" display="N"/>
    <hyperlink ref="B341" location="Transfers!B465" display="Y"/>
    <hyperlink ref="C341" location="Transfers!B466" display="N"/>
    <hyperlink ref="D341" location="Transfers!B467" display="N"/>
    <hyperlink ref="E341" location="Transfers!B468" display="N"/>
    <hyperlink ref="F341" location="Transfers!B469" display="N"/>
    <hyperlink ref="G341" location="Transfers!B470" display="N"/>
    <hyperlink ref="H341" location="Transfers!B471" display="Y"/>
    <hyperlink ref="I341" location="Transfers!B472" display="N"/>
    <hyperlink ref="J341" location="Transfers!B473" display="N"/>
    <hyperlink ref="K341" location="Transfers!B474" display="N"/>
    <hyperlink ref="M341" location="Transfers!B476" display="N"/>
    <hyperlink ref="B342" location="Transfers!B477" display="N"/>
    <hyperlink ref="C342" location="Transfers!B478" display="Y"/>
    <hyperlink ref="D342" location="Transfers!B479" display="N"/>
    <hyperlink ref="E342" location="Transfers!B480" display="N"/>
    <hyperlink ref="F342" location="Transfers!B481" display="N"/>
    <hyperlink ref="G342" location="Transfers!B482" display="N"/>
    <hyperlink ref="H342" location="Transfers!B483" display="N"/>
    <hyperlink ref="I342" location="Transfers!B484" display="Y"/>
    <hyperlink ref="J342" location="Transfers!B485" display="N"/>
    <hyperlink ref="K342" location="Transfers!B486" display="N"/>
    <hyperlink ref="L342" location="Transfers!B487" display="N"/>
    <hyperlink ref="B346" location="Transfers!$C$331" display="Transfers!$C$331"/>
    <hyperlink ref="B347" location="Transfers!$D$331" display="Transfers!$D$331"/>
    <hyperlink ref="B348" location="Transfers!$E$331" display="Transfers!$E$331"/>
    <hyperlink ref="B349" location="Transfers!$F$331" display="Transfers!$F$331"/>
    <hyperlink ref="B350" location="Transfers!$G$331" display="Transfers!$G$331"/>
    <hyperlink ref="B351" location="Transfers!$H$331" display="Transfers!$H$331"/>
    <hyperlink ref="B352" location="Transfers!$I$331" display="Transfers!$I$331"/>
    <hyperlink ref="B353" location="Transfers!$J$331" display="Transfers!$J$331"/>
    <hyperlink ref="B354" location="Transfers!$K$331" display="Transfers!$K$331"/>
    <hyperlink ref="B355" location="Transfers!$L$331" display="Transfers!$L$331"/>
    <hyperlink ref="B356" location="Transfers!$M$331" display="Transfers!$M$331"/>
    <hyperlink ref="B357" location="Transfers!$B$332" display="Transfers!$B$332"/>
    <hyperlink ref="B359" location="Transfers!$D$332" display="Transfers!$D$332"/>
    <hyperlink ref="B360" location="Transfers!$E$332" display="Transfers!$E$332"/>
    <hyperlink ref="B361" location="Transfers!$F$332" display="Transfers!$F$332"/>
    <hyperlink ref="B362" location="Transfers!$G$332" display="Transfers!$G$332"/>
    <hyperlink ref="B363" location="Transfers!$H$332" display="Transfers!$H$332"/>
    <hyperlink ref="B364" location="Transfers!$I$332" display="Transfers!$I$332"/>
    <hyperlink ref="B365" location="Transfers!$J$332" display="Transfers!$J$332"/>
    <hyperlink ref="B366" location="Transfers!$K$332" display="Transfers!$K$332"/>
    <hyperlink ref="B367" location="Transfers!$L$332" display="Transfers!$L$332"/>
    <hyperlink ref="B368" location="Transfers!$M$332" display="Transfers!$M$332"/>
    <hyperlink ref="B369" location="Transfers!$B$333" display="Transfers!$B$333"/>
    <hyperlink ref="B370" location="Transfers!$C$333" display="Transfers!$C$333"/>
    <hyperlink ref="B372" location="Transfers!$E$333" display="Transfers!$E$333"/>
    <hyperlink ref="B373" location="Transfers!$F$333" display="Transfers!$F$333"/>
    <hyperlink ref="B374" location="Transfers!$G$333" display="Transfers!$G$333"/>
    <hyperlink ref="B375" location="Transfers!$H$333" display="Transfers!$H$333"/>
    <hyperlink ref="B376" location="Transfers!$I$333" display="Transfers!$I$333"/>
    <hyperlink ref="B377" location="Transfers!$J$333" display="Transfers!$J$333"/>
    <hyperlink ref="B378" location="Transfers!$K$333" display="Transfers!$K$333"/>
    <hyperlink ref="B379" location="Transfers!$L$333" display="Transfers!$L$333"/>
    <hyperlink ref="B380" location="Transfers!$M$333" display="Transfers!$M$333"/>
    <hyperlink ref="B381" location="Transfers!$B$334" display="Transfers!$B$334"/>
    <hyperlink ref="B382" location="Transfers!$C$334" display="Transfers!$C$334"/>
    <hyperlink ref="B383" location="Transfers!$D$334" display="Transfers!$D$334"/>
    <hyperlink ref="B385" location="Transfers!$F$334" display="Transfers!$F$334"/>
    <hyperlink ref="B386" location="Transfers!$G$334" display="Transfers!$G$334"/>
    <hyperlink ref="B387" location="Transfers!$H$334" display="Transfers!$H$334"/>
    <hyperlink ref="B388" location="Transfers!$I$334" display="Transfers!$I$334"/>
    <hyperlink ref="B389" location="Transfers!$J$334" display="Transfers!$J$334"/>
    <hyperlink ref="B390" location="Transfers!$K$334" display="Transfers!$K$334"/>
    <hyperlink ref="B391" location="Transfers!$L$334" display="Transfers!$L$334"/>
    <hyperlink ref="B392" location="Transfers!$M$334" display="Transfers!$M$334"/>
    <hyperlink ref="B393" location="Transfers!$B$335" display="Transfers!$B$335"/>
    <hyperlink ref="B394" location="Transfers!$C$335" display="Transfers!$C$335"/>
    <hyperlink ref="B395" location="Transfers!$D$335" display="Transfers!$D$335"/>
    <hyperlink ref="B396" location="Transfers!$E$335" display="Transfers!$E$335"/>
    <hyperlink ref="B398" location="Transfers!$G$335" display="Transfers!$G$335"/>
    <hyperlink ref="B399" location="Transfers!$H$335" display="Transfers!$H$335"/>
    <hyperlink ref="B400" location="Transfers!$I$335" display="Transfers!$I$335"/>
    <hyperlink ref="B401" location="Transfers!$J$335" display="Transfers!$J$335"/>
    <hyperlink ref="B402" location="Transfers!$K$335" display="Transfers!$K$335"/>
    <hyperlink ref="B403" location="Transfers!$L$335" display="Transfers!$L$335"/>
    <hyperlink ref="B404" location="Transfers!$M$335" display="Transfers!$M$335"/>
    <hyperlink ref="B405" location="Transfers!$B$336" display="Transfers!$B$336"/>
    <hyperlink ref="B406" location="Transfers!$C$336" display="Transfers!$C$336"/>
    <hyperlink ref="B407" location="Transfers!$D$336" display="Transfers!$D$336"/>
    <hyperlink ref="B408" location="Transfers!$E$336" display="Transfers!$E$336"/>
    <hyperlink ref="B409" location="Transfers!$F$336" display="Transfers!$F$336"/>
    <hyperlink ref="B411" location="Transfers!$H$336" display="Transfers!$H$336"/>
    <hyperlink ref="B412" location="Transfers!$I$336" display="Transfers!$I$336"/>
    <hyperlink ref="B413" location="Transfers!$J$336" display="Transfers!$J$336"/>
    <hyperlink ref="B414" location="Transfers!$K$336" display="Transfers!$K$336"/>
    <hyperlink ref="B415" location="Transfers!$L$336" display="Transfers!$L$336"/>
    <hyperlink ref="B416" location="Transfers!$M$336" display="Transfers!$M$336"/>
    <hyperlink ref="B417" location="Transfers!$B$337" display="Transfers!$B$337"/>
    <hyperlink ref="B418" location="Transfers!$C$337" display="Transfers!$C$337"/>
    <hyperlink ref="B419" location="Transfers!$D$337" display="Transfers!$D$337"/>
    <hyperlink ref="B420" location="Transfers!$E$337" display="Transfers!$E$337"/>
    <hyperlink ref="B421" location="Transfers!$F$337" display="Transfers!$F$337"/>
    <hyperlink ref="B422" location="Transfers!$G$337" display="Transfers!$G$337"/>
    <hyperlink ref="B424" location="Transfers!$I$337" display="Transfers!$I$337"/>
    <hyperlink ref="B425" location="Transfers!$J$337" display="Transfers!$J$337"/>
    <hyperlink ref="B426" location="Transfers!$K$337" display="Transfers!$K$337"/>
    <hyperlink ref="B427" location="Transfers!$L$337" display="Transfers!$L$337"/>
    <hyperlink ref="B428" location="Transfers!$M$337" display="Transfers!$M$337"/>
    <hyperlink ref="B429" location="Transfers!$B$338" display="Transfers!$B$338"/>
    <hyperlink ref="B430" location="Transfers!$C$338" display="Transfers!$C$338"/>
    <hyperlink ref="B431" location="Transfers!$D$338" display="Transfers!$D$338"/>
    <hyperlink ref="B432" location="Transfers!$E$338" display="Transfers!$E$338"/>
    <hyperlink ref="B433" location="Transfers!$F$338" display="Transfers!$F$338"/>
    <hyperlink ref="B434" location="Transfers!$G$338" display="Transfers!$G$338"/>
    <hyperlink ref="B435" location="Transfers!$H$338" display="Transfers!$H$338"/>
    <hyperlink ref="B437" location="Transfers!$J$338" display="Transfers!$J$338"/>
    <hyperlink ref="B438" location="Transfers!$K$338" display="Transfers!$K$338"/>
    <hyperlink ref="B439" location="Transfers!$L$338" display="Transfers!$L$338"/>
    <hyperlink ref="B440" location="Transfers!$M$338" display="Transfers!$M$338"/>
    <hyperlink ref="B441" location="Transfers!$B$339" display="Transfers!$B$339"/>
    <hyperlink ref="B442" location="Transfers!$C$339" display="Transfers!$C$339"/>
    <hyperlink ref="B443" location="Transfers!$D$339" display="Transfers!$D$339"/>
    <hyperlink ref="B444" location="Transfers!$E$339" display="Transfers!$E$339"/>
    <hyperlink ref="B445" location="Transfers!$F$339" display="Transfers!$F$339"/>
    <hyperlink ref="B446" location="Transfers!$G$339" display="Transfers!$G$339"/>
    <hyperlink ref="B447" location="Transfers!$H$339" display="Transfers!$H$339"/>
    <hyperlink ref="B448" location="Transfers!$I$339" display="Transfers!$I$339"/>
    <hyperlink ref="B450" location="Transfers!$K$339" display="Transfers!$K$339"/>
    <hyperlink ref="B451" location="Transfers!$L$339" display="Transfers!$L$339"/>
    <hyperlink ref="B452" location="Transfers!$M$339" display="Transfers!$M$339"/>
    <hyperlink ref="B453" location="Transfers!$B$340" display="Transfers!$B$340"/>
    <hyperlink ref="B454" location="Transfers!$C$340" display="Transfers!$C$340"/>
    <hyperlink ref="B455" location="Transfers!$D$340" display="Transfers!$D$340"/>
    <hyperlink ref="B456" location="Transfers!$E$340" display="Transfers!$E$340"/>
    <hyperlink ref="B457" location="Transfers!$F$340" display="Transfers!$F$340"/>
    <hyperlink ref="B458" location="Transfers!$G$340" display="Transfers!$G$340"/>
    <hyperlink ref="B459" location="Transfers!$H$340" display="Transfers!$H$340"/>
    <hyperlink ref="B460" location="Transfers!$I$340" display="Transfers!$I$340"/>
    <hyperlink ref="B461" location="Transfers!$J$340" display="Transfers!$J$340"/>
    <hyperlink ref="B463" location="Transfers!$L$340" display="Transfers!$L$340"/>
    <hyperlink ref="B464" location="Transfers!$M$340" display="Transfers!$M$340"/>
    <hyperlink ref="B465" location="Transfers!$B$341" display="Transfers!$B$341"/>
    <hyperlink ref="B466" location="Transfers!$C$341" display="Transfers!$C$341"/>
    <hyperlink ref="B467" location="Transfers!$D$341" display="Transfers!$D$341"/>
    <hyperlink ref="B468" location="Transfers!$E$341" display="Transfers!$E$341"/>
    <hyperlink ref="B469" location="Transfers!$F$341" display="Transfers!$F$341"/>
    <hyperlink ref="B470" location="Transfers!$G$341" display="Transfers!$G$341"/>
    <hyperlink ref="B471" location="Transfers!$H$341" display="Transfers!$H$341"/>
    <hyperlink ref="B472" location="Transfers!$I$341" display="Transfers!$I$341"/>
    <hyperlink ref="B473" location="Transfers!$J$341" display="Transfers!$J$341"/>
    <hyperlink ref="B474" location="Transfers!$K$341" display="Transfers!$K$341"/>
    <hyperlink ref="B476" location="Transfers!$M$341" display="Transfers!$M$341"/>
    <hyperlink ref="B477" location="Transfers!$B$342" display="Transfers!$B$342"/>
    <hyperlink ref="B478" location="Transfers!$C$342" display="Transfers!$C$342"/>
    <hyperlink ref="B479" location="Transfers!$D$342" display="Transfers!$D$342"/>
    <hyperlink ref="B480" location="Transfers!$E$342" display="Transfers!$E$342"/>
    <hyperlink ref="B481" location="Transfers!$F$342" display="Transfers!$F$342"/>
    <hyperlink ref="B482" location="Transfers!$G$342" display="Transfers!$G$342"/>
    <hyperlink ref="B483" location="Transfers!$H$342" display="Transfers!$H$342"/>
    <hyperlink ref="B484" location="Transfers!$I$342" display="Transfers!$I$342"/>
    <hyperlink ref="B485" location="Transfers!$J$342" display="Transfers!$J$342"/>
    <hyperlink ref="B486" location="Transfers!$K$342" display="Transfers!$K$342"/>
    <hyperlink ref="B487" location="Transfers!$L$342" display="Transfers!$L$34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EE7D01-052E-4C10-8C6B-B8B08F8DF8B0}"/>
</file>

<file path=customXml/itemProps2.xml><?xml version="1.0" encoding="utf-8"?>
<ds:datastoreItem xmlns:ds="http://schemas.openxmlformats.org/officeDocument/2006/customXml" ds:itemID="{7BAE9B02-2BCF-4D9C-8D02-FD96977893C5}"/>
</file>

<file path=customXml/itemProps3.xml><?xml version="1.0" encoding="utf-8"?>
<ds:datastoreItem xmlns:ds="http://schemas.openxmlformats.org/officeDocument/2006/customXml" ds:itemID="{D989A1EE-1D97-4181-9F20-B1E905E4F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2025-07-25T03:54:05Z</dcterms:created>
  <dcterms:modified xsi:type="dcterms:W3CDTF">2025-07-25T03:54:05Z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